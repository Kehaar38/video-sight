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cb26b61b973890f/ドキュメント/Arduino/Project/video-sight/docs/ballistics/"/>
    </mc:Choice>
  </mc:AlternateContent>
  <xr:revisionPtr revIDLastSave="3" documentId="13_ncr:1_{7182F508-0F18-4D00-9CE6-70606197665A}" xr6:coauthVersionLast="47" xr6:coauthVersionMax="47" xr10:uidLastSave="{C3914C96-F0C6-4A13-B27C-4ADCCBDC7AE9}"/>
  <bookViews>
    <workbookView minimized="1" xWindow="345" yWindow="345" windowWidth="21600" windowHeight="11505" xr2:uid="{00000000-000D-0000-FFFF-FFFF00000000}"/>
  </bookViews>
  <sheets>
    <sheet name="メイン" sheetId="1" r:id="rId1"/>
    <sheet name="計算" sheetId="2" r:id="rId2"/>
    <sheet name="抽出" sheetId="3" r:id="rId3"/>
  </sheets>
  <definedNames>
    <definedName name="crop_f_max">メイン!$B$27</definedName>
    <definedName name="crop_f_min">メイン!$B$26</definedName>
    <definedName name="dt">メイン!$B$20</definedName>
    <definedName name="g">メイン!$B$10</definedName>
    <definedName name="g_f">メイン!$B$11</definedName>
    <definedName name="g_r">メイン!$B$12</definedName>
    <definedName name="g_u">メイン!$B$13</definedName>
    <definedName name="K_drag">メイン!$B$8</definedName>
    <definedName name="K_lift">メイン!$B$9</definedName>
    <definedName name="phi">メイン!$B$15</definedName>
    <definedName name="target">メイン!$B$25</definedName>
    <definedName name="theta">メイン!$B$14</definedName>
    <definedName name="u_axis_f">メイン!$B$17</definedName>
    <definedName name="u_axis_r">メイン!$B$18</definedName>
    <definedName name="u_axis_u">メイン!$B$19</definedName>
    <definedName name="v_0">メイン!$B$16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F3" i="3"/>
  <c r="G3" i="3"/>
  <c r="E4" i="3"/>
  <c r="F4" i="3"/>
  <c r="G4" i="3"/>
  <c r="E5" i="3"/>
  <c r="F5" i="3"/>
  <c r="G5" i="3"/>
  <c r="E6" i="3"/>
  <c r="F6" i="3"/>
  <c r="G6" i="3"/>
  <c r="E7" i="3"/>
  <c r="F7" i="3"/>
  <c r="G7" i="3"/>
  <c r="E8" i="3"/>
  <c r="F8" i="3"/>
  <c r="G8" i="3"/>
  <c r="E9" i="3"/>
  <c r="F9" i="3"/>
  <c r="G9" i="3"/>
  <c r="E10" i="3"/>
  <c r="F10" i="3"/>
  <c r="G10" i="3"/>
  <c r="E11" i="3"/>
  <c r="F11" i="3"/>
  <c r="G11" i="3"/>
  <c r="E12" i="3"/>
  <c r="F12" i="3"/>
  <c r="G12" i="3"/>
  <c r="E13" i="3"/>
  <c r="F13" i="3"/>
  <c r="G13" i="3"/>
  <c r="F14" i="3"/>
  <c r="G14" i="3"/>
  <c r="E15" i="3"/>
  <c r="F15" i="3"/>
  <c r="G15" i="3"/>
  <c r="E16" i="3"/>
  <c r="F16" i="3"/>
  <c r="G16" i="3"/>
  <c r="F17" i="3"/>
  <c r="G17" i="3"/>
  <c r="E18" i="3"/>
  <c r="F18" i="3"/>
  <c r="G18" i="3"/>
  <c r="E19" i="3"/>
  <c r="F19" i="3"/>
  <c r="G19" i="3"/>
  <c r="F20" i="3"/>
  <c r="G20" i="3"/>
  <c r="E21" i="3"/>
  <c r="F21" i="3"/>
  <c r="G21" i="3"/>
  <c r="E22" i="3"/>
  <c r="F22" i="3"/>
  <c r="G22" i="3"/>
  <c r="F23" i="3"/>
  <c r="G23" i="3"/>
  <c r="E24" i="3"/>
  <c r="F24" i="3"/>
  <c r="G24" i="3"/>
  <c r="E25" i="3"/>
  <c r="F25" i="3"/>
  <c r="G25" i="3"/>
  <c r="F26" i="3"/>
  <c r="G26" i="3"/>
  <c r="E27" i="3"/>
  <c r="F27" i="3"/>
  <c r="G27" i="3"/>
  <c r="E28" i="3"/>
  <c r="F28" i="3"/>
  <c r="G28" i="3"/>
  <c r="F29" i="3"/>
  <c r="G29" i="3"/>
  <c r="E30" i="3"/>
  <c r="F30" i="3"/>
  <c r="G30" i="3"/>
  <c r="E31" i="3"/>
  <c r="F31" i="3"/>
  <c r="G31" i="3"/>
  <c r="E32" i="3"/>
  <c r="G32" i="3"/>
  <c r="E33" i="3"/>
  <c r="F33" i="3"/>
  <c r="G33" i="3"/>
  <c r="E34" i="3"/>
  <c r="F34" i="3"/>
  <c r="G34" i="3"/>
  <c r="E35" i="3"/>
  <c r="F35" i="3"/>
  <c r="E36" i="3"/>
  <c r="F36" i="3"/>
  <c r="G36" i="3"/>
  <c r="E37" i="3"/>
  <c r="F37" i="3"/>
  <c r="G37" i="3"/>
  <c r="E38" i="3"/>
  <c r="F38" i="3"/>
  <c r="E39" i="3"/>
  <c r="F39" i="3"/>
  <c r="G39" i="3"/>
  <c r="E40" i="3"/>
  <c r="F40" i="3"/>
  <c r="G40" i="3"/>
  <c r="E41" i="3"/>
  <c r="F41" i="3"/>
  <c r="E42" i="3"/>
  <c r="F42" i="3"/>
  <c r="G42" i="3"/>
  <c r="E43" i="3"/>
  <c r="F43" i="3"/>
  <c r="G43" i="3"/>
  <c r="E44" i="3"/>
  <c r="F44" i="3"/>
  <c r="G44" i="3"/>
  <c r="E45" i="3"/>
  <c r="F45" i="3"/>
  <c r="G45" i="3"/>
  <c r="E46" i="3"/>
  <c r="F46" i="3"/>
  <c r="G46" i="3"/>
  <c r="E47" i="3"/>
  <c r="F47" i="3"/>
  <c r="G47" i="3"/>
  <c r="E48" i="3"/>
  <c r="F48" i="3"/>
  <c r="G48" i="3"/>
  <c r="E49" i="3"/>
  <c r="F49" i="3"/>
  <c r="G49" i="3"/>
  <c r="E50" i="3"/>
  <c r="F50" i="3"/>
  <c r="G50" i="3"/>
  <c r="E51" i="3"/>
  <c r="F51" i="3"/>
  <c r="G51" i="3"/>
  <c r="E52" i="3"/>
  <c r="F52" i="3"/>
  <c r="G52" i="3"/>
  <c r="G2" i="3"/>
  <c r="E2" i="3"/>
  <c r="F2" i="3"/>
  <c r="E2" i="2"/>
  <c r="B15" i="1"/>
  <c r="B14" i="1"/>
  <c r="B3" i="1"/>
  <c r="B4" i="1" s="1"/>
  <c r="B13" i="1" l="1"/>
  <c r="B9" i="1"/>
  <c r="B8" i="1"/>
  <c r="B12" i="1"/>
  <c r="B11" i="1"/>
  <c r="H2" i="2"/>
  <c r="M2" i="2" l="1"/>
  <c r="N2" i="2"/>
  <c r="O2" i="2" s="1"/>
  <c r="L2" i="2"/>
  <c r="K2" i="2"/>
  <c r="J2" i="2"/>
  <c r="I2" i="2"/>
  <c r="S2" i="2"/>
  <c r="Q2" i="2" l="1"/>
  <c r="U2" i="2" s="1"/>
  <c r="X2" i="2" s="1"/>
  <c r="F3" i="2" s="1"/>
  <c r="P2" i="2"/>
  <c r="T2" i="2" s="1"/>
  <c r="W2" i="2" s="1"/>
  <c r="E3" i="2" s="1"/>
  <c r="R2" i="2"/>
  <c r="V2" i="2" s="1"/>
  <c r="Y2" i="2" s="1"/>
  <c r="G3" i="2" s="1"/>
  <c r="B3" i="2" l="1"/>
  <c r="H3" i="2"/>
  <c r="N3" i="2" s="1"/>
  <c r="O3" i="2" s="1"/>
  <c r="D3" i="2"/>
  <c r="M3" i="2"/>
  <c r="C3" i="2"/>
  <c r="R3" i="2" l="1"/>
  <c r="Q3" i="2"/>
  <c r="S3" i="2"/>
  <c r="I3" i="2"/>
  <c r="K3" i="2"/>
  <c r="J3" i="2"/>
  <c r="L3" i="2"/>
  <c r="P3" i="2" s="1"/>
  <c r="V3" i="2" l="1"/>
  <c r="Y3" i="2" s="1"/>
  <c r="G4" i="2" s="1"/>
  <c r="U3" i="2"/>
  <c r="X3" i="2" s="1"/>
  <c r="F4" i="2" s="1"/>
  <c r="T3" i="2"/>
  <c r="W3" i="2" s="1"/>
  <c r="E4" i="2" s="1"/>
  <c r="C4" i="2" l="1"/>
  <c r="H4" i="2"/>
  <c r="B4" i="2"/>
  <c r="D4" i="2"/>
  <c r="J4" i="2" l="1"/>
  <c r="K4" i="2"/>
  <c r="I4" i="2"/>
  <c r="S4" i="2"/>
  <c r="N4" i="2"/>
  <c r="O4" i="2" s="1"/>
  <c r="L4" i="2"/>
  <c r="M4" i="2"/>
  <c r="P4" i="2" l="1"/>
  <c r="T4" i="2" s="1"/>
  <c r="W4" i="2" s="1"/>
  <c r="E5" i="2" s="1"/>
  <c r="R4" i="2"/>
  <c r="V4" i="2" s="1"/>
  <c r="Y4" i="2" s="1"/>
  <c r="G5" i="2" s="1"/>
  <c r="Q4" i="2"/>
  <c r="U4" i="2" s="1"/>
  <c r="X4" i="2" s="1"/>
  <c r="F5" i="2" s="1"/>
  <c r="D5" i="2" l="1"/>
  <c r="C5" i="2"/>
  <c r="H5" i="2"/>
  <c r="L5" i="2" s="1"/>
  <c r="B5" i="2"/>
  <c r="J5" i="2" l="1"/>
  <c r="K5" i="2"/>
  <c r="I5" i="2"/>
  <c r="S5" i="2"/>
  <c r="M5" i="2"/>
  <c r="N5" i="2"/>
  <c r="O5" i="2" s="1"/>
  <c r="R5" i="2" l="1"/>
  <c r="V5" i="2" s="1"/>
  <c r="Y5" i="2" s="1"/>
  <c r="G6" i="2" s="1"/>
  <c r="Q5" i="2"/>
  <c r="U5" i="2" s="1"/>
  <c r="X5" i="2" s="1"/>
  <c r="F6" i="2" s="1"/>
  <c r="P5" i="2"/>
  <c r="T5" i="2" s="1"/>
  <c r="W5" i="2" s="1"/>
  <c r="E6" i="2" s="1"/>
  <c r="D6" i="2" l="1"/>
  <c r="H6" i="2"/>
  <c r="B6" i="2"/>
  <c r="M6" i="2"/>
  <c r="C6" i="2"/>
  <c r="K6" i="2" l="1"/>
  <c r="J6" i="2"/>
  <c r="I6" i="2"/>
  <c r="S6" i="2"/>
  <c r="L6" i="2"/>
  <c r="N6" i="2"/>
  <c r="O6" i="2" s="1"/>
  <c r="R6" i="2" l="1"/>
  <c r="Q6" i="2"/>
  <c r="U6" i="2" s="1"/>
  <c r="X6" i="2" s="1"/>
  <c r="F7" i="2" s="1"/>
  <c r="P6" i="2"/>
  <c r="T6" i="2" s="1"/>
  <c r="W6" i="2" s="1"/>
  <c r="E7" i="2" s="1"/>
  <c r="V6" i="2"/>
  <c r="Y6" i="2"/>
  <c r="G7" i="2" s="1"/>
  <c r="H7" i="2" l="1"/>
  <c r="M7" i="2" s="1"/>
  <c r="B7" i="2"/>
  <c r="C7" i="2"/>
  <c r="D7" i="2"/>
  <c r="N7" i="2" l="1"/>
  <c r="O7" i="2" s="1"/>
  <c r="Q7" i="2" s="1"/>
  <c r="R7" i="2"/>
  <c r="K7" i="2"/>
  <c r="J7" i="2"/>
  <c r="I7" i="2"/>
  <c r="S7" i="2"/>
  <c r="L7" i="2"/>
  <c r="P7" i="2" s="1"/>
  <c r="V7" i="2" l="1"/>
  <c r="Y7" i="2" s="1"/>
  <c r="G8" i="2" s="1"/>
  <c r="U7" i="2"/>
  <c r="X7" i="2" s="1"/>
  <c r="F8" i="2" s="1"/>
  <c r="T7" i="2"/>
  <c r="W7" i="2" s="1"/>
  <c r="E8" i="2" s="1"/>
  <c r="H8" i="2" l="1"/>
  <c r="N8" i="2" s="1"/>
  <c r="O8" i="2" s="1"/>
  <c r="B8" i="2"/>
  <c r="D8" i="2"/>
  <c r="C8" i="2"/>
  <c r="M8" i="2" l="1"/>
  <c r="Q8" i="2" s="1"/>
  <c r="R8" i="2"/>
  <c r="J8" i="2"/>
  <c r="K8" i="2"/>
  <c r="I8" i="2"/>
  <c r="S8" i="2"/>
  <c r="L8" i="2"/>
  <c r="P8" i="2" s="1"/>
  <c r="V8" i="2" l="1"/>
  <c r="Y8" i="2" s="1"/>
  <c r="G9" i="2" s="1"/>
  <c r="U8" i="2"/>
  <c r="X8" i="2" s="1"/>
  <c r="F9" i="2" s="1"/>
  <c r="T8" i="2"/>
  <c r="W8" i="2" s="1"/>
  <c r="E9" i="2" s="1"/>
  <c r="H9" i="2" l="1"/>
  <c r="M9" i="2" s="1"/>
  <c r="B9" i="2"/>
  <c r="D9" i="2"/>
  <c r="C9" i="2"/>
  <c r="N9" i="2" l="1"/>
  <c r="O9" i="2" s="1"/>
  <c r="R9" i="2" s="1"/>
  <c r="J9" i="2"/>
  <c r="K9" i="2"/>
  <c r="I9" i="2"/>
  <c r="S9" i="2"/>
  <c r="L9" i="2"/>
  <c r="P9" i="2" l="1"/>
  <c r="Q9" i="2"/>
  <c r="V9" i="2"/>
  <c r="Y9" i="2" s="1"/>
  <c r="G10" i="2" s="1"/>
  <c r="U9" i="2"/>
  <c r="X9" i="2" s="1"/>
  <c r="F10" i="2" s="1"/>
  <c r="T9" i="2"/>
  <c r="W9" i="2" s="1"/>
  <c r="E10" i="2" s="1"/>
  <c r="H10" i="2" l="1"/>
  <c r="M10" i="2" s="1"/>
  <c r="B10" i="2"/>
  <c r="C10" i="2"/>
  <c r="D10" i="2"/>
  <c r="N10" i="2" l="1"/>
  <c r="O10" i="2" s="1"/>
  <c r="R10" i="2"/>
  <c r="Q10" i="2"/>
  <c r="K10" i="2"/>
  <c r="J10" i="2"/>
  <c r="S10" i="2"/>
  <c r="I10" i="2"/>
  <c r="L10" i="2"/>
  <c r="P10" i="2" s="1"/>
  <c r="V10" i="2" l="1"/>
  <c r="Y10" i="2" s="1"/>
  <c r="G11" i="2" s="1"/>
  <c r="U10" i="2"/>
  <c r="X10" i="2" s="1"/>
  <c r="F11" i="2" s="1"/>
  <c r="T10" i="2"/>
  <c r="W10" i="2" s="1"/>
  <c r="E11" i="2" s="1"/>
  <c r="H11" i="2" l="1"/>
  <c r="N11" i="2" s="1"/>
  <c r="O11" i="2" s="1"/>
  <c r="B11" i="2"/>
  <c r="D11" i="2"/>
  <c r="M11" i="2"/>
  <c r="C11" i="2"/>
  <c r="R11" i="2" l="1"/>
  <c r="Q11" i="2"/>
  <c r="I11" i="2"/>
  <c r="J11" i="2"/>
  <c r="S11" i="2"/>
  <c r="K11" i="2"/>
  <c r="L11" i="2"/>
  <c r="P11" i="2" s="1"/>
  <c r="V11" i="2" l="1"/>
  <c r="Y11" i="2" s="1"/>
  <c r="G12" i="2" s="1"/>
  <c r="U11" i="2"/>
  <c r="X11" i="2" s="1"/>
  <c r="F12" i="2" s="1"/>
  <c r="T11" i="2"/>
  <c r="W11" i="2" s="1"/>
  <c r="E12" i="2" s="1"/>
  <c r="D12" i="2" l="1"/>
  <c r="C12" i="2"/>
  <c r="H12" i="2"/>
  <c r="M12" i="2" s="1"/>
  <c r="B12" i="2"/>
  <c r="J12" i="2" l="1"/>
  <c r="I12" i="2"/>
  <c r="S12" i="2"/>
  <c r="K12" i="2"/>
  <c r="L12" i="2"/>
  <c r="N12" i="2"/>
  <c r="O12" i="2" s="1"/>
  <c r="R12" i="2" l="1"/>
  <c r="Q12" i="2"/>
  <c r="U12" i="2" s="1"/>
  <c r="X12" i="2" s="1"/>
  <c r="F13" i="2" s="1"/>
  <c r="P12" i="2"/>
  <c r="T12" i="2" s="1"/>
  <c r="W12" i="2" s="1"/>
  <c r="E13" i="2" s="1"/>
  <c r="V12" i="2"/>
  <c r="Y12" i="2" s="1"/>
  <c r="G13" i="2" s="1"/>
  <c r="D13" i="2" l="1"/>
  <c r="H13" i="2"/>
  <c r="B13" i="2"/>
  <c r="C13" i="2"/>
  <c r="J13" i="2" l="1"/>
  <c r="K13" i="2"/>
  <c r="S13" i="2"/>
  <c r="I13" i="2"/>
  <c r="M13" i="2"/>
  <c r="L13" i="2"/>
  <c r="N13" i="2"/>
  <c r="O13" i="2" s="1"/>
  <c r="R13" i="2" l="1"/>
  <c r="V13" i="2" s="1"/>
  <c r="Y13" i="2" s="1"/>
  <c r="G14" i="2" s="1"/>
  <c r="Q13" i="2"/>
  <c r="P13" i="2"/>
  <c r="T13" i="2" s="1"/>
  <c r="W13" i="2" s="1"/>
  <c r="E14" i="2" s="1"/>
  <c r="U13" i="2"/>
  <c r="X13" i="2" s="1"/>
  <c r="F14" i="2" s="1"/>
  <c r="H14" i="2" l="1"/>
  <c r="M14" i="2" s="1"/>
  <c r="B14" i="2"/>
  <c r="C14" i="2"/>
  <c r="D14" i="2"/>
  <c r="N14" i="2" l="1"/>
  <c r="O14" i="2" s="1"/>
  <c r="R14" i="2" s="1"/>
  <c r="J14" i="2"/>
  <c r="K14" i="2"/>
  <c r="S14" i="2"/>
  <c r="I14" i="2"/>
  <c r="L14" i="2"/>
  <c r="P14" i="2" l="1"/>
  <c r="T14" i="2" s="1"/>
  <c r="W14" i="2" s="1"/>
  <c r="E15" i="2" s="1"/>
  <c r="Q14" i="2"/>
  <c r="U14" i="2" s="1"/>
  <c r="X14" i="2" s="1"/>
  <c r="F15" i="2" s="1"/>
  <c r="V14" i="2"/>
  <c r="Y14" i="2" s="1"/>
  <c r="G15" i="2" s="1"/>
  <c r="H15" i="2" l="1"/>
  <c r="N15" i="2" s="1"/>
  <c r="O15" i="2" s="1"/>
  <c r="B15" i="2"/>
  <c r="D15" i="2"/>
  <c r="M15" i="2"/>
  <c r="C15" i="2"/>
  <c r="R15" i="2" l="1"/>
  <c r="Q15" i="2"/>
  <c r="S15" i="2"/>
  <c r="K15" i="2"/>
  <c r="I15" i="2"/>
  <c r="J15" i="2"/>
  <c r="L15" i="2"/>
  <c r="P15" i="2" s="1"/>
  <c r="V15" i="2" l="1"/>
  <c r="Y15" i="2" s="1"/>
  <c r="G16" i="2" s="1"/>
  <c r="U15" i="2"/>
  <c r="X15" i="2" s="1"/>
  <c r="F16" i="2" s="1"/>
  <c r="T15" i="2"/>
  <c r="W15" i="2" s="1"/>
  <c r="E16" i="2" s="1"/>
  <c r="H16" i="2" l="1"/>
  <c r="L16" i="2" s="1"/>
  <c r="B16" i="2"/>
  <c r="C16" i="2"/>
  <c r="D16" i="2"/>
  <c r="N16" i="2" l="1"/>
  <c r="O16" i="2" s="1"/>
  <c r="R16" i="2" s="1"/>
  <c r="M16" i="2"/>
  <c r="J16" i="2"/>
  <c r="K16" i="2"/>
  <c r="I16" i="2"/>
  <c r="S16" i="2"/>
  <c r="P16" i="2" l="1"/>
  <c r="Q16" i="2"/>
  <c r="U16" i="2" s="1"/>
  <c r="X16" i="2" s="1"/>
  <c r="F17" i="2" s="1"/>
  <c r="V16" i="2"/>
  <c r="T16" i="2"/>
  <c r="W16" i="2" s="1"/>
  <c r="E17" i="2" s="1"/>
  <c r="Y16" i="2"/>
  <c r="G17" i="2" s="1"/>
  <c r="H17" i="2" l="1"/>
  <c r="M17" i="2" s="1"/>
  <c r="B17" i="2"/>
  <c r="C17" i="2"/>
  <c r="D17" i="2"/>
  <c r="N17" i="2" l="1"/>
  <c r="O17" i="2" s="1"/>
  <c r="R17" i="2"/>
  <c r="Q17" i="2"/>
  <c r="K17" i="2"/>
  <c r="I17" i="2"/>
  <c r="J17" i="2"/>
  <c r="S17" i="2"/>
  <c r="L17" i="2"/>
  <c r="P17" i="2" s="1"/>
  <c r="V17" i="2" l="1"/>
  <c r="Y17" i="2" s="1"/>
  <c r="G18" i="2" s="1"/>
  <c r="U17" i="2"/>
  <c r="T17" i="2"/>
  <c r="W17" i="2" s="1"/>
  <c r="E18" i="2" s="1"/>
  <c r="X17" i="2"/>
  <c r="F18" i="2" s="1"/>
  <c r="H18" i="2" l="1"/>
  <c r="B18" i="2"/>
  <c r="N18" i="2"/>
  <c r="O18" i="2" s="1"/>
  <c r="D18" i="2"/>
  <c r="M18" i="2"/>
  <c r="C18" i="2"/>
  <c r="R18" i="2" l="1"/>
  <c r="Q18" i="2"/>
  <c r="K18" i="2"/>
  <c r="I18" i="2"/>
  <c r="S18" i="2"/>
  <c r="J18" i="2"/>
  <c r="L18" i="2"/>
  <c r="P18" i="2" s="1"/>
  <c r="V18" i="2" l="1"/>
  <c r="U18" i="2"/>
  <c r="X18" i="2" s="1"/>
  <c r="F19" i="2" s="1"/>
  <c r="T18" i="2"/>
  <c r="W18" i="2" s="1"/>
  <c r="E19" i="2" s="1"/>
  <c r="Y18" i="2"/>
  <c r="G19" i="2" s="1"/>
  <c r="H19" i="2" l="1"/>
  <c r="M19" i="2" s="1"/>
  <c r="B19" i="2"/>
  <c r="C19" i="2"/>
  <c r="D19" i="2"/>
  <c r="N19" i="2" l="1"/>
  <c r="O19" i="2" s="1"/>
  <c r="R19" i="2"/>
  <c r="Q19" i="2"/>
  <c r="J19" i="2"/>
  <c r="K19" i="2"/>
  <c r="I19" i="2"/>
  <c r="S19" i="2"/>
  <c r="L19" i="2"/>
  <c r="P19" i="2" s="1"/>
  <c r="V19" i="2" l="1"/>
  <c r="Y19" i="2" s="1"/>
  <c r="G20" i="2" s="1"/>
  <c r="U19" i="2"/>
  <c r="X19" i="2" s="1"/>
  <c r="F20" i="2" s="1"/>
  <c r="T19" i="2"/>
  <c r="W19" i="2" s="1"/>
  <c r="E20" i="2" s="1"/>
  <c r="H20" i="2" l="1"/>
  <c r="N20" i="2" s="1"/>
  <c r="O20" i="2" s="1"/>
  <c r="B20" i="2"/>
  <c r="D20" i="2"/>
  <c r="C20" i="2"/>
  <c r="M20" i="2" l="1"/>
  <c r="Q20" i="2" s="1"/>
  <c r="R20" i="2"/>
  <c r="K20" i="2"/>
  <c r="I20" i="2"/>
  <c r="J20" i="2"/>
  <c r="S20" i="2"/>
  <c r="L20" i="2"/>
  <c r="P20" i="2" s="1"/>
  <c r="V20" i="2" l="1"/>
  <c r="U20" i="2"/>
  <c r="T20" i="2"/>
  <c r="W20" i="2" s="1"/>
  <c r="E21" i="2" s="1"/>
  <c r="X20" i="2"/>
  <c r="F21" i="2" s="1"/>
  <c r="Y20" i="2"/>
  <c r="G21" i="2" s="1"/>
  <c r="H21" i="2" l="1"/>
  <c r="N21" i="2" s="1"/>
  <c r="O21" i="2" s="1"/>
  <c r="B21" i="2"/>
  <c r="D21" i="2"/>
  <c r="C21" i="2"/>
  <c r="M21" i="2" l="1"/>
  <c r="R21" i="2"/>
  <c r="Q21" i="2"/>
  <c r="K21" i="2"/>
  <c r="I21" i="2"/>
  <c r="J21" i="2"/>
  <c r="S21" i="2"/>
  <c r="L21" i="2"/>
  <c r="P21" i="2" s="1"/>
  <c r="V21" i="2" l="1"/>
  <c r="U21" i="2"/>
  <c r="X21" i="2" s="1"/>
  <c r="F22" i="2" s="1"/>
  <c r="T21" i="2"/>
  <c r="W21" i="2" s="1"/>
  <c r="E22" i="2" s="1"/>
  <c r="Y21" i="2"/>
  <c r="G22" i="2" s="1"/>
  <c r="H22" i="2" l="1"/>
  <c r="M22" i="2" s="1"/>
  <c r="B22" i="2"/>
  <c r="C22" i="2"/>
  <c r="D22" i="2"/>
  <c r="N22" i="2" l="1"/>
  <c r="O22" i="2" s="1"/>
  <c r="R22" i="2"/>
  <c r="Q22" i="2"/>
  <c r="K22" i="2"/>
  <c r="J22" i="2"/>
  <c r="S22" i="2"/>
  <c r="I22" i="2"/>
  <c r="L22" i="2"/>
  <c r="P22" i="2" s="1"/>
  <c r="V22" i="2" l="1"/>
  <c r="U22" i="2"/>
  <c r="T22" i="2"/>
  <c r="W22" i="2"/>
  <c r="E23" i="2" s="1"/>
  <c r="X22" i="2"/>
  <c r="F23" i="2" s="1"/>
  <c r="Y22" i="2"/>
  <c r="G23" i="2" s="1"/>
  <c r="C23" i="2" l="1"/>
  <c r="D23" i="2"/>
  <c r="H23" i="2"/>
  <c r="N23" i="2" s="1"/>
  <c r="O23" i="2" s="1"/>
  <c r="B23" i="2"/>
  <c r="R23" i="2" l="1"/>
  <c r="I23" i="2"/>
  <c r="J23" i="2"/>
  <c r="S23" i="2"/>
  <c r="K23" i="2"/>
  <c r="L23" i="2"/>
  <c r="P23" i="2" s="1"/>
  <c r="M23" i="2"/>
  <c r="Q23" i="2" s="1"/>
  <c r="V23" i="2" l="1"/>
  <c r="Y23" i="2" s="1"/>
  <c r="G24" i="2" s="1"/>
  <c r="U23" i="2"/>
  <c r="X23" i="2" s="1"/>
  <c r="F24" i="2" s="1"/>
  <c r="T23" i="2"/>
  <c r="W23" i="2"/>
  <c r="E24" i="2" s="1"/>
  <c r="C24" i="2" l="1"/>
  <c r="D24" i="2"/>
  <c r="H24" i="2"/>
  <c r="L24" i="2" s="1"/>
  <c r="B24" i="2"/>
  <c r="J24" i="2" l="1"/>
  <c r="I24" i="2"/>
  <c r="S24" i="2"/>
  <c r="K24" i="2"/>
  <c r="N24" i="2"/>
  <c r="O24" i="2" s="1"/>
  <c r="M24" i="2"/>
  <c r="R24" i="2" l="1"/>
  <c r="V24" i="2" s="1"/>
  <c r="Y24" i="2" s="1"/>
  <c r="G25" i="2" s="1"/>
  <c r="Q24" i="2"/>
  <c r="U24" i="2" s="1"/>
  <c r="X24" i="2" s="1"/>
  <c r="F25" i="2" s="1"/>
  <c r="P24" i="2"/>
  <c r="T24" i="2" s="1"/>
  <c r="W24" i="2" s="1"/>
  <c r="E25" i="2" s="1"/>
  <c r="H25" i="2" l="1"/>
  <c r="M25" i="2" s="1"/>
  <c r="B25" i="2"/>
  <c r="C25" i="2"/>
  <c r="D25" i="2"/>
  <c r="N25" i="2" l="1"/>
  <c r="O25" i="2" s="1"/>
  <c r="R25" i="2"/>
  <c r="Q25" i="2"/>
  <c r="J25" i="2"/>
  <c r="K25" i="2"/>
  <c r="S25" i="2"/>
  <c r="I25" i="2"/>
  <c r="L25" i="2"/>
  <c r="P25" i="2" s="1"/>
  <c r="V25" i="2" l="1"/>
  <c r="U25" i="2"/>
  <c r="X25" i="2" s="1"/>
  <c r="F26" i="2" s="1"/>
  <c r="T25" i="2"/>
  <c r="W25" i="2" s="1"/>
  <c r="E26" i="2" s="1"/>
  <c r="Y25" i="2"/>
  <c r="G26" i="2" s="1"/>
  <c r="H26" i="2" l="1"/>
  <c r="B26" i="2"/>
  <c r="M26" i="2"/>
  <c r="C26" i="2"/>
  <c r="N26" i="2"/>
  <c r="O26" i="2" s="1"/>
  <c r="D26" i="2"/>
  <c r="R26" i="2" l="1"/>
  <c r="Q26" i="2"/>
  <c r="K26" i="2"/>
  <c r="S26" i="2"/>
  <c r="I26" i="2"/>
  <c r="J26" i="2"/>
  <c r="L26" i="2"/>
  <c r="P26" i="2" s="1"/>
  <c r="V26" i="2" l="1"/>
  <c r="Y26" i="2" s="1"/>
  <c r="G27" i="2" s="1"/>
  <c r="U26" i="2"/>
  <c r="X26" i="2" s="1"/>
  <c r="F27" i="2" s="1"/>
  <c r="T26" i="2"/>
  <c r="W26" i="2"/>
  <c r="E27" i="2" s="1"/>
  <c r="C27" i="2" l="1"/>
  <c r="D27" i="2"/>
  <c r="H27" i="2"/>
  <c r="B27" i="2"/>
  <c r="S27" i="2" l="1"/>
  <c r="K27" i="2"/>
  <c r="I27" i="2"/>
  <c r="J27" i="2"/>
  <c r="L27" i="2"/>
  <c r="N27" i="2"/>
  <c r="O27" i="2" s="1"/>
  <c r="M27" i="2"/>
  <c r="R27" i="2" l="1"/>
  <c r="Q27" i="2"/>
  <c r="P27" i="2"/>
  <c r="V27" i="2"/>
  <c r="Y27" i="2" s="1"/>
  <c r="G28" i="2" s="1"/>
  <c r="U27" i="2"/>
  <c r="X27" i="2" s="1"/>
  <c r="F28" i="2" s="1"/>
  <c r="T27" i="2"/>
  <c r="W27" i="2" s="1"/>
  <c r="E28" i="2" s="1"/>
  <c r="H28" i="2" l="1"/>
  <c r="B28" i="2"/>
  <c r="M28" i="2"/>
  <c r="C28" i="2"/>
  <c r="N28" i="2"/>
  <c r="O28" i="2" s="1"/>
  <c r="D28" i="2"/>
  <c r="R28" i="2" l="1"/>
  <c r="Q28" i="2"/>
  <c r="J28" i="2"/>
  <c r="K28" i="2"/>
  <c r="I28" i="2"/>
  <c r="S28" i="2"/>
  <c r="L28" i="2"/>
  <c r="P28" i="2" s="1"/>
  <c r="V28" i="2" l="1"/>
  <c r="U28" i="2"/>
  <c r="T28" i="2"/>
  <c r="Y28" i="2"/>
  <c r="G29" i="2" s="1"/>
  <c r="W28" i="2"/>
  <c r="E29" i="2" s="1"/>
  <c r="X28" i="2"/>
  <c r="F29" i="2" s="1"/>
  <c r="H29" i="2" l="1"/>
  <c r="B29" i="2"/>
  <c r="M29" i="2"/>
  <c r="C29" i="2"/>
  <c r="N29" i="2"/>
  <c r="O29" i="2" s="1"/>
  <c r="D29" i="2"/>
  <c r="R29" i="2" l="1"/>
  <c r="Q29" i="2"/>
  <c r="K29" i="2"/>
  <c r="I29" i="2"/>
  <c r="J29" i="2"/>
  <c r="S29" i="2"/>
  <c r="L29" i="2"/>
  <c r="P29" i="2" s="1"/>
  <c r="V29" i="2" l="1"/>
  <c r="U29" i="2"/>
  <c r="X29" i="2" s="1"/>
  <c r="F30" i="2" s="1"/>
  <c r="T29" i="2"/>
  <c r="W29" i="2" s="1"/>
  <c r="E30" i="2" s="1"/>
  <c r="Y29" i="2"/>
  <c r="G30" i="2" s="1"/>
  <c r="C30" i="2" l="1"/>
  <c r="D30" i="2"/>
  <c r="H30" i="2"/>
  <c r="B30" i="2"/>
  <c r="K30" i="2" l="1"/>
  <c r="I30" i="2"/>
  <c r="J30" i="2"/>
  <c r="S30" i="2"/>
  <c r="N30" i="2"/>
  <c r="O30" i="2" s="1"/>
  <c r="L30" i="2"/>
  <c r="M30" i="2"/>
  <c r="R30" i="2" l="1"/>
  <c r="V30" i="2" s="1"/>
  <c r="Y30" i="2" s="1"/>
  <c r="G31" i="2" s="1"/>
  <c r="Q30" i="2"/>
  <c r="U30" i="2" s="1"/>
  <c r="X30" i="2" s="1"/>
  <c r="F31" i="2" s="1"/>
  <c r="P30" i="2"/>
  <c r="T30" i="2" s="1"/>
  <c r="W30" i="2" s="1"/>
  <c r="E31" i="2" s="1"/>
  <c r="H31" i="2" l="1"/>
  <c r="B31" i="2"/>
  <c r="N31" i="2"/>
  <c r="O31" i="2" s="1"/>
  <c r="D31" i="2"/>
  <c r="M31" i="2"/>
  <c r="C31" i="2"/>
  <c r="K31" i="2" l="1"/>
  <c r="I31" i="2"/>
  <c r="J31" i="2"/>
  <c r="S31" i="2"/>
  <c r="R31" i="2"/>
  <c r="Q31" i="2"/>
  <c r="L31" i="2"/>
  <c r="P31" i="2" s="1"/>
  <c r="V31" i="2" l="1"/>
  <c r="U31" i="2"/>
  <c r="T31" i="2"/>
  <c r="X31" i="2"/>
  <c r="F32" i="2" s="1"/>
  <c r="W31" i="2"/>
  <c r="E32" i="2" s="1"/>
  <c r="Y31" i="2"/>
  <c r="G32" i="2" s="1"/>
  <c r="H32" i="2" l="1"/>
  <c r="B32" i="2"/>
  <c r="N32" i="2"/>
  <c r="O32" i="2" s="1"/>
  <c r="D32" i="2"/>
  <c r="M32" i="2"/>
  <c r="C32" i="2"/>
  <c r="R32" i="2" l="1"/>
  <c r="Q32" i="2"/>
  <c r="K32" i="2"/>
  <c r="I32" i="2"/>
  <c r="J32" i="2"/>
  <c r="S32" i="2"/>
  <c r="L32" i="2"/>
  <c r="P32" i="2" s="1"/>
  <c r="V32" i="2" l="1"/>
  <c r="U32" i="2"/>
  <c r="X32" i="2" s="1"/>
  <c r="F33" i="2" s="1"/>
  <c r="T32" i="2"/>
  <c r="W32" i="2" s="1"/>
  <c r="E33" i="2" s="1"/>
  <c r="Y32" i="2"/>
  <c r="G33" i="2" s="1"/>
  <c r="H33" i="2" l="1"/>
  <c r="B33" i="2"/>
  <c r="M33" i="2"/>
  <c r="C33" i="2"/>
  <c r="N33" i="2"/>
  <c r="O33" i="2" s="1"/>
  <c r="D33" i="2"/>
  <c r="R33" i="2" l="1"/>
  <c r="Q33" i="2"/>
  <c r="K33" i="2"/>
  <c r="I33" i="2"/>
  <c r="J33" i="2"/>
  <c r="S33" i="2"/>
  <c r="L33" i="2"/>
  <c r="P33" i="2" s="1"/>
  <c r="V33" i="2" l="1"/>
  <c r="Y33" i="2" s="1"/>
  <c r="G34" i="2" s="1"/>
  <c r="U33" i="2"/>
  <c r="T33" i="2"/>
  <c r="W33" i="2"/>
  <c r="E34" i="2" s="1"/>
  <c r="X33" i="2"/>
  <c r="F34" i="2" s="1"/>
  <c r="C34" i="2" l="1"/>
  <c r="D34" i="2"/>
  <c r="H34" i="2"/>
  <c r="B34" i="2"/>
  <c r="K34" i="2" l="1"/>
  <c r="J34" i="2"/>
  <c r="S34" i="2"/>
  <c r="I34" i="2"/>
  <c r="L34" i="2"/>
  <c r="N34" i="2"/>
  <c r="O34" i="2" s="1"/>
  <c r="M34" i="2"/>
  <c r="R34" i="2" l="1"/>
  <c r="Q34" i="2"/>
  <c r="U34" i="2" s="1"/>
  <c r="X34" i="2" s="1"/>
  <c r="F35" i="2" s="1"/>
  <c r="P34" i="2"/>
  <c r="T34" i="2" s="1"/>
  <c r="W34" i="2" s="1"/>
  <c r="E35" i="2" s="1"/>
  <c r="V34" i="2"/>
  <c r="Y34" i="2"/>
  <c r="G35" i="2" s="1"/>
  <c r="H35" i="2" l="1"/>
  <c r="B35" i="2"/>
  <c r="N35" i="2"/>
  <c r="O35" i="2" s="1"/>
  <c r="D35" i="2"/>
  <c r="M35" i="2"/>
  <c r="C35" i="2"/>
  <c r="R35" i="2" l="1"/>
  <c r="Q35" i="2"/>
  <c r="I35" i="2"/>
  <c r="J35" i="2"/>
  <c r="K35" i="2"/>
  <c r="S35" i="2"/>
  <c r="L35" i="2"/>
  <c r="P35" i="2" s="1"/>
  <c r="V35" i="2" l="1"/>
  <c r="U35" i="2"/>
  <c r="X35" i="2" s="1"/>
  <c r="F36" i="2" s="1"/>
  <c r="T35" i="2"/>
  <c r="Y35" i="2"/>
  <c r="G36" i="2" s="1"/>
  <c r="W35" i="2"/>
  <c r="E36" i="2" s="1"/>
  <c r="C36" i="2" l="1"/>
  <c r="H36" i="2"/>
  <c r="B36" i="2"/>
  <c r="D36" i="2"/>
  <c r="I36" i="2" l="1"/>
  <c r="S36" i="2"/>
  <c r="J36" i="2"/>
  <c r="K36" i="2"/>
  <c r="N36" i="2"/>
  <c r="O36" i="2" s="1"/>
  <c r="L36" i="2"/>
  <c r="M36" i="2"/>
  <c r="R36" i="2" l="1"/>
  <c r="Q36" i="2"/>
  <c r="P36" i="2"/>
  <c r="V36" i="2"/>
  <c r="Y36" i="2" s="1"/>
  <c r="G37" i="2" s="1"/>
  <c r="U36" i="2"/>
  <c r="X36" i="2" s="1"/>
  <c r="F37" i="2" s="1"/>
  <c r="T36" i="2"/>
  <c r="W36" i="2" s="1"/>
  <c r="E37" i="2" s="1"/>
  <c r="C37" i="2" l="1"/>
  <c r="D37" i="2"/>
  <c r="H37" i="2"/>
  <c r="B37" i="2"/>
  <c r="J37" i="2" l="1"/>
  <c r="K37" i="2"/>
  <c r="S37" i="2"/>
  <c r="I37" i="2"/>
  <c r="L37" i="2"/>
  <c r="N37" i="2"/>
  <c r="O37" i="2" s="1"/>
  <c r="M37" i="2"/>
  <c r="R37" i="2" l="1"/>
  <c r="V37" i="2" s="1"/>
  <c r="Y37" i="2" s="1"/>
  <c r="G38" i="2" s="1"/>
  <c r="Q37" i="2"/>
  <c r="U37" i="2" s="1"/>
  <c r="X37" i="2" s="1"/>
  <c r="F38" i="2" s="1"/>
  <c r="P37" i="2"/>
  <c r="T37" i="2" s="1"/>
  <c r="W37" i="2" s="1"/>
  <c r="E38" i="2" s="1"/>
  <c r="C38" i="2" l="1"/>
  <c r="H38" i="2"/>
  <c r="N38" i="2" s="1"/>
  <c r="O38" i="2" s="1"/>
  <c r="B38" i="2"/>
  <c r="D38" i="2"/>
  <c r="R38" i="2" l="1"/>
  <c r="K38" i="2"/>
  <c r="I38" i="2"/>
  <c r="S38" i="2"/>
  <c r="J38" i="2"/>
  <c r="L38" i="2"/>
  <c r="P38" i="2" s="1"/>
  <c r="M38" i="2"/>
  <c r="Q38" i="2" s="1"/>
  <c r="V38" i="2" l="1"/>
  <c r="U38" i="2"/>
  <c r="X38" i="2" s="1"/>
  <c r="F39" i="2" s="1"/>
  <c r="T38" i="2"/>
  <c r="W38" i="2" s="1"/>
  <c r="E39" i="2" s="1"/>
  <c r="Y38" i="2"/>
  <c r="G39" i="2" s="1"/>
  <c r="H39" i="2" l="1"/>
  <c r="B39" i="2"/>
  <c r="M39" i="2"/>
  <c r="C39" i="2"/>
  <c r="N39" i="2"/>
  <c r="O39" i="2" s="1"/>
  <c r="D39" i="2"/>
  <c r="R39" i="2" l="1"/>
  <c r="Q39" i="2"/>
  <c r="S39" i="2"/>
  <c r="J39" i="2"/>
  <c r="K39" i="2"/>
  <c r="I39" i="2"/>
  <c r="L39" i="2"/>
  <c r="P39" i="2" s="1"/>
  <c r="V39" i="2" l="1"/>
  <c r="Y39" i="2" s="1"/>
  <c r="G40" i="2" s="1"/>
  <c r="U39" i="2"/>
  <c r="X39" i="2" s="1"/>
  <c r="F40" i="2" s="1"/>
  <c r="T39" i="2"/>
  <c r="W39" i="2" s="1"/>
  <c r="E40" i="2" s="1"/>
  <c r="H40" i="2" l="1"/>
  <c r="B40" i="2"/>
  <c r="M40" i="2"/>
  <c r="C40" i="2"/>
  <c r="N40" i="2"/>
  <c r="O40" i="2" s="1"/>
  <c r="D40" i="2"/>
  <c r="R40" i="2" l="1"/>
  <c r="Q40" i="2"/>
  <c r="J40" i="2"/>
  <c r="K40" i="2"/>
  <c r="I40" i="2"/>
  <c r="S40" i="2"/>
  <c r="L40" i="2"/>
  <c r="P40" i="2" s="1"/>
  <c r="V40" i="2" l="1"/>
  <c r="Y40" i="2" s="1"/>
  <c r="G41" i="2" s="1"/>
  <c r="U40" i="2"/>
  <c r="T40" i="2"/>
  <c r="W40" i="2" s="1"/>
  <c r="E41" i="2" s="1"/>
  <c r="X40" i="2"/>
  <c r="F41" i="2" s="1"/>
  <c r="D41" i="2" l="1"/>
  <c r="C41" i="2"/>
  <c r="H41" i="2"/>
  <c r="B41" i="2"/>
  <c r="K41" i="2" l="1"/>
  <c r="I41" i="2"/>
  <c r="S41" i="2"/>
  <c r="J41" i="2"/>
  <c r="L41" i="2"/>
  <c r="M41" i="2"/>
  <c r="N41" i="2"/>
  <c r="O41" i="2" s="1"/>
  <c r="R41" i="2" l="1"/>
  <c r="V41" i="2" s="1"/>
  <c r="Y41" i="2" s="1"/>
  <c r="G42" i="2" s="1"/>
  <c r="Q41" i="2"/>
  <c r="U41" i="2" s="1"/>
  <c r="X41" i="2" s="1"/>
  <c r="F42" i="2" s="1"/>
  <c r="P41" i="2"/>
  <c r="T41" i="2" s="1"/>
  <c r="W41" i="2" s="1"/>
  <c r="E42" i="2" s="1"/>
  <c r="H42" i="2" l="1"/>
  <c r="B42" i="2"/>
  <c r="M42" i="2"/>
  <c r="C42" i="2"/>
  <c r="N42" i="2"/>
  <c r="O42" i="2" s="1"/>
  <c r="D42" i="2"/>
  <c r="R42" i="2" l="1"/>
  <c r="Q42" i="2"/>
  <c r="K42" i="2"/>
  <c r="I42" i="2"/>
  <c r="S42" i="2"/>
  <c r="J42" i="2"/>
  <c r="L42" i="2"/>
  <c r="P42" i="2" s="1"/>
  <c r="V42" i="2" l="1"/>
  <c r="U42" i="2"/>
  <c r="X42" i="2" s="1"/>
  <c r="F43" i="2" s="1"/>
  <c r="T42" i="2"/>
  <c r="W42" i="2" s="1"/>
  <c r="E43" i="2" s="1"/>
  <c r="Y42" i="2"/>
  <c r="G43" i="2" s="1"/>
  <c r="H43" i="2" l="1"/>
  <c r="B43" i="2"/>
  <c r="M43" i="2"/>
  <c r="C43" i="2"/>
  <c r="N43" i="2"/>
  <c r="O43" i="2" s="1"/>
  <c r="D43" i="2"/>
  <c r="R43" i="2" l="1"/>
  <c r="Q43" i="2"/>
  <c r="K43" i="2"/>
  <c r="I43" i="2"/>
  <c r="J43" i="2"/>
  <c r="S43" i="2"/>
  <c r="L43" i="2"/>
  <c r="P43" i="2" s="1"/>
  <c r="V43" i="2" l="1"/>
  <c r="U43" i="2"/>
  <c r="T43" i="2"/>
  <c r="W43" i="2" s="1"/>
  <c r="E44" i="2" s="1"/>
  <c r="X43" i="2"/>
  <c r="F44" i="2" s="1"/>
  <c r="Y43" i="2"/>
  <c r="G44" i="2" s="1"/>
  <c r="H44" i="2" l="1"/>
  <c r="B44" i="2"/>
  <c r="N44" i="2"/>
  <c r="O44" i="2" s="1"/>
  <c r="D44" i="2"/>
  <c r="M44" i="2"/>
  <c r="C44" i="2"/>
  <c r="R44" i="2" l="1"/>
  <c r="Q44" i="2"/>
  <c r="K44" i="2"/>
  <c r="I44" i="2"/>
  <c r="J44" i="2"/>
  <c r="S44" i="2"/>
  <c r="L44" i="2"/>
  <c r="P44" i="2" s="1"/>
  <c r="V44" i="2" l="1"/>
  <c r="U44" i="2"/>
  <c r="T44" i="2"/>
  <c r="W44" i="2" s="1"/>
  <c r="E45" i="2" s="1"/>
  <c r="X44" i="2"/>
  <c r="F45" i="2" s="1"/>
  <c r="Y44" i="2"/>
  <c r="G45" i="2" s="1"/>
  <c r="H45" i="2" l="1"/>
  <c r="B45" i="2"/>
  <c r="M45" i="2"/>
  <c r="C45" i="2"/>
  <c r="N45" i="2"/>
  <c r="O45" i="2" s="1"/>
  <c r="D45" i="2"/>
  <c r="R45" i="2" l="1"/>
  <c r="Q45" i="2"/>
  <c r="K45" i="2"/>
  <c r="I45" i="2"/>
  <c r="J45" i="2"/>
  <c r="S45" i="2"/>
  <c r="L45" i="2"/>
  <c r="P45" i="2" s="1"/>
  <c r="V45" i="2" l="1"/>
  <c r="U45" i="2"/>
  <c r="T45" i="2"/>
  <c r="W45" i="2"/>
  <c r="E46" i="2" s="1"/>
  <c r="X45" i="2"/>
  <c r="F46" i="2" s="1"/>
  <c r="Y45" i="2"/>
  <c r="G46" i="2" s="1"/>
  <c r="C46" i="2" l="1"/>
  <c r="D46" i="2"/>
  <c r="H46" i="2"/>
  <c r="B46" i="2"/>
  <c r="K46" i="2" l="1"/>
  <c r="I46" i="2"/>
  <c r="S46" i="2"/>
  <c r="J46" i="2"/>
  <c r="L46" i="2"/>
  <c r="N46" i="2"/>
  <c r="O46" i="2" s="1"/>
  <c r="M46" i="2"/>
  <c r="R46" i="2" l="1"/>
  <c r="P46" i="2"/>
  <c r="Q46" i="2"/>
  <c r="U46" i="2" s="1"/>
  <c r="X46" i="2" s="1"/>
  <c r="F47" i="2" s="1"/>
  <c r="V46" i="2"/>
  <c r="T46" i="2"/>
  <c r="W46" i="2"/>
  <c r="E47" i="2" s="1"/>
  <c r="Y46" i="2"/>
  <c r="G47" i="2" s="1"/>
  <c r="C47" i="2" l="1"/>
  <c r="D47" i="2"/>
  <c r="H47" i="2"/>
  <c r="B47" i="2"/>
  <c r="J47" i="2" l="1"/>
  <c r="I47" i="2"/>
  <c r="K47" i="2"/>
  <c r="S47" i="2"/>
  <c r="L47" i="2"/>
  <c r="N47" i="2"/>
  <c r="O47" i="2" s="1"/>
  <c r="M47" i="2"/>
  <c r="Q47" i="2" l="1"/>
  <c r="P47" i="2"/>
  <c r="R47" i="2"/>
  <c r="V47" i="2" s="1"/>
  <c r="Y47" i="2" s="1"/>
  <c r="G48" i="2" s="1"/>
  <c r="U47" i="2"/>
  <c r="T47" i="2"/>
  <c r="W47" i="2" s="1"/>
  <c r="E48" i="2" s="1"/>
  <c r="X47" i="2"/>
  <c r="F48" i="2" s="1"/>
  <c r="H48" i="2" l="1"/>
  <c r="B48" i="2"/>
  <c r="M48" i="2"/>
  <c r="C48" i="2"/>
  <c r="N48" i="2"/>
  <c r="O48" i="2" s="1"/>
  <c r="D48" i="2"/>
  <c r="R48" i="2" l="1"/>
  <c r="Q48" i="2"/>
  <c r="J48" i="2"/>
  <c r="I48" i="2"/>
  <c r="K48" i="2"/>
  <c r="S48" i="2"/>
  <c r="L48" i="2"/>
  <c r="P48" i="2" s="1"/>
  <c r="T48" i="2" l="1"/>
  <c r="W48" i="2" s="1"/>
  <c r="E49" i="2" s="1"/>
  <c r="V48" i="2"/>
  <c r="U48" i="2"/>
  <c r="Y48" i="2"/>
  <c r="G49" i="2" s="1"/>
  <c r="X48" i="2"/>
  <c r="F49" i="2" s="1"/>
  <c r="H49" i="2" l="1"/>
  <c r="L49" i="2" s="1"/>
  <c r="B49" i="2"/>
  <c r="M49" i="2"/>
  <c r="C49" i="2"/>
  <c r="N49" i="2"/>
  <c r="O49" i="2" s="1"/>
  <c r="D49" i="2"/>
  <c r="R49" i="2" l="1"/>
  <c r="Q49" i="2"/>
  <c r="P49" i="2"/>
  <c r="J49" i="2"/>
  <c r="K49" i="2"/>
  <c r="I49" i="2"/>
  <c r="S49" i="2"/>
  <c r="U49" i="2" l="1"/>
  <c r="T49" i="2"/>
  <c r="V49" i="2"/>
  <c r="Y49" i="2"/>
  <c r="G50" i="2" s="1"/>
  <c r="W49" i="2"/>
  <c r="E50" i="2" s="1"/>
  <c r="X49" i="2"/>
  <c r="F50" i="2" s="1"/>
  <c r="C50" i="2" l="1"/>
  <c r="H50" i="2"/>
  <c r="L50" i="2" s="1"/>
  <c r="B50" i="2"/>
  <c r="N50" i="2"/>
  <c r="O50" i="2" s="1"/>
  <c r="D50" i="2"/>
  <c r="R50" i="2" l="1"/>
  <c r="P50" i="2"/>
  <c r="K50" i="2"/>
  <c r="J50" i="2"/>
  <c r="S50" i="2"/>
  <c r="I50" i="2"/>
  <c r="M50" i="2"/>
  <c r="Q50" i="2" s="1"/>
  <c r="V50" i="2" l="1"/>
  <c r="Y50" i="2" s="1"/>
  <c r="G51" i="2" s="1"/>
  <c r="U50" i="2"/>
  <c r="X50" i="2" s="1"/>
  <c r="F51" i="2" s="1"/>
  <c r="T50" i="2"/>
  <c r="W50" i="2" s="1"/>
  <c r="E51" i="2" s="1"/>
  <c r="H51" i="2" l="1"/>
  <c r="B51" i="2"/>
  <c r="N51" i="2"/>
  <c r="O51" i="2" s="1"/>
  <c r="D51" i="2"/>
  <c r="M51" i="2"/>
  <c r="C51" i="2"/>
  <c r="R51" i="2" l="1"/>
  <c r="Q51" i="2"/>
  <c r="J51" i="2"/>
  <c r="I51" i="2"/>
  <c r="K51" i="2"/>
  <c r="S51" i="2"/>
  <c r="L51" i="2"/>
  <c r="P51" i="2" s="1"/>
  <c r="V51" i="2" l="1"/>
  <c r="U51" i="2"/>
  <c r="T51" i="2"/>
  <c r="W51" i="2" s="1"/>
  <c r="E52" i="2" s="1"/>
  <c r="Y51" i="2"/>
  <c r="G52" i="2" s="1"/>
  <c r="X51" i="2"/>
  <c r="F52" i="2" s="1"/>
  <c r="H52" i="2" l="1"/>
  <c r="B52" i="2"/>
  <c r="M52" i="2"/>
  <c r="C52" i="2"/>
  <c r="N52" i="2"/>
  <c r="O52" i="2" s="1"/>
  <c r="D52" i="2"/>
  <c r="R52" i="2" l="1"/>
  <c r="Q52" i="2"/>
  <c r="J52" i="2"/>
  <c r="K52" i="2"/>
  <c r="I52" i="2"/>
  <c r="S52" i="2"/>
  <c r="L52" i="2"/>
  <c r="P52" i="2" s="1"/>
  <c r="V52" i="2" l="1"/>
  <c r="Y52" i="2" s="1"/>
  <c r="G53" i="2" s="1"/>
  <c r="U52" i="2"/>
  <c r="T52" i="2"/>
  <c r="W52" i="2"/>
  <c r="E53" i="2" s="1"/>
  <c r="X52" i="2"/>
  <c r="F53" i="2" s="1"/>
  <c r="D53" i="2" l="1"/>
  <c r="C53" i="2"/>
  <c r="H53" i="2"/>
  <c r="B53" i="2"/>
  <c r="I53" i="2" l="1"/>
  <c r="J53" i="2"/>
  <c r="K53" i="2"/>
  <c r="S53" i="2"/>
  <c r="L53" i="2"/>
  <c r="M53" i="2"/>
  <c r="N53" i="2"/>
  <c r="O53" i="2" s="1"/>
  <c r="Q53" i="2" l="1"/>
  <c r="U53" i="2" s="1"/>
  <c r="X53" i="2" s="1"/>
  <c r="F54" i="2" s="1"/>
  <c r="P53" i="2"/>
  <c r="T53" i="2" s="1"/>
  <c r="W53" i="2" s="1"/>
  <c r="E54" i="2" s="1"/>
  <c r="R53" i="2"/>
  <c r="V53" i="2" s="1"/>
  <c r="Y53" i="2" s="1"/>
  <c r="G54" i="2" s="1"/>
  <c r="D54" i="2" l="1"/>
  <c r="C54" i="2"/>
  <c r="H54" i="2"/>
  <c r="B54" i="2"/>
  <c r="I54" i="2" l="1"/>
  <c r="K54" i="2"/>
  <c r="J54" i="2"/>
  <c r="S54" i="2"/>
  <c r="L54" i="2"/>
  <c r="M54" i="2"/>
  <c r="N54" i="2"/>
  <c r="O54" i="2" s="1"/>
  <c r="R54" i="2" l="1"/>
  <c r="Q54" i="2"/>
  <c r="P54" i="2"/>
  <c r="T54" i="2" s="1"/>
  <c r="W54" i="2" s="1"/>
  <c r="E55" i="2" s="1"/>
  <c r="V54" i="2"/>
  <c r="U54" i="2"/>
  <c r="X54" i="2"/>
  <c r="F55" i="2" s="1"/>
  <c r="Y54" i="2"/>
  <c r="G55" i="2" s="1"/>
  <c r="D55" i="2" l="1"/>
  <c r="H55" i="2"/>
  <c r="L55" i="2" s="1"/>
  <c r="B55" i="2"/>
  <c r="M55" i="2"/>
  <c r="C55" i="2"/>
  <c r="I55" i="2" l="1"/>
  <c r="S55" i="2"/>
  <c r="J55" i="2"/>
  <c r="K55" i="2"/>
  <c r="N55" i="2"/>
  <c r="O55" i="2" s="1"/>
  <c r="R55" i="2" l="1"/>
  <c r="Q55" i="2"/>
  <c r="P55" i="2"/>
  <c r="U55" i="2"/>
  <c r="X55" i="2" s="1"/>
  <c r="F56" i="2" s="1"/>
  <c r="T55" i="2"/>
  <c r="W55" i="2" s="1"/>
  <c r="E56" i="2" s="1"/>
  <c r="V55" i="2"/>
  <c r="Y55" i="2" s="1"/>
  <c r="G56" i="2" s="1"/>
  <c r="D56" i="2" l="1"/>
  <c r="H56" i="2"/>
  <c r="L56" i="2" s="1"/>
  <c r="B56" i="2"/>
  <c r="C56" i="2"/>
  <c r="M56" i="2" l="1"/>
  <c r="J56" i="2"/>
  <c r="K56" i="2"/>
  <c r="I56" i="2"/>
  <c r="S56" i="2"/>
  <c r="N56" i="2"/>
  <c r="O56" i="2" s="1"/>
  <c r="R56" i="2" l="1"/>
  <c r="Q56" i="2"/>
  <c r="P56" i="2"/>
  <c r="T56" i="2" s="1"/>
  <c r="W56" i="2" s="1"/>
  <c r="E57" i="2" s="1"/>
  <c r="V56" i="2"/>
  <c r="U56" i="2"/>
  <c r="Y56" i="2"/>
  <c r="G57" i="2" s="1"/>
  <c r="X56" i="2"/>
  <c r="F57" i="2" s="1"/>
  <c r="H57" i="2" l="1"/>
  <c r="B57" i="2"/>
  <c r="M57" i="2"/>
  <c r="C57" i="2"/>
  <c r="N57" i="2"/>
  <c r="O57" i="2" s="1"/>
  <c r="D57" i="2"/>
  <c r="R57" i="2" l="1"/>
  <c r="Q57" i="2"/>
  <c r="I57" i="2"/>
  <c r="K57" i="2"/>
  <c r="J57" i="2"/>
  <c r="S57" i="2"/>
  <c r="L57" i="2"/>
  <c r="P57" i="2" s="1"/>
  <c r="V57" i="2" l="1"/>
  <c r="U57" i="2"/>
  <c r="T57" i="2"/>
  <c r="W57" i="2"/>
  <c r="E58" i="2" s="1"/>
  <c r="X57" i="2"/>
  <c r="F58" i="2" s="1"/>
  <c r="Y57" i="2"/>
  <c r="G58" i="2" s="1"/>
  <c r="C58" i="2" l="1"/>
  <c r="D58" i="2"/>
  <c r="H58" i="2"/>
  <c r="B58" i="2"/>
  <c r="J58" i="2" l="1"/>
  <c r="K58" i="2"/>
  <c r="I58" i="2"/>
  <c r="S58" i="2"/>
  <c r="L58" i="2"/>
  <c r="N58" i="2"/>
  <c r="O58" i="2" s="1"/>
  <c r="M58" i="2"/>
  <c r="R58" i="2" l="1"/>
  <c r="V58" i="2" s="1"/>
  <c r="Y58" i="2" s="1"/>
  <c r="G59" i="2" s="1"/>
  <c r="P58" i="2"/>
  <c r="T58" i="2" s="1"/>
  <c r="W58" i="2" s="1"/>
  <c r="E59" i="2" s="1"/>
  <c r="Q58" i="2"/>
  <c r="U58" i="2" s="1"/>
  <c r="X58" i="2" s="1"/>
  <c r="F59" i="2" s="1"/>
  <c r="C59" i="2" l="1"/>
  <c r="H59" i="2"/>
  <c r="N59" i="2" s="1"/>
  <c r="O59" i="2" s="1"/>
  <c r="B59" i="2"/>
  <c r="D59" i="2"/>
  <c r="R59" i="2" l="1"/>
  <c r="I59" i="2"/>
  <c r="K59" i="2"/>
  <c r="J59" i="2"/>
  <c r="S59" i="2"/>
  <c r="L59" i="2"/>
  <c r="P59" i="2" s="1"/>
  <c r="M59" i="2"/>
  <c r="Q59" i="2" s="1"/>
  <c r="V59" i="2" l="1"/>
  <c r="U59" i="2"/>
  <c r="T59" i="2"/>
  <c r="W59" i="2" s="1"/>
  <c r="E60" i="2" s="1"/>
  <c r="X59" i="2"/>
  <c r="F60" i="2" s="1"/>
  <c r="Y59" i="2"/>
  <c r="G60" i="2" s="1"/>
  <c r="H60" i="2" l="1"/>
  <c r="M60" i="2" s="1"/>
  <c r="B60" i="2"/>
  <c r="D60" i="2"/>
  <c r="C60" i="2"/>
  <c r="N60" i="2" l="1"/>
  <c r="O60" i="2" s="1"/>
  <c r="R60" i="2"/>
  <c r="Q60" i="2"/>
  <c r="J60" i="2"/>
  <c r="I60" i="2"/>
  <c r="K60" i="2"/>
  <c r="S60" i="2"/>
  <c r="L60" i="2"/>
  <c r="P60" i="2" s="1"/>
  <c r="T60" i="2" l="1"/>
  <c r="W60" i="2" s="1"/>
  <c r="E61" i="2" s="1"/>
  <c r="V60" i="2"/>
  <c r="Y60" i="2" s="1"/>
  <c r="G61" i="2" s="1"/>
  <c r="U60" i="2"/>
  <c r="X60" i="2"/>
  <c r="F61" i="2" s="1"/>
  <c r="H61" i="2" l="1"/>
  <c r="L61" i="2" s="1"/>
  <c r="B61" i="2"/>
  <c r="M61" i="2"/>
  <c r="C61" i="2"/>
  <c r="N61" i="2"/>
  <c r="O61" i="2" s="1"/>
  <c r="D61" i="2"/>
  <c r="R61" i="2" l="1"/>
  <c r="Q61" i="2"/>
  <c r="P61" i="2"/>
  <c r="K61" i="2"/>
  <c r="I61" i="2"/>
  <c r="J61" i="2"/>
  <c r="S61" i="2"/>
  <c r="U61" i="2" l="1"/>
  <c r="T61" i="2"/>
  <c r="V61" i="2"/>
  <c r="Y61" i="2" s="1"/>
  <c r="G62" i="2" s="1"/>
  <c r="X61" i="2"/>
  <c r="F62" i="2" s="1"/>
  <c r="W61" i="2"/>
  <c r="E62" i="2" s="1"/>
  <c r="D62" i="2" l="1"/>
  <c r="H62" i="2"/>
  <c r="B62" i="2"/>
  <c r="C62" i="2"/>
  <c r="J62" i="2" l="1"/>
  <c r="I62" i="2"/>
  <c r="S62" i="2"/>
  <c r="K62" i="2"/>
  <c r="M62" i="2"/>
  <c r="L62" i="2"/>
  <c r="N62" i="2"/>
  <c r="O62" i="2" s="1"/>
  <c r="R62" i="2" l="1"/>
  <c r="Q62" i="2"/>
  <c r="U62" i="2" s="1"/>
  <c r="X62" i="2" s="1"/>
  <c r="F63" i="2" s="1"/>
  <c r="P62" i="2"/>
  <c r="T62" i="2" s="1"/>
  <c r="W62" i="2" s="1"/>
  <c r="E63" i="2" s="1"/>
  <c r="V62" i="2"/>
  <c r="Y62" i="2" s="1"/>
  <c r="G63" i="2" s="1"/>
  <c r="C63" i="2" l="1"/>
  <c r="H63" i="2"/>
  <c r="B63" i="2"/>
  <c r="N63" i="2"/>
  <c r="O63" i="2" s="1"/>
  <c r="D63" i="2"/>
  <c r="R63" i="2" l="1"/>
  <c r="I63" i="2"/>
  <c r="S63" i="2"/>
  <c r="K63" i="2"/>
  <c r="J63" i="2"/>
  <c r="L63" i="2"/>
  <c r="P63" i="2" s="1"/>
  <c r="M63" i="2"/>
  <c r="Q63" i="2" s="1"/>
  <c r="V63" i="2" l="1"/>
  <c r="Y63" i="2" s="1"/>
  <c r="G64" i="2" s="1"/>
  <c r="U63" i="2"/>
  <c r="X63" i="2" s="1"/>
  <c r="F64" i="2" s="1"/>
  <c r="T63" i="2"/>
  <c r="W63" i="2" s="1"/>
  <c r="E64" i="2" s="1"/>
  <c r="C64" i="2" l="1"/>
  <c r="H64" i="2"/>
  <c r="B64" i="2"/>
  <c r="N64" i="2"/>
  <c r="O64" i="2" s="1"/>
  <c r="D64" i="2"/>
  <c r="R64" i="2" l="1"/>
  <c r="K64" i="2"/>
  <c r="I64" i="2"/>
  <c r="S64" i="2"/>
  <c r="J64" i="2"/>
  <c r="L64" i="2"/>
  <c r="P64" i="2" s="1"/>
  <c r="M64" i="2"/>
  <c r="Q64" i="2" s="1"/>
  <c r="V64" i="2" l="1"/>
  <c r="U64" i="2"/>
  <c r="T64" i="2"/>
  <c r="W64" i="2"/>
  <c r="E65" i="2" s="1"/>
  <c r="X64" i="2"/>
  <c r="F65" i="2" s="1"/>
  <c r="Y64" i="2"/>
  <c r="G65" i="2" s="1"/>
  <c r="C65" i="2" l="1"/>
  <c r="D65" i="2"/>
  <c r="H65" i="2"/>
  <c r="B65" i="2"/>
  <c r="K65" i="2" l="1"/>
  <c r="J65" i="2"/>
  <c r="S65" i="2"/>
  <c r="I65" i="2"/>
  <c r="L65" i="2"/>
  <c r="N65" i="2"/>
  <c r="O65" i="2" s="1"/>
  <c r="M65" i="2"/>
  <c r="Q65" i="2" l="1"/>
  <c r="U65" i="2" s="1"/>
  <c r="X65" i="2" s="1"/>
  <c r="F66" i="2" s="1"/>
  <c r="P65" i="2"/>
  <c r="T65" i="2" s="1"/>
  <c r="W65" i="2" s="1"/>
  <c r="E66" i="2" s="1"/>
  <c r="R65" i="2"/>
  <c r="V65" i="2" s="1"/>
  <c r="Y65" i="2" s="1"/>
  <c r="G66" i="2" s="1"/>
  <c r="D66" i="2" l="1"/>
  <c r="H66" i="2"/>
  <c r="B66" i="2"/>
  <c r="M66" i="2"/>
  <c r="C66" i="2"/>
  <c r="J66" i="2" l="1"/>
  <c r="K66" i="2"/>
  <c r="I66" i="2"/>
  <c r="S66" i="2"/>
  <c r="L66" i="2"/>
  <c r="N66" i="2"/>
  <c r="O66" i="2" s="1"/>
  <c r="R66" i="2" l="1"/>
  <c r="Q66" i="2"/>
  <c r="P66" i="2"/>
  <c r="V66" i="2"/>
  <c r="Y66" i="2" s="1"/>
  <c r="G67" i="2" s="1"/>
  <c r="U66" i="2"/>
  <c r="T66" i="2"/>
  <c r="W66" i="2" s="1"/>
  <c r="E67" i="2" s="1"/>
  <c r="X66" i="2"/>
  <c r="F67" i="2" s="1"/>
  <c r="H67" i="2" l="1"/>
  <c r="L67" i="2" s="1"/>
  <c r="B67" i="2"/>
  <c r="D67" i="2"/>
  <c r="C67" i="2"/>
  <c r="M67" i="2" l="1"/>
  <c r="N67" i="2"/>
  <c r="O67" i="2" s="1"/>
  <c r="R67" i="2"/>
  <c r="Q67" i="2"/>
  <c r="P67" i="2"/>
  <c r="I67" i="2"/>
  <c r="S67" i="2"/>
  <c r="J67" i="2"/>
  <c r="K67" i="2"/>
  <c r="U67" i="2" l="1"/>
  <c r="T67" i="2"/>
  <c r="V67" i="2"/>
  <c r="X67" i="2"/>
  <c r="F68" i="2" s="1"/>
  <c r="Y67" i="2"/>
  <c r="G68" i="2" s="1"/>
  <c r="W67" i="2"/>
  <c r="E68" i="2" s="1"/>
  <c r="H68" i="2" l="1"/>
  <c r="L68" i="2" s="1"/>
  <c r="B68" i="2"/>
  <c r="N68" i="2"/>
  <c r="O68" i="2" s="1"/>
  <c r="D68" i="2"/>
  <c r="M68" i="2"/>
  <c r="C68" i="2"/>
  <c r="R68" i="2" l="1"/>
  <c r="Q68" i="2"/>
  <c r="P68" i="2"/>
  <c r="J68" i="2"/>
  <c r="I68" i="2"/>
  <c r="K68" i="2"/>
  <c r="S68" i="2"/>
  <c r="V68" i="2" l="1"/>
  <c r="Y68" i="2" s="1"/>
  <c r="G69" i="2" s="1"/>
  <c r="U68" i="2"/>
  <c r="T68" i="2"/>
  <c r="X68" i="2"/>
  <c r="F69" i="2" s="1"/>
  <c r="W68" i="2"/>
  <c r="E69" i="2" s="1"/>
  <c r="D69" i="2" l="1"/>
  <c r="H69" i="2"/>
  <c r="L69" i="2" s="1"/>
  <c r="B69" i="2"/>
  <c r="M69" i="2"/>
  <c r="C69" i="2"/>
  <c r="K69" i="2" l="1"/>
  <c r="J69" i="2"/>
  <c r="I69" i="2"/>
  <c r="S69" i="2"/>
  <c r="N69" i="2"/>
  <c r="O69" i="2" s="1"/>
  <c r="R69" i="2" l="1"/>
  <c r="Q69" i="2"/>
  <c r="P69" i="2"/>
  <c r="T69" i="2" s="1"/>
  <c r="W69" i="2" s="1"/>
  <c r="E70" i="2" s="1"/>
  <c r="V69" i="2"/>
  <c r="U69" i="2"/>
  <c r="X69" i="2" s="1"/>
  <c r="F70" i="2" s="1"/>
  <c r="Y69" i="2"/>
  <c r="G70" i="2" s="1"/>
  <c r="C70" i="2" l="1"/>
  <c r="H70" i="2"/>
  <c r="L70" i="2" s="1"/>
  <c r="B70" i="2"/>
  <c r="N70" i="2"/>
  <c r="O70" i="2" s="1"/>
  <c r="D70" i="2"/>
  <c r="P70" i="2" l="1"/>
  <c r="R70" i="2"/>
  <c r="I70" i="2"/>
  <c r="K70" i="2"/>
  <c r="J70" i="2"/>
  <c r="S70" i="2"/>
  <c r="M70" i="2"/>
  <c r="Q70" i="2" s="1"/>
  <c r="V70" i="2" l="1"/>
  <c r="Y70" i="2" s="1"/>
  <c r="G71" i="2" s="1"/>
  <c r="U70" i="2"/>
  <c r="X70" i="2" s="1"/>
  <c r="F71" i="2" s="1"/>
  <c r="T70" i="2"/>
  <c r="W70" i="2"/>
  <c r="E71" i="2" s="1"/>
  <c r="C71" i="2" l="1"/>
  <c r="H71" i="2"/>
  <c r="L71" i="2" s="1"/>
  <c r="B71" i="2"/>
  <c r="D71" i="2"/>
  <c r="N71" i="2" l="1"/>
  <c r="O71" i="2" s="1"/>
  <c r="P71" i="2"/>
  <c r="R71" i="2"/>
  <c r="I71" i="2"/>
  <c r="J71" i="2"/>
  <c r="K71" i="2"/>
  <c r="S71" i="2"/>
  <c r="M71" i="2"/>
  <c r="Q71" i="2" s="1"/>
  <c r="V71" i="2" l="1"/>
  <c r="Y71" i="2" s="1"/>
  <c r="G72" i="2" s="1"/>
  <c r="U71" i="2"/>
  <c r="X71" i="2" s="1"/>
  <c r="F72" i="2" s="1"/>
  <c r="T71" i="2"/>
  <c r="W71" i="2"/>
  <c r="E72" i="2" s="1"/>
  <c r="C72" i="2" l="1"/>
  <c r="D72" i="2"/>
  <c r="H72" i="2"/>
  <c r="B72" i="2"/>
  <c r="S72" i="2" l="1"/>
  <c r="I72" i="2"/>
  <c r="K72" i="2"/>
  <c r="J72" i="2"/>
  <c r="L72" i="2"/>
  <c r="N72" i="2"/>
  <c r="O72" i="2" s="1"/>
  <c r="M72" i="2"/>
  <c r="R72" i="2" l="1"/>
  <c r="Q72" i="2"/>
  <c r="P72" i="2"/>
  <c r="T72" i="2" s="1"/>
  <c r="W72" i="2" s="1"/>
  <c r="E73" i="2" s="1"/>
  <c r="V72" i="2"/>
  <c r="Y72" i="2" s="1"/>
  <c r="G73" i="2" s="1"/>
  <c r="U72" i="2"/>
  <c r="X72" i="2" s="1"/>
  <c r="F73" i="2" s="1"/>
  <c r="D73" i="2" l="1"/>
  <c r="C73" i="2"/>
  <c r="H73" i="2"/>
  <c r="L73" i="2" s="1"/>
  <c r="B73" i="2"/>
  <c r="I73" i="2" l="1"/>
  <c r="K73" i="2"/>
  <c r="J73" i="2"/>
  <c r="S73" i="2"/>
  <c r="M73" i="2"/>
  <c r="N73" i="2"/>
  <c r="O73" i="2" s="1"/>
  <c r="R73" i="2" l="1"/>
  <c r="V73" i="2" s="1"/>
  <c r="Y73" i="2" s="1"/>
  <c r="G74" i="2" s="1"/>
  <c r="Q73" i="2"/>
  <c r="U73" i="2" s="1"/>
  <c r="X73" i="2" s="1"/>
  <c r="F74" i="2" s="1"/>
  <c r="P73" i="2"/>
  <c r="T73" i="2" s="1"/>
  <c r="W73" i="2" s="1"/>
  <c r="E74" i="2" s="1"/>
  <c r="H74" i="2" l="1"/>
  <c r="L74" i="2" s="1"/>
  <c r="B74" i="2"/>
  <c r="M74" i="2"/>
  <c r="C74" i="2"/>
  <c r="N74" i="2"/>
  <c r="O74" i="2" s="1"/>
  <c r="D74" i="2"/>
  <c r="R74" i="2" l="1"/>
  <c r="Q74" i="2"/>
  <c r="P74" i="2"/>
  <c r="J74" i="2"/>
  <c r="I74" i="2"/>
  <c r="K74" i="2"/>
  <c r="S74" i="2"/>
  <c r="V74" i="2" l="1"/>
  <c r="Y74" i="2" s="1"/>
  <c r="G75" i="2" s="1"/>
  <c r="U74" i="2"/>
  <c r="T74" i="2"/>
  <c r="W74" i="2" s="1"/>
  <c r="E75" i="2" s="1"/>
  <c r="X74" i="2"/>
  <c r="F75" i="2" s="1"/>
  <c r="H75" i="2" l="1"/>
  <c r="B75" i="2"/>
  <c r="N75" i="2"/>
  <c r="O75" i="2" s="1"/>
  <c r="D75" i="2"/>
  <c r="M75" i="2"/>
  <c r="C75" i="2"/>
  <c r="R75" i="2" l="1"/>
  <c r="Q75" i="2"/>
  <c r="K75" i="2"/>
  <c r="J75" i="2"/>
  <c r="I75" i="2"/>
  <c r="S75" i="2"/>
  <c r="L75" i="2"/>
  <c r="P75" i="2" s="1"/>
  <c r="V75" i="2" l="1"/>
  <c r="Y75" i="2" s="1"/>
  <c r="G76" i="2" s="1"/>
  <c r="U75" i="2"/>
  <c r="X75" i="2" s="1"/>
  <c r="F76" i="2" s="1"/>
  <c r="T75" i="2"/>
  <c r="W75" i="2" s="1"/>
  <c r="E76" i="2" s="1"/>
  <c r="H76" i="2" l="1"/>
  <c r="B76" i="2"/>
  <c r="M76" i="2"/>
  <c r="C76" i="2"/>
  <c r="N76" i="2"/>
  <c r="O76" i="2" s="1"/>
  <c r="D76" i="2"/>
  <c r="R76" i="2" l="1"/>
  <c r="Q76" i="2"/>
  <c r="I76" i="2"/>
  <c r="K76" i="2"/>
  <c r="J76" i="2"/>
  <c r="S76" i="2"/>
  <c r="L76" i="2"/>
  <c r="P76" i="2" s="1"/>
  <c r="V76" i="2" l="1"/>
  <c r="U76" i="2"/>
  <c r="T76" i="2"/>
  <c r="X76" i="2"/>
  <c r="F77" i="2" s="1"/>
  <c r="Y76" i="2"/>
  <c r="G77" i="2" s="1"/>
  <c r="W76" i="2"/>
  <c r="E77" i="2" s="1"/>
  <c r="D77" i="2" l="1"/>
  <c r="H77" i="2"/>
  <c r="B77" i="2"/>
  <c r="M77" i="2"/>
  <c r="C77" i="2"/>
  <c r="K77" i="2" l="1"/>
  <c r="J77" i="2"/>
  <c r="I77" i="2"/>
  <c r="S77" i="2"/>
  <c r="L77" i="2"/>
  <c r="N77" i="2"/>
  <c r="O77" i="2" s="1"/>
  <c r="Q77" i="2" l="1"/>
  <c r="P77" i="2"/>
  <c r="T77" i="2" s="1"/>
  <c r="W77" i="2" s="1"/>
  <c r="E78" i="2" s="1"/>
  <c r="R77" i="2"/>
  <c r="V77" i="2" s="1"/>
  <c r="Y77" i="2" s="1"/>
  <c r="G78" i="2" s="1"/>
  <c r="U77" i="2"/>
  <c r="X77" i="2" s="1"/>
  <c r="F78" i="2" s="1"/>
  <c r="C78" i="2" l="1"/>
  <c r="H78" i="2"/>
  <c r="N78" i="2" s="1"/>
  <c r="O78" i="2" s="1"/>
  <c r="B78" i="2"/>
  <c r="D78" i="2"/>
  <c r="R78" i="2" l="1"/>
  <c r="I78" i="2"/>
  <c r="K78" i="2"/>
  <c r="S78" i="2"/>
  <c r="J78" i="2"/>
  <c r="L78" i="2"/>
  <c r="P78" i="2" s="1"/>
  <c r="M78" i="2"/>
  <c r="Q78" i="2" s="1"/>
  <c r="T78" i="2" l="1"/>
  <c r="V78" i="2"/>
  <c r="U78" i="2"/>
  <c r="W78" i="2"/>
  <c r="E79" i="2" s="1"/>
  <c r="X78" i="2"/>
  <c r="F79" i="2" s="1"/>
  <c r="Y78" i="2"/>
  <c r="G79" i="2" s="1"/>
  <c r="C79" i="2" l="1"/>
  <c r="D79" i="2"/>
  <c r="H79" i="2"/>
  <c r="B79" i="2"/>
  <c r="K79" i="2" l="1"/>
  <c r="I79" i="2"/>
  <c r="J79" i="2"/>
  <c r="S79" i="2"/>
  <c r="L79" i="2"/>
  <c r="N79" i="2"/>
  <c r="O79" i="2" s="1"/>
  <c r="M79" i="2"/>
  <c r="R79" i="2" l="1"/>
  <c r="V79" i="2" s="1"/>
  <c r="Y79" i="2" s="1"/>
  <c r="G80" i="2" s="1"/>
  <c r="Q79" i="2"/>
  <c r="U79" i="2" s="1"/>
  <c r="X79" i="2" s="1"/>
  <c r="F80" i="2" s="1"/>
  <c r="P79" i="2"/>
  <c r="T79" i="2" s="1"/>
  <c r="W79" i="2" s="1"/>
  <c r="E80" i="2" s="1"/>
  <c r="H80" i="2" l="1"/>
  <c r="L80" i="2" s="1"/>
  <c r="B80" i="2"/>
  <c r="M80" i="2"/>
  <c r="C80" i="2"/>
  <c r="N80" i="2"/>
  <c r="O80" i="2" s="1"/>
  <c r="D80" i="2"/>
  <c r="R80" i="2" l="1"/>
  <c r="Q80" i="2"/>
  <c r="P80" i="2"/>
  <c r="I80" i="2"/>
  <c r="S80" i="2"/>
  <c r="K80" i="2"/>
  <c r="J80" i="2"/>
  <c r="V80" i="2" l="1"/>
  <c r="Y80" i="2" s="1"/>
  <c r="G81" i="2" s="1"/>
  <c r="U80" i="2"/>
  <c r="X80" i="2" s="1"/>
  <c r="F81" i="2" s="1"/>
  <c r="T80" i="2"/>
  <c r="W80" i="2"/>
  <c r="E81" i="2" s="1"/>
  <c r="C81" i="2" l="1"/>
  <c r="D81" i="2"/>
  <c r="H81" i="2"/>
  <c r="B81" i="2"/>
  <c r="S81" i="2" l="1"/>
  <c r="J81" i="2"/>
  <c r="I81" i="2"/>
  <c r="K81" i="2"/>
  <c r="L81" i="2"/>
  <c r="N81" i="2"/>
  <c r="O81" i="2" s="1"/>
  <c r="M81" i="2"/>
  <c r="R81" i="2" l="1"/>
  <c r="Q81" i="2"/>
  <c r="P81" i="2"/>
  <c r="V81" i="2"/>
  <c r="Y81" i="2" s="1"/>
  <c r="G82" i="2" s="1"/>
  <c r="U81" i="2"/>
  <c r="X81" i="2" s="1"/>
  <c r="F82" i="2" s="1"/>
  <c r="T81" i="2"/>
  <c r="W81" i="2" s="1"/>
  <c r="E82" i="2" s="1"/>
  <c r="C82" i="2" l="1"/>
  <c r="H82" i="2"/>
  <c r="L82" i="2" s="1"/>
  <c r="B82" i="2"/>
  <c r="N82" i="2"/>
  <c r="O82" i="2" s="1"/>
  <c r="D82" i="2"/>
  <c r="R82" i="2" l="1"/>
  <c r="P82" i="2"/>
  <c r="S82" i="2"/>
  <c r="K82" i="2"/>
  <c r="J82" i="2"/>
  <c r="I82" i="2"/>
  <c r="M82" i="2"/>
  <c r="Q82" i="2" s="1"/>
  <c r="V82" i="2" l="1"/>
  <c r="Y82" i="2" s="1"/>
  <c r="G83" i="2" s="1"/>
  <c r="U82" i="2"/>
  <c r="X82" i="2" s="1"/>
  <c r="F83" i="2" s="1"/>
  <c r="T82" i="2"/>
  <c r="W82" i="2" s="1"/>
  <c r="E83" i="2" s="1"/>
  <c r="C83" i="2" l="1"/>
  <c r="H83" i="2"/>
  <c r="L83" i="2" s="1"/>
  <c r="B83" i="2"/>
  <c r="N83" i="2"/>
  <c r="O83" i="2" s="1"/>
  <c r="D83" i="2"/>
  <c r="P83" i="2" l="1"/>
  <c r="R83" i="2"/>
  <c r="I83" i="2"/>
  <c r="S83" i="2"/>
  <c r="J83" i="2"/>
  <c r="K83" i="2"/>
  <c r="M83" i="2"/>
  <c r="Q83" i="2" s="1"/>
  <c r="V83" i="2" l="1"/>
  <c r="Y83" i="2" s="1"/>
  <c r="G84" i="2" s="1"/>
  <c r="U83" i="2"/>
  <c r="X83" i="2" s="1"/>
  <c r="F84" i="2" s="1"/>
  <c r="T83" i="2"/>
  <c r="W83" i="2" s="1"/>
  <c r="E84" i="2" s="1"/>
  <c r="D84" i="2" l="1"/>
  <c r="H84" i="2"/>
  <c r="B84" i="2"/>
  <c r="M84" i="2"/>
  <c r="C84" i="2"/>
  <c r="I84" i="2" l="1"/>
  <c r="K84" i="2"/>
  <c r="J84" i="2"/>
  <c r="S84" i="2"/>
  <c r="L84" i="2"/>
  <c r="N84" i="2"/>
  <c r="O84" i="2" s="1"/>
  <c r="R84" i="2" l="1"/>
  <c r="V84" i="2" s="1"/>
  <c r="Y84" i="2" s="1"/>
  <c r="G85" i="2" s="1"/>
  <c r="Q84" i="2"/>
  <c r="U84" i="2" s="1"/>
  <c r="X84" i="2" s="1"/>
  <c r="F85" i="2" s="1"/>
  <c r="P84" i="2"/>
  <c r="T84" i="2" s="1"/>
  <c r="W84" i="2" s="1"/>
  <c r="E85" i="2" s="1"/>
  <c r="C85" i="2" l="1"/>
  <c r="H85" i="2"/>
  <c r="B85" i="2"/>
  <c r="N85" i="2"/>
  <c r="O85" i="2" s="1"/>
  <c r="D85" i="2"/>
  <c r="R85" i="2" l="1"/>
  <c r="S85" i="2"/>
  <c r="I85" i="2"/>
  <c r="K85" i="2"/>
  <c r="J85" i="2"/>
  <c r="L85" i="2"/>
  <c r="P85" i="2" s="1"/>
  <c r="M85" i="2"/>
  <c r="Q85" i="2" s="1"/>
  <c r="V85" i="2" l="1"/>
  <c r="Y85" i="2" s="1"/>
  <c r="G86" i="2" s="1"/>
  <c r="U85" i="2"/>
  <c r="X85" i="2" s="1"/>
  <c r="F86" i="2" s="1"/>
  <c r="T85" i="2"/>
  <c r="W85" i="2" s="1"/>
  <c r="E86" i="2" s="1"/>
  <c r="C86" i="2" l="1"/>
  <c r="D86" i="2"/>
  <c r="H86" i="2"/>
  <c r="B86" i="2"/>
  <c r="K86" i="2" l="1"/>
  <c r="J86" i="2"/>
  <c r="I86" i="2"/>
  <c r="S86" i="2"/>
  <c r="L86" i="2"/>
  <c r="N86" i="2"/>
  <c r="O86" i="2" s="1"/>
  <c r="M86" i="2"/>
  <c r="R86" i="2" l="1"/>
  <c r="V86" i="2" s="1"/>
  <c r="Y86" i="2" s="1"/>
  <c r="G87" i="2" s="1"/>
  <c r="Q86" i="2"/>
  <c r="U86" i="2" s="1"/>
  <c r="X86" i="2" s="1"/>
  <c r="F87" i="2" s="1"/>
  <c r="P86" i="2"/>
  <c r="T86" i="2" s="1"/>
  <c r="W86" i="2" s="1"/>
  <c r="E87" i="2" s="1"/>
  <c r="C87" i="2" l="1"/>
  <c r="D87" i="2"/>
  <c r="H87" i="2"/>
  <c r="B87" i="2"/>
  <c r="I87" i="2" l="1"/>
  <c r="K87" i="2"/>
  <c r="J87" i="2"/>
  <c r="S87" i="2"/>
  <c r="L87" i="2"/>
  <c r="N87" i="2"/>
  <c r="O87" i="2" s="1"/>
  <c r="M87" i="2"/>
  <c r="R87" i="2" l="1"/>
  <c r="Q87" i="2"/>
  <c r="P87" i="2"/>
  <c r="V87" i="2"/>
  <c r="Y87" i="2" s="1"/>
  <c r="G88" i="2" s="1"/>
  <c r="U87" i="2"/>
  <c r="T87" i="2"/>
  <c r="X87" i="2"/>
  <c r="F88" i="2" s="1"/>
  <c r="W87" i="2"/>
  <c r="E88" i="2" s="1"/>
  <c r="D88" i="2" l="1"/>
  <c r="C88" i="2"/>
  <c r="H88" i="2"/>
  <c r="M88" i="2" s="1"/>
  <c r="B88" i="2"/>
  <c r="K88" i="2" l="1"/>
  <c r="J88" i="2"/>
  <c r="I88" i="2"/>
  <c r="S88" i="2"/>
  <c r="L88" i="2"/>
  <c r="N88" i="2"/>
  <c r="O88" i="2" s="1"/>
  <c r="R88" i="2" l="1"/>
  <c r="V88" i="2" s="1"/>
  <c r="Y88" i="2" s="1"/>
  <c r="G89" i="2" s="1"/>
  <c r="Q88" i="2"/>
  <c r="U88" i="2" s="1"/>
  <c r="X88" i="2" s="1"/>
  <c r="F89" i="2" s="1"/>
  <c r="P88" i="2"/>
  <c r="T88" i="2" s="1"/>
  <c r="W88" i="2" s="1"/>
  <c r="E89" i="2" s="1"/>
  <c r="C89" i="2" l="1"/>
  <c r="D89" i="2"/>
  <c r="H89" i="2"/>
  <c r="B89" i="2"/>
  <c r="I89" i="2" l="1"/>
  <c r="K89" i="2"/>
  <c r="J89" i="2"/>
  <c r="S89" i="2"/>
  <c r="L89" i="2"/>
  <c r="N89" i="2"/>
  <c r="O89" i="2" s="1"/>
  <c r="M89" i="2"/>
  <c r="R89" i="2" l="1"/>
  <c r="Q89" i="2"/>
  <c r="P89" i="2"/>
  <c r="V89" i="2"/>
  <c r="Y89" i="2" s="1"/>
  <c r="G90" i="2" s="1"/>
  <c r="U89" i="2"/>
  <c r="X89" i="2" s="1"/>
  <c r="F90" i="2" s="1"/>
  <c r="T89" i="2"/>
  <c r="W89" i="2"/>
  <c r="E90" i="2" s="1"/>
  <c r="D90" i="2" l="1"/>
  <c r="C90" i="2"/>
  <c r="H90" i="2"/>
  <c r="B90" i="2"/>
  <c r="S90" i="2" l="1"/>
  <c r="J90" i="2"/>
  <c r="I90" i="2"/>
  <c r="K90" i="2"/>
  <c r="L90" i="2"/>
  <c r="M90" i="2"/>
  <c r="N90" i="2"/>
  <c r="O90" i="2" s="1"/>
  <c r="R90" i="2" l="1"/>
  <c r="Q90" i="2"/>
  <c r="P90" i="2"/>
  <c r="T90" i="2"/>
  <c r="U90" i="2"/>
  <c r="V90" i="2"/>
  <c r="Y90" i="2" s="1"/>
  <c r="G91" i="2" s="1"/>
  <c r="W90" i="2"/>
  <c r="E91" i="2" s="1"/>
  <c r="X90" i="2"/>
  <c r="F91" i="2" s="1"/>
  <c r="D91" i="2" l="1"/>
  <c r="C91" i="2"/>
  <c r="H91" i="2"/>
  <c r="M91" i="2" s="1"/>
  <c r="B91" i="2"/>
  <c r="L91" i="2" l="1"/>
  <c r="I91" i="2"/>
  <c r="K91" i="2"/>
  <c r="J91" i="2"/>
  <c r="S91" i="2"/>
  <c r="N91" i="2"/>
  <c r="O91" i="2" s="1"/>
  <c r="R91" i="2" l="1"/>
  <c r="Q91" i="2"/>
  <c r="P91" i="2"/>
  <c r="V91" i="2"/>
  <c r="Y91" i="2" s="1"/>
  <c r="G92" i="2" s="1"/>
  <c r="U91" i="2"/>
  <c r="T91" i="2"/>
  <c r="X91" i="2"/>
  <c r="F92" i="2" s="1"/>
  <c r="W91" i="2"/>
  <c r="E92" i="2" s="1"/>
  <c r="D92" i="2" l="1"/>
  <c r="C92" i="2"/>
  <c r="H92" i="2"/>
  <c r="M92" i="2" s="1"/>
  <c r="B92" i="2"/>
  <c r="L92" i="2" l="1"/>
  <c r="J92" i="2"/>
  <c r="I92" i="2"/>
  <c r="S92" i="2"/>
  <c r="K92" i="2"/>
  <c r="N92" i="2"/>
  <c r="O92" i="2" s="1"/>
  <c r="R92" i="2" l="1"/>
  <c r="Q92" i="2"/>
  <c r="P92" i="2"/>
  <c r="T92" i="2" s="1"/>
  <c r="W92" i="2" s="1"/>
  <c r="E93" i="2" s="1"/>
  <c r="V92" i="2"/>
  <c r="Y92" i="2" s="1"/>
  <c r="G93" i="2" s="1"/>
  <c r="U92" i="2"/>
  <c r="X92" i="2" s="1"/>
  <c r="F93" i="2" s="1"/>
  <c r="C93" i="2" l="1"/>
  <c r="D93" i="2"/>
  <c r="H93" i="2"/>
  <c r="N93" i="2" s="1"/>
  <c r="O93" i="2" s="1"/>
  <c r="B93" i="2"/>
  <c r="R93" i="2" l="1"/>
  <c r="I93" i="2"/>
  <c r="K93" i="2"/>
  <c r="J93" i="2"/>
  <c r="S93" i="2"/>
  <c r="L93" i="2"/>
  <c r="P93" i="2" s="1"/>
  <c r="M93" i="2"/>
  <c r="Q93" i="2" s="1"/>
  <c r="V93" i="2" l="1"/>
  <c r="U93" i="2"/>
  <c r="X93" i="2" s="1"/>
  <c r="F94" i="2" s="1"/>
  <c r="T93" i="2"/>
  <c r="Y93" i="2"/>
  <c r="G94" i="2" s="1"/>
  <c r="W93" i="2"/>
  <c r="E94" i="2" s="1"/>
  <c r="C94" i="2" l="1"/>
  <c r="D94" i="2"/>
  <c r="H94" i="2"/>
  <c r="B94" i="2"/>
  <c r="I94" i="2" l="1"/>
  <c r="K94" i="2"/>
  <c r="S94" i="2"/>
  <c r="J94" i="2"/>
  <c r="L94" i="2"/>
  <c r="N94" i="2"/>
  <c r="O94" i="2" s="1"/>
  <c r="M94" i="2"/>
  <c r="R94" i="2" l="1"/>
  <c r="Q94" i="2"/>
  <c r="U94" i="2" s="1"/>
  <c r="X94" i="2" s="1"/>
  <c r="F95" i="2" s="1"/>
  <c r="P94" i="2"/>
  <c r="T94" i="2" s="1"/>
  <c r="W94" i="2" s="1"/>
  <c r="E95" i="2" s="1"/>
  <c r="V94" i="2"/>
  <c r="Y94" i="2"/>
  <c r="G95" i="2" s="1"/>
  <c r="H95" i="2" l="1"/>
  <c r="B95" i="2"/>
  <c r="N95" i="2"/>
  <c r="O95" i="2" s="1"/>
  <c r="D95" i="2"/>
  <c r="M95" i="2"/>
  <c r="C95" i="2"/>
  <c r="R95" i="2" l="1"/>
  <c r="Q95" i="2"/>
  <c r="I95" i="2"/>
  <c r="K95" i="2"/>
  <c r="J95" i="2"/>
  <c r="S95" i="2"/>
  <c r="L95" i="2"/>
  <c r="P95" i="2" s="1"/>
  <c r="V95" i="2" l="1"/>
  <c r="U95" i="2"/>
  <c r="X95" i="2" s="1"/>
  <c r="F96" i="2" s="1"/>
  <c r="T95" i="2"/>
  <c r="W95" i="2" s="1"/>
  <c r="E96" i="2" s="1"/>
  <c r="Y95" i="2"/>
  <c r="G96" i="2" s="1"/>
  <c r="H96" i="2" l="1"/>
  <c r="B96" i="2"/>
  <c r="M96" i="2"/>
  <c r="C96" i="2"/>
  <c r="N96" i="2"/>
  <c r="O96" i="2" s="1"/>
  <c r="D96" i="2"/>
  <c r="R96" i="2" l="1"/>
  <c r="Q96" i="2"/>
  <c r="S96" i="2"/>
  <c r="J96" i="2"/>
  <c r="I96" i="2"/>
  <c r="K96" i="2"/>
  <c r="L96" i="2"/>
  <c r="P96" i="2" s="1"/>
  <c r="T96" i="2" l="1"/>
  <c r="U96" i="2"/>
  <c r="V96" i="2"/>
  <c r="Y96" i="2" s="1"/>
  <c r="G97" i="2" s="1"/>
  <c r="W96" i="2"/>
  <c r="E97" i="2" s="1"/>
  <c r="X96" i="2"/>
  <c r="F97" i="2" s="1"/>
  <c r="D97" i="2" l="1"/>
  <c r="C97" i="2"/>
  <c r="H97" i="2"/>
  <c r="L97" i="2" s="1"/>
  <c r="B97" i="2"/>
  <c r="I97" i="2" l="1"/>
  <c r="K97" i="2"/>
  <c r="J97" i="2"/>
  <c r="S97" i="2"/>
  <c r="M97" i="2"/>
  <c r="N97" i="2"/>
  <c r="O97" i="2" s="1"/>
  <c r="R97" i="2" l="1"/>
  <c r="Q97" i="2"/>
  <c r="U97" i="2" s="1"/>
  <c r="X97" i="2" s="1"/>
  <c r="F98" i="2" s="1"/>
  <c r="P97" i="2"/>
  <c r="T97" i="2" s="1"/>
  <c r="W97" i="2" s="1"/>
  <c r="E98" i="2" s="1"/>
  <c r="V97" i="2"/>
  <c r="Y97" i="2"/>
  <c r="G98" i="2" s="1"/>
  <c r="D98" i="2" l="1"/>
  <c r="H98" i="2"/>
  <c r="M98" i="2" s="1"/>
  <c r="B98" i="2"/>
  <c r="C98" i="2"/>
  <c r="J98" i="2" l="1"/>
  <c r="K98" i="2"/>
  <c r="S98" i="2"/>
  <c r="I98" i="2"/>
  <c r="L98" i="2"/>
  <c r="N98" i="2"/>
  <c r="O98" i="2" s="1"/>
  <c r="R98" i="2" l="1"/>
  <c r="V98" i="2" s="1"/>
  <c r="Y98" i="2" s="1"/>
  <c r="G99" i="2" s="1"/>
  <c r="Q98" i="2"/>
  <c r="U98" i="2" s="1"/>
  <c r="X98" i="2" s="1"/>
  <c r="F99" i="2" s="1"/>
  <c r="P98" i="2"/>
  <c r="T98" i="2" s="1"/>
  <c r="W98" i="2" s="1"/>
  <c r="E99" i="2" s="1"/>
  <c r="H99" i="2" l="1"/>
  <c r="B99" i="2"/>
  <c r="M99" i="2"/>
  <c r="C99" i="2"/>
  <c r="N99" i="2"/>
  <c r="O99" i="2" s="1"/>
  <c r="D99" i="2"/>
  <c r="R99" i="2" l="1"/>
  <c r="Q99" i="2"/>
  <c r="K99" i="2"/>
  <c r="J99" i="2"/>
  <c r="S99" i="2"/>
  <c r="I99" i="2"/>
  <c r="L99" i="2"/>
  <c r="P99" i="2" s="1"/>
  <c r="V99" i="2" l="1"/>
  <c r="U99" i="2"/>
  <c r="X99" i="2" s="1"/>
  <c r="F100" i="2" s="1"/>
  <c r="T99" i="2"/>
  <c r="W99" i="2" s="1"/>
  <c r="E100" i="2" s="1"/>
  <c r="Y99" i="2"/>
  <c r="G100" i="2" s="1"/>
  <c r="H100" i="2" l="1"/>
  <c r="B100" i="2"/>
  <c r="M100" i="2"/>
  <c r="C100" i="2"/>
  <c r="N100" i="2"/>
  <c r="O100" i="2" s="1"/>
  <c r="D100" i="2"/>
  <c r="R100" i="2" l="1"/>
  <c r="Q100" i="2"/>
  <c r="I100" i="2"/>
  <c r="K100" i="2"/>
  <c r="S100" i="2"/>
  <c r="J100" i="2"/>
  <c r="L100" i="2"/>
  <c r="P100" i="2" s="1"/>
  <c r="T100" i="2" l="1"/>
  <c r="U100" i="2"/>
  <c r="V100" i="2"/>
  <c r="W100" i="2"/>
  <c r="E101" i="2" s="1"/>
  <c r="X100" i="2"/>
  <c r="F101" i="2" s="1"/>
  <c r="Y100" i="2"/>
  <c r="G101" i="2" s="1"/>
  <c r="D101" i="2" l="1"/>
  <c r="C101" i="2"/>
  <c r="H101" i="2"/>
  <c r="L101" i="2" s="1"/>
  <c r="B101" i="2"/>
  <c r="K101" i="2" l="1"/>
  <c r="J101" i="2"/>
  <c r="S101" i="2"/>
  <c r="I101" i="2"/>
  <c r="M101" i="2"/>
  <c r="N101" i="2"/>
  <c r="O101" i="2" s="1"/>
  <c r="R101" i="2" l="1"/>
  <c r="Q101" i="2"/>
  <c r="P101" i="2"/>
  <c r="V101" i="2"/>
  <c r="U101" i="2"/>
  <c r="T101" i="2"/>
  <c r="W101" i="2" s="1"/>
  <c r="E102" i="2" s="1"/>
  <c r="X101" i="2"/>
  <c r="F102" i="2" s="1"/>
  <c r="Y101" i="2"/>
  <c r="G102" i="2" s="1"/>
  <c r="H102" i="2" l="1"/>
  <c r="B102" i="2"/>
  <c r="N102" i="2"/>
  <c r="O102" i="2" s="1"/>
  <c r="D102" i="2"/>
  <c r="M102" i="2"/>
  <c r="C102" i="2"/>
  <c r="R102" i="2" l="1"/>
  <c r="Q102" i="2"/>
  <c r="I102" i="2"/>
  <c r="K102" i="2"/>
  <c r="J102" i="2"/>
  <c r="S102" i="2"/>
  <c r="L102" i="2"/>
  <c r="P102" i="2" s="1"/>
  <c r="T102" i="2" l="1"/>
  <c r="W102" i="2" s="1"/>
  <c r="E103" i="2" s="1"/>
  <c r="U102" i="2"/>
  <c r="X102" i="2" s="1"/>
  <c r="F103" i="2" s="1"/>
  <c r="V102" i="2"/>
  <c r="Y102" i="2" s="1"/>
  <c r="G103" i="2" s="1"/>
  <c r="C103" i="2" l="1"/>
  <c r="H103" i="2"/>
  <c r="B103" i="2"/>
  <c r="D103" i="2"/>
  <c r="K103" i="2" l="1"/>
  <c r="J103" i="2"/>
  <c r="S103" i="2"/>
  <c r="I103" i="2"/>
  <c r="N103" i="2"/>
  <c r="O103" i="2" s="1"/>
  <c r="L103" i="2"/>
  <c r="M103" i="2"/>
  <c r="R103" i="2" l="1"/>
  <c r="Q103" i="2"/>
  <c r="P103" i="2"/>
  <c r="V103" i="2"/>
  <c r="U103" i="2"/>
  <c r="X103" i="2" s="1"/>
  <c r="F104" i="2" s="1"/>
  <c r="T103" i="2"/>
  <c r="W103" i="2" s="1"/>
  <c r="E104" i="2" s="1"/>
  <c r="Y103" i="2"/>
  <c r="G104" i="2" s="1"/>
  <c r="H104" i="2" l="1"/>
  <c r="M104" i="2" s="1"/>
  <c r="B104" i="2"/>
  <c r="C104" i="2"/>
  <c r="D104" i="2"/>
  <c r="N104" i="2" l="1"/>
  <c r="O104" i="2" s="1"/>
  <c r="R104" i="2" s="1"/>
  <c r="K104" i="2"/>
  <c r="J104" i="2"/>
  <c r="I104" i="2"/>
  <c r="S104" i="2"/>
  <c r="L104" i="2"/>
  <c r="P104" i="2" l="1"/>
  <c r="Q104" i="2"/>
  <c r="T104" i="2"/>
  <c r="W104" i="2" s="1"/>
  <c r="E105" i="2" s="1"/>
  <c r="U104" i="2"/>
  <c r="X104" i="2" s="1"/>
  <c r="F105" i="2" s="1"/>
  <c r="V104" i="2"/>
  <c r="Y104" i="2" s="1"/>
  <c r="G105" i="2" s="1"/>
  <c r="C105" i="2" l="1"/>
  <c r="H105" i="2"/>
  <c r="L105" i="2" s="1"/>
  <c r="B105" i="2"/>
  <c r="D105" i="2"/>
  <c r="N105" i="2" l="1"/>
  <c r="O105" i="2" s="1"/>
  <c r="K105" i="2"/>
  <c r="J105" i="2"/>
  <c r="I105" i="2"/>
  <c r="S105" i="2"/>
  <c r="M105" i="2"/>
  <c r="R105" i="2" l="1"/>
  <c r="V105" i="2" s="1"/>
  <c r="Y105" i="2" s="1"/>
  <c r="G106" i="2" s="1"/>
  <c r="Q105" i="2"/>
  <c r="U105" i="2" s="1"/>
  <c r="X105" i="2" s="1"/>
  <c r="F106" i="2" s="1"/>
  <c r="P105" i="2"/>
  <c r="T105" i="2" s="1"/>
  <c r="W105" i="2" s="1"/>
  <c r="E106" i="2" s="1"/>
  <c r="C106" i="2" l="1"/>
  <c r="H106" i="2"/>
  <c r="L106" i="2" s="1"/>
  <c r="B106" i="2"/>
  <c r="D106" i="2"/>
  <c r="N106" i="2" l="1"/>
  <c r="O106" i="2" s="1"/>
  <c r="R106" i="2"/>
  <c r="P106" i="2"/>
  <c r="J106" i="2"/>
  <c r="I106" i="2"/>
  <c r="S106" i="2"/>
  <c r="K106" i="2"/>
  <c r="M106" i="2"/>
  <c r="Q106" i="2" s="1"/>
  <c r="V106" i="2" l="1"/>
  <c r="Y106" i="2" s="1"/>
  <c r="G107" i="2" s="1"/>
  <c r="U106" i="2"/>
  <c r="X106" i="2" s="1"/>
  <c r="F107" i="2" s="1"/>
  <c r="T106" i="2"/>
  <c r="W106" i="2" s="1"/>
  <c r="E107" i="2" s="1"/>
  <c r="H107" i="2" l="1"/>
  <c r="B107" i="2"/>
  <c r="M107" i="2"/>
  <c r="C107" i="2"/>
  <c r="N107" i="2"/>
  <c r="O107" i="2" s="1"/>
  <c r="D107" i="2"/>
  <c r="R107" i="2" l="1"/>
  <c r="Q107" i="2"/>
  <c r="S107" i="2"/>
  <c r="I107" i="2"/>
  <c r="J107" i="2"/>
  <c r="K107" i="2"/>
  <c r="L107" i="2"/>
  <c r="P107" i="2" s="1"/>
  <c r="V107" i="2" l="1"/>
  <c r="U107" i="2"/>
  <c r="T107" i="2"/>
  <c r="X107" i="2"/>
  <c r="F108" i="2" s="1"/>
  <c r="Y107" i="2"/>
  <c r="G108" i="2" s="1"/>
  <c r="W107" i="2"/>
  <c r="E108" i="2" s="1"/>
  <c r="D108" i="2" l="1"/>
  <c r="H108" i="2"/>
  <c r="L108" i="2" s="1"/>
  <c r="B108" i="2"/>
  <c r="M108" i="2"/>
  <c r="C108" i="2"/>
  <c r="J108" i="2" l="1"/>
  <c r="K108" i="2"/>
  <c r="S108" i="2"/>
  <c r="I108" i="2"/>
  <c r="N108" i="2"/>
  <c r="O108" i="2" s="1"/>
  <c r="R108" i="2" l="1"/>
  <c r="Q108" i="2"/>
  <c r="P108" i="2"/>
  <c r="V108" i="2"/>
  <c r="Y108" i="2" s="1"/>
  <c r="G109" i="2" s="1"/>
  <c r="U108" i="2"/>
  <c r="X108" i="2" s="1"/>
  <c r="F109" i="2" s="1"/>
  <c r="T108" i="2"/>
  <c r="W108" i="2" s="1"/>
  <c r="E109" i="2" s="1"/>
  <c r="C109" i="2" l="1"/>
  <c r="H109" i="2"/>
  <c r="B109" i="2"/>
  <c r="N109" i="2"/>
  <c r="O109" i="2" s="1"/>
  <c r="D109" i="2"/>
  <c r="I109" i="2" l="1"/>
  <c r="J109" i="2"/>
  <c r="K109" i="2"/>
  <c r="S109" i="2"/>
  <c r="L109" i="2"/>
  <c r="R109" i="2"/>
  <c r="P109" i="2"/>
  <c r="M109" i="2"/>
  <c r="Q109" i="2" s="1"/>
  <c r="V109" i="2" l="1"/>
  <c r="U109" i="2"/>
  <c r="T109" i="2"/>
  <c r="X109" i="2"/>
  <c r="F110" i="2" s="1"/>
  <c r="Y109" i="2"/>
  <c r="G110" i="2" s="1"/>
  <c r="W109" i="2"/>
  <c r="E110" i="2" s="1"/>
  <c r="D110" i="2" l="1"/>
  <c r="H110" i="2"/>
  <c r="L110" i="2" s="1"/>
  <c r="B110" i="2"/>
  <c r="M110" i="2"/>
  <c r="C110" i="2"/>
  <c r="I110" i="2" l="1"/>
  <c r="J110" i="2"/>
  <c r="K110" i="2"/>
  <c r="S110" i="2"/>
  <c r="N110" i="2"/>
  <c r="O110" i="2" s="1"/>
  <c r="R110" i="2" l="1"/>
  <c r="Q110" i="2"/>
  <c r="P110" i="2"/>
  <c r="T110" i="2" s="1"/>
  <c r="W110" i="2" s="1"/>
  <c r="E111" i="2" s="1"/>
  <c r="V110" i="2"/>
  <c r="U110" i="2"/>
  <c r="X110" i="2" s="1"/>
  <c r="F111" i="2" s="1"/>
  <c r="Y110" i="2"/>
  <c r="G111" i="2" s="1"/>
  <c r="C111" i="2" l="1"/>
  <c r="H111" i="2"/>
  <c r="L111" i="2" s="1"/>
  <c r="B111" i="2"/>
  <c r="D111" i="2"/>
  <c r="N111" i="2" l="1"/>
  <c r="O111" i="2" s="1"/>
  <c r="R111" i="2"/>
  <c r="P111" i="2"/>
  <c r="J111" i="2"/>
  <c r="K111" i="2"/>
  <c r="I111" i="2"/>
  <c r="S111" i="2"/>
  <c r="M111" i="2"/>
  <c r="Q111" i="2" s="1"/>
  <c r="V111" i="2" l="1"/>
  <c r="U111" i="2"/>
  <c r="X111" i="2" s="1"/>
  <c r="F112" i="2" s="1"/>
  <c r="T111" i="2"/>
  <c r="W111" i="2" s="1"/>
  <c r="E112" i="2" s="1"/>
  <c r="Y111" i="2"/>
  <c r="G112" i="2" s="1"/>
  <c r="H112" i="2" l="1"/>
  <c r="B112" i="2"/>
  <c r="M112" i="2"/>
  <c r="C112" i="2"/>
  <c r="N112" i="2"/>
  <c r="O112" i="2" s="1"/>
  <c r="D112" i="2"/>
  <c r="R112" i="2" l="1"/>
  <c r="Q112" i="2"/>
  <c r="K112" i="2"/>
  <c r="I112" i="2"/>
  <c r="J112" i="2"/>
  <c r="S112" i="2"/>
  <c r="L112" i="2"/>
  <c r="P112" i="2" s="1"/>
  <c r="V112" i="2" l="1"/>
  <c r="U112" i="2"/>
  <c r="X112" i="2" s="1"/>
  <c r="F113" i="2" s="1"/>
  <c r="T112" i="2"/>
  <c r="W112" i="2" s="1"/>
  <c r="E113" i="2" s="1"/>
  <c r="Y112" i="2"/>
  <c r="G113" i="2" s="1"/>
  <c r="H113" i="2" l="1"/>
  <c r="B113" i="2"/>
  <c r="M113" i="2"/>
  <c r="C113" i="2"/>
  <c r="N113" i="2"/>
  <c r="O113" i="2" s="1"/>
  <c r="D113" i="2"/>
  <c r="R113" i="2" l="1"/>
  <c r="Q113" i="2"/>
  <c r="K113" i="2"/>
  <c r="I113" i="2"/>
  <c r="S113" i="2"/>
  <c r="J113" i="2"/>
  <c r="L113" i="2"/>
  <c r="P113" i="2" s="1"/>
  <c r="V113" i="2" l="1"/>
  <c r="U113" i="2"/>
  <c r="T113" i="2"/>
  <c r="W113" i="2"/>
  <c r="E114" i="2" s="1"/>
  <c r="X113" i="2"/>
  <c r="F114" i="2" s="1"/>
  <c r="Y113" i="2"/>
  <c r="G114" i="2" s="1"/>
  <c r="C114" i="2" l="1"/>
  <c r="D114" i="2"/>
  <c r="H114" i="2"/>
  <c r="B114" i="2"/>
  <c r="K114" i="2" l="1"/>
  <c r="I114" i="2"/>
  <c r="J114" i="2"/>
  <c r="S114" i="2"/>
  <c r="L114" i="2"/>
  <c r="N114" i="2"/>
  <c r="O114" i="2" s="1"/>
  <c r="M114" i="2"/>
  <c r="R114" i="2" l="1"/>
  <c r="Q114" i="2"/>
  <c r="U114" i="2" s="1"/>
  <c r="X114" i="2" s="1"/>
  <c r="F115" i="2" s="1"/>
  <c r="P114" i="2"/>
  <c r="T114" i="2" s="1"/>
  <c r="W114" i="2" s="1"/>
  <c r="E115" i="2" s="1"/>
  <c r="V114" i="2"/>
  <c r="Y114" i="2"/>
  <c r="G115" i="2" s="1"/>
  <c r="H115" i="2" l="1"/>
  <c r="B115" i="2"/>
  <c r="M115" i="2"/>
  <c r="C115" i="2"/>
  <c r="N115" i="2"/>
  <c r="O115" i="2" s="1"/>
  <c r="D115" i="2"/>
  <c r="R115" i="2" l="1"/>
  <c r="Q115" i="2"/>
  <c r="K115" i="2"/>
  <c r="I115" i="2"/>
  <c r="J115" i="2"/>
  <c r="S115" i="2"/>
  <c r="L115" i="2"/>
  <c r="P115" i="2" s="1"/>
  <c r="V115" i="2" l="1"/>
  <c r="U115" i="2"/>
  <c r="T115" i="2"/>
  <c r="X115" i="2"/>
  <c r="F116" i="2" s="1"/>
  <c r="W115" i="2"/>
  <c r="E116" i="2" s="1"/>
  <c r="Y115" i="2"/>
  <c r="G116" i="2" s="1"/>
  <c r="H116" i="2" l="1"/>
  <c r="B116" i="2"/>
  <c r="N116" i="2"/>
  <c r="O116" i="2" s="1"/>
  <c r="D116" i="2"/>
  <c r="M116" i="2"/>
  <c r="C116" i="2"/>
  <c r="R116" i="2" l="1"/>
  <c r="Q116" i="2"/>
  <c r="K116" i="2"/>
  <c r="S116" i="2"/>
  <c r="I116" i="2"/>
  <c r="J116" i="2"/>
  <c r="L116" i="2"/>
  <c r="P116" i="2" s="1"/>
  <c r="V116" i="2" l="1"/>
  <c r="U116" i="2"/>
  <c r="X116" i="2" s="1"/>
  <c r="F117" i="2" s="1"/>
  <c r="T116" i="2"/>
  <c r="W116" i="2" s="1"/>
  <c r="E117" i="2" s="1"/>
  <c r="Y116" i="2"/>
  <c r="G117" i="2" s="1"/>
  <c r="H117" i="2" l="1"/>
  <c r="M117" i="2" s="1"/>
  <c r="B117" i="2"/>
  <c r="C117" i="2"/>
  <c r="D117" i="2"/>
  <c r="N117" i="2" l="1"/>
  <c r="O117" i="2" s="1"/>
  <c r="R117" i="2"/>
  <c r="Q117" i="2"/>
  <c r="I117" i="2"/>
  <c r="J117" i="2"/>
  <c r="S117" i="2"/>
  <c r="K117" i="2"/>
  <c r="L117" i="2"/>
  <c r="P117" i="2" s="1"/>
  <c r="V117" i="2" l="1"/>
  <c r="U117" i="2"/>
  <c r="T117" i="2"/>
  <c r="Y117" i="2"/>
  <c r="G118" i="2" s="1"/>
  <c r="X117" i="2"/>
  <c r="F118" i="2" s="1"/>
  <c r="W117" i="2"/>
  <c r="E118" i="2" s="1"/>
  <c r="C118" i="2" l="1"/>
  <c r="H118" i="2"/>
  <c r="B118" i="2"/>
  <c r="D118" i="2"/>
  <c r="I118" i="2" l="1"/>
  <c r="J118" i="2"/>
  <c r="S118" i="2"/>
  <c r="K118" i="2"/>
  <c r="N118" i="2"/>
  <c r="O118" i="2" s="1"/>
  <c r="L118" i="2"/>
  <c r="M118" i="2"/>
  <c r="R118" i="2" l="1"/>
  <c r="V118" i="2" s="1"/>
  <c r="Y118" i="2" s="1"/>
  <c r="G119" i="2" s="1"/>
  <c r="Q118" i="2"/>
  <c r="U118" i="2" s="1"/>
  <c r="X118" i="2" s="1"/>
  <c r="F119" i="2" s="1"/>
  <c r="P118" i="2"/>
  <c r="T118" i="2" s="1"/>
  <c r="W118" i="2" s="1"/>
  <c r="E119" i="2" s="1"/>
  <c r="C119" i="2" l="1"/>
  <c r="D119" i="2"/>
  <c r="H119" i="2"/>
  <c r="B119" i="2"/>
  <c r="S119" i="2" l="1"/>
  <c r="I119" i="2"/>
  <c r="J119" i="2"/>
  <c r="K119" i="2"/>
  <c r="N119" i="2"/>
  <c r="O119" i="2" s="1"/>
  <c r="L119" i="2"/>
  <c r="M119" i="2"/>
  <c r="R119" i="2" l="1"/>
  <c r="Q119" i="2"/>
  <c r="P119" i="2"/>
  <c r="V119" i="2"/>
  <c r="Y119" i="2" s="1"/>
  <c r="G120" i="2" s="1"/>
  <c r="U119" i="2"/>
  <c r="X119" i="2" s="1"/>
  <c r="F120" i="2" s="1"/>
  <c r="T119" i="2"/>
  <c r="W119" i="2" s="1"/>
  <c r="E120" i="2" s="1"/>
  <c r="C120" i="2" l="1"/>
  <c r="H120" i="2"/>
  <c r="B120" i="2"/>
  <c r="N120" i="2"/>
  <c r="O120" i="2" s="1"/>
  <c r="D120" i="2"/>
  <c r="R120" i="2" l="1"/>
  <c r="J120" i="2"/>
  <c r="K120" i="2"/>
  <c r="I120" i="2"/>
  <c r="S120" i="2"/>
  <c r="L120" i="2"/>
  <c r="P120" i="2" s="1"/>
  <c r="M120" i="2"/>
  <c r="Q120" i="2" s="1"/>
  <c r="V120" i="2" l="1"/>
  <c r="U120" i="2"/>
  <c r="T120" i="2"/>
  <c r="Y120" i="2"/>
  <c r="G121" i="2" s="1"/>
  <c r="W120" i="2"/>
  <c r="E121" i="2" s="1"/>
  <c r="X120" i="2"/>
  <c r="F121" i="2" s="1"/>
  <c r="H121" i="2" l="1"/>
  <c r="B121" i="2"/>
  <c r="M121" i="2"/>
  <c r="C121" i="2"/>
  <c r="N121" i="2"/>
  <c r="O121" i="2" s="1"/>
  <c r="D121" i="2"/>
  <c r="R121" i="2" l="1"/>
  <c r="Q121" i="2"/>
  <c r="I121" i="2"/>
  <c r="J121" i="2"/>
  <c r="K121" i="2"/>
  <c r="S121" i="2"/>
  <c r="L121" i="2"/>
  <c r="P121" i="2" s="1"/>
  <c r="V121" i="2" l="1"/>
  <c r="Y121" i="2" s="1"/>
  <c r="G122" i="2" s="1"/>
  <c r="U121" i="2"/>
  <c r="X121" i="2" s="1"/>
  <c r="F122" i="2" s="1"/>
  <c r="T121" i="2"/>
  <c r="W121" i="2"/>
  <c r="E122" i="2" s="1"/>
  <c r="C122" i="2" l="1"/>
  <c r="D122" i="2"/>
  <c r="H122" i="2"/>
  <c r="B122" i="2"/>
  <c r="I122" i="2" l="1"/>
  <c r="J122" i="2"/>
  <c r="K122" i="2"/>
  <c r="S122" i="2"/>
  <c r="L122" i="2"/>
  <c r="N122" i="2"/>
  <c r="O122" i="2" s="1"/>
  <c r="M122" i="2"/>
  <c r="R122" i="2" l="1"/>
  <c r="Q122" i="2"/>
  <c r="P122" i="2"/>
  <c r="V122" i="2"/>
  <c r="U122" i="2"/>
  <c r="X122" i="2" s="1"/>
  <c r="F123" i="2" s="1"/>
  <c r="T122" i="2"/>
  <c r="Y122" i="2"/>
  <c r="G123" i="2" s="1"/>
  <c r="W122" i="2"/>
  <c r="E123" i="2" s="1"/>
  <c r="C123" i="2" l="1"/>
  <c r="D123" i="2"/>
  <c r="H123" i="2"/>
  <c r="N123" i="2" s="1"/>
  <c r="O123" i="2" s="1"/>
  <c r="B123" i="2"/>
  <c r="R123" i="2" l="1"/>
  <c r="J123" i="2"/>
  <c r="I123" i="2"/>
  <c r="K123" i="2"/>
  <c r="S123" i="2"/>
  <c r="L123" i="2"/>
  <c r="P123" i="2" s="1"/>
  <c r="M123" i="2"/>
  <c r="Q123" i="2" s="1"/>
  <c r="V123" i="2" l="1"/>
  <c r="U123" i="2"/>
  <c r="T123" i="2"/>
  <c r="Y123" i="2"/>
  <c r="G124" i="2" s="1"/>
  <c r="W123" i="2"/>
  <c r="E124" i="2" s="1"/>
  <c r="X123" i="2"/>
  <c r="F124" i="2" s="1"/>
  <c r="C124" i="2" l="1"/>
  <c r="H124" i="2"/>
  <c r="N124" i="2" s="1"/>
  <c r="O124" i="2" s="1"/>
  <c r="B124" i="2"/>
  <c r="D124" i="2"/>
  <c r="R124" i="2" l="1"/>
  <c r="I124" i="2"/>
  <c r="K124" i="2"/>
  <c r="S124" i="2"/>
  <c r="J124" i="2"/>
  <c r="L124" i="2"/>
  <c r="P124" i="2" s="1"/>
  <c r="M124" i="2"/>
  <c r="Q124" i="2" s="1"/>
  <c r="V124" i="2" l="1"/>
  <c r="Y124" i="2" s="1"/>
  <c r="G125" i="2" s="1"/>
  <c r="U124" i="2"/>
  <c r="X124" i="2" s="1"/>
  <c r="F125" i="2" s="1"/>
  <c r="T124" i="2"/>
  <c r="W124" i="2"/>
  <c r="E125" i="2" s="1"/>
  <c r="C125" i="2" l="1"/>
  <c r="D125" i="2"/>
  <c r="H125" i="2"/>
  <c r="B125" i="2"/>
  <c r="I125" i="2" l="1"/>
  <c r="K125" i="2"/>
  <c r="S125" i="2"/>
  <c r="J125" i="2"/>
  <c r="L125" i="2"/>
  <c r="N125" i="2"/>
  <c r="O125" i="2" s="1"/>
  <c r="M125" i="2"/>
  <c r="P125" i="2" l="1"/>
  <c r="R125" i="2"/>
  <c r="V125" i="2" s="1"/>
  <c r="Y125" i="2" s="1"/>
  <c r="G126" i="2" s="1"/>
  <c r="Q125" i="2"/>
  <c r="U125" i="2" s="1"/>
  <c r="X125" i="2" s="1"/>
  <c r="F126" i="2" s="1"/>
  <c r="T125" i="2"/>
  <c r="W125" i="2" s="1"/>
  <c r="E126" i="2" s="1"/>
  <c r="D126" i="2" l="1"/>
  <c r="H126" i="2"/>
  <c r="B126" i="2"/>
  <c r="C126" i="2"/>
  <c r="I126" i="2" l="1"/>
  <c r="K126" i="2"/>
  <c r="J126" i="2"/>
  <c r="S126" i="2"/>
  <c r="L126" i="2"/>
  <c r="M126" i="2"/>
  <c r="N126" i="2"/>
  <c r="O126" i="2" s="1"/>
  <c r="Q126" i="2" l="1"/>
  <c r="U126" i="2" s="1"/>
  <c r="X126" i="2" s="1"/>
  <c r="F127" i="2" s="1"/>
  <c r="P126" i="2"/>
  <c r="R126" i="2"/>
  <c r="V126" i="2" s="1"/>
  <c r="Y126" i="2" s="1"/>
  <c r="G127" i="2" s="1"/>
  <c r="T126" i="2"/>
  <c r="W126" i="2" s="1"/>
  <c r="E127" i="2" s="1"/>
  <c r="D127" i="2" l="1"/>
  <c r="H127" i="2"/>
  <c r="M127" i="2" s="1"/>
  <c r="B127" i="2"/>
  <c r="C127" i="2"/>
  <c r="I127" i="2" l="1"/>
  <c r="K127" i="2"/>
  <c r="J127" i="2"/>
  <c r="S127" i="2"/>
  <c r="L127" i="2"/>
  <c r="N127" i="2"/>
  <c r="O127" i="2" s="1"/>
  <c r="R127" i="2" l="1"/>
  <c r="V127" i="2" s="1"/>
  <c r="Y127" i="2" s="1"/>
  <c r="G128" i="2" s="1"/>
  <c r="Q127" i="2"/>
  <c r="U127" i="2" s="1"/>
  <c r="X127" i="2" s="1"/>
  <c r="F128" i="2" s="1"/>
  <c r="P127" i="2"/>
  <c r="T127" i="2" s="1"/>
  <c r="W127" i="2" s="1"/>
  <c r="E128" i="2" s="1"/>
  <c r="H128" i="2" l="1"/>
  <c r="B128" i="2"/>
  <c r="M128" i="2"/>
  <c r="C128" i="2"/>
  <c r="N128" i="2"/>
  <c r="O128" i="2" s="1"/>
  <c r="D128" i="2"/>
  <c r="R128" i="2" l="1"/>
  <c r="Q128" i="2"/>
  <c r="K128" i="2"/>
  <c r="J128" i="2"/>
  <c r="I128" i="2"/>
  <c r="S128" i="2"/>
  <c r="L128" i="2"/>
  <c r="P128" i="2" s="1"/>
  <c r="V128" i="2" l="1"/>
  <c r="U128" i="2"/>
  <c r="X128" i="2" s="1"/>
  <c r="F129" i="2" s="1"/>
  <c r="T128" i="2"/>
  <c r="W128" i="2" s="1"/>
  <c r="E129" i="2" s="1"/>
  <c r="Y128" i="2"/>
  <c r="G129" i="2" s="1"/>
  <c r="H129" i="2" l="1"/>
  <c r="B129" i="2"/>
  <c r="M129" i="2"/>
  <c r="C129" i="2"/>
  <c r="N129" i="2"/>
  <c r="O129" i="2" s="1"/>
  <c r="D129" i="2"/>
  <c r="R129" i="2" l="1"/>
  <c r="Q129" i="2"/>
  <c r="J129" i="2"/>
  <c r="I129" i="2"/>
  <c r="K129" i="2"/>
  <c r="S129" i="2"/>
  <c r="L129" i="2"/>
  <c r="P129" i="2" s="1"/>
  <c r="V129" i="2" l="1"/>
  <c r="Y129" i="2" s="1"/>
  <c r="G130" i="2" s="1"/>
  <c r="U129" i="2"/>
  <c r="X129" i="2" s="1"/>
  <c r="F130" i="2" s="1"/>
  <c r="T129" i="2"/>
  <c r="W129" i="2" s="1"/>
  <c r="E130" i="2" s="1"/>
  <c r="C130" i="2" l="1"/>
  <c r="D130" i="2"/>
  <c r="H130" i="2"/>
  <c r="N130" i="2" s="1"/>
  <c r="O130" i="2" s="1"/>
  <c r="B130" i="2"/>
  <c r="R130" i="2" l="1"/>
  <c r="J130" i="2"/>
  <c r="I130" i="2"/>
  <c r="K130" i="2"/>
  <c r="S130" i="2"/>
  <c r="L130" i="2"/>
  <c r="P130" i="2" s="1"/>
  <c r="M130" i="2"/>
  <c r="Q130" i="2" s="1"/>
  <c r="V130" i="2" l="1"/>
  <c r="Y130" i="2" s="1"/>
  <c r="G131" i="2" s="1"/>
  <c r="U130" i="2"/>
  <c r="T130" i="2"/>
  <c r="W130" i="2" s="1"/>
  <c r="E131" i="2" s="1"/>
  <c r="X130" i="2"/>
  <c r="F131" i="2" s="1"/>
  <c r="H131" i="2" l="1"/>
  <c r="B131" i="2"/>
  <c r="N131" i="2"/>
  <c r="O131" i="2" s="1"/>
  <c r="D131" i="2"/>
  <c r="M131" i="2"/>
  <c r="C131" i="2"/>
  <c r="R131" i="2" l="1"/>
  <c r="Q131" i="2"/>
  <c r="S131" i="2"/>
  <c r="J131" i="2"/>
  <c r="I131" i="2"/>
  <c r="K131" i="2"/>
  <c r="L131" i="2"/>
  <c r="P131" i="2" s="1"/>
  <c r="V131" i="2" l="1"/>
  <c r="Y131" i="2" s="1"/>
  <c r="G132" i="2" s="1"/>
  <c r="U131" i="2"/>
  <c r="X131" i="2" s="1"/>
  <c r="F132" i="2" s="1"/>
  <c r="T131" i="2"/>
  <c r="W131" i="2" s="1"/>
  <c r="E132" i="2" s="1"/>
  <c r="C132" i="2" l="1"/>
  <c r="H132" i="2"/>
  <c r="B132" i="2"/>
  <c r="D132" i="2"/>
  <c r="S132" i="2" l="1"/>
  <c r="J132" i="2"/>
  <c r="I132" i="2"/>
  <c r="K132" i="2"/>
  <c r="N132" i="2"/>
  <c r="O132" i="2" s="1"/>
  <c r="L132" i="2"/>
  <c r="M132" i="2"/>
  <c r="R132" i="2" l="1"/>
  <c r="Q132" i="2"/>
  <c r="U132" i="2" s="1"/>
  <c r="X132" i="2" s="1"/>
  <c r="F133" i="2" s="1"/>
  <c r="P132" i="2"/>
  <c r="T132" i="2" s="1"/>
  <c r="W132" i="2" s="1"/>
  <c r="E133" i="2" s="1"/>
  <c r="V132" i="2"/>
  <c r="Y132" i="2" s="1"/>
  <c r="G133" i="2" s="1"/>
  <c r="D133" i="2" l="1"/>
  <c r="H133" i="2"/>
  <c r="L133" i="2" s="1"/>
  <c r="B133" i="2"/>
  <c r="M133" i="2"/>
  <c r="C133" i="2"/>
  <c r="J133" i="2" l="1"/>
  <c r="S133" i="2"/>
  <c r="I133" i="2"/>
  <c r="K133" i="2"/>
  <c r="N133" i="2"/>
  <c r="O133" i="2" s="1"/>
  <c r="R133" i="2" l="1"/>
  <c r="V133" i="2" s="1"/>
  <c r="Y133" i="2" s="1"/>
  <c r="G134" i="2" s="1"/>
  <c r="Q133" i="2"/>
  <c r="U133" i="2" s="1"/>
  <c r="X133" i="2" s="1"/>
  <c r="F134" i="2" s="1"/>
  <c r="P133" i="2"/>
  <c r="T133" i="2" s="1"/>
  <c r="W133" i="2" s="1"/>
  <c r="E134" i="2" s="1"/>
  <c r="C134" i="2" l="1"/>
  <c r="H134" i="2"/>
  <c r="L134" i="2" s="1"/>
  <c r="B134" i="2"/>
  <c r="D134" i="2"/>
  <c r="N134" i="2" l="1"/>
  <c r="O134" i="2" s="1"/>
  <c r="R134" i="2"/>
  <c r="P134" i="2"/>
  <c r="J134" i="2"/>
  <c r="I134" i="2"/>
  <c r="K134" i="2"/>
  <c r="S134" i="2"/>
  <c r="M134" i="2"/>
  <c r="Q134" i="2" s="1"/>
  <c r="V134" i="2" l="1"/>
  <c r="Y134" i="2" s="1"/>
  <c r="G135" i="2" s="1"/>
  <c r="U134" i="2"/>
  <c r="T134" i="2"/>
  <c r="W134" i="2" s="1"/>
  <c r="E135" i="2" s="1"/>
  <c r="X134" i="2"/>
  <c r="F135" i="2" s="1"/>
  <c r="H135" i="2" l="1"/>
  <c r="B135" i="2"/>
  <c r="N135" i="2"/>
  <c r="O135" i="2" s="1"/>
  <c r="D135" i="2"/>
  <c r="M135" i="2"/>
  <c r="C135" i="2"/>
  <c r="R135" i="2" l="1"/>
  <c r="Q135" i="2"/>
  <c r="J135" i="2"/>
  <c r="I135" i="2"/>
  <c r="K135" i="2"/>
  <c r="S135" i="2"/>
  <c r="L135" i="2"/>
  <c r="P135" i="2" s="1"/>
  <c r="V135" i="2" l="1"/>
  <c r="Y135" i="2" s="1"/>
  <c r="G136" i="2" s="1"/>
  <c r="U135" i="2"/>
  <c r="T135" i="2"/>
  <c r="W135" i="2"/>
  <c r="E136" i="2" s="1"/>
  <c r="X135" i="2"/>
  <c r="F136" i="2" s="1"/>
  <c r="D136" i="2" l="1"/>
  <c r="C136" i="2"/>
  <c r="H136" i="2"/>
  <c r="B136" i="2"/>
  <c r="I136" i="2" l="1"/>
  <c r="K136" i="2"/>
  <c r="S136" i="2"/>
  <c r="J136" i="2"/>
  <c r="L136" i="2"/>
  <c r="M136" i="2"/>
  <c r="N136" i="2"/>
  <c r="O136" i="2" s="1"/>
  <c r="R136" i="2" l="1"/>
  <c r="Q136" i="2"/>
  <c r="U136" i="2" s="1"/>
  <c r="X136" i="2" s="1"/>
  <c r="F137" i="2" s="1"/>
  <c r="P136" i="2"/>
  <c r="T136" i="2" s="1"/>
  <c r="W136" i="2" s="1"/>
  <c r="E137" i="2" s="1"/>
  <c r="V136" i="2"/>
  <c r="Y136" i="2" s="1"/>
  <c r="G137" i="2" s="1"/>
  <c r="D137" i="2" l="1"/>
  <c r="C137" i="2"/>
  <c r="H137" i="2"/>
  <c r="B137" i="2"/>
  <c r="I137" i="2" l="1"/>
  <c r="K137" i="2"/>
  <c r="S137" i="2"/>
  <c r="J137" i="2"/>
  <c r="L137" i="2"/>
  <c r="M137" i="2"/>
  <c r="N137" i="2"/>
  <c r="O137" i="2" s="1"/>
  <c r="R137" i="2" l="1"/>
  <c r="Q137" i="2"/>
  <c r="P137" i="2"/>
  <c r="T137" i="2" s="1"/>
  <c r="W137" i="2" s="1"/>
  <c r="E138" i="2" s="1"/>
  <c r="V137" i="2"/>
  <c r="Y137" i="2" s="1"/>
  <c r="G138" i="2" s="1"/>
  <c r="U137" i="2"/>
  <c r="X137" i="2" s="1"/>
  <c r="F138" i="2" s="1"/>
  <c r="D138" i="2" l="1"/>
  <c r="C138" i="2"/>
  <c r="H138" i="2"/>
  <c r="M138" i="2" s="1"/>
  <c r="B138" i="2"/>
  <c r="L138" i="2" l="1"/>
  <c r="I138" i="2"/>
  <c r="K138" i="2"/>
  <c r="J138" i="2"/>
  <c r="S138" i="2"/>
  <c r="N138" i="2"/>
  <c r="O138" i="2" s="1"/>
  <c r="R138" i="2" l="1"/>
  <c r="Q138" i="2"/>
  <c r="U138" i="2" s="1"/>
  <c r="X138" i="2" s="1"/>
  <c r="F139" i="2" s="1"/>
  <c r="P138" i="2"/>
  <c r="T138" i="2" s="1"/>
  <c r="W138" i="2" s="1"/>
  <c r="E139" i="2" s="1"/>
  <c r="V138" i="2"/>
  <c r="Y138" i="2" s="1"/>
  <c r="G139" i="2" s="1"/>
  <c r="D139" i="2" l="1"/>
  <c r="C139" i="2"/>
  <c r="H139" i="2"/>
  <c r="M139" i="2" s="1"/>
  <c r="B139" i="2"/>
  <c r="L139" i="2" l="1"/>
  <c r="I139" i="2"/>
  <c r="S139" i="2"/>
  <c r="K139" i="2"/>
  <c r="J139" i="2"/>
  <c r="N139" i="2"/>
  <c r="O139" i="2" s="1"/>
  <c r="R139" i="2" l="1"/>
  <c r="V139" i="2" s="1"/>
  <c r="Y139" i="2" s="1"/>
  <c r="G140" i="2" s="1"/>
  <c r="Q139" i="2"/>
  <c r="P139" i="2"/>
  <c r="T139" i="2" s="1"/>
  <c r="W139" i="2" s="1"/>
  <c r="E140" i="2" s="1"/>
  <c r="U139" i="2"/>
  <c r="X139" i="2"/>
  <c r="F140" i="2" s="1"/>
  <c r="H140" i="2" l="1"/>
  <c r="B140" i="2"/>
  <c r="N140" i="2"/>
  <c r="O140" i="2" s="1"/>
  <c r="D140" i="2"/>
  <c r="M140" i="2"/>
  <c r="C140" i="2"/>
  <c r="R140" i="2" l="1"/>
  <c r="Q140" i="2"/>
  <c r="K140" i="2"/>
  <c r="J140" i="2"/>
  <c r="I140" i="2"/>
  <c r="S140" i="2"/>
  <c r="L140" i="2"/>
  <c r="P140" i="2" s="1"/>
  <c r="V140" i="2" l="1"/>
  <c r="U140" i="2"/>
  <c r="X140" i="2" s="1"/>
  <c r="F141" i="2" s="1"/>
  <c r="T140" i="2"/>
  <c r="W140" i="2" s="1"/>
  <c r="E141" i="2" s="1"/>
  <c r="Y140" i="2"/>
  <c r="G141" i="2" s="1"/>
  <c r="H141" i="2" l="1"/>
  <c r="B141" i="2"/>
  <c r="M141" i="2"/>
  <c r="C141" i="2"/>
  <c r="N141" i="2"/>
  <c r="O141" i="2" s="1"/>
  <c r="D141" i="2"/>
  <c r="R141" i="2" l="1"/>
  <c r="Q141" i="2"/>
  <c r="J141" i="2"/>
  <c r="I141" i="2"/>
  <c r="K141" i="2"/>
  <c r="S141" i="2"/>
  <c r="L141" i="2"/>
  <c r="P141" i="2" s="1"/>
  <c r="V141" i="2" l="1"/>
  <c r="Y141" i="2" s="1"/>
  <c r="G142" i="2" s="1"/>
  <c r="U141" i="2"/>
  <c r="T141" i="2"/>
  <c r="W141" i="2" s="1"/>
  <c r="E142" i="2" s="1"/>
  <c r="X141" i="2"/>
  <c r="F142" i="2" s="1"/>
  <c r="H142" i="2" l="1"/>
  <c r="B142" i="2"/>
  <c r="M142" i="2"/>
  <c r="C142" i="2"/>
  <c r="N142" i="2"/>
  <c r="O142" i="2" s="1"/>
  <c r="D142" i="2"/>
  <c r="R142" i="2" l="1"/>
  <c r="Q142" i="2"/>
  <c r="J142" i="2"/>
  <c r="I142" i="2"/>
  <c r="K142" i="2"/>
  <c r="S142" i="2"/>
  <c r="L142" i="2"/>
  <c r="P142" i="2" s="1"/>
  <c r="V142" i="2" l="1"/>
  <c r="U142" i="2"/>
  <c r="T142" i="2"/>
  <c r="W142" i="2"/>
  <c r="E143" i="2" s="1"/>
  <c r="Y142" i="2"/>
  <c r="G143" i="2" s="1"/>
  <c r="X142" i="2"/>
  <c r="F143" i="2" s="1"/>
  <c r="D143" i="2" l="1"/>
  <c r="C143" i="2"/>
  <c r="H143" i="2"/>
  <c r="B143" i="2"/>
  <c r="J143" i="2" l="1"/>
  <c r="I143" i="2"/>
  <c r="K143" i="2"/>
  <c r="S143" i="2"/>
  <c r="L143" i="2"/>
  <c r="M143" i="2"/>
  <c r="N143" i="2"/>
  <c r="O143" i="2" s="1"/>
  <c r="R143" i="2" l="1"/>
  <c r="V143" i="2" s="1"/>
  <c r="Y143" i="2" s="1"/>
  <c r="G144" i="2" s="1"/>
  <c r="Q143" i="2"/>
  <c r="U143" i="2" s="1"/>
  <c r="X143" i="2" s="1"/>
  <c r="F144" i="2" s="1"/>
  <c r="P143" i="2"/>
  <c r="T143" i="2" s="1"/>
  <c r="W143" i="2" s="1"/>
  <c r="E144" i="2" s="1"/>
  <c r="H144" i="2" l="1"/>
  <c r="B144" i="2"/>
  <c r="N144" i="2"/>
  <c r="O144" i="2" s="1"/>
  <c r="D144" i="2"/>
  <c r="M144" i="2"/>
  <c r="C144" i="2"/>
  <c r="R144" i="2" l="1"/>
  <c r="Q144" i="2"/>
  <c r="J144" i="2"/>
  <c r="I144" i="2"/>
  <c r="K144" i="2"/>
  <c r="S144" i="2"/>
  <c r="L144" i="2"/>
  <c r="P144" i="2" s="1"/>
  <c r="V144" i="2" l="1"/>
  <c r="Y144" i="2" s="1"/>
  <c r="G145" i="2" s="1"/>
  <c r="U144" i="2"/>
  <c r="T144" i="2"/>
  <c r="W144" i="2" s="1"/>
  <c r="E145" i="2" s="1"/>
  <c r="X144" i="2"/>
  <c r="F145" i="2" s="1"/>
  <c r="H145" i="2" l="1"/>
  <c r="B145" i="2"/>
  <c r="N145" i="2"/>
  <c r="O145" i="2" s="1"/>
  <c r="D145" i="2"/>
  <c r="M145" i="2"/>
  <c r="C145" i="2"/>
  <c r="R145" i="2" l="1"/>
  <c r="Q145" i="2"/>
  <c r="J145" i="2"/>
  <c r="I145" i="2"/>
  <c r="K145" i="2"/>
  <c r="S145" i="2"/>
  <c r="L145" i="2"/>
  <c r="P145" i="2" s="1"/>
  <c r="V145" i="2" l="1"/>
  <c r="U145" i="2"/>
  <c r="X145" i="2" s="1"/>
  <c r="F146" i="2" s="1"/>
  <c r="T145" i="2"/>
  <c r="Y145" i="2"/>
  <c r="G146" i="2" s="1"/>
  <c r="W145" i="2"/>
  <c r="E146" i="2" s="1"/>
  <c r="C146" i="2" l="1"/>
  <c r="H146" i="2"/>
  <c r="L146" i="2" s="1"/>
  <c r="B146" i="2"/>
  <c r="D146" i="2"/>
  <c r="N146" i="2" l="1"/>
  <c r="O146" i="2" s="1"/>
  <c r="J146" i="2"/>
  <c r="I146" i="2"/>
  <c r="K146" i="2"/>
  <c r="S146" i="2"/>
  <c r="M146" i="2"/>
  <c r="R146" i="2" l="1"/>
  <c r="V146" i="2" s="1"/>
  <c r="Y146" i="2" s="1"/>
  <c r="G147" i="2" s="1"/>
  <c r="Q146" i="2"/>
  <c r="U146" i="2" s="1"/>
  <c r="X146" i="2" s="1"/>
  <c r="F147" i="2" s="1"/>
  <c r="P146" i="2"/>
  <c r="T146" i="2" s="1"/>
  <c r="W146" i="2" s="1"/>
  <c r="E147" i="2" s="1"/>
  <c r="C147" i="2" l="1"/>
  <c r="H147" i="2"/>
  <c r="L147" i="2" s="1"/>
  <c r="B147" i="2"/>
  <c r="N147" i="2"/>
  <c r="O147" i="2" s="1"/>
  <c r="D147" i="2"/>
  <c r="R147" i="2" l="1"/>
  <c r="P147" i="2"/>
  <c r="J147" i="2"/>
  <c r="S147" i="2"/>
  <c r="I147" i="2"/>
  <c r="K147" i="2"/>
  <c r="M147" i="2"/>
  <c r="Q147" i="2" s="1"/>
  <c r="V147" i="2" l="1"/>
  <c r="Y147" i="2" s="1"/>
  <c r="G148" i="2" s="1"/>
  <c r="U147" i="2"/>
  <c r="X147" i="2" s="1"/>
  <c r="F148" i="2" s="1"/>
  <c r="T147" i="2"/>
  <c r="W147" i="2" s="1"/>
  <c r="E148" i="2" s="1"/>
  <c r="H148" i="2" l="1"/>
  <c r="M148" i="2" s="1"/>
  <c r="B148" i="2"/>
  <c r="C148" i="2"/>
  <c r="N148" i="2"/>
  <c r="O148" i="2" s="1"/>
  <c r="D148" i="2"/>
  <c r="R148" i="2" l="1"/>
  <c r="Q148" i="2"/>
  <c r="I148" i="2"/>
  <c r="K148" i="2"/>
  <c r="J148" i="2"/>
  <c r="S148" i="2"/>
  <c r="L148" i="2"/>
  <c r="P148" i="2" s="1"/>
  <c r="V148" i="2" l="1"/>
  <c r="U148" i="2"/>
  <c r="X148" i="2" s="1"/>
  <c r="F149" i="2" s="1"/>
  <c r="T148" i="2"/>
  <c r="W148" i="2" s="1"/>
  <c r="E149" i="2" s="1"/>
  <c r="Y148" i="2"/>
  <c r="G149" i="2" s="1"/>
  <c r="H149" i="2" l="1"/>
  <c r="B149" i="2"/>
  <c r="M149" i="2"/>
  <c r="C149" i="2"/>
  <c r="N149" i="2"/>
  <c r="O149" i="2" s="1"/>
  <c r="D149" i="2"/>
  <c r="R149" i="2" l="1"/>
  <c r="Q149" i="2"/>
  <c r="I149" i="2"/>
  <c r="K149" i="2"/>
  <c r="J149" i="2"/>
  <c r="S149" i="2"/>
  <c r="L149" i="2"/>
  <c r="P149" i="2" s="1"/>
  <c r="V149" i="2" l="1"/>
  <c r="Y149" i="2" s="1"/>
  <c r="G150" i="2" s="1"/>
  <c r="U149" i="2"/>
  <c r="X149" i="2" s="1"/>
  <c r="F150" i="2" s="1"/>
  <c r="T149" i="2"/>
  <c r="W149" i="2" s="1"/>
  <c r="E150" i="2" s="1"/>
  <c r="H150" i="2" l="1"/>
  <c r="M150" i="2" s="1"/>
  <c r="B150" i="2"/>
  <c r="C150" i="2"/>
  <c r="D150" i="2"/>
  <c r="N150" i="2" l="1"/>
  <c r="O150" i="2" s="1"/>
  <c r="R150" i="2"/>
  <c r="Q150" i="2"/>
  <c r="S150" i="2"/>
  <c r="I150" i="2"/>
  <c r="K150" i="2"/>
  <c r="J150" i="2"/>
  <c r="L150" i="2"/>
  <c r="P150" i="2" s="1"/>
  <c r="V150" i="2" l="1"/>
  <c r="Y150" i="2" s="1"/>
  <c r="G151" i="2" s="1"/>
  <c r="U150" i="2"/>
  <c r="X150" i="2" s="1"/>
  <c r="F151" i="2" s="1"/>
  <c r="T150" i="2"/>
  <c r="W150" i="2" s="1"/>
  <c r="E151" i="2" s="1"/>
  <c r="C151" i="2" l="1"/>
  <c r="H151" i="2"/>
  <c r="L151" i="2" s="1"/>
  <c r="B151" i="2"/>
  <c r="D151" i="2"/>
  <c r="N151" i="2" l="1"/>
  <c r="O151" i="2" s="1"/>
  <c r="I151" i="2"/>
  <c r="K151" i="2"/>
  <c r="J151" i="2"/>
  <c r="S151" i="2"/>
  <c r="M151" i="2"/>
  <c r="R151" i="2" l="1"/>
  <c r="V151" i="2" s="1"/>
  <c r="Y151" i="2" s="1"/>
  <c r="G152" i="2" s="1"/>
  <c r="Q151" i="2"/>
  <c r="U151" i="2" s="1"/>
  <c r="X151" i="2" s="1"/>
  <c r="F152" i="2" s="1"/>
  <c r="P151" i="2"/>
  <c r="T151" i="2" s="1"/>
  <c r="W151" i="2" s="1"/>
  <c r="E152" i="2" s="1"/>
  <c r="C152" i="2" l="1"/>
  <c r="H152" i="2"/>
  <c r="L152" i="2" s="1"/>
  <c r="B152" i="2"/>
  <c r="N152" i="2"/>
  <c r="O152" i="2" s="1"/>
  <c r="D152" i="2"/>
  <c r="R152" i="2" l="1"/>
  <c r="P152" i="2"/>
  <c r="K152" i="2"/>
  <c r="J152" i="2"/>
  <c r="I152" i="2"/>
  <c r="S152" i="2"/>
  <c r="M152" i="2"/>
  <c r="Q152" i="2" s="1"/>
  <c r="V152" i="2" l="1"/>
  <c r="U152" i="2"/>
  <c r="X152" i="2" s="1"/>
  <c r="F153" i="2" s="1"/>
  <c r="T152" i="2"/>
  <c r="W152" i="2" s="1"/>
  <c r="E153" i="2" s="1"/>
  <c r="Y152" i="2"/>
  <c r="G153" i="2" s="1"/>
  <c r="H153" i="2" l="1"/>
  <c r="B153" i="2"/>
  <c r="M153" i="2"/>
  <c r="C153" i="2"/>
  <c r="N153" i="2"/>
  <c r="O153" i="2" s="1"/>
  <c r="D153" i="2"/>
  <c r="R153" i="2" l="1"/>
  <c r="Q153" i="2"/>
  <c r="J153" i="2"/>
  <c r="I153" i="2"/>
  <c r="K153" i="2"/>
  <c r="S153" i="2"/>
  <c r="L153" i="2"/>
  <c r="P153" i="2" s="1"/>
  <c r="V153" i="2" l="1"/>
  <c r="Y153" i="2" s="1"/>
  <c r="G154" i="2" s="1"/>
  <c r="U153" i="2"/>
  <c r="X153" i="2" s="1"/>
  <c r="F154" i="2" s="1"/>
  <c r="T153" i="2"/>
  <c r="W153" i="2" s="1"/>
  <c r="E154" i="2" s="1"/>
  <c r="C154" i="2" l="1"/>
  <c r="D154" i="2"/>
  <c r="H154" i="2"/>
  <c r="B154" i="2"/>
  <c r="J154" i="2" l="1"/>
  <c r="I154" i="2"/>
  <c r="K154" i="2"/>
  <c r="S154" i="2"/>
  <c r="N154" i="2"/>
  <c r="O154" i="2" s="1"/>
  <c r="L154" i="2"/>
  <c r="M154" i="2"/>
  <c r="R154" i="2" l="1"/>
  <c r="Q154" i="2"/>
  <c r="U154" i="2" s="1"/>
  <c r="X154" i="2" s="1"/>
  <c r="F155" i="2" s="1"/>
  <c r="P154" i="2"/>
  <c r="T154" i="2" s="1"/>
  <c r="W154" i="2" s="1"/>
  <c r="E155" i="2" s="1"/>
  <c r="V154" i="2"/>
  <c r="Y154" i="2"/>
  <c r="G155" i="2" s="1"/>
  <c r="H155" i="2" l="1"/>
  <c r="B155" i="2"/>
  <c r="M155" i="2"/>
  <c r="C155" i="2"/>
  <c r="N155" i="2"/>
  <c r="O155" i="2" s="1"/>
  <c r="D155" i="2"/>
  <c r="R155" i="2" l="1"/>
  <c r="Q155" i="2"/>
  <c r="J155" i="2"/>
  <c r="I155" i="2"/>
  <c r="K155" i="2"/>
  <c r="S155" i="2"/>
  <c r="L155" i="2"/>
  <c r="P155" i="2" s="1"/>
  <c r="V155" i="2" l="1"/>
  <c r="Y155" i="2" s="1"/>
  <c r="G156" i="2" s="1"/>
  <c r="U155" i="2"/>
  <c r="X155" i="2" s="1"/>
  <c r="F156" i="2" s="1"/>
  <c r="T155" i="2"/>
  <c r="W155" i="2" s="1"/>
  <c r="E156" i="2" s="1"/>
  <c r="H156" i="2" l="1"/>
  <c r="B156" i="2"/>
  <c r="N156" i="2"/>
  <c r="O156" i="2" s="1"/>
  <c r="D156" i="2"/>
  <c r="M156" i="2"/>
  <c r="C156" i="2"/>
  <c r="R156" i="2" l="1"/>
  <c r="Q156" i="2"/>
  <c r="J156" i="2"/>
  <c r="I156" i="2"/>
  <c r="K156" i="2"/>
  <c r="S156" i="2"/>
  <c r="L156" i="2"/>
  <c r="P156" i="2" s="1"/>
  <c r="V156" i="2" l="1"/>
  <c r="U156" i="2"/>
  <c r="T156" i="2"/>
  <c r="W156" i="2"/>
  <c r="E157" i="2" s="1"/>
  <c r="Y156" i="2"/>
  <c r="G157" i="2" s="1"/>
  <c r="X156" i="2"/>
  <c r="F157" i="2" s="1"/>
  <c r="C157" i="2" l="1"/>
  <c r="D157" i="2"/>
  <c r="H157" i="2"/>
  <c r="N157" i="2" s="1"/>
  <c r="O157" i="2" s="1"/>
  <c r="B157" i="2"/>
  <c r="R157" i="2" l="1"/>
  <c r="J157" i="2"/>
  <c r="I157" i="2"/>
  <c r="K157" i="2"/>
  <c r="S157" i="2"/>
  <c r="L157" i="2"/>
  <c r="P157" i="2" s="1"/>
  <c r="M157" i="2"/>
  <c r="Q157" i="2" s="1"/>
  <c r="V157" i="2" l="1"/>
  <c r="U157" i="2"/>
  <c r="T157" i="2"/>
  <c r="W157" i="2" s="1"/>
  <c r="E158" i="2" s="1"/>
  <c r="Y157" i="2"/>
  <c r="G158" i="2" s="1"/>
  <c r="X157" i="2"/>
  <c r="F158" i="2" s="1"/>
  <c r="H158" i="2" l="1"/>
  <c r="B158" i="2"/>
  <c r="M158" i="2"/>
  <c r="C158" i="2"/>
  <c r="N158" i="2"/>
  <c r="O158" i="2" s="1"/>
  <c r="D158" i="2"/>
  <c r="R158" i="2" l="1"/>
  <c r="Q158" i="2"/>
  <c r="J158" i="2"/>
  <c r="I158" i="2"/>
  <c r="K158" i="2"/>
  <c r="S158" i="2"/>
  <c r="L158" i="2"/>
  <c r="P158" i="2" s="1"/>
  <c r="V158" i="2" l="1"/>
  <c r="U158" i="2"/>
  <c r="T158" i="2"/>
  <c r="Y158" i="2"/>
  <c r="G159" i="2" s="1"/>
  <c r="W158" i="2"/>
  <c r="E159" i="2" s="1"/>
  <c r="X158" i="2"/>
  <c r="F159" i="2" s="1"/>
  <c r="H159" i="2" l="1"/>
  <c r="B159" i="2"/>
  <c r="M159" i="2"/>
  <c r="C159" i="2"/>
  <c r="N159" i="2"/>
  <c r="O159" i="2" s="1"/>
  <c r="D159" i="2"/>
  <c r="R159" i="2" l="1"/>
  <c r="Q159" i="2"/>
  <c r="J159" i="2"/>
  <c r="S159" i="2"/>
  <c r="I159" i="2"/>
  <c r="K159" i="2"/>
  <c r="L159" i="2"/>
  <c r="P159" i="2" s="1"/>
  <c r="V159" i="2" l="1"/>
  <c r="Y159" i="2" s="1"/>
  <c r="G160" i="2" s="1"/>
  <c r="U159" i="2"/>
  <c r="X159" i="2" s="1"/>
  <c r="F160" i="2" s="1"/>
  <c r="T159" i="2"/>
  <c r="W159" i="2" s="1"/>
  <c r="E160" i="2" s="1"/>
  <c r="H160" i="2" l="1"/>
  <c r="B160" i="2"/>
  <c r="M160" i="2"/>
  <c r="C160" i="2"/>
  <c r="N160" i="2"/>
  <c r="O160" i="2" s="1"/>
  <c r="D160" i="2"/>
  <c r="R160" i="2" l="1"/>
  <c r="Q160" i="2"/>
  <c r="I160" i="2"/>
  <c r="K160" i="2"/>
  <c r="J160" i="2"/>
  <c r="S160" i="2"/>
  <c r="L160" i="2"/>
  <c r="P160" i="2" s="1"/>
  <c r="V160" i="2" l="1"/>
  <c r="U160" i="2"/>
  <c r="T160" i="2"/>
  <c r="Y160" i="2"/>
  <c r="G161" i="2" s="1"/>
  <c r="X160" i="2"/>
  <c r="F161" i="2" s="1"/>
  <c r="W160" i="2"/>
  <c r="E161" i="2" s="1"/>
  <c r="C161" i="2" l="1"/>
  <c r="H161" i="2"/>
  <c r="L161" i="2" s="1"/>
  <c r="B161" i="2"/>
  <c r="D161" i="2"/>
  <c r="N161" i="2" l="1"/>
  <c r="O161" i="2" s="1"/>
  <c r="R161" i="2" s="1"/>
  <c r="I161" i="2"/>
  <c r="K161" i="2"/>
  <c r="J161" i="2"/>
  <c r="S161" i="2"/>
  <c r="M161" i="2"/>
  <c r="Q161" i="2" s="1"/>
  <c r="P161" i="2" l="1"/>
  <c r="V161" i="2"/>
  <c r="U161" i="2"/>
  <c r="T161" i="2"/>
  <c r="X161" i="2"/>
  <c r="F162" i="2" s="1"/>
  <c r="Y161" i="2"/>
  <c r="G162" i="2" s="1"/>
  <c r="W161" i="2"/>
  <c r="E162" i="2" s="1"/>
  <c r="D162" i="2" l="1"/>
  <c r="H162" i="2"/>
  <c r="L162" i="2" s="1"/>
  <c r="B162" i="2"/>
  <c r="M162" i="2"/>
  <c r="C162" i="2"/>
  <c r="S162" i="2" l="1"/>
  <c r="I162" i="2"/>
  <c r="K162" i="2"/>
  <c r="J162" i="2"/>
  <c r="N162" i="2"/>
  <c r="O162" i="2" s="1"/>
  <c r="R162" i="2" l="1"/>
  <c r="Q162" i="2"/>
  <c r="P162" i="2"/>
  <c r="V162" i="2"/>
  <c r="Y162" i="2" s="1"/>
  <c r="G163" i="2" s="1"/>
  <c r="U162" i="2"/>
  <c r="X162" i="2" s="1"/>
  <c r="F163" i="2" s="1"/>
  <c r="T162" i="2"/>
  <c r="W162" i="2" s="1"/>
  <c r="E163" i="2" s="1"/>
  <c r="H163" i="2" l="1"/>
  <c r="B163" i="2"/>
  <c r="M163" i="2"/>
  <c r="C163" i="2"/>
  <c r="N163" i="2"/>
  <c r="O163" i="2" s="1"/>
  <c r="D163" i="2"/>
  <c r="R163" i="2" l="1"/>
  <c r="Q163" i="2"/>
  <c r="I163" i="2"/>
  <c r="K163" i="2"/>
  <c r="J163" i="2"/>
  <c r="S163" i="2"/>
  <c r="L163" i="2"/>
  <c r="P163" i="2" s="1"/>
  <c r="V163" i="2" l="1"/>
  <c r="Y163" i="2" s="1"/>
  <c r="G164" i="2" s="1"/>
  <c r="U163" i="2"/>
  <c r="X163" i="2" s="1"/>
  <c r="F164" i="2" s="1"/>
  <c r="T163" i="2"/>
  <c r="W163" i="2" s="1"/>
  <c r="E164" i="2" s="1"/>
  <c r="C164" i="2" l="1"/>
  <c r="D164" i="2"/>
  <c r="H164" i="2"/>
  <c r="L164" i="2" s="1"/>
  <c r="B164" i="2"/>
  <c r="K164" i="2" l="1"/>
  <c r="J164" i="2"/>
  <c r="S164" i="2"/>
  <c r="I164" i="2"/>
  <c r="N164" i="2"/>
  <c r="O164" i="2" s="1"/>
  <c r="M164" i="2"/>
  <c r="R164" i="2" l="1"/>
  <c r="Q164" i="2"/>
  <c r="U164" i="2" s="1"/>
  <c r="X164" i="2" s="1"/>
  <c r="F165" i="2" s="1"/>
  <c r="P164" i="2"/>
  <c r="V164" i="2"/>
  <c r="Y164" i="2" s="1"/>
  <c r="G165" i="2" s="1"/>
  <c r="T164" i="2"/>
  <c r="W164" i="2" s="1"/>
  <c r="E165" i="2" s="1"/>
  <c r="D165" i="2" l="1"/>
  <c r="H165" i="2"/>
  <c r="L165" i="2" s="1"/>
  <c r="B165" i="2"/>
  <c r="C165" i="2"/>
  <c r="M165" i="2" l="1"/>
  <c r="J165" i="2"/>
  <c r="S165" i="2"/>
  <c r="I165" i="2"/>
  <c r="K165" i="2"/>
  <c r="N165" i="2"/>
  <c r="O165" i="2" s="1"/>
  <c r="R165" i="2" l="1"/>
  <c r="V165" i="2" s="1"/>
  <c r="Y165" i="2" s="1"/>
  <c r="G166" i="2" s="1"/>
  <c r="Q165" i="2"/>
  <c r="U165" i="2" s="1"/>
  <c r="X165" i="2" s="1"/>
  <c r="F166" i="2" s="1"/>
  <c r="P165" i="2"/>
  <c r="T165" i="2" s="1"/>
  <c r="W165" i="2" s="1"/>
  <c r="E166" i="2" s="1"/>
  <c r="C166" i="2" l="1"/>
  <c r="H166" i="2"/>
  <c r="L166" i="2" s="1"/>
  <c r="B166" i="2"/>
  <c r="N166" i="2"/>
  <c r="O166" i="2" s="1"/>
  <c r="D166" i="2"/>
  <c r="R166" i="2" l="1"/>
  <c r="P166" i="2"/>
  <c r="J166" i="2"/>
  <c r="I166" i="2"/>
  <c r="S166" i="2"/>
  <c r="K166" i="2"/>
  <c r="M166" i="2"/>
  <c r="Q166" i="2" s="1"/>
  <c r="V166" i="2" l="1"/>
  <c r="U166" i="2"/>
  <c r="T166" i="2"/>
  <c r="W166" i="2" s="1"/>
  <c r="E167" i="2" s="1"/>
  <c r="Y166" i="2"/>
  <c r="G167" i="2" s="1"/>
  <c r="X166" i="2"/>
  <c r="F167" i="2" s="1"/>
  <c r="H167" i="2" l="1"/>
  <c r="B167" i="2"/>
  <c r="M167" i="2"/>
  <c r="C167" i="2"/>
  <c r="N167" i="2"/>
  <c r="O167" i="2" s="1"/>
  <c r="D167" i="2"/>
  <c r="R167" i="2" l="1"/>
  <c r="Q167" i="2"/>
  <c r="J167" i="2"/>
  <c r="I167" i="2"/>
  <c r="K167" i="2"/>
  <c r="S167" i="2"/>
  <c r="L167" i="2"/>
  <c r="P167" i="2" s="1"/>
  <c r="V167" i="2" l="1"/>
  <c r="U167" i="2"/>
  <c r="X167" i="2" s="1"/>
  <c r="F168" i="2" s="1"/>
  <c r="T167" i="2"/>
  <c r="W167" i="2" s="1"/>
  <c r="E168" i="2" s="1"/>
  <c r="Y167" i="2"/>
  <c r="G168" i="2" s="1"/>
  <c r="H168" i="2" l="1"/>
  <c r="B168" i="2"/>
  <c r="M168" i="2"/>
  <c r="C168" i="2"/>
  <c r="N168" i="2"/>
  <c r="O168" i="2" s="1"/>
  <c r="D168" i="2"/>
  <c r="R168" i="2" l="1"/>
  <c r="Q168" i="2"/>
  <c r="J168" i="2"/>
  <c r="I168" i="2"/>
  <c r="K168" i="2"/>
  <c r="S168" i="2"/>
  <c r="L168" i="2"/>
  <c r="P168" i="2" s="1"/>
  <c r="V168" i="2" l="1"/>
  <c r="Y168" i="2" s="1"/>
  <c r="G169" i="2" s="1"/>
  <c r="U168" i="2"/>
  <c r="T168" i="2"/>
  <c r="W168" i="2" s="1"/>
  <c r="E169" i="2" s="1"/>
  <c r="X168" i="2"/>
  <c r="F169" i="2" s="1"/>
  <c r="H169" i="2" l="1"/>
  <c r="B169" i="2"/>
  <c r="N169" i="2"/>
  <c r="O169" i="2" s="1"/>
  <c r="D169" i="2"/>
  <c r="M169" i="2"/>
  <c r="C169" i="2"/>
  <c r="R169" i="2" l="1"/>
  <c r="Q169" i="2"/>
  <c r="J169" i="2"/>
  <c r="I169" i="2"/>
  <c r="K169" i="2"/>
  <c r="S169" i="2"/>
  <c r="L169" i="2"/>
  <c r="P169" i="2" s="1"/>
  <c r="V169" i="2" l="1"/>
  <c r="Y169" i="2" s="1"/>
  <c r="G170" i="2" s="1"/>
  <c r="U169" i="2"/>
  <c r="T169" i="2"/>
  <c r="W169" i="2" s="1"/>
  <c r="E170" i="2" s="1"/>
  <c r="X169" i="2"/>
  <c r="F170" i="2" s="1"/>
  <c r="H170" i="2" l="1"/>
  <c r="B170" i="2"/>
  <c r="N170" i="2"/>
  <c r="O170" i="2" s="1"/>
  <c r="D170" i="2"/>
  <c r="M170" i="2"/>
  <c r="C170" i="2"/>
  <c r="R170" i="2" l="1"/>
  <c r="Q170" i="2"/>
  <c r="K170" i="2"/>
  <c r="J170" i="2"/>
  <c r="I170" i="2"/>
  <c r="S170" i="2"/>
  <c r="L170" i="2"/>
  <c r="P170" i="2" s="1"/>
  <c r="V170" i="2" l="1"/>
  <c r="U170" i="2"/>
  <c r="T170" i="2"/>
  <c r="W170" i="2" s="1"/>
  <c r="E171" i="2" s="1"/>
  <c r="X170" i="2"/>
  <c r="F171" i="2" s="1"/>
  <c r="Y170" i="2"/>
  <c r="G171" i="2" s="1"/>
  <c r="H171" i="2" l="1"/>
  <c r="B171" i="2"/>
  <c r="N171" i="2"/>
  <c r="O171" i="2" s="1"/>
  <c r="D171" i="2"/>
  <c r="M171" i="2"/>
  <c r="C171" i="2"/>
  <c r="R171" i="2" l="1"/>
  <c r="Q171" i="2"/>
  <c r="J171" i="2"/>
  <c r="S171" i="2"/>
  <c r="I171" i="2"/>
  <c r="K171" i="2"/>
  <c r="L171" i="2"/>
  <c r="P171" i="2" s="1"/>
  <c r="V171" i="2" l="1"/>
  <c r="U171" i="2"/>
  <c r="T171" i="2"/>
  <c r="W171" i="2"/>
  <c r="E172" i="2" s="1"/>
  <c r="Y171" i="2"/>
  <c r="G172" i="2" s="1"/>
  <c r="X171" i="2"/>
  <c r="F172" i="2" s="1"/>
  <c r="D172" i="2" l="1"/>
  <c r="C172" i="2"/>
  <c r="H172" i="2"/>
  <c r="B172" i="2"/>
  <c r="I172" i="2" l="1"/>
  <c r="K172" i="2"/>
  <c r="J172" i="2"/>
  <c r="S172" i="2"/>
  <c r="L172" i="2"/>
  <c r="M172" i="2"/>
  <c r="N172" i="2"/>
  <c r="O172" i="2" s="1"/>
  <c r="R172" i="2" l="1"/>
  <c r="Q172" i="2"/>
  <c r="P172" i="2"/>
  <c r="T172" i="2" s="1"/>
  <c r="W172" i="2" s="1"/>
  <c r="E173" i="2" s="1"/>
  <c r="V172" i="2"/>
  <c r="Y172" i="2" s="1"/>
  <c r="G173" i="2" s="1"/>
  <c r="U172" i="2"/>
  <c r="X172" i="2" s="1"/>
  <c r="F173" i="2" s="1"/>
  <c r="D173" i="2" l="1"/>
  <c r="H173" i="2"/>
  <c r="L173" i="2" s="1"/>
  <c r="B173" i="2"/>
  <c r="M173" i="2"/>
  <c r="C173" i="2"/>
  <c r="I173" i="2" l="1"/>
  <c r="K173" i="2"/>
  <c r="J173" i="2"/>
  <c r="S173" i="2"/>
  <c r="N173" i="2"/>
  <c r="O173" i="2" s="1"/>
  <c r="R173" i="2" l="1"/>
  <c r="V173" i="2" s="1"/>
  <c r="Y173" i="2" s="1"/>
  <c r="G174" i="2" s="1"/>
  <c r="Q173" i="2"/>
  <c r="U173" i="2" s="1"/>
  <c r="X173" i="2" s="1"/>
  <c r="F174" i="2" s="1"/>
  <c r="P173" i="2"/>
  <c r="T173" i="2" s="1"/>
  <c r="W173" i="2" s="1"/>
  <c r="E174" i="2" s="1"/>
  <c r="C174" i="2" l="1"/>
  <c r="H174" i="2"/>
  <c r="L174" i="2" s="1"/>
  <c r="B174" i="2"/>
  <c r="D174" i="2"/>
  <c r="N174" i="2" l="1"/>
  <c r="O174" i="2" s="1"/>
  <c r="R174" i="2"/>
  <c r="P174" i="2"/>
  <c r="S174" i="2"/>
  <c r="I174" i="2"/>
  <c r="K174" i="2"/>
  <c r="J174" i="2"/>
  <c r="M174" i="2"/>
  <c r="Q174" i="2" s="1"/>
  <c r="V174" i="2" l="1"/>
  <c r="Y174" i="2" s="1"/>
  <c r="G175" i="2" s="1"/>
  <c r="U174" i="2"/>
  <c r="X174" i="2" s="1"/>
  <c r="F175" i="2" s="1"/>
  <c r="T174" i="2"/>
  <c r="W174" i="2" s="1"/>
  <c r="E175" i="2" s="1"/>
  <c r="H175" i="2" l="1"/>
  <c r="B175" i="2"/>
  <c r="M175" i="2"/>
  <c r="C175" i="2"/>
  <c r="N175" i="2"/>
  <c r="O175" i="2" s="1"/>
  <c r="D175" i="2"/>
  <c r="R175" i="2" l="1"/>
  <c r="Q175" i="2"/>
  <c r="I175" i="2"/>
  <c r="K175" i="2"/>
  <c r="J175" i="2"/>
  <c r="S175" i="2"/>
  <c r="L175" i="2"/>
  <c r="P175" i="2" s="1"/>
  <c r="V175" i="2" l="1"/>
  <c r="U175" i="2"/>
  <c r="X175" i="2" s="1"/>
  <c r="F176" i="2" s="1"/>
  <c r="T175" i="2"/>
  <c r="Y175" i="2"/>
  <c r="G176" i="2" s="1"/>
  <c r="W175" i="2"/>
  <c r="E176" i="2" s="1"/>
  <c r="C176" i="2" l="1"/>
  <c r="H176" i="2"/>
  <c r="L176" i="2" s="1"/>
  <c r="B176" i="2"/>
  <c r="D176" i="2"/>
  <c r="N176" i="2" l="1"/>
  <c r="O176" i="2" s="1"/>
  <c r="R176" i="2"/>
  <c r="P176" i="2"/>
  <c r="K176" i="2"/>
  <c r="J176" i="2"/>
  <c r="S176" i="2"/>
  <c r="I176" i="2"/>
  <c r="M176" i="2"/>
  <c r="Q176" i="2" s="1"/>
  <c r="V176" i="2" l="1"/>
  <c r="U176" i="2"/>
  <c r="T176" i="2"/>
  <c r="Y176" i="2"/>
  <c r="G177" i="2" s="1"/>
  <c r="W176" i="2"/>
  <c r="E177" i="2" s="1"/>
  <c r="X176" i="2"/>
  <c r="F177" i="2" s="1"/>
  <c r="H177" i="2" l="1"/>
  <c r="B177" i="2"/>
  <c r="M177" i="2"/>
  <c r="C177" i="2"/>
  <c r="N177" i="2"/>
  <c r="O177" i="2" s="1"/>
  <c r="D177" i="2"/>
  <c r="R177" i="2" l="1"/>
  <c r="Q177" i="2"/>
  <c r="K177" i="2"/>
  <c r="J177" i="2"/>
  <c r="S177" i="2"/>
  <c r="I177" i="2"/>
  <c r="L177" i="2"/>
  <c r="P177" i="2" s="1"/>
  <c r="V177" i="2" l="1"/>
  <c r="Y177" i="2" s="1"/>
  <c r="G178" i="2" s="1"/>
  <c r="U177" i="2"/>
  <c r="X177" i="2" s="1"/>
  <c r="F178" i="2" s="1"/>
  <c r="T177" i="2"/>
  <c r="W177" i="2" s="1"/>
  <c r="E178" i="2" s="1"/>
  <c r="H178" i="2" l="1"/>
  <c r="B178" i="2"/>
  <c r="M178" i="2"/>
  <c r="C178" i="2"/>
  <c r="N178" i="2"/>
  <c r="O178" i="2" s="1"/>
  <c r="D178" i="2"/>
  <c r="R178" i="2" l="1"/>
  <c r="Q178" i="2"/>
  <c r="J178" i="2"/>
  <c r="I178" i="2"/>
  <c r="S178" i="2"/>
  <c r="K178" i="2"/>
  <c r="L178" i="2"/>
  <c r="P178" i="2" s="1"/>
  <c r="V178" i="2" l="1"/>
  <c r="U178" i="2"/>
  <c r="T178" i="2"/>
  <c r="W178" i="2"/>
  <c r="E179" i="2" s="1"/>
  <c r="Y178" i="2"/>
  <c r="G179" i="2" s="1"/>
  <c r="X178" i="2"/>
  <c r="F179" i="2" s="1"/>
  <c r="D179" i="2" l="1"/>
  <c r="C179" i="2"/>
  <c r="H179" i="2"/>
  <c r="M179" i="2" s="1"/>
  <c r="B179" i="2"/>
  <c r="J179" i="2" l="1"/>
  <c r="I179" i="2"/>
  <c r="S179" i="2"/>
  <c r="K179" i="2"/>
  <c r="L179" i="2"/>
  <c r="N179" i="2"/>
  <c r="O179" i="2" s="1"/>
  <c r="R179" i="2" l="1"/>
  <c r="Q179" i="2"/>
  <c r="U179" i="2" s="1"/>
  <c r="X179" i="2" s="1"/>
  <c r="F180" i="2" s="1"/>
  <c r="P179" i="2"/>
  <c r="T179" i="2" s="1"/>
  <c r="W179" i="2" s="1"/>
  <c r="E180" i="2" s="1"/>
  <c r="V179" i="2"/>
  <c r="Y179" i="2" s="1"/>
  <c r="G180" i="2" s="1"/>
  <c r="D180" i="2" l="1"/>
  <c r="H180" i="2"/>
  <c r="L180" i="2" s="1"/>
  <c r="B180" i="2"/>
  <c r="M180" i="2"/>
  <c r="C180" i="2"/>
  <c r="J180" i="2" l="1"/>
  <c r="I180" i="2"/>
  <c r="K180" i="2"/>
  <c r="S180" i="2"/>
  <c r="N180" i="2"/>
  <c r="O180" i="2" s="1"/>
  <c r="R180" i="2" l="1"/>
  <c r="V180" i="2" s="1"/>
  <c r="Y180" i="2" s="1"/>
  <c r="G181" i="2" s="1"/>
  <c r="Q180" i="2"/>
  <c r="U180" i="2" s="1"/>
  <c r="X180" i="2" s="1"/>
  <c r="F181" i="2" s="1"/>
  <c r="P180" i="2"/>
  <c r="T180" i="2" s="1"/>
  <c r="W180" i="2" s="1"/>
  <c r="E181" i="2" s="1"/>
  <c r="C181" i="2" l="1"/>
  <c r="H181" i="2"/>
  <c r="L181" i="2" s="1"/>
  <c r="B181" i="2"/>
  <c r="D181" i="2"/>
  <c r="N181" i="2" l="1"/>
  <c r="O181" i="2" s="1"/>
  <c r="R181" i="2"/>
  <c r="P181" i="2"/>
  <c r="J181" i="2"/>
  <c r="I181" i="2"/>
  <c r="K181" i="2"/>
  <c r="S181" i="2"/>
  <c r="M181" i="2"/>
  <c r="Q181" i="2" s="1"/>
  <c r="V181" i="2" l="1"/>
  <c r="Y181" i="2" s="1"/>
  <c r="G182" i="2" s="1"/>
  <c r="U181" i="2"/>
  <c r="X181" i="2" s="1"/>
  <c r="F182" i="2" s="1"/>
  <c r="T181" i="2"/>
  <c r="W181" i="2" s="1"/>
  <c r="E182" i="2" s="1"/>
  <c r="C182" i="2" l="1"/>
  <c r="D182" i="2"/>
  <c r="H182" i="2"/>
  <c r="B182" i="2"/>
  <c r="K182" i="2" l="1"/>
  <c r="J182" i="2"/>
  <c r="I182" i="2"/>
  <c r="S182" i="2"/>
  <c r="N182" i="2"/>
  <c r="O182" i="2" s="1"/>
  <c r="L182" i="2"/>
  <c r="M182" i="2"/>
  <c r="R182" i="2" l="1"/>
  <c r="Q182" i="2"/>
  <c r="U182" i="2" s="1"/>
  <c r="X182" i="2" s="1"/>
  <c r="F183" i="2" s="1"/>
  <c r="P182" i="2"/>
  <c r="T182" i="2" s="1"/>
  <c r="W182" i="2" s="1"/>
  <c r="E183" i="2" s="1"/>
  <c r="V182" i="2"/>
  <c r="Y182" i="2"/>
  <c r="G183" i="2" s="1"/>
  <c r="C183" i="2" l="1"/>
  <c r="H183" i="2"/>
  <c r="N183" i="2" s="1"/>
  <c r="O183" i="2" s="1"/>
  <c r="B183" i="2"/>
  <c r="D183" i="2"/>
  <c r="R183" i="2" l="1"/>
  <c r="J183" i="2"/>
  <c r="S183" i="2"/>
  <c r="I183" i="2"/>
  <c r="K183" i="2"/>
  <c r="L183" i="2"/>
  <c r="P183" i="2" s="1"/>
  <c r="M183" i="2"/>
  <c r="Q183" i="2" s="1"/>
  <c r="V183" i="2" l="1"/>
  <c r="U183" i="2"/>
  <c r="T183" i="2"/>
  <c r="W183" i="2" s="1"/>
  <c r="E184" i="2" s="1"/>
  <c r="Y183" i="2"/>
  <c r="G184" i="2" s="1"/>
  <c r="X183" i="2"/>
  <c r="F184" i="2" s="1"/>
  <c r="H184" i="2" l="1"/>
  <c r="B184" i="2"/>
  <c r="M184" i="2"/>
  <c r="C184" i="2"/>
  <c r="N184" i="2"/>
  <c r="O184" i="2" s="1"/>
  <c r="D184" i="2"/>
  <c r="R184" i="2" l="1"/>
  <c r="Q184" i="2"/>
  <c r="I184" i="2"/>
  <c r="K184" i="2"/>
  <c r="S184" i="2"/>
  <c r="J184" i="2"/>
  <c r="L184" i="2"/>
  <c r="P184" i="2" s="1"/>
  <c r="V184" i="2" l="1"/>
  <c r="U184" i="2"/>
  <c r="T184" i="2"/>
  <c r="Y184" i="2"/>
  <c r="G185" i="2" s="1"/>
  <c r="X184" i="2"/>
  <c r="F185" i="2" s="1"/>
  <c r="W184" i="2"/>
  <c r="E185" i="2" s="1"/>
  <c r="C185" i="2" l="1"/>
  <c r="H185" i="2"/>
  <c r="L185" i="2" s="1"/>
  <c r="B185" i="2"/>
  <c r="D185" i="2"/>
  <c r="N185" i="2" l="1"/>
  <c r="O185" i="2" s="1"/>
  <c r="R185" i="2"/>
  <c r="P185" i="2"/>
  <c r="I185" i="2"/>
  <c r="K185" i="2"/>
  <c r="S185" i="2"/>
  <c r="J185" i="2"/>
  <c r="M185" i="2"/>
  <c r="Q185" i="2" s="1"/>
  <c r="V185" i="2" l="1"/>
  <c r="U185" i="2"/>
  <c r="T185" i="2"/>
  <c r="W185" i="2" s="1"/>
  <c r="E186" i="2" s="1"/>
  <c r="X185" i="2"/>
  <c r="F186" i="2" s="1"/>
  <c r="Y185" i="2"/>
  <c r="G186" i="2" s="1"/>
  <c r="H186" i="2" l="1"/>
  <c r="B186" i="2"/>
  <c r="N186" i="2"/>
  <c r="O186" i="2" s="1"/>
  <c r="D186" i="2"/>
  <c r="M186" i="2"/>
  <c r="C186" i="2"/>
  <c r="R186" i="2" l="1"/>
  <c r="Q186" i="2"/>
  <c r="S186" i="2"/>
  <c r="I186" i="2"/>
  <c r="K186" i="2"/>
  <c r="J186" i="2"/>
  <c r="L186" i="2"/>
  <c r="P186" i="2" s="1"/>
  <c r="V186" i="2" l="1"/>
  <c r="Y186" i="2" s="1"/>
  <c r="G187" i="2" s="1"/>
  <c r="U186" i="2"/>
  <c r="X186" i="2" s="1"/>
  <c r="F187" i="2" s="1"/>
  <c r="T186" i="2"/>
  <c r="W186" i="2" s="1"/>
  <c r="E187" i="2" s="1"/>
  <c r="C187" i="2" l="1"/>
  <c r="H187" i="2"/>
  <c r="L187" i="2" s="1"/>
  <c r="B187" i="2"/>
  <c r="D187" i="2"/>
  <c r="N187" i="2" l="1"/>
  <c r="O187" i="2" s="1"/>
  <c r="R187" i="2"/>
  <c r="P187" i="2"/>
  <c r="I187" i="2"/>
  <c r="K187" i="2"/>
  <c r="J187" i="2"/>
  <c r="S187" i="2"/>
  <c r="M187" i="2"/>
  <c r="Q187" i="2" s="1"/>
  <c r="V187" i="2" l="1"/>
  <c r="U187" i="2"/>
  <c r="X187" i="2" s="1"/>
  <c r="F188" i="2" s="1"/>
  <c r="T187" i="2"/>
  <c r="W187" i="2" s="1"/>
  <c r="E188" i="2" s="1"/>
  <c r="Y187" i="2"/>
  <c r="G188" i="2" s="1"/>
  <c r="H188" i="2" l="1"/>
  <c r="B188" i="2"/>
  <c r="M188" i="2"/>
  <c r="C188" i="2"/>
  <c r="N188" i="2"/>
  <c r="O188" i="2" s="1"/>
  <c r="D188" i="2"/>
  <c r="R188" i="2" l="1"/>
  <c r="Q188" i="2"/>
  <c r="K188" i="2"/>
  <c r="J188" i="2"/>
  <c r="I188" i="2"/>
  <c r="S188" i="2"/>
  <c r="L188" i="2"/>
  <c r="P188" i="2" s="1"/>
  <c r="V188" i="2" l="1"/>
  <c r="Y188" i="2" s="1"/>
  <c r="G189" i="2" s="1"/>
  <c r="U188" i="2"/>
  <c r="T188" i="2"/>
  <c r="W188" i="2" s="1"/>
  <c r="E189" i="2" s="1"/>
  <c r="X188" i="2"/>
  <c r="F189" i="2" s="1"/>
  <c r="H189" i="2" l="1"/>
  <c r="B189" i="2"/>
  <c r="N189" i="2"/>
  <c r="O189" i="2" s="1"/>
  <c r="D189" i="2"/>
  <c r="M189" i="2"/>
  <c r="C189" i="2"/>
  <c r="R189" i="2" l="1"/>
  <c r="Q189" i="2"/>
  <c r="K189" i="2"/>
  <c r="J189" i="2"/>
  <c r="S189" i="2"/>
  <c r="I189" i="2"/>
  <c r="L189" i="2"/>
  <c r="P189" i="2" s="1"/>
  <c r="V189" i="2" l="1"/>
  <c r="U189" i="2"/>
  <c r="T189" i="2"/>
  <c r="W189" i="2"/>
  <c r="E190" i="2" s="1"/>
  <c r="X189" i="2"/>
  <c r="F190" i="2" s="1"/>
  <c r="Y189" i="2"/>
  <c r="G190" i="2" s="1"/>
  <c r="C190" i="2" l="1"/>
  <c r="D190" i="2"/>
  <c r="H190" i="2"/>
  <c r="B190" i="2"/>
  <c r="K190" i="2" l="1"/>
  <c r="J190" i="2"/>
  <c r="I190" i="2"/>
  <c r="S190" i="2"/>
  <c r="L190" i="2"/>
  <c r="N190" i="2"/>
  <c r="O190" i="2" s="1"/>
  <c r="M190" i="2"/>
  <c r="R190" i="2" l="1"/>
  <c r="Q190" i="2"/>
  <c r="P190" i="2"/>
  <c r="T190" i="2" s="1"/>
  <c r="W190" i="2" s="1"/>
  <c r="E191" i="2" s="1"/>
  <c r="V190" i="2"/>
  <c r="U190" i="2"/>
  <c r="X190" i="2" s="1"/>
  <c r="F191" i="2" s="1"/>
  <c r="Y190" i="2"/>
  <c r="G191" i="2" s="1"/>
  <c r="C191" i="2" l="1"/>
  <c r="H191" i="2"/>
  <c r="L191" i="2" s="1"/>
  <c r="B191" i="2"/>
  <c r="D191" i="2"/>
  <c r="N191" i="2" l="1"/>
  <c r="O191" i="2" s="1"/>
  <c r="J191" i="2"/>
  <c r="I191" i="2"/>
  <c r="S191" i="2"/>
  <c r="K191" i="2"/>
  <c r="M191" i="2"/>
  <c r="R191" i="2" l="1"/>
  <c r="V191" i="2" s="1"/>
  <c r="Y191" i="2" s="1"/>
  <c r="G192" i="2" s="1"/>
  <c r="Q191" i="2"/>
  <c r="U191" i="2" s="1"/>
  <c r="X191" i="2" s="1"/>
  <c r="F192" i="2" s="1"/>
  <c r="P191" i="2"/>
  <c r="T191" i="2" s="1"/>
  <c r="W191" i="2" s="1"/>
  <c r="E192" i="2" s="1"/>
  <c r="C192" i="2" l="1"/>
  <c r="H192" i="2"/>
  <c r="L192" i="2" s="1"/>
  <c r="B192" i="2"/>
  <c r="D192" i="2"/>
  <c r="N192" i="2" l="1"/>
  <c r="O192" i="2" s="1"/>
  <c r="J192" i="2"/>
  <c r="I192" i="2"/>
  <c r="S192" i="2"/>
  <c r="K192" i="2"/>
  <c r="M192" i="2"/>
  <c r="R192" i="2" l="1"/>
  <c r="V192" i="2" s="1"/>
  <c r="Y192" i="2" s="1"/>
  <c r="G193" i="2" s="1"/>
  <c r="Q192" i="2"/>
  <c r="U192" i="2" s="1"/>
  <c r="X192" i="2" s="1"/>
  <c r="F193" i="2" s="1"/>
  <c r="P192" i="2"/>
  <c r="T192" i="2" s="1"/>
  <c r="W192" i="2" s="1"/>
  <c r="E193" i="2" s="1"/>
  <c r="C193" i="2" l="1"/>
  <c r="H193" i="2"/>
  <c r="L193" i="2" s="1"/>
  <c r="B193" i="2"/>
  <c r="D193" i="2"/>
  <c r="N193" i="2" l="1"/>
  <c r="O193" i="2" s="1"/>
  <c r="R193" i="2"/>
  <c r="P193" i="2"/>
  <c r="J193" i="2"/>
  <c r="I193" i="2"/>
  <c r="K193" i="2"/>
  <c r="S193" i="2"/>
  <c r="M193" i="2"/>
  <c r="Q193" i="2" s="1"/>
  <c r="V193" i="2" l="1"/>
  <c r="Y193" i="2" s="1"/>
  <c r="G194" i="2" s="1"/>
  <c r="U193" i="2"/>
  <c r="X193" i="2" s="1"/>
  <c r="F194" i="2" s="1"/>
  <c r="T193" i="2"/>
  <c r="W193" i="2" s="1"/>
  <c r="E194" i="2" s="1"/>
  <c r="C194" i="2" l="1"/>
  <c r="D194" i="2"/>
  <c r="H194" i="2"/>
  <c r="N194" i="2" s="1"/>
  <c r="O194" i="2" s="1"/>
  <c r="B194" i="2"/>
  <c r="R194" i="2" l="1"/>
  <c r="K194" i="2"/>
  <c r="J194" i="2"/>
  <c r="I194" i="2"/>
  <c r="S194" i="2"/>
  <c r="L194" i="2"/>
  <c r="P194" i="2" s="1"/>
  <c r="M194" i="2"/>
  <c r="Q194" i="2" s="1"/>
  <c r="V194" i="2" l="1"/>
  <c r="Y194" i="2" s="1"/>
  <c r="G195" i="2" s="1"/>
  <c r="U194" i="2"/>
  <c r="T194" i="2"/>
  <c r="W194" i="2" s="1"/>
  <c r="E195" i="2" s="1"/>
  <c r="X194" i="2"/>
  <c r="F195" i="2" s="1"/>
  <c r="H195" i="2" l="1"/>
  <c r="B195" i="2"/>
  <c r="N195" i="2"/>
  <c r="O195" i="2" s="1"/>
  <c r="D195" i="2"/>
  <c r="M195" i="2"/>
  <c r="C195" i="2"/>
  <c r="R195" i="2" l="1"/>
  <c r="Q195" i="2"/>
  <c r="J195" i="2"/>
  <c r="S195" i="2"/>
  <c r="I195" i="2"/>
  <c r="K195" i="2"/>
  <c r="L195" i="2"/>
  <c r="P195" i="2" s="1"/>
  <c r="V195" i="2" l="1"/>
  <c r="Y195" i="2" s="1"/>
  <c r="G196" i="2" s="1"/>
  <c r="U195" i="2"/>
  <c r="T195" i="2"/>
  <c r="W195" i="2" s="1"/>
  <c r="E196" i="2" s="1"/>
  <c r="X195" i="2"/>
  <c r="F196" i="2" s="1"/>
  <c r="H196" i="2" l="1"/>
  <c r="B196" i="2"/>
  <c r="N196" i="2"/>
  <c r="O196" i="2" s="1"/>
  <c r="D196" i="2"/>
  <c r="M196" i="2"/>
  <c r="C196" i="2"/>
  <c r="R196" i="2" l="1"/>
  <c r="Q196" i="2"/>
  <c r="I196" i="2"/>
  <c r="K196" i="2"/>
  <c r="S196" i="2"/>
  <c r="J196" i="2"/>
  <c r="L196" i="2"/>
  <c r="P196" i="2" s="1"/>
  <c r="V196" i="2" l="1"/>
  <c r="U196" i="2"/>
  <c r="X196" i="2" s="1"/>
  <c r="F197" i="2" s="1"/>
  <c r="T196" i="2"/>
  <c r="Y196" i="2"/>
  <c r="G197" i="2" s="1"/>
  <c r="W196" i="2"/>
  <c r="E197" i="2" s="1"/>
  <c r="C197" i="2" l="1"/>
  <c r="H197" i="2"/>
  <c r="N197" i="2" s="1"/>
  <c r="O197" i="2" s="1"/>
  <c r="B197" i="2"/>
  <c r="D197" i="2"/>
  <c r="R197" i="2" l="1"/>
  <c r="I197" i="2"/>
  <c r="K197" i="2"/>
  <c r="S197" i="2"/>
  <c r="J197" i="2"/>
  <c r="L197" i="2"/>
  <c r="P197" i="2" s="1"/>
  <c r="M197" i="2"/>
  <c r="Q197" i="2" s="1"/>
  <c r="V197" i="2" l="1"/>
  <c r="Y197" i="2" s="1"/>
  <c r="G198" i="2" s="1"/>
  <c r="U197" i="2"/>
  <c r="X197" i="2" s="1"/>
  <c r="F198" i="2" s="1"/>
  <c r="T197" i="2"/>
  <c r="W197" i="2" s="1"/>
  <c r="E198" i="2" s="1"/>
  <c r="C198" i="2" l="1"/>
  <c r="D198" i="2"/>
  <c r="H198" i="2"/>
  <c r="L198" i="2" s="1"/>
  <c r="B198" i="2"/>
  <c r="S198" i="2" l="1"/>
  <c r="I198" i="2"/>
  <c r="K198" i="2"/>
  <c r="J198" i="2"/>
  <c r="N198" i="2"/>
  <c r="O198" i="2" s="1"/>
  <c r="M198" i="2"/>
  <c r="R198" i="2" l="1"/>
  <c r="Q198" i="2"/>
  <c r="P198" i="2"/>
  <c r="V198" i="2"/>
  <c r="Y198" i="2" s="1"/>
  <c r="G199" i="2" s="1"/>
  <c r="U198" i="2"/>
  <c r="X198" i="2" s="1"/>
  <c r="F199" i="2" s="1"/>
  <c r="T198" i="2"/>
  <c r="W198" i="2" s="1"/>
  <c r="E199" i="2" s="1"/>
  <c r="H199" i="2" l="1"/>
  <c r="B199" i="2"/>
  <c r="M199" i="2"/>
  <c r="C199" i="2"/>
  <c r="N199" i="2"/>
  <c r="O199" i="2" s="1"/>
  <c r="D199" i="2"/>
  <c r="R199" i="2" l="1"/>
  <c r="Q199" i="2"/>
  <c r="I199" i="2"/>
  <c r="K199" i="2"/>
  <c r="J199" i="2"/>
  <c r="S199" i="2"/>
  <c r="L199" i="2"/>
  <c r="P199" i="2" s="1"/>
  <c r="V199" i="2" l="1"/>
  <c r="U199" i="2"/>
  <c r="T199" i="2"/>
  <c r="Y199" i="2"/>
  <c r="G200" i="2" s="1"/>
  <c r="X199" i="2"/>
  <c r="F200" i="2" s="1"/>
  <c r="W199" i="2"/>
  <c r="E200" i="2" s="1"/>
  <c r="H200" i="2" l="1"/>
  <c r="M200" i="2" s="1"/>
  <c r="B200" i="2"/>
  <c r="C200" i="2"/>
  <c r="D200" i="2"/>
  <c r="N200" i="2" l="1"/>
  <c r="O200" i="2" s="1"/>
  <c r="R200" i="2"/>
  <c r="Q200" i="2"/>
  <c r="K200" i="2"/>
  <c r="J200" i="2"/>
  <c r="S200" i="2"/>
  <c r="I200" i="2"/>
  <c r="L200" i="2"/>
  <c r="P200" i="2" s="1"/>
  <c r="V200" i="2" l="1"/>
  <c r="Y200" i="2" s="1"/>
  <c r="G201" i="2" s="1"/>
  <c r="U200" i="2"/>
  <c r="X200" i="2" s="1"/>
  <c r="F201" i="2" s="1"/>
  <c r="T200" i="2"/>
  <c r="W200" i="2" s="1"/>
  <c r="E201" i="2" s="1"/>
  <c r="H201" i="2" l="1"/>
  <c r="B201" i="2"/>
  <c r="M201" i="2"/>
  <c r="C201" i="2"/>
  <c r="N201" i="2"/>
  <c r="O201" i="2" s="1"/>
  <c r="D201" i="2"/>
  <c r="R201" i="2" l="1"/>
  <c r="Q201" i="2"/>
  <c r="K201" i="2"/>
  <c r="J201" i="2"/>
  <c r="I201" i="2"/>
  <c r="S201" i="2"/>
  <c r="L201" i="2"/>
  <c r="P201" i="2" s="1"/>
  <c r="V201" i="2" l="1"/>
  <c r="U201" i="2"/>
  <c r="X201" i="2" s="1"/>
  <c r="F202" i="2" s="1"/>
  <c r="T201" i="2"/>
  <c r="W201" i="2"/>
  <c r="E202" i="2" s="1"/>
  <c r="Y201" i="2"/>
  <c r="G202" i="2" s="1"/>
  <c r="H202" i="2" l="1"/>
  <c r="B202" i="2"/>
  <c r="N202" i="2"/>
  <c r="O202" i="2" s="1"/>
  <c r="D202" i="2"/>
  <c r="M202" i="2"/>
  <c r="C202" i="2"/>
  <c r="R202" i="2" l="1"/>
  <c r="Q202" i="2"/>
  <c r="K202" i="2"/>
  <c r="J202" i="2"/>
  <c r="I202" i="2"/>
  <c r="S202" i="2"/>
  <c r="L202" i="2"/>
  <c r="P202" i="2" s="1"/>
  <c r="V202" i="2" l="1"/>
  <c r="U202" i="2"/>
  <c r="T202" i="2"/>
  <c r="W202" i="2"/>
  <c r="E203" i="2" s="1"/>
  <c r="X202" i="2"/>
  <c r="F203" i="2" s="1"/>
  <c r="Y202" i="2"/>
  <c r="G203" i="2" s="1"/>
  <c r="H203" i="2" l="1"/>
  <c r="B203" i="2"/>
  <c r="N203" i="2"/>
  <c r="O203" i="2" s="1"/>
  <c r="D203" i="2"/>
  <c r="M203" i="2"/>
  <c r="C203" i="2"/>
  <c r="K203" i="2" l="1"/>
  <c r="J203" i="2"/>
  <c r="I203" i="2"/>
  <c r="S203" i="2"/>
  <c r="R203" i="2"/>
  <c r="Q203" i="2"/>
  <c r="L203" i="2"/>
  <c r="P203" i="2" s="1"/>
  <c r="V203" i="2" l="1"/>
  <c r="U203" i="2"/>
  <c r="T203" i="2"/>
  <c r="Y203" i="2"/>
  <c r="G204" i="2" s="1"/>
  <c r="W203" i="2"/>
  <c r="E204" i="2" s="1"/>
  <c r="X203" i="2"/>
  <c r="F204" i="2" s="1"/>
  <c r="D204" i="2" l="1"/>
  <c r="C204" i="2"/>
  <c r="H204" i="2"/>
  <c r="B204" i="2"/>
  <c r="J204" i="2" l="1"/>
  <c r="I204" i="2"/>
  <c r="K204" i="2"/>
  <c r="S204" i="2"/>
  <c r="L204" i="2"/>
  <c r="M204" i="2"/>
  <c r="N204" i="2"/>
  <c r="O204" i="2" s="1"/>
  <c r="R204" i="2" l="1"/>
  <c r="Q204" i="2"/>
  <c r="P204" i="2"/>
  <c r="T204" i="2" s="1"/>
  <c r="W204" i="2" s="1"/>
  <c r="E205" i="2" s="1"/>
  <c r="V204" i="2"/>
  <c r="Y204" i="2" s="1"/>
  <c r="G205" i="2" s="1"/>
  <c r="U204" i="2"/>
  <c r="X204" i="2"/>
  <c r="F205" i="2" s="1"/>
  <c r="H205" i="2" l="1"/>
  <c r="B205" i="2"/>
  <c r="N205" i="2"/>
  <c r="O205" i="2" s="1"/>
  <c r="D205" i="2"/>
  <c r="M205" i="2"/>
  <c r="C205" i="2"/>
  <c r="R205" i="2" l="1"/>
  <c r="Q205" i="2"/>
  <c r="J205" i="2"/>
  <c r="I205" i="2"/>
  <c r="S205" i="2"/>
  <c r="K205" i="2"/>
  <c r="L205" i="2"/>
  <c r="P205" i="2" s="1"/>
  <c r="V205" i="2" l="1"/>
  <c r="Y205" i="2" s="1"/>
  <c r="G206" i="2" s="1"/>
  <c r="U205" i="2"/>
  <c r="X205" i="2" s="1"/>
  <c r="F206" i="2" s="1"/>
  <c r="T205" i="2"/>
  <c r="W205" i="2" s="1"/>
  <c r="E206" i="2" s="1"/>
  <c r="C206" i="2" l="1"/>
  <c r="H206" i="2"/>
  <c r="N206" i="2" s="1"/>
  <c r="O206" i="2" s="1"/>
  <c r="B206" i="2"/>
  <c r="D206" i="2"/>
  <c r="R206" i="2" l="1"/>
  <c r="K206" i="2"/>
  <c r="J206" i="2"/>
  <c r="I206" i="2"/>
  <c r="S206" i="2"/>
  <c r="L206" i="2"/>
  <c r="P206" i="2" s="1"/>
  <c r="M206" i="2"/>
  <c r="Q206" i="2" s="1"/>
  <c r="V206" i="2" l="1"/>
  <c r="U206" i="2"/>
  <c r="T206" i="2"/>
  <c r="Y206" i="2"/>
  <c r="G207" i="2" s="1"/>
  <c r="W206" i="2"/>
  <c r="E207" i="2" s="1"/>
  <c r="X206" i="2"/>
  <c r="F207" i="2" s="1"/>
  <c r="H207" i="2" l="1"/>
  <c r="M207" i="2" s="1"/>
  <c r="B207" i="2"/>
  <c r="C207" i="2"/>
  <c r="N207" i="2"/>
  <c r="O207" i="2" s="1"/>
  <c r="D207" i="2"/>
  <c r="R207" i="2" l="1"/>
  <c r="Q207" i="2"/>
  <c r="J207" i="2"/>
  <c r="S207" i="2"/>
  <c r="I207" i="2"/>
  <c r="K207" i="2"/>
  <c r="L207" i="2"/>
  <c r="P207" i="2" s="1"/>
  <c r="V207" i="2" l="1"/>
  <c r="Y207" i="2" s="1"/>
  <c r="G208" i="2" s="1"/>
  <c r="U207" i="2"/>
  <c r="T207" i="2"/>
  <c r="W207" i="2"/>
  <c r="E208" i="2" s="1"/>
  <c r="X207" i="2"/>
  <c r="F208" i="2" s="1"/>
  <c r="D208" i="2" l="1"/>
  <c r="C208" i="2"/>
  <c r="H208" i="2"/>
  <c r="B208" i="2"/>
  <c r="I208" i="2" l="1"/>
  <c r="K208" i="2"/>
  <c r="J208" i="2"/>
  <c r="S208" i="2"/>
  <c r="L208" i="2"/>
  <c r="M208" i="2"/>
  <c r="N208" i="2"/>
  <c r="O208" i="2" s="1"/>
  <c r="R208" i="2" l="1"/>
  <c r="Q208" i="2"/>
  <c r="P208" i="2"/>
  <c r="V208" i="2"/>
  <c r="Y208" i="2" s="1"/>
  <c r="G209" i="2" s="1"/>
  <c r="U208" i="2"/>
  <c r="X208" i="2" s="1"/>
  <c r="F209" i="2" s="1"/>
  <c r="T208" i="2"/>
  <c r="W208" i="2"/>
  <c r="E209" i="2" s="1"/>
  <c r="C209" i="2" l="1"/>
  <c r="D209" i="2"/>
  <c r="H209" i="2"/>
  <c r="N209" i="2" s="1"/>
  <c r="O209" i="2" s="1"/>
  <c r="B209" i="2"/>
  <c r="R209" i="2" l="1"/>
  <c r="L209" i="2"/>
  <c r="P209" i="2" s="1"/>
  <c r="I209" i="2"/>
  <c r="K209" i="2"/>
  <c r="J209" i="2"/>
  <c r="S209" i="2"/>
  <c r="M209" i="2"/>
  <c r="Q209" i="2" s="1"/>
  <c r="V209" i="2" l="1"/>
  <c r="U209" i="2"/>
  <c r="T209" i="2"/>
  <c r="X209" i="2"/>
  <c r="F210" i="2" s="1"/>
  <c r="W209" i="2"/>
  <c r="E210" i="2" s="1"/>
  <c r="Y209" i="2"/>
  <c r="G210" i="2" s="1"/>
  <c r="H210" i="2" l="1"/>
  <c r="B210" i="2"/>
  <c r="N210" i="2"/>
  <c r="O210" i="2" s="1"/>
  <c r="D210" i="2"/>
  <c r="M210" i="2"/>
  <c r="C210" i="2"/>
  <c r="R210" i="2" l="1"/>
  <c r="Q210" i="2"/>
  <c r="S210" i="2"/>
  <c r="I210" i="2"/>
  <c r="K210" i="2"/>
  <c r="J210" i="2"/>
  <c r="L210" i="2"/>
  <c r="P210" i="2" s="1"/>
  <c r="V210" i="2" l="1"/>
  <c r="U210" i="2"/>
  <c r="T210" i="2"/>
  <c r="X210" i="2"/>
  <c r="F211" i="2" s="1"/>
  <c r="Y210" i="2"/>
  <c r="G211" i="2" s="1"/>
  <c r="W210" i="2"/>
  <c r="E211" i="2" s="1"/>
  <c r="H211" i="2" l="1"/>
  <c r="N211" i="2" s="1"/>
  <c r="O211" i="2" s="1"/>
  <c r="B211" i="2"/>
  <c r="D211" i="2"/>
  <c r="C211" i="2"/>
  <c r="M211" i="2" l="1"/>
  <c r="R211" i="2"/>
  <c r="Q211" i="2"/>
  <c r="I211" i="2"/>
  <c r="K211" i="2"/>
  <c r="J211" i="2"/>
  <c r="S211" i="2"/>
  <c r="L211" i="2"/>
  <c r="P211" i="2" s="1"/>
  <c r="V211" i="2" l="1"/>
  <c r="U211" i="2"/>
  <c r="T211" i="2"/>
  <c r="W211" i="2" s="1"/>
  <c r="E212" i="2" s="1"/>
  <c r="X211" i="2"/>
  <c r="F212" i="2" s="1"/>
  <c r="Y211" i="2"/>
  <c r="G212" i="2" s="1"/>
  <c r="H212" i="2" l="1"/>
  <c r="N212" i="2" s="1"/>
  <c r="O212" i="2" s="1"/>
  <c r="B212" i="2"/>
  <c r="D212" i="2"/>
  <c r="C212" i="2"/>
  <c r="M212" i="2" l="1"/>
  <c r="R212" i="2"/>
  <c r="Q212" i="2"/>
  <c r="K212" i="2"/>
  <c r="J212" i="2"/>
  <c r="S212" i="2"/>
  <c r="I212" i="2"/>
  <c r="L212" i="2"/>
  <c r="P212" i="2" s="1"/>
  <c r="V212" i="2" l="1"/>
  <c r="U212" i="2"/>
  <c r="X212" i="2" s="1"/>
  <c r="F213" i="2" s="1"/>
  <c r="T212" i="2"/>
  <c r="W212" i="2" s="1"/>
  <c r="E213" i="2" s="1"/>
  <c r="Y212" i="2"/>
  <c r="G213" i="2" s="1"/>
  <c r="H213" i="2" l="1"/>
  <c r="M213" i="2" s="1"/>
  <c r="B213" i="2"/>
  <c r="C213" i="2"/>
  <c r="D213" i="2"/>
  <c r="N213" i="2" l="1"/>
  <c r="O213" i="2" s="1"/>
  <c r="R213" i="2"/>
  <c r="Q213" i="2"/>
  <c r="K213" i="2"/>
  <c r="J213" i="2"/>
  <c r="S213" i="2"/>
  <c r="I213" i="2"/>
  <c r="L213" i="2"/>
  <c r="P213" i="2" s="1"/>
  <c r="V213" i="2" l="1"/>
  <c r="U213" i="2"/>
  <c r="T213" i="2"/>
  <c r="Y213" i="2"/>
  <c r="G214" i="2" s="1"/>
  <c r="W213" i="2"/>
  <c r="E214" i="2" s="1"/>
  <c r="X213" i="2"/>
  <c r="F214" i="2" s="1"/>
  <c r="H214" i="2" l="1"/>
  <c r="B214" i="2"/>
  <c r="M214" i="2"/>
  <c r="C214" i="2"/>
  <c r="N214" i="2"/>
  <c r="O214" i="2" s="1"/>
  <c r="D214" i="2"/>
  <c r="R214" i="2" l="1"/>
  <c r="Q214" i="2"/>
  <c r="K214" i="2"/>
  <c r="J214" i="2"/>
  <c r="I214" i="2"/>
  <c r="S214" i="2"/>
  <c r="L214" i="2"/>
  <c r="P214" i="2" s="1"/>
  <c r="V214" i="2" l="1"/>
  <c r="U214" i="2"/>
  <c r="X214" i="2" s="1"/>
  <c r="F215" i="2" s="1"/>
  <c r="T214" i="2"/>
  <c r="W214" i="2" s="1"/>
  <c r="E215" i="2" s="1"/>
  <c r="Y214" i="2"/>
  <c r="G215" i="2" s="1"/>
  <c r="C215" i="2" l="1"/>
  <c r="H215" i="2"/>
  <c r="N215" i="2" s="1"/>
  <c r="O215" i="2" s="1"/>
  <c r="B215" i="2"/>
  <c r="D215" i="2"/>
  <c r="R215" i="2" l="1"/>
  <c r="K215" i="2"/>
  <c r="J215" i="2"/>
  <c r="I215" i="2"/>
  <c r="S215" i="2"/>
  <c r="L215" i="2"/>
  <c r="P215" i="2" s="1"/>
  <c r="M215" i="2"/>
  <c r="Q215" i="2" s="1"/>
  <c r="V215" i="2" l="1"/>
  <c r="U215" i="2"/>
  <c r="T215" i="2"/>
  <c r="W215" i="2" s="1"/>
  <c r="E216" i="2" s="1"/>
  <c r="X215" i="2"/>
  <c r="F216" i="2" s="1"/>
  <c r="Y215" i="2"/>
  <c r="G216" i="2" s="1"/>
  <c r="C216" i="2" l="1"/>
  <c r="D216" i="2"/>
  <c r="H216" i="2"/>
  <c r="L216" i="2" s="1"/>
  <c r="B216" i="2"/>
  <c r="K216" i="2" l="1"/>
  <c r="J216" i="2"/>
  <c r="I216" i="2"/>
  <c r="S216" i="2"/>
  <c r="N216" i="2"/>
  <c r="O216" i="2" s="1"/>
  <c r="M216" i="2"/>
  <c r="R216" i="2" l="1"/>
  <c r="Q216" i="2"/>
  <c r="U216" i="2" s="1"/>
  <c r="X216" i="2" s="1"/>
  <c r="F217" i="2" s="1"/>
  <c r="P216" i="2"/>
  <c r="T216" i="2" s="1"/>
  <c r="W216" i="2" s="1"/>
  <c r="E217" i="2" s="1"/>
  <c r="V216" i="2"/>
  <c r="Y216" i="2" s="1"/>
  <c r="G217" i="2" s="1"/>
  <c r="C217" i="2" l="1"/>
  <c r="D217" i="2"/>
  <c r="H217" i="2"/>
  <c r="L217" i="2" s="1"/>
  <c r="B217" i="2"/>
  <c r="J217" i="2" l="1"/>
  <c r="K217" i="2"/>
  <c r="I217" i="2"/>
  <c r="S217" i="2"/>
  <c r="N217" i="2"/>
  <c r="O217" i="2" s="1"/>
  <c r="M217" i="2"/>
  <c r="Q217" i="2" l="1"/>
  <c r="R217" i="2"/>
  <c r="P217" i="2"/>
  <c r="T217" i="2" s="1"/>
  <c r="W217" i="2" s="1"/>
  <c r="E218" i="2" s="1"/>
  <c r="V217" i="2"/>
  <c r="Y217" i="2" s="1"/>
  <c r="G218" i="2" s="1"/>
  <c r="U217" i="2"/>
  <c r="X217" i="2" s="1"/>
  <c r="F218" i="2" s="1"/>
  <c r="D218" i="2" l="1"/>
  <c r="H218" i="2"/>
  <c r="L218" i="2" s="1"/>
  <c r="B218" i="2"/>
  <c r="M218" i="2"/>
  <c r="C218" i="2"/>
  <c r="K218" i="2" l="1"/>
  <c r="I218" i="2"/>
  <c r="S218" i="2"/>
  <c r="J218" i="2"/>
  <c r="N218" i="2"/>
  <c r="O218" i="2" s="1"/>
  <c r="Q218" i="2" l="1"/>
  <c r="R218" i="2"/>
  <c r="V218" i="2" s="1"/>
  <c r="Y218" i="2" s="1"/>
  <c r="G219" i="2" s="1"/>
  <c r="P218" i="2"/>
  <c r="T218" i="2" s="1"/>
  <c r="W218" i="2" s="1"/>
  <c r="E219" i="2" s="1"/>
  <c r="U218" i="2"/>
  <c r="X218" i="2" s="1"/>
  <c r="F219" i="2" s="1"/>
  <c r="C219" i="2" l="1"/>
  <c r="D219" i="2"/>
  <c r="H219" i="2"/>
  <c r="L219" i="2" s="1"/>
  <c r="B219" i="2"/>
  <c r="J219" i="2" l="1"/>
  <c r="K219" i="2"/>
  <c r="S219" i="2"/>
  <c r="I219" i="2"/>
  <c r="N219" i="2"/>
  <c r="O219" i="2" s="1"/>
  <c r="M219" i="2"/>
  <c r="Q219" i="2" l="1"/>
  <c r="R219" i="2"/>
  <c r="V219" i="2" s="1"/>
  <c r="Y219" i="2" s="1"/>
  <c r="G220" i="2" s="1"/>
  <c r="P219" i="2"/>
  <c r="T219" i="2" s="1"/>
  <c r="W219" i="2" s="1"/>
  <c r="E220" i="2" s="1"/>
  <c r="U219" i="2"/>
  <c r="X219" i="2"/>
  <c r="F220" i="2" s="1"/>
  <c r="H220" i="2" l="1"/>
  <c r="L220" i="2"/>
  <c r="B220" i="2"/>
  <c r="M220" i="2"/>
  <c r="C220" i="2"/>
  <c r="N220" i="2"/>
  <c r="O220" i="2" s="1"/>
  <c r="D220" i="2"/>
  <c r="Q220" i="2" l="1"/>
  <c r="R220" i="2"/>
  <c r="P220" i="2"/>
  <c r="J220" i="2"/>
  <c r="K220" i="2"/>
  <c r="I220" i="2"/>
  <c r="S220" i="2"/>
  <c r="T220" i="2" l="1"/>
  <c r="W220" i="2" s="1"/>
  <c r="E221" i="2" s="1"/>
  <c r="V220" i="2"/>
  <c r="Y220" i="2" s="1"/>
  <c r="G221" i="2" s="1"/>
  <c r="U220" i="2"/>
  <c r="X220" i="2" s="1"/>
  <c r="F221" i="2" s="1"/>
  <c r="D221" i="2" l="1"/>
  <c r="H221" i="2"/>
  <c r="L221" i="2" s="1"/>
  <c r="B221" i="2"/>
  <c r="M221" i="2"/>
  <c r="C221" i="2"/>
  <c r="K221" i="2" l="1"/>
  <c r="I221" i="2"/>
  <c r="J221" i="2"/>
  <c r="S221" i="2"/>
  <c r="N221" i="2"/>
  <c r="O221" i="2" s="1"/>
  <c r="Q221" i="2" l="1"/>
  <c r="R221" i="2"/>
  <c r="V221" i="2" s="1"/>
  <c r="Y221" i="2" s="1"/>
  <c r="G222" i="2" s="1"/>
  <c r="P221" i="2"/>
  <c r="T221" i="2" s="1"/>
  <c r="W221" i="2" s="1"/>
  <c r="E222" i="2" s="1"/>
  <c r="U221" i="2"/>
  <c r="X221" i="2" s="1"/>
  <c r="F222" i="2" s="1"/>
  <c r="C222" i="2" l="1"/>
  <c r="D222" i="2"/>
  <c r="H222" i="2"/>
  <c r="B222" i="2"/>
  <c r="I222" i="2" l="1"/>
  <c r="J222" i="2"/>
  <c r="K222" i="2"/>
  <c r="S222" i="2"/>
  <c r="L222" i="2"/>
  <c r="N222" i="2"/>
  <c r="O222" i="2" s="1"/>
  <c r="M222" i="2"/>
  <c r="Q222" i="2" l="1"/>
  <c r="U222" i="2" s="1"/>
  <c r="X222" i="2" s="1"/>
  <c r="F223" i="2" s="1"/>
  <c r="R222" i="2"/>
  <c r="V222" i="2" s="1"/>
  <c r="Y222" i="2" s="1"/>
  <c r="G223" i="2" s="1"/>
  <c r="P222" i="2"/>
  <c r="T222" i="2" s="1"/>
  <c r="W222" i="2" s="1"/>
  <c r="E223" i="2" s="1"/>
  <c r="D223" i="2" l="1"/>
  <c r="H223" i="2"/>
  <c r="B223" i="2"/>
  <c r="C223" i="2"/>
  <c r="K223" i="2" l="1"/>
  <c r="I223" i="2"/>
  <c r="J223" i="2"/>
  <c r="S223" i="2"/>
  <c r="M223" i="2"/>
  <c r="L223" i="2"/>
  <c r="N223" i="2"/>
  <c r="O223" i="2" s="1"/>
  <c r="Q223" i="2" l="1"/>
  <c r="R223" i="2"/>
  <c r="P223" i="2"/>
  <c r="T223" i="2" s="1"/>
  <c r="W223" i="2" s="1"/>
  <c r="E224" i="2" s="1"/>
  <c r="V223" i="2"/>
  <c r="U223" i="2"/>
  <c r="X223" i="2" s="1"/>
  <c r="F224" i="2" s="1"/>
  <c r="Y223" i="2"/>
  <c r="G224" i="2" s="1"/>
  <c r="H224" i="2" l="1"/>
  <c r="L224" i="2" s="1"/>
  <c r="B224" i="2"/>
  <c r="N224" i="2"/>
  <c r="O224" i="2" s="1"/>
  <c r="D224" i="2"/>
  <c r="M224" i="2"/>
  <c r="C224" i="2"/>
  <c r="Q224" i="2" l="1"/>
  <c r="R224" i="2"/>
  <c r="P224" i="2"/>
  <c r="I224" i="2"/>
  <c r="K224" i="2"/>
  <c r="J224" i="2"/>
  <c r="S224" i="2"/>
  <c r="T224" i="2" l="1"/>
  <c r="V224" i="2"/>
  <c r="Y224" i="2" s="1"/>
  <c r="G225" i="2" s="1"/>
  <c r="U224" i="2"/>
  <c r="X224" i="2" s="1"/>
  <c r="F225" i="2" s="1"/>
  <c r="W224" i="2"/>
  <c r="E225" i="2" s="1"/>
  <c r="C225" i="2" l="1"/>
  <c r="D225" i="2"/>
  <c r="H225" i="2"/>
  <c r="L225" i="2" s="1"/>
  <c r="B225" i="2"/>
  <c r="J225" i="2" l="1"/>
  <c r="K225" i="2"/>
  <c r="S225" i="2"/>
  <c r="I225" i="2"/>
  <c r="N225" i="2"/>
  <c r="O225" i="2" s="1"/>
  <c r="M225" i="2"/>
  <c r="Q225" i="2" l="1"/>
  <c r="R225" i="2"/>
  <c r="P225" i="2"/>
  <c r="T225" i="2" s="1"/>
  <c r="W225" i="2" s="1"/>
  <c r="E226" i="2" s="1"/>
  <c r="V225" i="2"/>
  <c r="Y225" i="2" s="1"/>
  <c r="G226" i="2" s="1"/>
  <c r="U225" i="2"/>
  <c r="X225" i="2" s="1"/>
  <c r="F226" i="2" s="1"/>
  <c r="C226" i="2" l="1"/>
  <c r="D226" i="2"/>
  <c r="H226" i="2"/>
  <c r="B226" i="2"/>
  <c r="K226" i="2" l="1"/>
  <c r="I226" i="2"/>
  <c r="J226" i="2"/>
  <c r="S226" i="2"/>
  <c r="L226" i="2"/>
  <c r="N226" i="2"/>
  <c r="O226" i="2" s="1"/>
  <c r="M226" i="2"/>
  <c r="Q226" i="2" l="1"/>
  <c r="R226" i="2"/>
  <c r="P226" i="2"/>
  <c r="T226" i="2" s="1"/>
  <c r="W226" i="2" s="1"/>
  <c r="E227" i="2" s="1"/>
  <c r="V226" i="2"/>
  <c r="U226" i="2"/>
  <c r="X226" i="2" s="1"/>
  <c r="F227" i="2" s="1"/>
  <c r="Y226" i="2"/>
  <c r="G227" i="2" s="1"/>
  <c r="D227" i="2" l="1"/>
  <c r="H227" i="2"/>
  <c r="B227" i="2"/>
  <c r="M227" i="2"/>
  <c r="C227" i="2"/>
  <c r="I227" i="2" l="1"/>
  <c r="J227" i="2"/>
  <c r="K227" i="2"/>
  <c r="S227" i="2"/>
  <c r="L227" i="2"/>
  <c r="N227" i="2"/>
  <c r="O227" i="2" s="1"/>
  <c r="Q227" i="2" l="1"/>
  <c r="U227" i="2" s="1"/>
  <c r="X227" i="2" s="1"/>
  <c r="F228" i="2" s="1"/>
  <c r="P227" i="2"/>
  <c r="T227" i="2" s="1"/>
  <c r="W227" i="2" s="1"/>
  <c r="E228" i="2" s="1"/>
  <c r="R227" i="2"/>
  <c r="V227" i="2"/>
  <c r="Y227" i="2"/>
  <c r="G228" i="2" s="1"/>
  <c r="C228" i="2" l="1"/>
  <c r="H228" i="2"/>
  <c r="N228" i="2" s="1"/>
  <c r="O228" i="2" s="1"/>
  <c r="B228" i="2"/>
  <c r="D228" i="2"/>
  <c r="R228" i="2" l="1"/>
  <c r="K228" i="2"/>
  <c r="J228" i="2"/>
  <c r="I228" i="2"/>
  <c r="S228" i="2"/>
  <c r="L228" i="2"/>
  <c r="P228" i="2" s="1"/>
  <c r="M228" i="2"/>
  <c r="Q228" i="2" s="1"/>
  <c r="T228" i="2" l="1"/>
  <c r="V228" i="2"/>
  <c r="U228" i="2"/>
  <c r="Y228" i="2"/>
  <c r="G229" i="2" s="1"/>
  <c r="W228" i="2"/>
  <c r="E229" i="2" s="1"/>
  <c r="X228" i="2"/>
  <c r="F229" i="2" s="1"/>
  <c r="H229" i="2" l="1"/>
  <c r="L229" i="2"/>
  <c r="B229" i="2"/>
  <c r="M229" i="2"/>
  <c r="C229" i="2"/>
  <c r="N229" i="2"/>
  <c r="O229" i="2" s="1"/>
  <c r="D229" i="2"/>
  <c r="Q229" i="2" l="1"/>
  <c r="P229" i="2"/>
  <c r="R229" i="2"/>
  <c r="I229" i="2"/>
  <c r="S229" i="2"/>
  <c r="J229" i="2"/>
  <c r="K229" i="2"/>
  <c r="T229" i="2" l="1"/>
  <c r="V229" i="2"/>
  <c r="U229" i="2"/>
  <c r="Y229" i="2"/>
  <c r="G230" i="2" s="1"/>
  <c r="X229" i="2"/>
  <c r="F230" i="2" s="1"/>
  <c r="W229" i="2"/>
  <c r="E230" i="2" s="1"/>
  <c r="C230" i="2" l="1"/>
  <c r="H230" i="2"/>
  <c r="N230" i="2" s="1"/>
  <c r="O230" i="2" s="1"/>
  <c r="B230" i="2"/>
  <c r="D230" i="2"/>
  <c r="R230" i="2" l="1"/>
  <c r="K230" i="2"/>
  <c r="J230" i="2"/>
  <c r="I230" i="2"/>
  <c r="S230" i="2"/>
  <c r="L230" i="2"/>
  <c r="P230" i="2" s="1"/>
  <c r="M230" i="2"/>
  <c r="Q230" i="2" s="1"/>
  <c r="T230" i="2" l="1"/>
  <c r="V230" i="2"/>
  <c r="Y230" i="2" s="1"/>
  <c r="G231" i="2" s="1"/>
  <c r="U230" i="2"/>
  <c r="W230" i="2"/>
  <c r="E231" i="2" s="1"/>
  <c r="X230" i="2"/>
  <c r="F231" i="2" s="1"/>
  <c r="D231" i="2" l="1"/>
  <c r="H231" i="2"/>
  <c r="L231" i="2" s="1"/>
  <c r="B231" i="2"/>
  <c r="M231" i="2"/>
  <c r="C231" i="2"/>
  <c r="J231" i="2" l="1"/>
  <c r="K231" i="2"/>
  <c r="I231" i="2"/>
  <c r="S231" i="2"/>
  <c r="N231" i="2"/>
  <c r="O231" i="2" s="1"/>
  <c r="Q231" i="2" l="1"/>
  <c r="P231" i="2"/>
  <c r="R231" i="2"/>
  <c r="V231" i="2" s="1"/>
  <c r="Y231" i="2" s="1"/>
  <c r="G232" i="2" s="1"/>
  <c r="T231" i="2"/>
  <c r="W231" i="2" s="1"/>
  <c r="E232" i="2" s="1"/>
  <c r="U231" i="2"/>
  <c r="X231" i="2"/>
  <c r="F232" i="2" s="1"/>
  <c r="D232" i="2" l="1"/>
  <c r="C232" i="2"/>
  <c r="H232" i="2"/>
  <c r="L232" i="2" s="1"/>
  <c r="B232" i="2"/>
  <c r="I232" i="2" l="1"/>
  <c r="J232" i="2"/>
  <c r="K232" i="2"/>
  <c r="S232" i="2"/>
  <c r="M232" i="2"/>
  <c r="N232" i="2"/>
  <c r="O232" i="2" s="1"/>
  <c r="Q232" i="2" l="1"/>
  <c r="P232" i="2"/>
  <c r="R232" i="2"/>
  <c r="V232" i="2" s="1"/>
  <c r="Y232" i="2" s="1"/>
  <c r="G233" i="2" s="1"/>
  <c r="T232" i="2"/>
  <c r="U232" i="2"/>
  <c r="X232" i="2" s="1"/>
  <c r="F233" i="2" s="1"/>
  <c r="W232" i="2"/>
  <c r="E233" i="2" s="1"/>
  <c r="C233" i="2" l="1"/>
  <c r="D233" i="2"/>
  <c r="H233" i="2"/>
  <c r="N233" i="2" s="1"/>
  <c r="O233" i="2" s="1"/>
  <c r="B233" i="2"/>
  <c r="R233" i="2" l="1"/>
  <c r="L233" i="2"/>
  <c r="P233" i="2" s="1"/>
  <c r="K233" i="2"/>
  <c r="J233" i="2"/>
  <c r="I233" i="2"/>
  <c r="S233" i="2"/>
  <c r="M233" i="2"/>
  <c r="Q233" i="2" s="1"/>
  <c r="T233" i="2" l="1"/>
  <c r="V233" i="2"/>
  <c r="Y233" i="2" s="1"/>
  <c r="G234" i="2" s="1"/>
  <c r="U233" i="2"/>
  <c r="W233" i="2"/>
  <c r="E234" i="2" s="1"/>
  <c r="X233" i="2"/>
  <c r="F234" i="2" s="1"/>
  <c r="D234" i="2" l="1"/>
  <c r="C234" i="2"/>
  <c r="H234" i="2"/>
  <c r="B234" i="2"/>
  <c r="I234" i="2" l="1"/>
  <c r="J234" i="2"/>
  <c r="K234" i="2"/>
  <c r="S234" i="2"/>
  <c r="L234" i="2"/>
  <c r="M234" i="2"/>
  <c r="N234" i="2"/>
  <c r="O234" i="2" s="1"/>
  <c r="Q234" i="2" l="1"/>
  <c r="P234" i="2"/>
  <c r="T234" i="2" s="1"/>
  <c r="W234" i="2" s="1"/>
  <c r="E235" i="2" s="1"/>
  <c r="R234" i="2"/>
  <c r="V234" i="2" s="1"/>
  <c r="Y234" i="2" s="1"/>
  <c r="G235" i="2" s="1"/>
  <c r="U234" i="2"/>
  <c r="X234" i="2" s="1"/>
  <c r="F235" i="2" s="1"/>
  <c r="C235" i="2" l="1"/>
  <c r="D235" i="2"/>
  <c r="H235" i="2"/>
  <c r="B235" i="2"/>
  <c r="I235" i="2" l="1"/>
  <c r="J235" i="2"/>
  <c r="K235" i="2"/>
  <c r="S235" i="2"/>
  <c r="L235" i="2"/>
  <c r="N235" i="2"/>
  <c r="O235" i="2" s="1"/>
  <c r="M235" i="2"/>
  <c r="Q235" i="2" l="1"/>
  <c r="P235" i="2"/>
  <c r="T235" i="2" s="1"/>
  <c r="W235" i="2" s="1"/>
  <c r="E236" i="2" s="1"/>
  <c r="R235" i="2"/>
  <c r="V235" i="2" s="1"/>
  <c r="Y235" i="2" s="1"/>
  <c r="G236" i="2" s="1"/>
  <c r="U235" i="2"/>
  <c r="X235" i="2" s="1"/>
  <c r="F236" i="2" s="1"/>
  <c r="C236" i="2" l="1"/>
  <c r="D236" i="2"/>
  <c r="H236" i="2"/>
  <c r="B236" i="2"/>
  <c r="I236" i="2" l="1"/>
  <c r="K236" i="2"/>
  <c r="J236" i="2"/>
  <c r="S236" i="2"/>
  <c r="L236" i="2"/>
  <c r="N236" i="2"/>
  <c r="O236" i="2" s="1"/>
  <c r="M236" i="2"/>
  <c r="Q236" i="2" l="1"/>
  <c r="P236" i="2"/>
  <c r="T236" i="2" s="1"/>
  <c r="W236" i="2" s="1"/>
  <c r="E237" i="2" s="1"/>
  <c r="R236" i="2"/>
  <c r="V236" i="2" s="1"/>
  <c r="Y236" i="2" s="1"/>
  <c r="G237" i="2" s="1"/>
  <c r="U236" i="2"/>
  <c r="X236" i="2" s="1"/>
  <c r="F237" i="2" s="1"/>
  <c r="C237" i="2" l="1"/>
  <c r="D237" i="2"/>
  <c r="H237" i="2"/>
  <c r="N237" i="2" s="1"/>
  <c r="O237" i="2" s="1"/>
  <c r="B237" i="2"/>
  <c r="R237" i="2" l="1"/>
  <c r="L237" i="2"/>
  <c r="P237" i="2" s="1"/>
  <c r="I237" i="2"/>
  <c r="K237" i="2"/>
  <c r="J237" i="2"/>
  <c r="S237" i="2"/>
  <c r="M237" i="2"/>
  <c r="Q237" i="2" s="1"/>
  <c r="T237" i="2" l="1"/>
  <c r="V237" i="2"/>
  <c r="U237" i="2"/>
  <c r="X237" i="2" s="1"/>
  <c r="F238" i="2" s="1"/>
  <c r="W237" i="2"/>
  <c r="E238" i="2" s="1"/>
  <c r="Y237" i="2"/>
  <c r="G238" i="2" s="1"/>
  <c r="C238" i="2" l="1"/>
  <c r="D238" i="2"/>
  <c r="H238" i="2"/>
  <c r="B238" i="2"/>
  <c r="I238" i="2" l="1"/>
  <c r="K238" i="2"/>
  <c r="J238" i="2"/>
  <c r="S238" i="2"/>
  <c r="L238" i="2"/>
  <c r="N238" i="2"/>
  <c r="O238" i="2" s="1"/>
  <c r="M238" i="2"/>
  <c r="Q238" i="2" l="1"/>
  <c r="P238" i="2"/>
  <c r="T238" i="2" s="1"/>
  <c r="W238" i="2" s="1"/>
  <c r="E239" i="2" s="1"/>
  <c r="R238" i="2"/>
  <c r="V238" i="2" s="1"/>
  <c r="Y238" i="2" s="1"/>
  <c r="G239" i="2" s="1"/>
  <c r="U238" i="2"/>
  <c r="X238" i="2" s="1"/>
  <c r="F239" i="2" s="1"/>
  <c r="C239" i="2" l="1"/>
  <c r="H239" i="2"/>
  <c r="N239" i="2" s="1"/>
  <c r="O239" i="2" s="1"/>
  <c r="B239" i="2"/>
  <c r="D239" i="2"/>
  <c r="I239" i="2" l="1"/>
  <c r="S239" i="2"/>
  <c r="K239" i="2"/>
  <c r="J239" i="2"/>
  <c r="R239" i="2"/>
  <c r="L239" i="2"/>
  <c r="P239" i="2" s="1"/>
  <c r="M239" i="2"/>
  <c r="Q239" i="2" s="1"/>
  <c r="T239" i="2" l="1"/>
  <c r="V239" i="2"/>
  <c r="U239" i="2"/>
  <c r="X239" i="2" s="1"/>
  <c r="F240" i="2" s="1"/>
  <c r="Y239" i="2"/>
  <c r="G240" i="2" s="1"/>
  <c r="W239" i="2"/>
  <c r="E240" i="2" s="1"/>
  <c r="C240" i="2" l="1"/>
  <c r="H240" i="2"/>
  <c r="N240" i="2" s="1"/>
  <c r="O240" i="2" s="1"/>
  <c r="B240" i="2"/>
  <c r="D240" i="2"/>
  <c r="R240" i="2" l="1"/>
  <c r="K240" i="2"/>
  <c r="J240" i="2"/>
  <c r="S240" i="2"/>
  <c r="I240" i="2"/>
  <c r="L240" i="2"/>
  <c r="P240" i="2" s="1"/>
  <c r="M240" i="2"/>
  <c r="Q240" i="2" s="1"/>
  <c r="T240" i="2" l="1"/>
  <c r="W240" i="2" s="1"/>
  <c r="E241" i="2" s="1"/>
  <c r="V240" i="2"/>
  <c r="U240" i="2"/>
  <c r="X240" i="2" s="1"/>
  <c r="F241" i="2" s="1"/>
  <c r="Y240" i="2"/>
  <c r="G241" i="2" s="1"/>
  <c r="C241" i="2" l="1"/>
  <c r="H241" i="2"/>
  <c r="N241" i="2" s="1"/>
  <c r="O241" i="2" s="1"/>
  <c r="B241" i="2"/>
  <c r="D241" i="2"/>
  <c r="K241" i="2" l="1"/>
  <c r="J241" i="2"/>
  <c r="S241" i="2"/>
  <c r="I241" i="2"/>
  <c r="R241" i="2"/>
  <c r="L241" i="2"/>
  <c r="P241" i="2" s="1"/>
  <c r="M241" i="2"/>
  <c r="Q241" i="2" s="1"/>
  <c r="T241" i="2" l="1"/>
  <c r="W241" i="2" s="1"/>
  <c r="E242" i="2" s="1"/>
  <c r="V241" i="2"/>
  <c r="U241" i="2"/>
  <c r="X241" i="2" s="1"/>
  <c r="F242" i="2" s="1"/>
  <c r="Y241" i="2"/>
  <c r="G242" i="2" s="1"/>
  <c r="C242" i="2" l="1"/>
  <c r="H242" i="2"/>
  <c r="N242" i="2" s="1"/>
  <c r="O242" i="2" s="1"/>
  <c r="B242" i="2"/>
  <c r="D242" i="2"/>
  <c r="R242" i="2" l="1"/>
  <c r="S242" i="2"/>
  <c r="K242" i="2"/>
  <c r="J242" i="2"/>
  <c r="I242" i="2"/>
  <c r="L242" i="2"/>
  <c r="P242" i="2" s="1"/>
  <c r="M242" i="2"/>
  <c r="Q242" i="2" s="1"/>
  <c r="T242" i="2" l="1"/>
  <c r="W242" i="2" s="1"/>
  <c r="E243" i="2" s="1"/>
  <c r="V242" i="2"/>
  <c r="U242" i="2"/>
  <c r="X242" i="2"/>
  <c r="F243" i="2" s="1"/>
  <c r="Y242" i="2"/>
  <c r="G243" i="2" s="1"/>
  <c r="H243" i="2" l="1"/>
  <c r="L243" i="2" s="1"/>
  <c r="B243" i="2"/>
  <c r="N243" i="2"/>
  <c r="O243" i="2" s="1"/>
  <c r="D243" i="2"/>
  <c r="M243" i="2"/>
  <c r="C243" i="2"/>
  <c r="Q243" i="2" l="1"/>
  <c r="P243" i="2"/>
  <c r="R243" i="2"/>
  <c r="K243" i="2"/>
  <c r="J243" i="2"/>
  <c r="I243" i="2"/>
  <c r="S243" i="2"/>
  <c r="T243" i="2" l="1"/>
  <c r="V243" i="2"/>
  <c r="U243" i="2"/>
  <c r="X243" i="2" s="1"/>
  <c r="F244" i="2" s="1"/>
  <c r="W243" i="2"/>
  <c r="E244" i="2" s="1"/>
  <c r="Y243" i="2"/>
  <c r="G244" i="2" s="1"/>
  <c r="C244" i="2" l="1"/>
  <c r="D244" i="2"/>
  <c r="H244" i="2"/>
  <c r="B244" i="2"/>
  <c r="K244" i="2" l="1"/>
  <c r="J244" i="2"/>
  <c r="I244" i="2"/>
  <c r="S244" i="2"/>
  <c r="L244" i="2"/>
  <c r="N244" i="2"/>
  <c r="O244" i="2" s="1"/>
  <c r="M244" i="2"/>
  <c r="Q244" i="2" l="1"/>
  <c r="P244" i="2"/>
  <c r="R244" i="2"/>
  <c r="T244" i="2"/>
  <c r="V244" i="2"/>
  <c r="U244" i="2"/>
  <c r="X244" i="2" s="1"/>
  <c r="F245" i="2" s="1"/>
  <c r="W244" i="2"/>
  <c r="E245" i="2" s="1"/>
  <c r="Y244" i="2"/>
  <c r="G245" i="2" s="1"/>
  <c r="C245" i="2" l="1"/>
  <c r="D245" i="2"/>
  <c r="H245" i="2"/>
  <c r="L245" i="2" s="1"/>
  <c r="B245" i="2"/>
  <c r="K245" i="2" l="1"/>
  <c r="J245" i="2"/>
  <c r="I245" i="2"/>
  <c r="S245" i="2"/>
  <c r="N245" i="2"/>
  <c r="O245" i="2" s="1"/>
  <c r="M245" i="2"/>
  <c r="Q245" i="2" l="1"/>
  <c r="P245" i="2"/>
  <c r="T245" i="2" s="1"/>
  <c r="W245" i="2" s="1"/>
  <c r="E246" i="2" s="1"/>
  <c r="R245" i="2"/>
  <c r="V245" i="2" s="1"/>
  <c r="Y245" i="2" s="1"/>
  <c r="G246" i="2" s="1"/>
  <c r="U245" i="2"/>
  <c r="X245" i="2" s="1"/>
  <c r="F246" i="2" s="1"/>
  <c r="C246" i="2" l="1"/>
  <c r="H246" i="2"/>
  <c r="L246" i="2" s="1"/>
  <c r="B246" i="2"/>
  <c r="D246" i="2"/>
  <c r="N246" i="2" l="1"/>
  <c r="O246" i="2" s="1"/>
  <c r="P246" i="2"/>
  <c r="R246" i="2"/>
  <c r="I246" i="2"/>
  <c r="K246" i="2"/>
  <c r="S246" i="2"/>
  <c r="J246" i="2"/>
  <c r="M246" i="2"/>
  <c r="Q246" i="2" s="1"/>
  <c r="T246" i="2" l="1"/>
  <c r="V246" i="2"/>
  <c r="U246" i="2"/>
  <c r="Y246" i="2"/>
  <c r="G247" i="2" s="1"/>
  <c r="X246" i="2"/>
  <c r="F247" i="2" s="1"/>
  <c r="W246" i="2"/>
  <c r="E247" i="2" s="1"/>
  <c r="C247" i="2" l="1"/>
  <c r="H247" i="2"/>
  <c r="B247" i="2"/>
  <c r="N247" i="2"/>
  <c r="O247" i="2" s="1"/>
  <c r="D247" i="2"/>
  <c r="I247" i="2" l="1"/>
  <c r="S247" i="2"/>
  <c r="K247" i="2"/>
  <c r="J247" i="2"/>
  <c r="R247" i="2"/>
  <c r="L247" i="2"/>
  <c r="P247" i="2" s="1"/>
  <c r="M247" i="2"/>
  <c r="Q247" i="2" s="1"/>
  <c r="T247" i="2" l="1"/>
  <c r="V247" i="2"/>
  <c r="U247" i="2"/>
  <c r="X247" i="2"/>
  <c r="F248" i="2" s="1"/>
  <c r="Y247" i="2"/>
  <c r="G248" i="2" s="1"/>
  <c r="W247" i="2"/>
  <c r="E248" i="2" s="1"/>
  <c r="D248" i="2" l="1"/>
  <c r="H248" i="2"/>
  <c r="B248" i="2"/>
  <c r="M248" i="2"/>
  <c r="C248" i="2"/>
  <c r="I248" i="2" l="1"/>
  <c r="K248" i="2"/>
  <c r="J248" i="2"/>
  <c r="S248" i="2"/>
  <c r="L248" i="2"/>
  <c r="N248" i="2"/>
  <c r="O248" i="2" s="1"/>
  <c r="Q248" i="2" l="1"/>
  <c r="U248" i="2" s="1"/>
  <c r="X248" i="2" s="1"/>
  <c r="F249" i="2" s="1"/>
  <c r="P248" i="2"/>
  <c r="T248" i="2" s="1"/>
  <c r="W248" i="2" s="1"/>
  <c r="E249" i="2" s="1"/>
  <c r="R248" i="2"/>
  <c r="V248" i="2" s="1"/>
  <c r="Y248" i="2" s="1"/>
  <c r="G249" i="2" s="1"/>
  <c r="H249" i="2" l="1"/>
  <c r="L249" i="2" s="1"/>
  <c r="B249" i="2"/>
  <c r="D249" i="2"/>
  <c r="M249" i="2"/>
  <c r="C249" i="2"/>
  <c r="N249" i="2" l="1"/>
  <c r="O249" i="2" s="1"/>
  <c r="Q249" i="2" s="1"/>
  <c r="I249" i="2"/>
  <c r="K249" i="2"/>
  <c r="J249" i="2"/>
  <c r="S249" i="2"/>
  <c r="R249" i="2" l="1"/>
  <c r="P249" i="2"/>
  <c r="T249" i="2" s="1"/>
  <c r="W249" i="2" s="1"/>
  <c r="E250" i="2" s="1"/>
  <c r="V249" i="2"/>
  <c r="U249" i="2"/>
  <c r="X249" i="2" s="1"/>
  <c r="F250" i="2" s="1"/>
  <c r="Y249" i="2"/>
  <c r="G250" i="2" s="1"/>
  <c r="C250" i="2" l="1"/>
  <c r="H250" i="2"/>
  <c r="N250" i="2" s="1"/>
  <c r="O250" i="2" s="1"/>
  <c r="B250" i="2"/>
  <c r="D250" i="2"/>
  <c r="K250" i="2" l="1"/>
  <c r="I250" i="2"/>
  <c r="J250" i="2"/>
  <c r="S250" i="2"/>
  <c r="R250" i="2"/>
  <c r="L250" i="2"/>
  <c r="P250" i="2" s="1"/>
  <c r="M250" i="2"/>
  <c r="Q250" i="2" s="1"/>
  <c r="T250" i="2" l="1"/>
  <c r="V250" i="2"/>
  <c r="U250" i="2"/>
  <c r="X250" i="2" s="1"/>
  <c r="F251" i="2" s="1"/>
  <c r="W250" i="2"/>
  <c r="E251" i="2" s="1"/>
  <c r="Y250" i="2"/>
  <c r="G251" i="2" s="1"/>
  <c r="C251" i="2" l="1"/>
  <c r="D251" i="2"/>
  <c r="H251" i="2"/>
  <c r="B251" i="2"/>
  <c r="J251" i="2" l="1"/>
  <c r="K251" i="2"/>
  <c r="S251" i="2"/>
  <c r="I251" i="2"/>
  <c r="L251" i="2"/>
  <c r="N251" i="2"/>
  <c r="O251" i="2" s="1"/>
  <c r="M251" i="2"/>
  <c r="Q251" i="2" l="1"/>
  <c r="P251" i="2"/>
  <c r="R251" i="2"/>
  <c r="T251" i="2"/>
  <c r="W251" i="2" s="1"/>
  <c r="E252" i="2" s="1"/>
  <c r="V251" i="2"/>
  <c r="Y251" i="2" s="1"/>
  <c r="G252" i="2" s="1"/>
  <c r="U251" i="2"/>
  <c r="X251" i="2" s="1"/>
  <c r="F252" i="2" s="1"/>
  <c r="C252" i="2" l="1"/>
  <c r="D252" i="2"/>
  <c r="H252" i="2"/>
  <c r="N252" i="2" s="1"/>
  <c r="O252" i="2" s="1"/>
  <c r="B252" i="2"/>
  <c r="R252" i="2" l="1"/>
  <c r="L252" i="2"/>
  <c r="P252" i="2" s="1"/>
  <c r="J252" i="2"/>
  <c r="K252" i="2"/>
  <c r="S252" i="2"/>
  <c r="I252" i="2"/>
  <c r="M252" i="2"/>
  <c r="Q252" i="2" s="1"/>
  <c r="T252" i="2" l="1"/>
  <c r="W252" i="2" s="1"/>
  <c r="E253" i="2" s="1"/>
  <c r="V252" i="2"/>
  <c r="Y252" i="2" s="1"/>
  <c r="G253" i="2" s="1"/>
  <c r="U252" i="2"/>
  <c r="X252" i="2" s="1"/>
  <c r="F253" i="2" s="1"/>
  <c r="D253" i="2" l="1"/>
  <c r="H253" i="2"/>
  <c r="L253" i="2" s="1"/>
  <c r="B253" i="2"/>
  <c r="M253" i="2"/>
  <c r="C253" i="2"/>
  <c r="J253" i="2" l="1"/>
  <c r="K253" i="2"/>
  <c r="I253" i="2"/>
  <c r="S253" i="2"/>
  <c r="N253" i="2"/>
  <c r="O253" i="2" s="1"/>
  <c r="Q253" i="2" l="1"/>
  <c r="U253" i="2" s="1"/>
  <c r="X253" i="2" s="1"/>
  <c r="F254" i="2" s="1"/>
  <c r="P253" i="2"/>
  <c r="T253" i="2" s="1"/>
  <c r="W253" i="2" s="1"/>
  <c r="E254" i="2" s="1"/>
  <c r="R253" i="2"/>
  <c r="V253" i="2" s="1"/>
  <c r="Y253" i="2" s="1"/>
  <c r="G254" i="2" s="1"/>
  <c r="H254" i="2" l="1"/>
  <c r="L254" i="2"/>
  <c r="B254" i="2"/>
  <c r="N254" i="2"/>
  <c r="O254" i="2" s="1"/>
  <c r="D254" i="2"/>
  <c r="M254" i="2"/>
  <c r="C254" i="2"/>
  <c r="Q254" i="2" l="1"/>
  <c r="P254" i="2"/>
  <c r="R254" i="2"/>
  <c r="I254" i="2"/>
  <c r="S254" i="2"/>
  <c r="K254" i="2"/>
  <c r="J254" i="2"/>
  <c r="T254" i="2" l="1"/>
  <c r="W254" i="2" s="1"/>
  <c r="E255" i="2" s="1"/>
  <c r="V254" i="2"/>
  <c r="Y254" i="2" s="1"/>
  <c r="G255" i="2" s="1"/>
  <c r="U254" i="2"/>
  <c r="X254" i="2" s="1"/>
  <c r="F255" i="2" s="1"/>
  <c r="D255" i="2" l="1"/>
  <c r="C255" i="2"/>
  <c r="H255" i="2"/>
  <c r="B255" i="2"/>
  <c r="K255" i="2" l="1"/>
  <c r="I255" i="2"/>
  <c r="S255" i="2"/>
  <c r="J255" i="2"/>
  <c r="M255" i="2"/>
  <c r="L255" i="2"/>
  <c r="N255" i="2"/>
  <c r="O255" i="2" s="1"/>
  <c r="Q255" i="2" l="1"/>
  <c r="P255" i="2"/>
  <c r="R255" i="2"/>
  <c r="T255" i="2"/>
  <c r="W255" i="2" s="1"/>
  <c r="E256" i="2" s="1"/>
  <c r="V255" i="2"/>
  <c r="U255" i="2"/>
  <c r="X255" i="2" s="1"/>
  <c r="F256" i="2" s="1"/>
  <c r="Y255" i="2"/>
  <c r="G256" i="2" s="1"/>
  <c r="C256" i="2" l="1"/>
  <c r="H256" i="2"/>
  <c r="L256" i="2" s="1"/>
  <c r="B256" i="2"/>
  <c r="N256" i="2"/>
  <c r="O256" i="2" s="1"/>
  <c r="D256" i="2"/>
  <c r="P256" i="2" l="1"/>
  <c r="R256" i="2"/>
  <c r="J256" i="2"/>
  <c r="K256" i="2"/>
  <c r="I256" i="2"/>
  <c r="S256" i="2"/>
  <c r="M256" i="2"/>
  <c r="Q256" i="2" s="1"/>
  <c r="T256" i="2" l="1"/>
  <c r="V256" i="2"/>
  <c r="U256" i="2"/>
  <c r="X256" i="2" s="1"/>
  <c r="F257" i="2" s="1"/>
  <c r="W256" i="2"/>
  <c r="E257" i="2" s="1"/>
  <c r="Y256" i="2"/>
  <c r="G257" i="2" s="1"/>
  <c r="C257" i="2" l="1"/>
  <c r="D257" i="2"/>
  <c r="H257" i="2"/>
  <c r="B257" i="2"/>
  <c r="K257" i="2" l="1"/>
  <c r="J257" i="2"/>
  <c r="S257" i="2"/>
  <c r="I257" i="2"/>
  <c r="L257" i="2"/>
  <c r="N257" i="2"/>
  <c r="O257" i="2" s="1"/>
  <c r="M257" i="2"/>
  <c r="Q257" i="2" l="1"/>
  <c r="P257" i="2"/>
  <c r="R257" i="2"/>
  <c r="V257" i="2" s="1"/>
  <c r="Y257" i="2" s="1"/>
  <c r="G258" i="2" s="1"/>
  <c r="T257" i="2"/>
  <c r="W257" i="2" s="1"/>
  <c r="E258" i="2" s="1"/>
  <c r="U257" i="2"/>
  <c r="X257" i="2" s="1"/>
  <c r="F258" i="2" s="1"/>
  <c r="H258" i="2" l="1"/>
  <c r="L258" i="2" s="1"/>
  <c r="B258" i="2"/>
  <c r="M258" i="2"/>
  <c r="C258" i="2"/>
  <c r="N258" i="2"/>
  <c r="O258" i="2" s="1"/>
  <c r="D258" i="2"/>
  <c r="Q258" i="2" l="1"/>
  <c r="P258" i="2"/>
  <c r="R258" i="2"/>
  <c r="J258" i="2"/>
  <c r="K258" i="2"/>
  <c r="I258" i="2"/>
  <c r="S258" i="2"/>
  <c r="U258" i="2" l="1"/>
  <c r="T258" i="2"/>
  <c r="V258" i="2"/>
  <c r="Y258" i="2" s="1"/>
  <c r="G259" i="2" s="1"/>
  <c r="W258" i="2"/>
  <c r="E259" i="2" s="1"/>
  <c r="X258" i="2"/>
  <c r="F259" i="2" s="1"/>
  <c r="D259" i="2" l="1"/>
  <c r="C259" i="2"/>
  <c r="H259" i="2"/>
  <c r="B259" i="2"/>
  <c r="J259" i="2" l="1"/>
  <c r="S259" i="2"/>
  <c r="I259" i="2"/>
  <c r="K259" i="2"/>
  <c r="L259" i="2"/>
  <c r="M259" i="2"/>
  <c r="N259" i="2"/>
  <c r="O259" i="2" s="1"/>
  <c r="Q259" i="2" l="1"/>
  <c r="U259" i="2" s="1"/>
  <c r="X259" i="2" s="1"/>
  <c r="F260" i="2" s="1"/>
  <c r="P259" i="2"/>
  <c r="T259" i="2" s="1"/>
  <c r="W259" i="2" s="1"/>
  <c r="E260" i="2" s="1"/>
  <c r="R259" i="2"/>
  <c r="V259" i="2" s="1"/>
  <c r="Y259" i="2" s="1"/>
  <c r="G260" i="2" s="1"/>
  <c r="D260" i="2" l="1"/>
  <c r="H260" i="2"/>
  <c r="L260" i="2" s="1"/>
  <c r="B260" i="2"/>
  <c r="M260" i="2"/>
  <c r="C260" i="2"/>
  <c r="J260" i="2" l="1"/>
  <c r="I260" i="2"/>
  <c r="K260" i="2"/>
  <c r="S260" i="2"/>
  <c r="N260" i="2"/>
  <c r="O260" i="2" s="1"/>
  <c r="Q260" i="2" l="1"/>
  <c r="P260" i="2"/>
  <c r="R260" i="2"/>
  <c r="V260" i="2" s="1"/>
  <c r="Y260" i="2" s="1"/>
  <c r="G261" i="2" s="1"/>
  <c r="U260" i="2"/>
  <c r="T260" i="2"/>
  <c r="W260" i="2"/>
  <c r="E261" i="2" s="1"/>
  <c r="X260" i="2"/>
  <c r="F261" i="2" s="1"/>
  <c r="D261" i="2" l="1"/>
  <c r="H261" i="2"/>
  <c r="B261" i="2"/>
  <c r="C261" i="2"/>
  <c r="J261" i="2" l="1"/>
  <c r="I261" i="2"/>
  <c r="K261" i="2"/>
  <c r="S261" i="2"/>
  <c r="M261" i="2"/>
  <c r="L261" i="2"/>
  <c r="N261" i="2"/>
  <c r="O261" i="2" s="1"/>
  <c r="Q261" i="2" l="1"/>
  <c r="P261" i="2"/>
  <c r="R261" i="2"/>
  <c r="U261" i="2"/>
  <c r="T261" i="2"/>
  <c r="W261" i="2" s="1"/>
  <c r="E262" i="2" s="1"/>
  <c r="V261" i="2"/>
  <c r="Y261" i="2" s="1"/>
  <c r="G262" i="2" s="1"/>
  <c r="X261" i="2"/>
  <c r="F262" i="2" s="1"/>
  <c r="H262" i="2" l="1"/>
  <c r="L262" i="2"/>
  <c r="B262" i="2"/>
  <c r="M262" i="2"/>
  <c r="C262" i="2"/>
  <c r="N262" i="2"/>
  <c r="O262" i="2" s="1"/>
  <c r="D262" i="2"/>
  <c r="Q262" i="2" l="1"/>
  <c r="P262" i="2"/>
  <c r="R262" i="2"/>
  <c r="J262" i="2"/>
  <c r="I262" i="2"/>
  <c r="K262" i="2"/>
  <c r="S262" i="2"/>
  <c r="U262" i="2" l="1"/>
  <c r="T262" i="2"/>
  <c r="W262" i="2" s="1"/>
  <c r="E263" i="2" s="1"/>
  <c r="V262" i="2"/>
  <c r="Y262" i="2" s="1"/>
  <c r="G263" i="2" s="1"/>
  <c r="X262" i="2"/>
  <c r="F263" i="2" s="1"/>
  <c r="D263" i="2" l="1"/>
  <c r="H263" i="2"/>
  <c r="B263" i="2"/>
  <c r="C263" i="2"/>
  <c r="J263" i="2" l="1"/>
  <c r="S263" i="2"/>
  <c r="I263" i="2"/>
  <c r="K263" i="2"/>
  <c r="M263" i="2"/>
  <c r="L263" i="2"/>
  <c r="N263" i="2"/>
  <c r="O263" i="2" s="1"/>
  <c r="Q263" i="2" l="1"/>
  <c r="U263" i="2" s="1"/>
  <c r="X263" i="2" s="1"/>
  <c r="F264" i="2" s="1"/>
  <c r="P263" i="2"/>
  <c r="R263" i="2"/>
  <c r="V263" i="2" s="1"/>
  <c r="Y263" i="2" s="1"/>
  <c r="G264" i="2" s="1"/>
  <c r="T263" i="2"/>
  <c r="W263" i="2"/>
  <c r="E264" i="2" s="1"/>
  <c r="H264" i="2" l="1"/>
  <c r="L264" i="2" s="1"/>
  <c r="B264" i="2"/>
  <c r="M264" i="2"/>
  <c r="C264" i="2"/>
  <c r="N264" i="2"/>
  <c r="O264" i="2" s="1"/>
  <c r="D264" i="2"/>
  <c r="Q264" i="2" l="1"/>
  <c r="P264" i="2"/>
  <c r="R264" i="2"/>
  <c r="I264" i="2"/>
  <c r="K264" i="2"/>
  <c r="S264" i="2"/>
  <c r="J264" i="2"/>
  <c r="U264" i="2" l="1"/>
  <c r="X264" i="2" s="1"/>
  <c r="F265" i="2" s="1"/>
  <c r="T264" i="2"/>
  <c r="W264" i="2" s="1"/>
  <c r="E265" i="2" s="1"/>
  <c r="V264" i="2"/>
  <c r="Y264" i="2" s="1"/>
  <c r="G265" i="2" s="1"/>
  <c r="C265" i="2" l="1"/>
  <c r="H265" i="2"/>
  <c r="L265" i="2" s="1"/>
  <c r="B265" i="2"/>
  <c r="N265" i="2"/>
  <c r="O265" i="2" s="1"/>
  <c r="D265" i="2"/>
  <c r="P265" i="2" l="1"/>
  <c r="R265" i="2"/>
  <c r="I265" i="2"/>
  <c r="J265" i="2"/>
  <c r="K265" i="2"/>
  <c r="S265" i="2"/>
  <c r="M265" i="2"/>
  <c r="Q265" i="2" s="1"/>
  <c r="U265" i="2" l="1"/>
  <c r="X265" i="2" s="1"/>
  <c r="F266" i="2" s="1"/>
  <c r="T265" i="2"/>
  <c r="V265" i="2"/>
  <c r="Y265" i="2"/>
  <c r="G266" i="2" s="1"/>
  <c r="W265" i="2"/>
  <c r="E266" i="2" s="1"/>
  <c r="C266" i="2" l="1"/>
  <c r="H266" i="2"/>
  <c r="N266" i="2" s="1"/>
  <c r="O266" i="2" s="1"/>
  <c r="B266" i="2"/>
  <c r="D266" i="2"/>
  <c r="R266" i="2" l="1"/>
  <c r="S266" i="2"/>
  <c r="I266" i="2"/>
  <c r="K266" i="2"/>
  <c r="J266" i="2"/>
  <c r="L266" i="2"/>
  <c r="P266" i="2" s="1"/>
  <c r="M266" i="2"/>
  <c r="Q266" i="2" s="1"/>
  <c r="U266" i="2" l="1"/>
  <c r="X266" i="2" s="1"/>
  <c r="F267" i="2" s="1"/>
  <c r="T266" i="2"/>
  <c r="W266" i="2" s="1"/>
  <c r="E267" i="2" s="1"/>
  <c r="V266" i="2"/>
  <c r="Y266" i="2" s="1"/>
  <c r="G267" i="2" s="1"/>
  <c r="H267" i="2" l="1"/>
  <c r="L267" i="2" s="1"/>
  <c r="B267" i="2"/>
  <c r="N267" i="2"/>
  <c r="O267" i="2" s="1"/>
  <c r="D267" i="2"/>
  <c r="M267" i="2"/>
  <c r="C267" i="2"/>
  <c r="Q267" i="2" l="1"/>
  <c r="P267" i="2"/>
  <c r="R267" i="2"/>
  <c r="J267" i="2"/>
  <c r="I267" i="2"/>
  <c r="K267" i="2"/>
  <c r="S267" i="2"/>
  <c r="U267" i="2" l="1"/>
  <c r="T267" i="2"/>
  <c r="W267" i="2" s="1"/>
  <c r="E268" i="2" s="1"/>
  <c r="V267" i="2"/>
  <c r="Y267" i="2" s="1"/>
  <c r="G268" i="2" s="1"/>
  <c r="X267" i="2"/>
  <c r="F268" i="2" s="1"/>
  <c r="D268" i="2" l="1"/>
  <c r="H268" i="2"/>
  <c r="B268" i="2"/>
  <c r="M268" i="2"/>
  <c r="C268" i="2"/>
  <c r="I268" i="2" l="1"/>
  <c r="K268" i="2"/>
  <c r="S268" i="2"/>
  <c r="J268" i="2"/>
  <c r="N268" i="2"/>
  <c r="O268" i="2" s="1"/>
  <c r="L268" i="2"/>
  <c r="R268" i="2" l="1"/>
  <c r="Q268" i="2"/>
  <c r="U268" i="2" s="1"/>
  <c r="X268" i="2" s="1"/>
  <c r="F269" i="2" s="1"/>
  <c r="P268" i="2"/>
  <c r="T268" i="2" s="1"/>
  <c r="W268" i="2" s="1"/>
  <c r="E269" i="2" s="1"/>
  <c r="V268" i="2"/>
  <c r="Y268" i="2" s="1"/>
  <c r="G269" i="2" s="1"/>
  <c r="H269" i="2" l="1"/>
  <c r="L269" i="2"/>
  <c r="B269" i="2"/>
  <c r="M269" i="2"/>
  <c r="C269" i="2"/>
  <c r="N269" i="2"/>
  <c r="O269" i="2" s="1"/>
  <c r="D269" i="2"/>
  <c r="R269" i="2" l="1"/>
  <c r="Q269" i="2"/>
  <c r="P269" i="2"/>
  <c r="I269" i="2"/>
  <c r="J269" i="2"/>
  <c r="S269" i="2"/>
  <c r="K269" i="2"/>
  <c r="U269" i="2" l="1"/>
  <c r="X269" i="2" s="1"/>
  <c r="F270" i="2" s="1"/>
  <c r="T269" i="2"/>
  <c r="W269" i="2" s="1"/>
  <c r="E270" i="2" s="1"/>
  <c r="V269" i="2"/>
  <c r="Y269" i="2" s="1"/>
  <c r="G270" i="2" s="1"/>
  <c r="D270" i="2" l="1"/>
  <c r="H270" i="2"/>
  <c r="B270" i="2"/>
  <c r="C270" i="2"/>
  <c r="J270" i="2" l="1"/>
  <c r="K270" i="2"/>
  <c r="S270" i="2"/>
  <c r="I270" i="2"/>
  <c r="M270" i="2"/>
  <c r="L270" i="2"/>
  <c r="N270" i="2"/>
  <c r="O270" i="2" s="1"/>
  <c r="R270" i="2" l="1"/>
  <c r="Q270" i="2"/>
  <c r="U270" i="2" s="1"/>
  <c r="X270" i="2" s="1"/>
  <c r="F271" i="2" s="1"/>
  <c r="P270" i="2"/>
  <c r="T270" i="2" s="1"/>
  <c r="W270" i="2" s="1"/>
  <c r="E271" i="2" s="1"/>
  <c r="V270" i="2"/>
  <c r="Y270" i="2" s="1"/>
  <c r="G271" i="2" s="1"/>
  <c r="D271" i="2" l="1"/>
  <c r="H271" i="2"/>
  <c r="L271" i="2" s="1"/>
  <c r="B271" i="2"/>
  <c r="C271" i="2"/>
  <c r="S271" i="2" l="1"/>
  <c r="K271" i="2"/>
  <c r="J271" i="2"/>
  <c r="I271" i="2"/>
  <c r="M271" i="2"/>
  <c r="N271" i="2"/>
  <c r="O271" i="2" s="1"/>
  <c r="R271" i="2" l="1"/>
  <c r="Q271" i="2"/>
  <c r="U271" i="2" s="1"/>
  <c r="X271" i="2" s="1"/>
  <c r="F272" i="2" s="1"/>
  <c r="P271" i="2"/>
  <c r="T271" i="2" s="1"/>
  <c r="W271" i="2" s="1"/>
  <c r="E272" i="2" s="1"/>
  <c r="V271" i="2"/>
  <c r="Y271" i="2" s="1"/>
  <c r="G272" i="2" s="1"/>
  <c r="H272" i="2" l="1"/>
  <c r="L272" i="2" s="1"/>
  <c r="B272" i="2"/>
  <c r="N272" i="2"/>
  <c r="O272" i="2" s="1"/>
  <c r="D272" i="2"/>
  <c r="M272" i="2"/>
  <c r="C272" i="2"/>
  <c r="R272" i="2" l="1"/>
  <c r="Q272" i="2"/>
  <c r="P272" i="2"/>
  <c r="J272" i="2"/>
  <c r="I272" i="2"/>
  <c r="K272" i="2"/>
  <c r="S272" i="2"/>
  <c r="U272" i="2" l="1"/>
  <c r="T272" i="2"/>
  <c r="V272" i="2"/>
  <c r="Y272" i="2" s="1"/>
  <c r="G273" i="2" s="1"/>
  <c r="X272" i="2"/>
  <c r="F273" i="2" s="1"/>
  <c r="W272" i="2"/>
  <c r="E273" i="2" s="1"/>
  <c r="D273" i="2" l="1"/>
  <c r="H273" i="2"/>
  <c r="B273" i="2"/>
  <c r="C273" i="2"/>
  <c r="J273" i="2" l="1"/>
  <c r="I273" i="2"/>
  <c r="K273" i="2"/>
  <c r="S273" i="2"/>
  <c r="N273" i="2"/>
  <c r="O273" i="2" s="1"/>
  <c r="M273" i="2"/>
  <c r="L273" i="2"/>
  <c r="R273" i="2" l="1"/>
  <c r="Q273" i="2"/>
  <c r="P273" i="2"/>
  <c r="T273" i="2" s="1"/>
  <c r="W273" i="2" s="1"/>
  <c r="E274" i="2" s="1"/>
  <c r="U273" i="2"/>
  <c r="V273" i="2"/>
  <c r="Y273" i="2" s="1"/>
  <c r="G274" i="2" s="1"/>
  <c r="X273" i="2"/>
  <c r="F274" i="2" s="1"/>
  <c r="H274" i="2" l="1"/>
  <c r="L274" i="2" s="1"/>
  <c r="B274" i="2"/>
  <c r="C274" i="2"/>
  <c r="D274" i="2"/>
  <c r="N274" i="2" l="1"/>
  <c r="O274" i="2" s="1"/>
  <c r="M274" i="2"/>
  <c r="R274" i="2"/>
  <c r="Q274" i="2"/>
  <c r="P274" i="2"/>
  <c r="I274" i="2"/>
  <c r="K274" i="2"/>
  <c r="J274" i="2"/>
  <c r="S274" i="2"/>
  <c r="U274" i="2" l="1"/>
  <c r="X274" i="2" s="1"/>
  <c r="F275" i="2" s="1"/>
  <c r="T274" i="2"/>
  <c r="V274" i="2"/>
  <c r="Y274" i="2" s="1"/>
  <c r="G275" i="2" s="1"/>
  <c r="W274" i="2"/>
  <c r="E275" i="2" s="1"/>
  <c r="D275" i="2" l="1"/>
  <c r="C275" i="2"/>
  <c r="H275" i="2"/>
  <c r="L275" i="2" s="1"/>
  <c r="B275" i="2"/>
  <c r="J275" i="2" l="1"/>
  <c r="S275" i="2"/>
  <c r="I275" i="2"/>
  <c r="K275" i="2"/>
  <c r="M275" i="2"/>
  <c r="N275" i="2"/>
  <c r="O275" i="2" s="1"/>
  <c r="R275" i="2" l="1"/>
  <c r="Q275" i="2"/>
  <c r="P275" i="2"/>
  <c r="T275" i="2" s="1"/>
  <c r="W275" i="2" s="1"/>
  <c r="E276" i="2" s="1"/>
  <c r="U275" i="2"/>
  <c r="V275" i="2"/>
  <c r="Y275" i="2" s="1"/>
  <c r="G276" i="2" s="1"/>
  <c r="X275" i="2"/>
  <c r="F276" i="2" s="1"/>
  <c r="D276" i="2" l="1"/>
  <c r="H276" i="2"/>
  <c r="M276" i="2" s="1"/>
  <c r="B276" i="2"/>
  <c r="C276" i="2"/>
  <c r="J276" i="2" l="1"/>
  <c r="I276" i="2"/>
  <c r="K276" i="2"/>
  <c r="S276" i="2"/>
  <c r="L276" i="2"/>
  <c r="N276" i="2"/>
  <c r="O276" i="2" s="1"/>
  <c r="R276" i="2" l="1"/>
  <c r="Q276" i="2"/>
  <c r="U276" i="2" s="1"/>
  <c r="X276" i="2" s="1"/>
  <c r="F277" i="2" s="1"/>
  <c r="P276" i="2"/>
  <c r="T276" i="2" s="1"/>
  <c r="W276" i="2" s="1"/>
  <c r="E277" i="2" s="1"/>
  <c r="V276" i="2"/>
  <c r="Y276" i="2" s="1"/>
  <c r="G277" i="2" s="1"/>
  <c r="D277" i="2" l="1"/>
  <c r="C277" i="2"/>
  <c r="H277" i="2"/>
  <c r="B277" i="2"/>
  <c r="I277" i="2" l="1"/>
  <c r="J277" i="2"/>
  <c r="K277" i="2"/>
  <c r="S277" i="2"/>
  <c r="L277" i="2"/>
  <c r="M277" i="2"/>
  <c r="N277" i="2"/>
  <c r="O277" i="2" s="1"/>
  <c r="R277" i="2" l="1"/>
  <c r="Q277" i="2"/>
  <c r="P277" i="2"/>
  <c r="T277" i="2" s="1"/>
  <c r="W277" i="2" s="1"/>
  <c r="E278" i="2" s="1"/>
  <c r="U277" i="2"/>
  <c r="X277" i="2" s="1"/>
  <c r="F278" i="2" s="1"/>
  <c r="V277" i="2"/>
  <c r="Y277" i="2" s="1"/>
  <c r="G278" i="2" s="1"/>
  <c r="D278" i="2" l="1"/>
  <c r="C278" i="2"/>
  <c r="H278" i="2"/>
  <c r="B278" i="2"/>
  <c r="S278" i="2" l="1"/>
  <c r="I278" i="2"/>
  <c r="J278" i="2"/>
  <c r="K278" i="2"/>
  <c r="M278" i="2"/>
  <c r="L278" i="2"/>
  <c r="N278" i="2"/>
  <c r="O278" i="2" s="1"/>
  <c r="R278" i="2" l="1"/>
  <c r="Q278" i="2"/>
  <c r="U278" i="2" s="1"/>
  <c r="X278" i="2" s="1"/>
  <c r="F279" i="2" s="1"/>
  <c r="P278" i="2"/>
  <c r="T278" i="2" s="1"/>
  <c r="W278" i="2" s="1"/>
  <c r="E279" i="2" s="1"/>
  <c r="V278" i="2"/>
  <c r="Y278" i="2" s="1"/>
  <c r="G279" i="2" s="1"/>
  <c r="H279" i="2" l="1"/>
  <c r="L279" i="2"/>
  <c r="B279" i="2"/>
  <c r="N279" i="2"/>
  <c r="O279" i="2" s="1"/>
  <c r="D279" i="2"/>
  <c r="M279" i="2"/>
  <c r="C279" i="2"/>
  <c r="R279" i="2" l="1"/>
  <c r="Q279" i="2"/>
  <c r="P279" i="2"/>
  <c r="J279" i="2"/>
  <c r="I279" i="2"/>
  <c r="K279" i="2"/>
  <c r="S279" i="2"/>
  <c r="U279" i="2" l="1"/>
  <c r="T279" i="2"/>
  <c r="V279" i="2"/>
  <c r="Y279" i="2" s="1"/>
  <c r="G280" i="2" s="1"/>
  <c r="W279" i="2"/>
  <c r="E280" i="2" s="1"/>
  <c r="X279" i="2"/>
  <c r="F280" i="2" s="1"/>
  <c r="D280" i="2" l="1"/>
  <c r="C280" i="2"/>
  <c r="H280" i="2"/>
  <c r="B280" i="2"/>
  <c r="I280" i="2" l="1"/>
  <c r="K280" i="2"/>
  <c r="J280" i="2"/>
  <c r="S280" i="2"/>
  <c r="L280" i="2"/>
  <c r="M280" i="2"/>
  <c r="N280" i="2"/>
  <c r="O280" i="2" s="1"/>
  <c r="R280" i="2" l="1"/>
  <c r="V280" i="2" s="1"/>
  <c r="Y280" i="2" s="1"/>
  <c r="G281" i="2" s="1"/>
  <c r="Q280" i="2"/>
  <c r="U280" i="2" s="1"/>
  <c r="X280" i="2" s="1"/>
  <c r="F281" i="2" s="1"/>
  <c r="P280" i="2"/>
  <c r="T280" i="2" s="1"/>
  <c r="W280" i="2" s="1"/>
  <c r="E281" i="2" s="1"/>
  <c r="C281" i="2" l="1"/>
  <c r="H281" i="2"/>
  <c r="N281" i="2" s="1"/>
  <c r="O281" i="2" s="1"/>
  <c r="B281" i="2"/>
  <c r="D281" i="2"/>
  <c r="R281" i="2" l="1"/>
  <c r="K281" i="2"/>
  <c r="J281" i="2"/>
  <c r="I281" i="2"/>
  <c r="S281" i="2"/>
  <c r="L281" i="2"/>
  <c r="P281" i="2" s="1"/>
  <c r="M281" i="2"/>
  <c r="Q281" i="2" s="1"/>
  <c r="U281" i="2" l="1"/>
  <c r="X281" i="2" s="1"/>
  <c r="F282" i="2" s="1"/>
  <c r="T281" i="2"/>
  <c r="W281" i="2" s="1"/>
  <c r="E282" i="2" s="1"/>
  <c r="V281" i="2"/>
  <c r="Y281" i="2" s="1"/>
  <c r="G282" i="2" s="1"/>
  <c r="H282" i="2" l="1"/>
  <c r="L282" i="2"/>
  <c r="B282" i="2"/>
  <c r="M282" i="2"/>
  <c r="C282" i="2"/>
  <c r="N282" i="2"/>
  <c r="O282" i="2" s="1"/>
  <c r="D282" i="2"/>
  <c r="R282" i="2" l="1"/>
  <c r="Q282" i="2"/>
  <c r="P282" i="2"/>
  <c r="I282" i="2"/>
  <c r="K282" i="2"/>
  <c r="J282" i="2"/>
  <c r="S282" i="2"/>
  <c r="U282" i="2" l="1"/>
  <c r="T282" i="2"/>
  <c r="V282" i="2"/>
  <c r="Y282" i="2"/>
  <c r="G283" i="2" s="1"/>
  <c r="X282" i="2"/>
  <c r="F283" i="2" s="1"/>
  <c r="W282" i="2"/>
  <c r="E283" i="2" s="1"/>
  <c r="C283" i="2" l="1"/>
  <c r="H283" i="2"/>
  <c r="L283" i="2" s="1"/>
  <c r="B283" i="2"/>
  <c r="N283" i="2"/>
  <c r="O283" i="2" s="1"/>
  <c r="D283" i="2"/>
  <c r="R283" i="2" l="1"/>
  <c r="P283" i="2"/>
  <c r="K283" i="2"/>
  <c r="J283" i="2"/>
  <c r="S283" i="2"/>
  <c r="I283" i="2"/>
  <c r="M283" i="2"/>
  <c r="Q283" i="2" s="1"/>
  <c r="U283" i="2" l="1"/>
  <c r="X283" i="2" s="1"/>
  <c r="F284" i="2" s="1"/>
  <c r="T283" i="2"/>
  <c r="W283" i="2" s="1"/>
  <c r="E284" i="2" s="1"/>
  <c r="V283" i="2"/>
  <c r="Y283" i="2"/>
  <c r="G284" i="2" s="1"/>
  <c r="H284" i="2" l="1"/>
  <c r="L284" i="2"/>
  <c r="B284" i="2"/>
  <c r="M284" i="2"/>
  <c r="C284" i="2"/>
  <c r="N284" i="2"/>
  <c r="O284" i="2" s="1"/>
  <c r="D284" i="2"/>
  <c r="R284" i="2" l="1"/>
  <c r="Q284" i="2"/>
  <c r="P284" i="2"/>
  <c r="K284" i="2"/>
  <c r="J284" i="2"/>
  <c r="I284" i="2"/>
  <c r="S284" i="2"/>
  <c r="U284" i="2" l="1"/>
  <c r="T284" i="2"/>
  <c r="V284" i="2"/>
  <c r="X284" i="2"/>
  <c r="F285" i="2" s="1"/>
  <c r="W284" i="2"/>
  <c r="E285" i="2" s="1"/>
  <c r="Y284" i="2"/>
  <c r="G285" i="2" s="1"/>
  <c r="H285" i="2" l="1"/>
  <c r="L285" i="2" s="1"/>
  <c r="B285" i="2"/>
  <c r="N285" i="2"/>
  <c r="O285" i="2" s="1"/>
  <c r="D285" i="2"/>
  <c r="M285" i="2"/>
  <c r="C285" i="2"/>
  <c r="R285" i="2" l="1"/>
  <c r="Q285" i="2"/>
  <c r="P285" i="2"/>
  <c r="J285" i="2"/>
  <c r="K285" i="2"/>
  <c r="I285" i="2"/>
  <c r="S285" i="2"/>
  <c r="U285" i="2" l="1"/>
  <c r="X285" i="2" s="1"/>
  <c r="F286" i="2" s="1"/>
  <c r="T285" i="2"/>
  <c r="W285" i="2" s="1"/>
  <c r="E286" i="2" s="1"/>
  <c r="V285" i="2"/>
  <c r="Y285" i="2" s="1"/>
  <c r="G286" i="2" s="1"/>
  <c r="H286" i="2" l="1"/>
  <c r="L286" i="2" s="1"/>
  <c r="B286" i="2"/>
  <c r="M286" i="2"/>
  <c r="C286" i="2"/>
  <c r="N286" i="2"/>
  <c r="O286" i="2" s="1"/>
  <c r="D286" i="2"/>
  <c r="R286" i="2" l="1"/>
  <c r="Q286" i="2"/>
  <c r="P286" i="2"/>
  <c r="K286" i="2"/>
  <c r="J286" i="2"/>
  <c r="I286" i="2"/>
  <c r="S286" i="2"/>
  <c r="U286" i="2" l="1"/>
  <c r="T286" i="2"/>
  <c r="W286" i="2" s="1"/>
  <c r="E287" i="2" s="1"/>
  <c r="V286" i="2"/>
  <c r="Y286" i="2" s="1"/>
  <c r="G287" i="2" s="1"/>
  <c r="X286" i="2"/>
  <c r="F287" i="2" s="1"/>
  <c r="D287" i="2" l="1"/>
  <c r="H287" i="2"/>
  <c r="B287" i="2"/>
  <c r="M287" i="2"/>
  <c r="C287" i="2"/>
  <c r="S287" i="2" l="1"/>
  <c r="I287" i="2"/>
  <c r="K287" i="2"/>
  <c r="J287" i="2"/>
  <c r="L287" i="2"/>
  <c r="N287" i="2"/>
  <c r="O287" i="2" s="1"/>
  <c r="R287" i="2" l="1"/>
  <c r="V287" i="2" s="1"/>
  <c r="Y287" i="2" s="1"/>
  <c r="G288" i="2" s="1"/>
  <c r="Q287" i="2"/>
  <c r="U287" i="2" s="1"/>
  <c r="X287" i="2" s="1"/>
  <c r="F288" i="2" s="1"/>
  <c r="P287" i="2"/>
  <c r="T287" i="2" s="1"/>
  <c r="W287" i="2" s="1"/>
  <c r="E288" i="2" s="1"/>
  <c r="H288" i="2" l="1"/>
  <c r="L288" i="2"/>
  <c r="B288" i="2"/>
  <c r="N288" i="2"/>
  <c r="O288" i="2" s="1"/>
  <c r="D288" i="2"/>
  <c r="M288" i="2"/>
  <c r="C288" i="2"/>
  <c r="R288" i="2" l="1"/>
  <c r="Q288" i="2"/>
  <c r="P288" i="2"/>
  <c r="J288" i="2"/>
  <c r="I288" i="2"/>
  <c r="S288" i="2"/>
  <c r="K288" i="2"/>
  <c r="U288" i="2" l="1"/>
  <c r="X288" i="2" s="1"/>
  <c r="F289" i="2" s="1"/>
  <c r="T288" i="2"/>
  <c r="V288" i="2"/>
  <c r="Y288" i="2" s="1"/>
  <c r="G289" i="2" s="1"/>
  <c r="W288" i="2"/>
  <c r="E289" i="2" s="1"/>
  <c r="D289" i="2" l="1"/>
  <c r="C289" i="2"/>
  <c r="H289" i="2"/>
  <c r="M289" i="2" s="1"/>
  <c r="B289" i="2"/>
  <c r="L289" i="2" l="1"/>
  <c r="I289" i="2"/>
  <c r="J289" i="2"/>
  <c r="K289" i="2"/>
  <c r="S289" i="2"/>
  <c r="N289" i="2"/>
  <c r="O289" i="2" s="1"/>
  <c r="R289" i="2" l="1"/>
  <c r="Q289" i="2"/>
  <c r="U289" i="2" s="1"/>
  <c r="X289" i="2" s="1"/>
  <c r="F290" i="2" s="1"/>
  <c r="P289" i="2"/>
  <c r="T289" i="2" s="1"/>
  <c r="W289" i="2" s="1"/>
  <c r="E290" i="2" s="1"/>
  <c r="V289" i="2"/>
  <c r="Y289" i="2" s="1"/>
  <c r="G290" i="2" s="1"/>
  <c r="D290" i="2" l="1"/>
  <c r="C290" i="2"/>
  <c r="H290" i="2"/>
  <c r="B290" i="2"/>
  <c r="S290" i="2" l="1"/>
  <c r="J290" i="2"/>
  <c r="I290" i="2"/>
  <c r="K290" i="2"/>
  <c r="M290" i="2"/>
  <c r="L290" i="2"/>
  <c r="N290" i="2"/>
  <c r="O290" i="2" s="1"/>
  <c r="R290" i="2" l="1"/>
  <c r="Q290" i="2"/>
  <c r="P290" i="2"/>
  <c r="T290" i="2" s="1"/>
  <c r="W290" i="2" s="1"/>
  <c r="E291" i="2" s="1"/>
  <c r="U290" i="2"/>
  <c r="X290" i="2" s="1"/>
  <c r="F291" i="2" s="1"/>
  <c r="V290" i="2"/>
  <c r="Y290" i="2" s="1"/>
  <c r="G291" i="2" s="1"/>
  <c r="D291" i="2" l="1"/>
  <c r="C291" i="2"/>
  <c r="H291" i="2"/>
  <c r="B291" i="2"/>
  <c r="I291" i="2" l="1"/>
  <c r="K291" i="2"/>
  <c r="J291" i="2"/>
  <c r="S291" i="2"/>
  <c r="L291" i="2"/>
  <c r="M291" i="2"/>
  <c r="N291" i="2"/>
  <c r="O291" i="2" s="1"/>
  <c r="R291" i="2" l="1"/>
  <c r="Q291" i="2"/>
  <c r="U291" i="2" s="1"/>
  <c r="X291" i="2" s="1"/>
  <c r="F292" i="2" s="1"/>
  <c r="P291" i="2"/>
  <c r="T291" i="2" s="1"/>
  <c r="W291" i="2" s="1"/>
  <c r="E292" i="2" s="1"/>
  <c r="V291" i="2"/>
  <c r="Y291" i="2" s="1"/>
  <c r="G292" i="2" s="1"/>
  <c r="D292" i="2" l="1"/>
  <c r="C292" i="2"/>
  <c r="H292" i="2"/>
  <c r="B292" i="2"/>
  <c r="I292" i="2" l="1"/>
  <c r="J292" i="2"/>
  <c r="K292" i="2"/>
  <c r="S292" i="2"/>
  <c r="M292" i="2"/>
  <c r="L292" i="2"/>
  <c r="N292" i="2"/>
  <c r="O292" i="2" s="1"/>
  <c r="R292" i="2" l="1"/>
  <c r="Q292" i="2"/>
  <c r="U292" i="2" s="1"/>
  <c r="X292" i="2" s="1"/>
  <c r="F293" i="2" s="1"/>
  <c r="P292" i="2"/>
  <c r="T292" i="2" s="1"/>
  <c r="W292" i="2" s="1"/>
  <c r="E293" i="2" s="1"/>
  <c r="V292" i="2"/>
  <c r="Y292" i="2" s="1"/>
  <c r="G293" i="2" s="1"/>
  <c r="D293" i="2" l="1"/>
  <c r="C293" i="2"/>
  <c r="H293" i="2"/>
  <c r="M293" i="2" s="1"/>
  <c r="B293" i="2"/>
  <c r="L293" i="2" l="1"/>
  <c r="K293" i="2"/>
  <c r="I293" i="2"/>
  <c r="S293" i="2"/>
  <c r="J293" i="2"/>
  <c r="N293" i="2"/>
  <c r="O293" i="2" s="1"/>
  <c r="R293" i="2" l="1"/>
  <c r="Q293" i="2"/>
  <c r="P293" i="2"/>
  <c r="T293" i="2" s="1"/>
  <c r="W293" i="2" s="1"/>
  <c r="E294" i="2" s="1"/>
  <c r="U293" i="2"/>
  <c r="X293" i="2" s="1"/>
  <c r="F294" i="2" s="1"/>
  <c r="V293" i="2"/>
  <c r="Y293" i="2" s="1"/>
  <c r="G294" i="2" s="1"/>
  <c r="H294" i="2" l="1"/>
  <c r="L294" i="2"/>
  <c r="B294" i="2"/>
  <c r="M294" i="2"/>
  <c r="C294" i="2"/>
  <c r="N294" i="2"/>
  <c r="O294" i="2" s="1"/>
  <c r="D294" i="2"/>
  <c r="R294" i="2" l="1"/>
  <c r="Q294" i="2"/>
  <c r="P294" i="2"/>
  <c r="I294" i="2"/>
  <c r="J294" i="2"/>
  <c r="K294" i="2"/>
  <c r="S294" i="2"/>
  <c r="U294" i="2" l="1"/>
  <c r="T294" i="2"/>
  <c r="V294" i="2"/>
  <c r="X294" i="2"/>
  <c r="F295" i="2" s="1"/>
  <c r="Y294" i="2"/>
  <c r="G295" i="2" s="1"/>
  <c r="W294" i="2"/>
  <c r="E295" i="2" s="1"/>
  <c r="D295" i="2" l="1"/>
  <c r="H295" i="2"/>
  <c r="B295" i="2"/>
  <c r="C295" i="2"/>
  <c r="I295" i="2" l="1"/>
  <c r="K295" i="2"/>
  <c r="J295" i="2"/>
  <c r="S295" i="2"/>
  <c r="M295" i="2"/>
  <c r="L295" i="2"/>
  <c r="N295" i="2"/>
  <c r="O295" i="2" s="1"/>
  <c r="R295" i="2" l="1"/>
  <c r="V295" i="2" s="1"/>
  <c r="Y295" i="2" s="1"/>
  <c r="G296" i="2" s="1"/>
  <c r="Q295" i="2"/>
  <c r="U295" i="2" s="1"/>
  <c r="X295" i="2" s="1"/>
  <c r="F296" i="2" s="1"/>
  <c r="P295" i="2"/>
  <c r="T295" i="2" s="1"/>
  <c r="W295" i="2" s="1"/>
  <c r="E296" i="2" s="1"/>
  <c r="D296" i="2" l="1"/>
  <c r="H296" i="2"/>
  <c r="M296" i="2" s="1"/>
  <c r="B296" i="2"/>
  <c r="C296" i="2"/>
  <c r="K296" i="2" l="1"/>
  <c r="J296" i="2"/>
  <c r="I296" i="2"/>
  <c r="S296" i="2"/>
  <c r="L296" i="2"/>
  <c r="N296" i="2"/>
  <c r="O296" i="2" s="1"/>
  <c r="R296" i="2" l="1"/>
  <c r="Q296" i="2"/>
  <c r="U296" i="2" s="1"/>
  <c r="X296" i="2" s="1"/>
  <c r="F297" i="2" s="1"/>
  <c r="P296" i="2"/>
  <c r="T296" i="2" s="1"/>
  <c r="W296" i="2" s="1"/>
  <c r="E297" i="2" s="1"/>
  <c r="V296" i="2"/>
  <c r="Y296" i="2"/>
  <c r="G297" i="2" s="1"/>
  <c r="C297" i="2" l="1"/>
  <c r="H297" i="2"/>
  <c r="L297" i="2" s="1"/>
  <c r="B297" i="2"/>
  <c r="N297" i="2"/>
  <c r="O297" i="2" s="1"/>
  <c r="D297" i="2"/>
  <c r="R297" i="2" l="1"/>
  <c r="P297" i="2"/>
  <c r="K297" i="2"/>
  <c r="I297" i="2"/>
  <c r="J297" i="2"/>
  <c r="S297" i="2"/>
  <c r="M297" i="2"/>
  <c r="Q297" i="2" s="1"/>
  <c r="U297" i="2" l="1"/>
  <c r="X297" i="2" s="1"/>
  <c r="F298" i="2" s="1"/>
  <c r="T297" i="2"/>
  <c r="W297" i="2" s="1"/>
  <c r="E298" i="2" s="1"/>
  <c r="V297" i="2"/>
  <c r="Y297" i="2"/>
  <c r="G298" i="2" s="1"/>
  <c r="H298" i="2" l="1"/>
  <c r="L298" i="2" s="1"/>
  <c r="B298" i="2"/>
  <c r="M298" i="2"/>
  <c r="C298" i="2"/>
  <c r="N298" i="2"/>
  <c r="O298" i="2" s="1"/>
  <c r="D298" i="2"/>
  <c r="R298" i="2" l="1"/>
  <c r="Q298" i="2"/>
  <c r="P298" i="2"/>
  <c r="K298" i="2"/>
  <c r="J298" i="2"/>
  <c r="I298" i="2"/>
  <c r="S298" i="2"/>
  <c r="U298" i="2" l="1"/>
  <c r="X298" i="2" s="1"/>
  <c r="F299" i="2" s="1"/>
  <c r="T298" i="2"/>
  <c r="W298" i="2" s="1"/>
  <c r="E299" i="2" s="1"/>
  <c r="V298" i="2"/>
  <c r="Y298" i="2"/>
  <c r="G299" i="2" s="1"/>
  <c r="D299" i="2" l="1"/>
  <c r="H299" i="2"/>
  <c r="B299" i="2"/>
  <c r="C299" i="2"/>
  <c r="K299" i="2" l="1"/>
  <c r="S299" i="2"/>
  <c r="I299" i="2"/>
  <c r="J299" i="2"/>
  <c r="M299" i="2"/>
  <c r="L299" i="2"/>
  <c r="N299" i="2"/>
  <c r="O299" i="2" s="1"/>
  <c r="R299" i="2" l="1"/>
  <c r="V299" i="2" s="1"/>
  <c r="Y299" i="2" s="1"/>
  <c r="G300" i="2" s="1"/>
  <c r="Q299" i="2"/>
  <c r="U299" i="2" s="1"/>
  <c r="X299" i="2" s="1"/>
  <c r="F300" i="2" s="1"/>
  <c r="P299" i="2"/>
  <c r="T299" i="2" s="1"/>
  <c r="W299" i="2" s="1"/>
  <c r="E300" i="2" s="1"/>
  <c r="H300" i="2" l="1"/>
  <c r="L300" i="2" s="1"/>
  <c r="B300" i="2"/>
  <c r="M300" i="2"/>
  <c r="C300" i="2"/>
  <c r="N300" i="2"/>
  <c r="O300" i="2" s="1"/>
  <c r="D300" i="2"/>
  <c r="R300" i="2" l="1"/>
  <c r="Q300" i="2"/>
  <c r="P300" i="2"/>
  <c r="J300" i="2"/>
  <c r="I300" i="2"/>
  <c r="K300" i="2"/>
  <c r="S300" i="2"/>
  <c r="U300" i="2" l="1"/>
  <c r="T300" i="2"/>
  <c r="V300" i="2"/>
  <c r="W300" i="2"/>
  <c r="E301" i="2" s="1"/>
  <c r="Y300" i="2"/>
  <c r="G301" i="2" s="1"/>
  <c r="X300" i="2"/>
  <c r="F301" i="2" s="1"/>
  <c r="D301" i="2" l="1"/>
  <c r="C301" i="2"/>
  <c r="H301" i="2"/>
  <c r="B301" i="2"/>
  <c r="I301" i="2" l="1"/>
  <c r="J301" i="2"/>
  <c r="K301" i="2"/>
  <c r="S301" i="2"/>
  <c r="M301" i="2"/>
  <c r="L301" i="2"/>
  <c r="N301" i="2"/>
  <c r="O301" i="2" s="1"/>
  <c r="R301" i="2" l="1"/>
  <c r="Q301" i="2"/>
  <c r="U301" i="2" s="1"/>
  <c r="X301" i="2" s="1"/>
  <c r="F302" i="2" s="1"/>
  <c r="P301" i="2"/>
  <c r="T301" i="2" s="1"/>
  <c r="W301" i="2" s="1"/>
  <c r="E302" i="2" s="1"/>
  <c r="V301" i="2"/>
  <c r="Y301" i="2" s="1"/>
  <c r="G302" i="2" s="1"/>
  <c r="C302" i="2" l="1"/>
  <c r="D302" i="2"/>
  <c r="H302" i="2"/>
  <c r="B302" i="2"/>
  <c r="S302" i="2" l="1"/>
  <c r="J302" i="2"/>
  <c r="I302" i="2"/>
  <c r="K302" i="2"/>
  <c r="L302" i="2"/>
  <c r="N302" i="2"/>
  <c r="O302" i="2" s="1"/>
  <c r="M302" i="2"/>
  <c r="R302" i="2" l="1"/>
  <c r="Q302" i="2"/>
  <c r="P302" i="2"/>
  <c r="U302" i="2"/>
  <c r="X302" i="2" s="1"/>
  <c r="F303" i="2" s="1"/>
  <c r="T302" i="2"/>
  <c r="W302" i="2" s="1"/>
  <c r="E303" i="2" s="1"/>
  <c r="V302" i="2"/>
  <c r="Y302" i="2" s="1"/>
  <c r="G303" i="2" s="1"/>
  <c r="H303" i="2" l="1"/>
  <c r="L303" i="2"/>
  <c r="B303" i="2"/>
  <c r="N303" i="2"/>
  <c r="O303" i="2" s="1"/>
  <c r="D303" i="2"/>
  <c r="M303" i="2"/>
  <c r="C303" i="2"/>
  <c r="R303" i="2" l="1"/>
  <c r="Q303" i="2"/>
  <c r="P303" i="2"/>
  <c r="I303" i="2"/>
  <c r="K303" i="2"/>
  <c r="J303" i="2"/>
  <c r="S303" i="2"/>
  <c r="U303" i="2" l="1"/>
  <c r="X303" i="2" s="1"/>
  <c r="F304" i="2" s="1"/>
  <c r="T303" i="2"/>
  <c r="V303" i="2"/>
  <c r="Y303" i="2" s="1"/>
  <c r="G304" i="2" s="1"/>
  <c r="W303" i="2"/>
  <c r="E304" i="2" s="1"/>
  <c r="D304" i="2" l="1"/>
  <c r="C304" i="2"/>
  <c r="H304" i="2"/>
  <c r="B304" i="2"/>
  <c r="J304" i="2" l="1"/>
  <c r="I304" i="2"/>
  <c r="K304" i="2"/>
  <c r="S304" i="2"/>
  <c r="L304" i="2"/>
  <c r="M304" i="2"/>
  <c r="N304" i="2"/>
  <c r="O304" i="2" s="1"/>
  <c r="R304" i="2" l="1"/>
  <c r="V304" i="2" s="1"/>
  <c r="Y304" i="2" s="1"/>
  <c r="G305" i="2" s="1"/>
  <c r="Q304" i="2"/>
  <c r="U304" i="2" s="1"/>
  <c r="X304" i="2" s="1"/>
  <c r="F305" i="2" s="1"/>
  <c r="P304" i="2"/>
  <c r="T304" i="2" s="1"/>
  <c r="W304" i="2" s="1"/>
  <c r="E305" i="2" s="1"/>
  <c r="H305" i="2" l="1"/>
  <c r="L305" i="2" s="1"/>
  <c r="B305" i="2"/>
  <c r="N305" i="2"/>
  <c r="O305" i="2" s="1"/>
  <c r="D305" i="2"/>
  <c r="M305" i="2"/>
  <c r="C305" i="2"/>
  <c r="R305" i="2" l="1"/>
  <c r="Q305" i="2"/>
  <c r="P305" i="2"/>
  <c r="K305" i="2"/>
  <c r="I305" i="2"/>
  <c r="J305" i="2"/>
  <c r="S305" i="2"/>
  <c r="U305" i="2" l="1"/>
  <c r="T305" i="2"/>
  <c r="V305" i="2"/>
  <c r="W305" i="2"/>
  <c r="E306" i="2" s="1"/>
  <c r="X305" i="2"/>
  <c r="F306" i="2" s="1"/>
  <c r="Y305" i="2"/>
  <c r="G306" i="2" s="1"/>
  <c r="C306" i="2" l="1"/>
  <c r="D306" i="2"/>
  <c r="H306" i="2"/>
  <c r="L306" i="2" s="1"/>
  <c r="B306" i="2"/>
  <c r="I306" i="2" l="1"/>
  <c r="J306" i="2"/>
  <c r="K306" i="2"/>
  <c r="S306" i="2"/>
  <c r="N306" i="2"/>
  <c r="O306" i="2" s="1"/>
  <c r="M306" i="2"/>
  <c r="R306" i="2" l="1"/>
  <c r="Q306" i="2"/>
  <c r="P306" i="2"/>
  <c r="T306" i="2" s="1"/>
  <c r="W306" i="2" s="1"/>
  <c r="E307" i="2" s="1"/>
  <c r="U306" i="2"/>
  <c r="X306" i="2" s="1"/>
  <c r="F307" i="2" s="1"/>
  <c r="V306" i="2"/>
  <c r="Y306" i="2"/>
  <c r="G307" i="2" s="1"/>
  <c r="C307" i="2" l="1"/>
  <c r="H307" i="2"/>
  <c r="L307" i="2" s="1"/>
  <c r="B307" i="2"/>
  <c r="D307" i="2"/>
  <c r="N307" i="2" l="1"/>
  <c r="O307" i="2" s="1"/>
  <c r="R307" i="2"/>
  <c r="P307" i="2"/>
  <c r="J307" i="2"/>
  <c r="I307" i="2"/>
  <c r="K307" i="2"/>
  <c r="S307" i="2"/>
  <c r="M307" i="2"/>
  <c r="Q307" i="2" s="1"/>
  <c r="U307" i="2" l="1"/>
  <c r="T307" i="2"/>
  <c r="V307" i="2"/>
  <c r="Y307" i="2"/>
  <c r="G308" i="2" s="1"/>
  <c r="W307" i="2"/>
  <c r="E308" i="2" s="1"/>
  <c r="X307" i="2"/>
  <c r="F308" i="2" s="1"/>
  <c r="H308" i="2" l="1"/>
  <c r="L308" i="2"/>
  <c r="B308" i="2"/>
  <c r="M308" i="2"/>
  <c r="C308" i="2"/>
  <c r="N308" i="2"/>
  <c r="O308" i="2" s="1"/>
  <c r="D308" i="2"/>
  <c r="R308" i="2" l="1"/>
  <c r="Q308" i="2"/>
  <c r="P308" i="2"/>
  <c r="I308" i="2"/>
  <c r="J308" i="2"/>
  <c r="K308" i="2"/>
  <c r="S308" i="2"/>
  <c r="U308" i="2" l="1"/>
  <c r="T308" i="2"/>
  <c r="V308" i="2"/>
  <c r="X308" i="2"/>
  <c r="F309" i="2" s="1"/>
  <c r="Y308" i="2"/>
  <c r="G309" i="2" s="1"/>
  <c r="W308" i="2"/>
  <c r="E309" i="2" s="1"/>
  <c r="D309" i="2" l="1"/>
  <c r="H309" i="2"/>
  <c r="L309" i="2" s="1"/>
  <c r="B309" i="2"/>
  <c r="C309" i="2"/>
  <c r="M309" i="2" l="1"/>
  <c r="K309" i="2"/>
  <c r="J309" i="2"/>
  <c r="I309" i="2"/>
  <c r="S309" i="2"/>
  <c r="N309" i="2"/>
  <c r="O309" i="2" s="1"/>
  <c r="R309" i="2" l="1"/>
  <c r="V309" i="2" s="1"/>
  <c r="Y309" i="2" s="1"/>
  <c r="G310" i="2" s="1"/>
  <c r="Q309" i="2"/>
  <c r="U309" i="2" s="1"/>
  <c r="X309" i="2" s="1"/>
  <c r="F310" i="2" s="1"/>
  <c r="P309" i="2"/>
  <c r="T309" i="2" s="1"/>
  <c r="W309" i="2" s="1"/>
  <c r="E310" i="2" s="1"/>
  <c r="C310" i="2" l="1"/>
  <c r="H310" i="2"/>
  <c r="L310" i="2" s="1"/>
  <c r="B310" i="2"/>
  <c r="D310" i="2"/>
  <c r="N310" i="2" l="1"/>
  <c r="O310" i="2" s="1"/>
  <c r="R310" i="2"/>
  <c r="P310" i="2"/>
  <c r="K310" i="2"/>
  <c r="J310" i="2"/>
  <c r="I310" i="2"/>
  <c r="S310" i="2"/>
  <c r="M310" i="2"/>
  <c r="Q310" i="2" s="1"/>
  <c r="U310" i="2" l="1"/>
  <c r="T310" i="2"/>
  <c r="W310" i="2" s="1"/>
  <c r="E311" i="2" s="1"/>
  <c r="V310" i="2"/>
  <c r="Y310" i="2" s="1"/>
  <c r="G311" i="2" s="1"/>
  <c r="X310" i="2"/>
  <c r="F311" i="2" s="1"/>
  <c r="D311" i="2" l="1"/>
  <c r="H311" i="2"/>
  <c r="B311" i="2"/>
  <c r="M311" i="2"/>
  <c r="C311" i="2"/>
  <c r="K311" i="2" l="1"/>
  <c r="S311" i="2"/>
  <c r="J311" i="2"/>
  <c r="I311" i="2"/>
  <c r="L311" i="2"/>
  <c r="N311" i="2"/>
  <c r="O311" i="2" s="1"/>
  <c r="R311" i="2" l="1"/>
  <c r="Q311" i="2"/>
  <c r="U311" i="2" s="1"/>
  <c r="X311" i="2" s="1"/>
  <c r="F312" i="2" s="1"/>
  <c r="P311" i="2"/>
  <c r="T311" i="2" s="1"/>
  <c r="W311" i="2" s="1"/>
  <c r="E312" i="2" s="1"/>
  <c r="V311" i="2"/>
  <c r="Y311" i="2" s="1"/>
  <c r="G312" i="2" s="1"/>
  <c r="D312" i="2" l="1"/>
  <c r="H312" i="2"/>
  <c r="L312" i="2" s="1"/>
  <c r="B312" i="2"/>
  <c r="M312" i="2"/>
  <c r="C312" i="2"/>
  <c r="K312" i="2" l="1"/>
  <c r="J312" i="2"/>
  <c r="I312" i="2"/>
  <c r="S312" i="2"/>
  <c r="N312" i="2"/>
  <c r="O312" i="2" s="1"/>
  <c r="R312" i="2" l="1"/>
  <c r="V312" i="2" s="1"/>
  <c r="Y312" i="2" s="1"/>
  <c r="G313" i="2" s="1"/>
  <c r="Q312" i="2"/>
  <c r="U312" i="2" s="1"/>
  <c r="X312" i="2" s="1"/>
  <c r="F313" i="2" s="1"/>
  <c r="P312" i="2"/>
  <c r="T312" i="2"/>
  <c r="W312" i="2" s="1"/>
  <c r="E313" i="2" s="1"/>
  <c r="C313" i="2" l="1"/>
  <c r="D313" i="2"/>
  <c r="H313" i="2"/>
  <c r="B313" i="2"/>
  <c r="I313" i="2" l="1"/>
  <c r="J313" i="2"/>
  <c r="K313" i="2"/>
  <c r="S313" i="2"/>
  <c r="N313" i="2"/>
  <c r="O313" i="2" s="1"/>
  <c r="L313" i="2"/>
  <c r="M313" i="2"/>
  <c r="R313" i="2" l="1"/>
  <c r="V313" i="2" s="1"/>
  <c r="Y313" i="2" s="1"/>
  <c r="G314" i="2" s="1"/>
  <c r="Q313" i="2"/>
  <c r="U313" i="2" s="1"/>
  <c r="X313" i="2" s="1"/>
  <c r="F314" i="2" s="1"/>
  <c r="P313" i="2"/>
  <c r="T313" i="2" s="1"/>
  <c r="W313" i="2" s="1"/>
  <c r="E314" i="2" s="1"/>
  <c r="D314" i="2" l="1"/>
  <c r="H314" i="2"/>
  <c r="L314" i="2" s="1"/>
  <c r="B314" i="2"/>
  <c r="M314" i="2"/>
  <c r="C314" i="2"/>
  <c r="J314" i="2" l="1"/>
  <c r="S314" i="2"/>
  <c r="I314" i="2"/>
  <c r="K314" i="2"/>
  <c r="N314" i="2"/>
  <c r="O314" i="2" s="1"/>
  <c r="R314" i="2" l="1"/>
  <c r="V314" i="2" s="1"/>
  <c r="Y314" i="2" s="1"/>
  <c r="G315" i="2" s="1"/>
  <c r="Q314" i="2"/>
  <c r="U314" i="2" s="1"/>
  <c r="X314" i="2" s="1"/>
  <c r="F315" i="2" s="1"/>
  <c r="P314" i="2"/>
  <c r="T314" i="2" s="1"/>
  <c r="W314" i="2" s="1"/>
  <c r="E315" i="2" s="1"/>
  <c r="C315" i="2" l="1"/>
  <c r="H315" i="2"/>
  <c r="B315" i="2"/>
  <c r="N315" i="2"/>
  <c r="O315" i="2" s="1"/>
  <c r="D315" i="2"/>
  <c r="R315" i="2" l="1"/>
  <c r="I315" i="2"/>
  <c r="J315" i="2"/>
  <c r="K315" i="2"/>
  <c r="S315" i="2"/>
  <c r="M315" i="2"/>
  <c r="Q315" i="2" s="1"/>
  <c r="L315" i="2"/>
  <c r="P315" i="2" s="1"/>
  <c r="U315" i="2" l="1"/>
  <c r="T315" i="2"/>
  <c r="V315" i="2"/>
  <c r="X315" i="2"/>
  <c r="F316" i="2" s="1"/>
  <c r="Y315" i="2"/>
  <c r="G316" i="2" s="1"/>
  <c r="W315" i="2"/>
  <c r="E316" i="2" s="1"/>
  <c r="D316" i="2" l="1"/>
  <c r="H316" i="2"/>
  <c r="B316" i="2"/>
  <c r="M316" i="2"/>
  <c r="C316" i="2"/>
  <c r="J316" i="2" l="1"/>
  <c r="I316" i="2"/>
  <c r="K316" i="2"/>
  <c r="S316" i="2"/>
  <c r="L316" i="2"/>
  <c r="N316" i="2"/>
  <c r="O316" i="2" s="1"/>
  <c r="R316" i="2" l="1"/>
  <c r="Q316" i="2"/>
  <c r="P316" i="2"/>
  <c r="U316" i="2"/>
  <c r="T316" i="2"/>
  <c r="W316" i="2" s="1"/>
  <c r="E317" i="2" s="1"/>
  <c r="V316" i="2"/>
  <c r="Y316" i="2" s="1"/>
  <c r="G317" i="2" s="1"/>
  <c r="X316" i="2"/>
  <c r="F317" i="2" s="1"/>
  <c r="H317" i="2" l="1"/>
  <c r="L317" i="2" s="1"/>
  <c r="B317" i="2"/>
  <c r="C317" i="2"/>
  <c r="D317" i="2"/>
  <c r="N317" i="2" l="1"/>
  <c r="O317" i="2" s="1"/>
  <c r="M317" i="2"/>
  <c r="R317" i="2"/>
  <c r="Q317" i="2"/>
  <c r="P317" i="2"/>
  <c r="K317" i="2"/>
  <c r="I317" i="2"/>
  <c r="J317" i="2"/>
  <c r="S317" i="2"/>
  <c r="U317" i="2" l="1"/>
  <c r="X317" i="2" s="1"/>
  <c r="F318" i="2" s="1"/>
  <c r="T317" i="2"/>
  <c r="W317" i="2" s="1"/>
  <c r="E318" i="2" s="1"/>
  <c r="V317" i="2"/>
  <c r="Y317" i="2"/>
  <c r="G318" i="2" s="1"/>
  <c r="C318" i="2" l="1"/>
  <c r="D318" i="2"/>
  <c r="H318" i="2"/>
  <c r="B318" i="2"/>
  <c r="J318" i="2" l="1"/>
  <c r="I318" i="2"/>
  <c r="K318" i="2"/>
  <c r="S318" i="2"/>
  <c r="N318" i="2"/>
  <c r="O318" i="2" s="1"/>
  <c r="L318" i="2"/>
  <c r="M318" i="2"/>
  <c r="R318" i="2" l="1"/>
  <c r="V318" i="2" s="1"/>
  <c r="Y318" i="2" s="1"/>
  <c r="G319" i="2" s="1"/>
  <c r="Q318" i="2"/>
  <c r="U318" i="2" s="1"/>
  <c r="X318" i="2" s="1"/>
  <c r="F319" i="2" s="1"/>
  <c r="P318" i="2"/>
  <c r="T318" i="2" s="1"/>
  <c r="W318" i="2" s="1"/>
  <c r="E319" i="2" s="1"/>
  <c r="C319" i="2" l="1"/>
  <c r="H319" i="2"/>
  <c r="B319" i="2"/>
  <c r="N319" i="2"/>
  <c r="O319" i="2" s="1"/>
  <c r="D319" i="2"/>
  <c r="R319" i="2" l="1"/>
  <c r="J319" i="2"/>
  <c r="I319" i="2"/>
  <c r="K319" i="2"/>
  <c r="S319" i="2"/>
  <c r="L319" i="2"/>
  <c r="P319" i="2" s="1"/>
  <c r="M319" i="2"/>
  <c r="Q319" i="2" s="1"/>
  <c r="U319" i="2" l="1"/>
  <c r="T319" i="2"/>
  <c r="V319" i="2"/>
  <c r="W319" i="2"/>
  <c r="E320" i="2" s="1"/>
  <c r="Y319" i="2"/>
  <c r="G320" i="2" s="1"/>
  <c r="X319" i="2"/>
  <c r="F320" i="2" s="1"/>
  <c r="D320" i="2" l="1"/>
  <c r="C320" i="2"/>
  <c r="H320" i="2"/>
  <c r="M320" i="2" s="1"/>
  <c r="L320" i="2"/>
  <c r="B320" i="2"/>
  <c r="I320" i="2" l="1"/>
  <c r="K320" i="2"/>
  <c r="S320" i="2"/>
  <c r="J320" i="2"/>
  <c r="N320" i="2"/>
  <c r="O320" i="2" s="1"/>
  <c r="R320" i="2" l="1"/>
  <c r="Q320" i="2"/>
  <c r="U320" i="2" s="1"/>
  <c r="X320" i="2" s="1"/>
  <c r="F321" i="2" s="1"/>
  <c r="P320" i="2"/>
  <c r="T320" i="2" s="1"/>
  <c r="W320" i="2" s="1"/>
  <c r="E321" i="2" s="1"/>
  <c r="V320" i="2"/>
  <c r="Y320" i="2" s="1"/>
  <c r="G321" i="2" s="1"/>
  <c r="C321" i="2" l="1"/>
  <c r="H321" i="2"/>
  <c r="B321" i="2"/>
  <c r="D321" i="2"/>
  <c r="I321" i="2" l="1"/>
  <c r="K321" i="2"/>
  <c r="J321" i="2"/>
  <c r="S321" i="2"/>
  <c r="N321" i="2"/>
  <c r="O321" i="2" s="1"/>
  <c r="L321" i="2"/>
  <c r="M321" i="2"/>
  <c r="R321" i="2" l="1"/>
  <c r="Q321" i="2"/>
  <c r="U321" i="2" s="1"/>
  <c r="X321" i="2" s="1"/>
  <c r="F322" i="2" s="1"/>
  <c r="P321" i="2"/>
  <c r="T321" i="2" s="1"/>
  <c r="W321" i="2" s="1"/>
  <c r="E322" i="2" s="1"/>
  <c r="V321" i="2"/>
  <c r="Y321" i="2" s="1"/>
  <c r="G322" i="2" s="1"/>
  <c r="H322" i="2" l="1"/>
  <c r="L322" i="2" s="1"/>
  <c r="B322" i="2"/>
  <c r="N322" i="2"/>
  <c r="O322" i="2" s="1"/>
  <c r="D322" i="2"/>
  <c r="M322" i="2"/>
  <c r="C322" i="2"/>
  <c r="R322" i="2" l="1"/>
  <c r="Q322" i="2"/>
  <c r="P322" i="2"/>
  <c r="J322" i="2"/>
  <c r="K322" i="2"/>
  <c r="I322" i="2"/>
  <c r="S322" i="2"/>
  <c r="U322" i="2" l="1"/>
  <c r="T322" i="2"/>
  <c r="V322" i="2"/>
  <c r="Y322" i="2"/>
  <c r="G323" i="2" s="1"/>
  <c r="W322" i="2"/>
  <c r="E323" i="2" s="1"/>
  <c r="X322" i="2"/>
  <c r="F323" i="2" s="1"/>
  <c r="H323" i="2" l="1"/>
  <c r="L323" i="2" s="1"/>
  <c r="B323" i="2"/>
  <c r="M323" i="2"/>
  <c r="C323" i="2"/>
  <c r="N323" i="2"/>
  <c r="O323" i="2" s="1"/>
  <c r="D323" i="2"/>
  <c r="R323" i="2" l="1"/>
  <c r="Q323" i="2"/>
  <c r="P323" i="2"/>
  <c r="K323" i="2"/>
  <c r="S323" i="2"/>
  <c r="J323" i="2"/>
  <c r="I323" i="2"/>
  <c r="U323" i="2" l="1"/>
  <c r="T323" i="2"/>
  <c r="W323" i="2" s="1"/>
  <c r="E324" i="2" s="1"/>
  <c r="V323" i="2"/>
  <c r="X323" i="2"/>
  <c r="F324" i="2" s="1"/>
  <c r="Y323" i="2"/>
  <c r="G324" i="2" s="1"/>
  <c r="H324" i="2" l="1"/>
  <c r="L324" i="2"/>
  <c r="B324" i="2"/>
  <c r="N324" i="2"/>
  <c r="O324" i="2" s="1"/>
  <c r="D324" i="2"/>
  <c r="M324" i="2"/>
  <c r="C324" i="2"/>
  <c r="R324" i="2" l="1"/>
  <c r="Q324" i="2"/>
  <c r="P324" i="2"/>
  <c r="J324" i="2"/>
  <c r="K324" i="2"/>
  <c r="I324" i="2"/>
  <c r="S324" i="2"/>
  <c r="U324" i="2" l="1"/>
  <c r="T324" i="2"/>
  <c r="W324" i="2" s="1"/>
  <c r="E325" i="2" s="1"/>
  <c r="V324" i="2"/>
  <c r="Y324" i="2" s="1"/>
  <c r="G325" i="2" s="1"/>
  <c r="X324" i="2"/>
  <c r="F325" i="2" s="1"/>
  <c r="H325" i="2" l="1"/>
  <c r="L325" i="2"/>
  <c r="B325" i="2"/>
  <c r="M325" i="2"/>
  <c r="C325" i="2"/>
  <c r="N325" i="2"/>
  <c r="O325" i="2" s="1"/>
  <c r="D325" i="2"/>
  <c r="R325" i="2" l="1"/>
  <c r="Q325" i="2"/>
  <c r="P325" i="2"/>
  <c r="I325" i="2"/>
  <c r="K325" i="2"/>
  <c r="J325" i="2"/>
  <c r="S325" i="2"/>
  <c r="U325" i="2" l="1"/>
  <c r="T325" i="2"/>
  <c r="V325" i="2"/>
  <c r="Y325" i="2"/>
  <c r="G326" i="2" s="1"/>
  <c r="X325" i="2"/>
  <c r="F326" i="2" s="1"/>
  <c r="W325" i="2"/>
  <c r="E326" i="2" s="1"/>
  <c r="C326" i="2" l="1"/>
  <c r="H326" i="2"/>
  <c r="B326" i="2"/>
  <c r="N326" i="2"/>
  <c r="O326" i="2" s="1"/>
  <c r="D326" i="2"/>
  <c r="S326" i="2" l="1"/>
  <c r="I326" i="2"/>
  <c r="K326" i="2"/>
  <c r="J326" i="2"/>
  <c r="M326" i="2"/>
  <c r="R326" i="2"/>
  <c r="Q326" i="2"/>
  <c r="L326" i="2"/>
  <c r="P326" i="2" s="1"/>
  <c r="U326" i="2" l="1"/>
  <c r="X326" i="2" s="1"/>
  <c r="F327" i="2" s="1"/>
  <c r="T326" i="2"/>
  <c r="W326" i="2" s="1"/>
  <c r="E327" i="2" s="1"/>
  <c r="V326" i="2"/>
  <c r="Y326" i="2" s="1"/>
  <c r="G327" i="2" s="1"/>
  <c r="H327" i="2" l="1"/>
  <c r="L327" i="2"/>
  <c r="B327" i="2"/>
  <c r="N327" i="2"/>
  <c r="O327" i="2" s="1"/>
  <c r="D327" i="2"/>
  <c r="M327" i="2"/>
  <c r="C327" i="2"/>
  <c r="R327" i="2" l="1"/>
  <c r="Q327" i="2"/>
  <c r="P327" i="2"/>
  <c r="J327" i="2"/>
  <c r="I327" i="2"/>
  <c r="S327" i="2"/>
  <c r="K327" i="2"/>
  <c r="U327" i="2" l="1"/>
  <c r="T327" i="2"/>
  <c r="V327" i="2"/>
  <c r="Y327" i="2"/>
  <c r="G328" i="2" s="1"/>
  <c r="W327" i="2"/>
  <c r="E328" i="2" s="1"/>
  <c r="X327" i="2"/>
  <c r="F328" i="2" s="1"/>
  <c r="D328" i="2" l="1"/>
  <c r="C328" i="2"/>
  <c r="H328" i="2"/>
  <c r="L328" i="2"/>
  <c r="B328" i="2"/>
  <c r="I328" i="2" l="1"/>
  <c r="K328" i="2"/>
  <c r="J328" i="2"/>
  <c r="S328" i="2"/>
  <c r="M328" i="2"/>
  <c r="N328" i="2"/>
  <c r="O328" i="2" s="1"/>
  <c r="R328" i="2" l="1"/>
  <c r="Q328" i="2"/>
  <c r="U328" i="2" s="1"/>
  <c r="X328" i="2" s="1"/>
  <c r="F329" i="2" s="1"/>
  <c r="P328" i="2"/>
  <c r="T328" i="2" s="1"/>
  <c r="W328" i="2" s="1"/>
  <c r="E329" i="2" s="1"/>
  <c r="V328" i="2"/>
  <c r="Y328" i="2" s="1"/>
  <c r="G329" i="2" s="1"/>
  <c r="D329" i="2" l="1"/>
  <c r="C329" i="2"/>
  <c r="H329" i="2"/>
  <c r="B329" i="2"/>
  <c r="K329" i="2" l="1"/>
  <c r="J329" i="2"/>
  <c r="I329" i="2"/>
  <c r="S329" i="2"/>
  <c r="L329" i="2"/>
  <c r="M329" i="2"/>
  <c r="N329" i="2"/>
  <c r="O329" i="2" s="1"/>
  <c r="R329" i="2" l="1"/>
  <c r="Q329" i="2"/>
  <c r="U329" i="2" s="1"/>
  <c r="X329" i="2" s="1"/>
  <c r="F330" i="2" s="1"/>
  <c r="P329" i="2"/>
  <c r="T329" i="2" s="1"/>
  <c r="W329" i="2" s="1"/>
  <c r="E330" i="2" s="1"/>
  <c r="V329" i="2"/>
  <c r="Y329" i="2" s="1"/>
  <c r="G330" i="2" s="1"/>
  <c r="C330" i="2" l="1"/>
  <c r="D330" i="2"/>
  <c r="H330" i="2"/>
  <c r="L330" i="2" s="1"/>
  <c r="B330" i="2"/>
  <c r="I330" i="2" l="1"/>
  <c r="K330" i="2"/>
  <c r="S330" i="2"/>
  <c r="J330" i="2"/>
  <c r="N330" i="2"/>
  <c r="O330" i="2" s="1"/>
  <c r="M330" i="2"/>
  <c r="R330" i="2" l="1"/>
  <c r="Q330" i="2"/>
  <c r="P330" i="2"/>
  <c r="U330" i="2"/>
  <c r="X330" i="2" s="1"/>
  <c r="F331" i="2" s="1"/>
  <c r="T330" i="2"/>
  <c r="V330" i="2"/>
  <c r="Y330" i="2" s="1"/>
  <c r="G331" i="2" s="1"/>
  <c r="W330" i="2"/>
  <c r="E331" i="2" s="1"/>
  <c r="D331" i="2" l="1"/>
  <c r="C331" i="2"/>
  <c r="H331" i="2"/>
  <c r="B331" i="2"/>
  <c r="I331" i="2" l="1"/>
  <c r="K331" i="2"/>
  <c r="S331" i="2"/>
  <c r="J331" i="2"/>
  <c r="L331" i="2"/>
  <c r="M331" i="2"/>
  <c r="N331" i="2"/>
  <c r="O331" i="2" s="1"/>
  <c r="R331" i="2" l="1"/>
  <c r="Q331" i="2"/>
  <c r="P331" i="2"/>
  <c r="U331" i="2"/>
  <c r="X331" i="2" s="1"/>
  <c r="F332" i="2" s="1"/>
  <c r="T331" i="2"/>
  <c r="V331" i="2"/>
  <c r="Y331" i="2" s="1"/>
  <c r="G332" i="2" s="1"/>
  <c r="W331" i="2"/>
  <c r="E332" i="2" s="1"/>
  <c r="D332" i="2" l="1"/>
  <c r="C332" i="2"/>
  <c r="H332" i="2"/>
  <c r="M332" i="2" s="1"/>
  <c r="B332" i="2"/>
  <c r="L332" i="2" l="1"/>
  <c r="I332" i="2"/>
  <c r="K332" i="2"/>
  <c r="J332" i="2"/>
  <c r="S332" i="2"/>
  <c r="N332" i="2"/>
  <c r="O332" i="2" s="1"/>
  <c r="R332" i="2" l="1"/>
  <c r="V332" i="2" s="1"/>
  <c r="Y332" i="2" s="1"/>
  <c r="G333" i="2" s="1"/>
  <c r="Q332" i="2"/>
  <c r="U332" i="2" s="1"/>
  <c r="X332" i="2" s="1"/>
  <c r="F333" i="2" s="1"/>
  <c r="P332" i="2"/>
  <c r="T332" i="2" s="1"/>
  <c r="W332" i="2" s="1"/>
  <c r="E333" i="2" s="1"/>
  <c r="C333" i="2" l="1"/>
  <c r="H333" i="2"/>
  <c r="B333" i="2"/>
  <c r="D333" i="2"/>
  <c r="I333" i="2" l="1"/>
  <c r="J333" i="2"/>
  <c r="K333" i="2"/>
  <c r="S333" i="2"/>
  <c r="N333" i="2"/>
  <c r="O333" i="2" s="1"/>
  <c r="L333" i="2"/>
  <c r="M333" i="2"/>
  <c r="R333" i="2" l="1"/>
  <c r="V333" i="2" s="1"/>
  <c r="Y333" i="2" s="1"/>
  <c r="G334" i="2" s="1"/>
  <c r="Q333" i="2"/>
  <c r="U333" i="2" s="1"/>
  <c r="X333" i="2" s="1"/>
  <c r="F334" i="2" s="1"/>
  <c r="P333" i="2"/>
  <c r="T333" i="2" s="1"/>
  <c r="W333" i="2" s="1"/>
  <c r="E334" i="2" s="1"/>
  <c r="C334" i="2" l="1"/>
  <c r="H334" i="2"/>
  <c r="L334" i="2" s="1"/>
  <c r="B334" i="2"/>
  <c r="D334" i="2"/>
  <c r="N334" i="2" l="1"/>
  <c r="O334" i="2" s="1"/>
  <c r="R334" i="2"/>
  <c r="P334" i="2"/>
  <c r="I334" i="2"/>
  <c r="K334" i="2"/>
  <c r="S334" i="2"/>
  <c r="J334" i="2"/>
  <c r="M334" i="2"/>
  <c r="Q334" i="2" s="1"/>
  <c r="U334" i="2" l="1"/>
  <c r="X334" i="2" s="1"/>
  <c r="F335" i="2" s="1"/>
  <c r="T334" i="2"/>
  <c r="V334" i="2"/>
  <c r="Y334" i="2" s="1"/>
  <c r="G335" i="2" s="1"/>
  <c r="W334" i="2"/>
  <c r="E335" i="2" s="1"/>
  <c r="C335" i="2" l="1"/>
  <c r="D335" i="2"/>
  <c r="H335" i="2"/>
  <c r="L335" i="2" s="1"/>
  <c r="B335" i="2"/>
  <c r="K335" i="2" l="1"/>
  <c r="J335" i="2"/>
  <c r="S335" i="2"/>
  <c r="I335" i="2"/>
  <c r="N335" i="2"/>
  <c r="O335" i="2" s="1"/>
  <c r="M335" i="2"/>
  <c r="R335" i="2" l="1"/>
  <c r="Q335" i="2"/>
  <c r="P335" i="2"/>
  <c r="U335" i="2"/>
  <c r="X335" i="2" s="1"/>
  <c r="F336" i="2" s="1"/>
  <c r="T335" i="2"/>
  <c r="W335" i="2" s="1"/>
  <c r="E336" i="2" s="1"/>
  <c r="V335" i="2"/>
  <c r="Y335" i="2" s="1"/>
  <c r="G336" i="2" s="1"/>
  <c r="H336" i="2" l="1"/>
  <c r="L336" i="2"/>
  <c r="B336" i="2"/>
  <c r="M336" i="2"/>
  <c r="C336" i="2"/>
  <c r="N336" i="2"/>
  <c r="O336" i="2" s="1"/>
  <c r="D336" i="2"/>
  <c r="R336" i="2" l="1"/>
  <c r="Q336" i="2"/>
  <c r="P336" i="2"/>
  <c r="K336" i="2"/>
  <c r="S336" i="2"/>
  <c r="I336" i="2"/>
  <c r="J336" i="2"/>
  <c r="U336" i="2" l="1"/>
  <c r="X336" i="2" s="1"/>
  <c r="F337" i="2" s="1"/>
  <c r="T336" i="2"/>
  <c r="W336" i="2" s="1"/>
  <c r="E337" i="2" s="1"/>
  <c r="V336" i="2"/>
  <c r="Y336" i="2" s="1"/>
  <c r="G337" i="2" s="1"/>
  <c r="D337" i="2" l="1"/>
  <c r="H337" i="2"/>
  <c r="L337" i="2"/>
  <c r="B337" i="2"/>
  <c r="M337" i="2"/>
  <c r="C337" i="2"/>
  <c r="I337" i="2" l="1"/>
  <c r="K337" i="2"/>
  <c r="S337" i="2"/>
  <c r="J337" i="2"/>
  <c r="N337" i="2"/>
  <c r="O337" i="2" s="1"/>
  <c r="R337" i="2" l="1"/>
  <c r="V337" i="2" s="1"/>
  <c r="Y337" i="2" s="1"/>
  <c r="G338" i="2" s="1"/>
  <c r="Q337" i="2"/>
  <c r="U337" i="2" s="1"/>
  <c r="X337" i="2" s="1"/>
  <c r="F338" i="2" s="1"/>
  <c r="P337" i="2"/>
  <c r="T337" i="2" s="1"/>
  <c r="W337" i="2" s="1"/>
  <c r="E338" i="2" s="1"/>
  <c r="C338" i="2" l="1"/>
  <c r="H338" i="2"/>
  <c r="B338" i="2"/>
  <c r="N338" i="2"/>
  <c r="O338" i="2" s="1"/>
  <c r="D338" i="2"/>
  <c r="K338" i="2" l="1"/>
  <c r="S338" i="2"/>
  <c r="J338" i="2"/>
  <c r="I338" i="2"/>
  <c r="R338" i="2"/>
  <c r="L338" i="2"/>
  <c r="P338" i="2" s="1"/>
  <c r="M338" i="2"/>
  <c r="Q338" i="2" s="1"/>
  <c r="U338" i="2" l="1"/>
  <c r="X338" i="2" s="1"/>
  <c r="F339" i="2" s="1"/>
  <c r="T338" i="2"/>
  <c r="W338" i="2" s="1"/>
  <c r="E339" i="2" s="1"/>
  <c r="V338" i="2"/>
  <c r="Y338" i="2" s="1"/>
  <c r="G339" i="2" s="1"/>
  <c r="H339" i="2" l="1"/>
  <c r="L339" i="2" s="1"/>
  <c r="B339" i="2"/>
  <c r="N339" i="2"/>
  <c r="O339" i="2" s="1"/>
  <c r="D339" i="2"/>
  <c r="M339" i="2"/>
  <c r="C339" i="2"/>
  <c r="R339" i="2" l="1"/>
  <c r="Q339" i="2"/>
  <c r="P339" i="2"/>
  <c r="J339" i="2"/>
  <c r="I339" i="2"/>
  <c r="K339" i="2"/>
  <c r="S339" i="2"/>
  <c r="U339" i="2" l="1"/>
  <c r="T339" i="2"/>
  <c r="W339" i="2" s="1"/>
  <c r="E340" i="2" s="1"/>
  <c r="V339" i="2"/>
  <c r="Y339" i="2" s="1"/>
  <c r="G340" i="2" s="1"/>
  <c r="X339" i="2"/>
  <c r="F340" i="2" s="1"/>
  <c r="H340" i="2" l="1"/>
  <c r="L340" i="2" s="1"/>
  <c r="B340" i="2"/>
  <c r="C340" i="2"/>
  <c r="D340" i="2"/>
  <c r="N340" i="2" l="1"/>
  <c r="O340" i="2" s="1"/>
  <c r="R340" i="2"/>
  <c r="P340" i="2"/>
  <c r="M340" i="2"/>
  <c r="Q340" i="2" s="1"/>
  <c r="I340" i="2"/>
  <c r="J340" i="2"/>
  <c r="K340" i="2"/>
  <c r="S340" i="2"/>
  <c r="U340" i="2" l="1"/>
  <c r="T340" i="2"/>
  <c r="V340" i="2"/>
  <c r="Y340" i="2" s="1"/>
  <c r="G341" i="2" s="1"/>
  <c r="W340" i="2"/>
  <c r="E341" i="2" s="1"/>
  <c r="X340" i="2"/>
  <c r="F341" i="2" s="1"/>
  <c r="D341" i="2" l="1"/>
  <c r="C341" i="2"/>
  <c r="H341" i="2"/>
  <c r="L341" i="2" s="1"/>
  <c r="B341" i="2"/>
  <c r="K341" i="2" l="1"/>
  <c r="J341" i="2"/>
  <c r="I341" i="2"/>
  <c r="S341" i="2"/>
  <c r="M341" i="2"/>
  <c r="N341" i="2"/>
  <c r="O341" i="2" s="1"/>
  <c r="R341" i="2" l="1"/>
  <c r="Q341" i="2"/>
  <c r="P341" i="2"/>
  <c r="T341" i="2" s="1"/>
  <c r="W341" i="2" s="1"/>
  <c r="E342" i="2" s="1"/>
  <c r="U341" i="2"/>
  <c r="X341" i="2" s="1"/>
  <c r="F342" i="2" s="1"/>
  <c r="V341" i="2"/>
  <c r="Y341" i="2" s="1"/>
  <c r="G342" i="2" s="1"/>
  <c r="H342" i="2" l="1"/>
  <c r="L342" i="2" s="1"/>
  <c r="B342" i="2"/>
  <c r="D342" i="2"/>
  <c r="C342" i="2"/>
  <c r="M342" i="2" l="1"/>
  <c r="N342" i="2"/>
  <c r="O342" i="2" s="1"/>
  <c r="R342" i="2"/>
  <c r="Q342" i="2"/>
  <c r="P342" i="2"/>
  <c r="I342" i="2"/>
  <c r="K342" i="2"/>
  <c r="J342" i="2"/>
  <c r="S342" i="2"/>
  <c r="U342" i="2" l="1"/>
  <c r="X342" i="2" s="1"/>
  <c r="F343" i="2" s="1"/>
  <c r="T342" i="2"/>
  <c r="V342" i="2"/>
  <c r="Y342" i="2" s="1"/>
  <c r="G343" i="2" s="1"/>
  <c r="W342" i="2"/>
  <c r="E343" i="2" s="1"/>
  <c r="D343" i="2" l="1"/>
  <c r="C343" i="2"/>
  <c r="H343" i="2"/>
  <c r="M343" i="2" s="1"/>
  <c r="B343" i="2"/>
  <c r="I343" i="2" l="1"/>
  <c r="S343" i="2"/>
  <c r="K343" i="2"/>
  <c r="J343" i="2"/>
  <c r="L343" i="2"/>
  <c r="N343" i="2"/>
  <c r="O343" i="2" s="1"/>
  <c r="R343" i="2" l="1"/>
  <c r="Q343" i="2"/>
  <c r="U343" i="2" s="1"/>
  <c r="X343" i="2" s="1"/>
  <c r="F344" i="2" s="1"/>
  <c r="P343" i="2"/>
  <c r="T343" i="2" s="1"/>
  <c r="W343" i="2" s="1"/>
  <c r="E344" i="2" s="1"/>
  <c r="V343" i="2"/>
  <c r="Y343" i="2" s="1"/>
  <c r="G344" i="2" s="1"/>
  <c r="C344" i="2" l="1"/>
  <c r="D344" i="2"/>
  <c r="H344" i="2"/>
  <c r="L344" i="2" s="1"/>
  <c r="B344" i="2"/>
  <c r="I344" i="2" l="1"/>
  <c r="K344" i="2"/>
  <c r="J344" i="2"/>
  <c r="S344" i="2"/>
  <c r="N344" i="2"/>
  <c r="O344" i="2" s="1"/>
  <c r="M344" i="2"/>
  <c r="R344" i="2" l="1"/>
  <c r="V344" i="2" s="1"/>
  <c r="Y344" i="2" s="1"/>
  <c r="G345" i="2" s="1"/>
  <c r="Q344" i="2"/>
  <c r="U344" i="2" s="1"/>
  <c r="X344" i="2" s="1"/>
  <c r="F345" i="2" s="1"/>
  <c r="P344" i="2"/>
  <c r="T344" i="2" s="1"/>
  <c r="W344" i="2" s="1"/>
  <c r="E345" i="2" s="1"/>
  <c r="C345" i="2" l="1"/>
  <c r="H345" i="2"/>
  <c r="N345" i="2" s="1"/>
  <c r="O345" i="2" s="1"/>
  <c r="B345" i="2"/>
  <c r="D345" i="2"/>
  <c r="I345" i="2" l="1"/>
  <c r="J345" i="2"/>
  <c r="K345" i="2"/>
  <c r="S345" i="2"/>
  <c r="R345" i="2"/>
  <c r="L345" i="2"/>
  <c r="P345" i="2" s="1"/>
  <c r="M345" i="2"/>
  <c r="Q345" i="2" s="1"/>
  <c r="U345" i="2" l="1"/>
  <c r="T345" i="2"/>
  <c r="V345" i="2"/>
  <c r="X345" i="2"/>
  <c r="F346" i="2" s="1"/>
  <c r="Y345" i="2"/>
  <c r="G346" i="2" s="1"/>
  <c r="W345" i="2"/>
  <c r="E346" i="2" s="1"/>
  <c r="H346" i="2" l="1"/>
  <c r="L346" i="2"/>
  <c r="B346" i="2"/>
  <c r="N346" i="2"/>
  <c r="O346" i="2" s="1"/>
  <c r="D346" i="2"/>
  <c r="M346" i="2"/>
  <c r="C346" i="2"/>
  <c r="R346" i="2" l="1"/>
  <c r="Q346" i="2"/>
  <c r="P346" i="2"/>
  <c r="I346" i="2"/>
  <c r="K346" i="2"/>
  <c r="J346" i="2"/>
  <c r="S346" i="2"/>
  <c r="U346" i="2" l="1"/>
  <c r="X346" i="2" s="1"/>
  <c r="F347" i="2" s="1"/>
  <c r="T346" i="2"/>
  <c r="V346" i="2"/>
  <c r="Y346" i="2" s="1"/>
  <c r="G347" i="2" s="1"/>
  <c r="W346" i="2"/>
  <c r="E347" i="2" s="1"/>
  <c r="D347" i="2" l="1"/>
  <c r="C347" i="2"/>
  <c r="H347" i="2"/>
  <c r="B347" i="2"/>
  <c r="I347" i="2" l="1"/>
  <c r="J347" i="2"/>
  <c r="S347" i="2"/>
  <c r="K347" i="2"/>
  <c r="L347" i="2"/>
  <c r="M347" i="2"/>
  <c r="N347" i="2"/>
  <c r="O347" i="2" s="1"/>
  <c r="R347" i="2" l="1"/>
  <c r="Q347" i="2"/>
  <c r="P347" i="2"/>
  <c r="T347" i="2" s="1"/>
  <c r="W347" i="2" s="1"/>
  <c r="E348" i="2" s="1"/>
  <c r="U347" i="2"/>
  <c r="X347" i="2" s="1"/>
  <c r="F348" i="2" s="1"/>
  <c r="V347" i="2"/>
  <c r="Y347" i="2" s="1"/>
  <c r="G348" i="2" s="1"/>
  <c r="C348" i="2" l="1"/>
  <c r="D348" i="2"/>
  <c r="H348" i="2"/>
  <c r="B348" i="2"/>
  <c r="K348" i="2" l="1"/>
  <c r="J348" i="2"/>
  <c r="S348" i="2"/>
  <c r="I348" i="2"/>
  <c r="L348" i="2"/>
  <c r="N348" i="2"/>
  <c r="O348" i="2" s="1"/>
  <c r="M348" i="2"/>
  <c r="R348" i="2" l="1"/>
  <c r="Q348" i="2"/>
  <c r="P348" i="2"/>
  <c r="T348" i="2" s="1"/>
  <c r="W348" i="2" s="1"/>
  <c r="E349" i="2" s="1"/>
  <c r="U348" i="2"/>
  <c r="X348" i="2" s="1"/>
  <c r="F349" i="2" s="1"/>
  <c r="V348" i="2"/>
  <c r="Y348" i="2" s="1"/>
  <c r="G349" i="2" s="1"/>
  <c r="C349" i="2" l="1"/>
  <c r="H349" i="2"/>
  <c r="B349" i="2"/>
  <c r="D349" i="2"/>
  <c r="I349" i="2" l="1"/>
  <c r="K349" i="2"/>
  <c r="J349" i="2"/>
  <c r="S349" i="2"/>
  <c r="N349" i="2"/>
  <c r="O349" i="2" s="1"/>
  <c r="L349" i="2"/>
  <c r="M349" i="2"/>
  <c r="R349" i="2" l="1"/>
  <c r="V349" i="2" s="1"/>
  <c r="Y349" i="2" s="1"/>
  <c r="G350" i="2" s="1"/>
  <c r="Q349" i="2"/>
  <c r="U349" i="2" s="1"/>
  <c r="X349" i="2" s="1"/>
  <c r="F350" i="2" s="1"/>
  <c r="P349" i="2"/>
  <c r="T349" i="2" s="1"/>
  <c r="W349" i="2" s="1"/>
  <c r="E350" i="2" s="1"/>
  <c r="C350" i="2" l="1"/>
  <c r="H350" i="2"/>
  <c r="N350" i="2" s="1"/>
  <c r="O350" i="2" s="1"/>
  <c r="B350" i="2"/>
  <c r="D350" i="2"/>
  <c r="S350" i="2" l="1"/>
  <c r="K350" i="2"/>
  <c r="J350" i="2"/>
  <c r="I350" i="2"/>
  <c r="R350" i="2"/>
  <c r="L350" i="2"/>
  <c r="P350" i="2" s="1"/>
  <c r="M350" i="2"/>
  <c r="Q350" i="2" s="1"/>
  <c r="U350" i="2" l="1"/>
  <c r="X350" i="2" s="1"/>
  <c r="F351" i="2" s="1"/>
  <c r="T350" i="2"/>
  <c r="W350" i="2" s="1"/>
  <c r="E351" i="2" s="1"/>
  <c r="V350" i="2"/>
  <c r="Y350" i="2" s="1"/>
  <c r="G351" i="2" s="1"/>
  <c r="H351" i="2" l="1"/>
  <c r="L351" i="2" s="1"/>
  <c r="B351" i="2"/>
  <c r="N351" i="2"/>
  <c r="O351" i="2" s="1"/>
  <c r="D351" i="2"/>
  <c r="M351" i="2"/>
  <c r="C351" i="2"/>
  <c r="R351" i="2" l="1"/>
  <c r="Q351" i="2"/>
  <c r="P351" i="2"/>
  <c r="K351" i="2"/>
  <c r="J351" i="2"/>
  <c r="I351" i="2"/>
  <c r="S351" i="2"/>
  <c r="U351" i="2" l="1"/>
  <c r="T351" i="2"/>
  <c r="W351" i="2" s="1"/>
  <c r="E352" i="2" s="1"/>
  <c r="V351" i="2"/>
  <c r="X351" i="2"/>
  <c r="F352" i="2" s="1"/>
  <c r="Y351" i="2"/>
  <c r="G352" i="2" s="1"/>
  <c r="H352" i="2" l="1"/>
  <c r="L352" i="2"/>
  <c r="B352" i="2"/>
  <c r="N352" i="2"/>
  <c r="O352" i="2" s="1"/>
  <c r="D352" i="2"/>
  <c r="M352" i="2"/>
  <c r="C352" i="2"/>
  <c r="R352" i="2" l="1"/>
  <c r="Q352" i="2"/>
  <c r="P352" i="2"/>
  <c r="J352" i="2"/>
  <c r="I352" i="2"/>
  <c r="S352" i="2"/>
  <c r="K352" i="2"/>
  <c r="U352" i="2" l="1"/>
  <c r="T352" i="2"/>
  <c r="V352" i="2"/>
  <c r="W352" i="2"/>
  <c r="E353" i="2" s="1"/>
  <c r="Y352" i="2"/>
  <c r="G353" i="2" s="1"/>
  <c r="X352" i="2"/>
  <c r="F353" i="2" s="1"/>
  <c r="C353" i="2" l="1"/>
  <c r="D353" i="2"/>
  <c r="H353" i="2"/>
  <c r="L353" i="2" s="1"/>
  <c r="B353" i="2"/>
  <c r="K353" i="2" l="1"/>
  <c r="J353" i="2"/>
  <c r="I353" i="2"/>
  <c r="S353" i="2"/>
  <c r="N353" i="2"/>
  <c r="O353" i="2" s="1"/>
  <c r="M353" i="2"/>
  <c r="R353" i="2" l="1"/>
  <c r="V353" i="2" s="1"/>
  <c r="Y353" i="2" s="1"/>
  <c r="G354" i="2" s="1"/>
  <c r="Q353" i="2"/>
  <c r="U353" i="2" s="1"/>
  <c r="X353" i="2" s="1"/>
  <c r="F354" i="2" s="1"/>
  <c r="P353" i="2"/>
  <c r="T353" i="2" s="1"/>
  <c r="W353" i="2" s="1"/>
  <c r="E354" i="2" s="1"/>
  <c r="H354" i="2" l="1"/>
  <c r="M354" i="2" s="1"/>
  <c r="B354" i="2"/>
  <c r="C354" i="2"/>
  <c r="D354" i="2"/>
  <c r="L354" i="2" l="1"/>
  <c r="N354" i="2"/>
  <c r="O354" i="2" s="1"/>
  <c r="R354" i="2"/>
  <c r="Q354" i="2"/>
  <c r="P354" i="2"/>
  <c r="I354" i="2"/>
  <c r="J354" i="2"/>
  <c r="K354" i="2"/>
  <c r="S354" i="2"/>
  <c r="U354" i="2" l="1"/>
  <c r="T354" i="2"/>
  <c r="V354" i="2"/>
  <c r="Y354" i="2" s="1"/>
  <c r="G355" i="2" s="1"/>
  <c r="X354" i="2"/>
  <c r="F355" i="2" s="1"/>
  <c r="W354" i="2"/>
  <c r="E355" i="2" s="1"/>
  <c r="D355" i="2" l="1"/>
  <c r="H355" i="2"/>
  <c r="B355" i="2"/>
  <c r="C355" i="2"/>
  <c r="I355" i="2" l="1"/>
  <c r="J355" i="2"/>
  <c r="S355" i="2"/>
  <c r="K355" i="2"/>
  <c r="M355" i="2"/>
  <c r="L355" i="2"/>
  <c r="N355" i="2"/>
  <c r="O355" i="2" s="1"/>
  <c r="R355" i="2" l="1"/>
  <c r="V355" i="2" s="1"/>
  <c r="Y355" i="2" s="1"/>
  <c r="G356" i="2" s="1"/>
  <c r="Q355" i="2"/>
  <c r="U355" i="2" s="1"/>
  <c r="X355" i="2" s="1"/>
  <c r="F356" i="2" s="1"/>
  <c r="P355" i="2"/>
  <c r="T355" i="2" s="1"/>
  <c r="W355" i="2" s="1"/>
  <c r="E356" i="2" s="1"/>
  <c r="C356" i="2" l="1"/>
  <c r="H356" i="2"/>
  <c r="L356" i="2" s="1"/>
  <c r="B356" i="2"/>
  <c r="D356" i="2"/>
  <c r="N356" i="2" l="1"/>
  <c r="O356" i="2" s="1"/>
  <c r="R356" i="2"/>
  <c r="P356" i="2"/>
  <c r="I356" i="2"/>
  <c r="J356" i="2"/>
  <c r="K356" i="2"/>
  <c r="S356" i="2"/>
  <c r="M356" i="2"/>
  <c r="Q356" i="2" s="1"/>
  <c r="U356" i="2" l="1"/>
  <c r="T356" i="2"/>
  <c r="W356" i="2" s="1"/>
  <c r="E357" i="2" s="1"/>
  <c r="V356" i="2"/>
  <c r="Y356" i="2" s="1"/>
  <c r="G357" i="2" s="1"/>
  <c r="X356" i="2"/>
  <c r="F357" i="2" s="1"/>
  <c r="H357" i="2" l="1"/>
  <c r="L357" i="2"/>
  <c r="B357" i="2"/>
  <c r="M357" i="2"/>
  <c r="C357" i="2"/>
  <c r="N357" i="2"/>
  <c r="O357" i="2" s="1"/>
  <c r="D357" i="2"/>
  <c r="R357" i="2" l="1"/>
  <c r="Q357" i="2"/>
  <c r="P357" i="2"/>
  <c r="J357" i="2"/>
  <c r="I357" i="2"/>
  <c r="K357" i="2"/>
  <c r="S357" i="2"/>
  <c r="U357" i="2" l="1"/>
  <c r="T357" i="2"/>
  <c r="W357" i="2" s="1"/>
  <c r="E358" i="2" s="1"/>
  <c r="V357" i="2"/>
  <c r="Y357" i="2" s="1"/>
  <c r="G358" i="2" s="1"/>
  <c r="X357" i="2"/>
  <c r="F358" i="2" s="1"/>
  <c r="H358" i="2" l="1"/>
  <c r="L358" i="2" s="1"/>
  <c r="B358" i="2"/>
  <c r="M358" i="2"/>
  <c r="C358" i="2"/>
  <c r="N358" i="2"/>
  <c r="O358" i="2" s="1"/>
  <c r="D358" i="2"/>
  <c r="R358" i="2" l="1"/>
  <c r="Q358" i="2"/>
  <c r="P358" i="2"/>
  <c r="I358" i="2"/>
  <c r="K358" i="2"/>
  <c r="J358" i="2"/>
  <c r="S358" i="2"/>
  <c r="U358" i="2" l="1"/>
  <c r="X358" i="2" s="1"/>
  <c r="F359" i="2" s="1"/>
  <c r="T358" i="2"/>
  <c r="V358" i="2"/>
  <c r="Y358" i="2"/>
  <c r="G359" i="2" s="1"/>
  <c r="W358" i="2"/>
  <c r="E359" i="2" s="1"/>
  <c r="C359" i="2" l="1"/>
  <c r="H359" i="2"/>
  <c r="L359" i="2"/>
  <c r="B359" i="2"/>
  <c r="N359" i="2"/>
  <c r="O359" i="2" s="1"/>
  <c r="D359" i="2"/>
  <c r="R359" i="2" l="1"/>
  <c r="P359" i="2"/>
  <c r="I359" i="2"/>
  <c r="S359" i="2"/>
  <c r="K359" i="2"/>
  <c r="J359" i="2"/>
  <c r="M359" i="2"/>
  <c r="Q359" i="2" s="1"/>
  <c r="U359" i="2" l="1"/>
  <c r="X359" i="2" s="1"/>
  <c r="F360" i="2" s="1"/>
  <c r="T359" i="2"/>
  <c r="V359" i="2"/>
  <c r="Y359" i="2" s="1"/>
  <c r="G360" i="2" s="1"/>
  <c r="W359" i="2"/>
  <c r="E360" i="2" s="1"/>
  <c r="D360" i="2" l="1"/>
  <c r="C360" i="2"/>
  <c r="H360" i="2"/>
  <c r="B360" i="2"/>
  <c r="I360" i="2" l="1"/>
  <c r="K360" i="2"/>
  <c r="J360" i="2"/>
  <c r="S360" i="2"/>
  <c r="L360" i="2"/>
  <c r="M360" i="2"/>
  <c r="N360" i="2"/>
  <c r="O360" i="2" s="1"/>
  <c r="R360" i="2" l="1"/>
  <c r="Q360" i="2"/>
  <c r="P360" i="2"/>
  <c r="T360" i="2" s="1"/>
  <c r="W360" i="2" s="1"/>
  <c r="E361" i="2" s="1"/>
  <c r="U360" i="2"/>
  <c r="X360" i="2" s="1"/>
  <c r="F361" i="2" s="1"/>
  <c r="V360" i="2"/>
  <c r="Y360" i="2" s="1"/>
  <c r="G361" i="2" s="1"/>
  <c r="C361" i="2" l="1"/>
  <c r="H361" i="2"/>
  <c r="B361" i="2"/>
  <c r="N361" i="2"/>
  <c r="O361" i="2" s="1"/>
  <c r="D361" i="2"/>
  <c r="I361" i="2" l="1"/>
  <c r="K361" i="2"/>
  <c r="J361" i="2"/>
  <c r="S361" i="2"/>
  <c r="R361" i="2"/>
  <c r="L361" i="2"/>
  <c r="P361" i="2" s="1"/>
  <c r="M361" i="2"/>
  <c r="Q361" i="2" s="1"/>
  <c r="U361" i="2" l="1"/>
  <c r="T361" i="2"/>
  <c r="V361" i="2"/>
  <c r="Y361" i="2" s="1"/>
  <c r="G362" i="2" s="1"/>
  <c r="X361" i="2"/>
  <c r="F362" i="2" s="1"/>
  <c r="W361" i="2"/>
  <c r="E362" i="2" s="1"/>
  <c r="D362" i="2" l="1"/>
  <c r="H362" i="2"/>
  <c r="M362" i="2" s="1"/>
  <c r="B362" i="2"/>
  <c r="C362" i="2"/>
  <c r="S362" i="2" l="1"/>
  <c r="K362" i="2"/>
  <c r="J362" i="2"/>
  <c r="I362" i="2"/>
  <c r="L362" i="2"/>
  <c r="N362" i="2"/>
  <c r="O362" i="2" s="1"/>
  <c r="R362" i="2" l="1"/>
  <c r="Q362" i="2"/>
  <c r="P362" i="2"/>
  <c r="T362" i="2" s="1"/>
  <c r="W362" i="2" s="1"/>
  <c r="E363" i="2" s="1"/>
  <c r="U362" i="2"/>
  <c r="X362" i="2" s="1"/>
  <c r="F363" i="2" s="1"/>
  <c r="V362" i="2"/>
  <c r="Y362" i="2" s="1"/>
  <c r="G363" i="2" s="1"/>
  <c r="C363" i="2" l="1"/>
  <c r="D363" i="2"/>
  <c r="H363" i="2"/>
  <c r="B363" i="2"/>
  <c r="K363" i="2" l="1"/>
  <c r="J363" i="2"/>
  <c r="I363" i="2"/>
  <c r="S363" i="2"/>
  <c r="N363" i="2"/>
  <c r="O363" i="2" s="1"/>
  <c r="L363" i="2"/>
  <c r="M363" i="2"/>
  <c r="R363" i="2" l="1"/>
  <c r="Q363" i="2"/>
  <c r="P363" i="2"/>
  <c r="T363" i="2" s="1"/>
  <c r="W363" i="2" s="1"/>
  <c r="E364" i="2" s="1"/>
  <c r="U363" i="2"/>
  <c r="X363" i="2" s="1"/>
  <c r="F364" i="2" s="1"/>
  <c r="V363" i="2"/>
  <c r="Y363" i="2" s="1"/>
  <c r="G364" i="2" s="1"/>
  <c r="H364" i="2" l="1"/>
  <c r="L364" i="2"/>
  <c r="B364" i="2"/>
  <c r="N364" i="2"/>
  <c r="O364" i="2" s="1"/>
  <c r="D364" i="2"/>
  <c r="M364" i="2"/>
  <c r="C364" i="2"/>
  <c r="R364" i="2" l="1"/>
  <c r="Q364" i="2"/>
  <c r="P364" i="2"/>
  <c r="K364" i="2"/>
  <c r="J364" i="2"/>
  <c r="I364" i="2"/>
  <c r="S364" i="2"/>
  <c r="V364" i="2" l="1"/>
  <c r="U364" i="2"/>
  <c r="X364" i="2" s="1"/>
  <c r="F365" i="2" s="1"/>
  <c r="T364" i="2"/>
  <c r="W364" i="2" s="1"/>
  <c r="E365" i="2" s="1"/>
  <c r="Y364" i="2"/>
  <c r="G365" i="2" s="1"/>
  <c r="C365" i="2" l="1"/>
  <c r="D365" i="2"/>
  <c r="H365" i="2"/>
  <c r="B365" i="2"/>
  <c r="K365" i="2" l="1"/>
  <c r="J365" i="2"/>
  <c r="I365" i="2"/>
  <c r="S365" i="2"/>
  <c r="L365" i="2"/>
  <c r="N365" i="2"/>
  <c r="O365" i="2" s="1"/>
  <c r="M365" i="2"/>
  <c r="R365" i="2" l="1"/>
  <c r="Q365" i="2"/>
  <c r="P365" i="2"/>
  <c r="T365" i="2" s="1"/>
  <c r="W365" i="2" s="1"/>
  <c r="E366" i="2" s="1"/>
  <c r="V365" i="2"/>
  <c r="U365" i="2"/>
  <c r="X365" i="2"/>
  <c r="F366" i="2" s="1"/>
  <c r="Y365" i="2"/>
  <c r="G366" i="2" s="1"/>
  <c r="D366" i="2" l="1"/>
  <c r="H366" i="2"/>
  <c r="M366" i="2" s="1"/>
  <c r="B366" i="2"/>
  <c r="C366" i="2"/>
  <c r="J366" i="2" l="1"/>
  <c r="K366" i="2"/>
  <c r="I366" i="2"/>
  <c r="S366" i="2"/>
  <c r="L366" i="2"/>
  <c r="N366" i="2"/>
  <c r="O366" i="2" s="1"/>
  <c r="R366" i="2" l="1"/>
  <c r="Q366" i="2"/>
  <c r="P366" i="2"/>
  <c r="T366" i="2" s="1"/>
  <c r="W366" i="2" s="1"/>
  <c r="E367" i="2" s="1"/>
  <c r="V366" i="2"/>
  <c r="Y366" i="2" s="1"/>
  <c r="G367" i="2" s="1"/>
  <c r="U366" i="2"/>
  <c r="X366" i="2" s="1"/>
  <c r="F367" i="2" s="1"/>
  <c r="D367" i="2" l="1"/>
  <c r="H367" i="2"/>
  <c r="L367" i="2" s="1"/>
  <c r="B367" i="2"/>
  <c r="C367" i="2"/>
  <c r="M367" i="2" l="1"/>
  <c r="I367" i="2"/>
  <c r="J367" i="2"/>
  <c r="K367" i="2"/>
  <c r="S367" i="2"/>
  <c r="N367" i="2"/>
  <c r="O367" i="2" s="1"/>
  <c r="R367" i="2" l="1"/>
  <c r="V367" i="2" s="1"/>
  <c r="Y367" i="2" s="1"/>
  <c r="G368" i="2" s="1"/>
  <c r="Q367" i="2"/>
  <c r="U367" i="2" s="1"/>
  <c r="X367" i="2" s="1"/>
  <c r="F368" i="2" s="1"/>
  <c r="P367" i="2"/>
  <c r="T367" i="2" s="1"/>
  <c r="W367" i="2" s="1"/>
  <c r="E368" i="2" s="1"/>
  <c r="H368" i="2" l="1"/>
  <c r="B368" i="2"/>
  <c r="M368" i="2"/>
  <c r="C368" i="2"/>
  <c r="N368" i="2"/>
  <c r="O368" i="2" s="1"/>
  <c r="D368" i="2"/>
  <c r="R368" i="2" l="1"/>
  <c r="Q368" i="2"/>
  <c r="J368" i="2"/>
  <c r="S368" i="2"/>
  <c r="K368" i="2"/>
  <c r="I368" i="2"/>
  <c r="L368" i="2"/>
  <c r="P368" i="2" s="1"/>
  <c r="V368" i="2" l="1"/>
  <c r="U368" i="2"/>
  <c r="T368" i="2"/>
  <c r="W368" i="2" s="1"/>
  <c r="E369" i="2" s="1"/>
  <c r="Y368" i="2"/>
  <c r="G369" i="2" s="1"/>
  <c r="X368" i="2"/>
  <c r="F369" i="2" s="1"/>
  <c r="H369" i="2" l="1"/>
  <c r="L369" i="2" s="1"/>
  <c r="B369" i="2"/>
  <c r="C369" i="2"/>
  <c r="D369" i="2"/>
  <c r="N369" i="2" l="1"/>
  <c r="O369" i="2" s="1"/>
  <c r="M369" i="2"/>
  <c r="R369" i="2"/>
  <c r="Q369" i="2"/>
  <c r="P369" i="2"/>
  <c r="I369" i="2"/>
  <c r="J369" i="2"/>
  <c r="K369" i="2"/>
  <c r="S369" i="2"/>
  <c r="V369" i="2" l="1"/>
  <c r="Y369" i="2" s="1"/>
  <c r="G370" i="2" s="1"/>
  <c r="U369" i="2"/>
  <c r="X369" i="2" s="1"/>
  <c r="F370" i="2" s="1"/>
  <c r="T369" i="2"/>
  <c r="W369" i="2"/>
  <c r="E370" i="2" s="1"/>
  <c r="C370" i="2" l="1"/>
  <c r="D370" i="2"/>
  <c r="H370" i="2"/>
  <c r="B370" i="2"/>
  <c r="S370" i="2" l="1"/>
  <c r="K370" i="2"/>
  <c r="J370" i="2"/>
  <c r="I370" i="2"/>
  <c r="L370" i="2"/>
  <c r="N370" i="2"/>
  <c r="O370" i="2" s="1"/>
  <c r="M370" i="2"/>
  <c r="R370" i="2" l="1"/>
  <c r="Q370" i="2"/>
  <c r="P370" i="2"/>
  <c r="V370" i="2"/>
  <c r="Y370" i="2" s="1"/>
  <c r="G371" i="2" s="1"/>
  <c r="U370" i="2"/>
  <c r="X370" i="2" s="1"/>
  <c r="F371" i="2" s="1"/>
  <c r="T370" i="2"/>
  <c r="W370" i="2" s="1"/>
  <c r="E371" i="2" s="1"/>
  <c r="C371" i="2" l="1"/>
  <c r="H371" i="2"/>
  <c r="B371" i="2"/>
  <c r="N371" i="2"/>
  <c r="O371" i="2" s="1"/>
  <c r="D371" i="2"/>
  <c r="R371" i="2" l="1"/>
  <c r="I371" i="2"/>
  <c r="J371" i="2"/>
  <c r="K371" i="2"/>
  <c r="S371" i="2"/>
  <c r="L371" i="2"/>
  <c r="P371" i="2" s="1"/>
  <c r="M371" i="2"/>
  <c r="Q371" i="2" s="1"/>
  <c r="V371" i="2" l="1"/>
  <c r="U371" i="2"/>
  <c r="T371" i="2"/>
  <c r="X371" i="2"/>
  <c r="F372" i="2" s="1"/>
  <c r="Y371" i="2"/>
  <c r="G372" i="2" s="1"/>
  <c r="W371" i="2"/>
  <c r="E372" i="2" s="1"/>
  <c r="D372" i="2" l="1"/>
  <c r="H372" i="2"/>
  <c r="L372" i="2" s="1"/>
  <c r="B372" i="2"/>
  <c r="C372" i="2"/>
  <c r="M372" i="2" l="1"/>
  <c r="K372" i="2"/>
  <c r="J372" i="2"/>
  <c r="I372" i="2"/>
  <c r="S372" i="2"/>
  <c r="N372" i="2"/>
  <c r="O372" i="2" s="1"/>
  <c r="R372" i="2" l="1"/>
  <c r="Q372" i="2"/>
  <c r="P372" i="2"/>
  <c r="T372" i="2" s="1"/>
  <c r="W372" i="2" s="1"/>
  <c r="E373" i="2" s="1"/>
  <c r="V372" i="2"/>
  <c r="U372" i="2"/>
  <c r="X372" i="2" s="1"/>
  <c r="F373" i="2" s="1"/>
  <c r="Y372" i="2"/>
  <c r="G373" i="2" s="1"/>
  <c r="D373" i="2" l="1"/>
  <c r="H373" i="2"/>
  <c r="B373" i="2"/>
  <c r="M373" i="2"/>
  <c r="C373" i="2"/>
  <c r="I373" i="2" l="1"/>
  <c r="J373" i="2"/>
  <c r="K373" i="2"/>
  <c r="S373" i="2"/>
  <c r="L373" i="2"/>
  <c r="N373" i="2"/>
  <c r="O373" i="2" s="1"/>
  <c r="R373" i="2" l="1"/>
  <c r="Q373" i="2"/>
  <c r="P373" i="2"/>
  <c r="T373" i="2" s="1"/>
  <c r="W373" i="2" s="1"/>
  <c r="E374" i="2" s="1"/>
  <c r="V373" i="2"/>
  <c r="Y373" i="2" s="1"/>
  <c r="G374" i="2" s="1"/>
  <c r="U373" i="2"/>
  <c r="X373" i="2" s="1"/>
  <c r="F374" i="2" s="1"/>
  <c r="C374" i="2" l="1"/>
  <c r="H374" i="2"/>
  <c r="B374" i="2"/>
  <c r="D374" i="2"/>
  <c r="K374" i="2" l="1"/>
  <c r="J374" i="2"/>
  <c r="I374" i="2"/>
  <c r="S374" i="2"/>
  <c r="N374" i="2"/>
  <c r="O374" i="2" s="1"/>
  <c r="L374" i="2"/>
  <c r="M374" i="2"/>
  <c r="R374" i="2" l="1"/>
  <c r="Q374" i="2"/>
  <c r="P374" i="2"/>
  <c r="T374" i="2" s="1"/>
  <c r="W374" i="2" s="1"/>
  <c r="E375" i="2" s="1"/>
  <c r="V374" i="2"/>
  <c r="U374" i="2"/>
  <c r="X374" i="2" s="1"/>
  <c r="F375" i="2" s="1"/>
  <c r="Y374" i="2"/>
  <c r="G375" i="2" s="1"/>
  <c r="H375" i="2" l="1"/>
  <c r="B375" i="2"/>
  <c r="N375" i="2"/>
  <c r="O375" i="2" s="1"/>
  <c r="D375" i="2"/>
  <c r="M375" i="2"/>
  <c r="C375" i="2"/>
  <c r="R375" i="2" l="1"/>
  <c r="Q375" i="2"/>
  <c r="J375" i="2"/>
  <c r="K375" i="2"/>
  <c r="S375" i="2"/>
  <c r="I375" i="2"/>
  <c r="L375" i="2"/>
  <c r="P375" i="2" s="1"/>
  <c r="V375" i="2" l="1"/>
  <c r="U375" i="2"/>
  <c r="X375" i="2" s="1"/>
  <c r="F376" i="2" s="1"/>
  <c r="T375" i="2"/>
  <c r="W375" i="2" s="1"/>
  <c r="E376" i="2" s="1"/>
  <c r="Y375" i="2"/>
  <c r="G376" i="2" s="1"/>
  <c r="H376" i="2" l="1"/>
  <c r="B376" i="2"/>
  <c r="M376" i="2"/>
  <c r="C376" i="2"/>
  <c r="N376" i="2"/>
  <c r="O376" i="2" s="1"/>
  <c r="D376" i="2"/>
  <c r="R376" i="2" l="1"/>
  <c r="Q376" i="2"/>
  <c r="K376" i="2"/>
  <c r="J376" i="2"/>
  <c r="I376" i="2"/>
  <c r="S376" i="2"/>
  <c r="L376" i="2"/>
  <c r="P376" i="2" s="1"/>
  <c r="V376" i="2" l="1"/>
  <c r="Y376" i="2" s="1"/>
  <c r="G377" i="2" s="1"/>
  <c r="U376" i="2"/>
  <c r="X376" i="2" s="1"/>
  <c r="F377" i="2" s="1"/>
  <c r="T376" i="2"/>
  <c r="W376" i="2" s="1"/>
  <c r="E377" i="2" s="1"/>
  <c r="D377" i="2" l="1"/>
  <c r="C377" i="2"/>
  <c r="H377" i="2"/>
  <c r="L377" i="2" s="1"/>
  <c r="B377" i="2"/>
  <c r="J377" i="2" l="1"/>
  <c r="S377" i="2"/>
  <c r="I377" i="2"/>
  <c r="K377" i="2"/>
  <c r="M377" i="2"/>
  <c r="N377" i="2"/>
  <c r="O377" i="2" s="1"/>
  <c r="R377" i="2" l="1"/>
  <c r="Q377" i="2"/>
  <c r="P377" i="2"/>
  <c r="T377" i="2" s="1"/>
  <c r="W377" i="2" s="1"/>
  <c r="E378" i="2" s="1"/>
  <c r="V377" i="2"/>
  <c r="Y377" i="2" s="1"/>
  <c r="G378" i="2" s="1"/>
  <c r="U377" i="2"/>
  <c r="X377" i="2"/>
  <c r="F378" i="2" s="1"/>
  <c r="H378" i="2" l="1"/>
  <c r="B378" i="2"/>
  <c r="N378" i="2"/>
  <c r="O378" i="2" s="1"/>
  <c r="D378" i="2"/>
  <c r="M378" i="2"/>
  <c r="C378" i="2"/>
  <c r="R378" i="2" l="1"/>
  <c r="Q378" i="2"/>
  <c r="J378" i="2"/>
  <c r="S378" i="2"/>
  <c r="I378" i="2"/>
  <c r="K378" i="2"/>
  <c r="L378" i="2"/>
  <c r="P378" i="2" s="1"/>
  <c r="V378" i="2" l="1"/>
  <c r="Y378" i="2" s="1"/>
  <c r="G379" i="2" s="1"/>
  <c r="U378" i="2"/>
  <c r="X378" i="2" s="1"/>
  <c r="F379" i="2" s="1"/>
  <c r="T378" i="2"/>
  <c r="W378" i="2" s="1"/>
  <c r="E379" i="2" s="1"/>
  <c r="H379" i="2" l="1"/>
  <c r="B379" i="2"/>
  <c r="M379" i="2"/>
  <c r="C379" i="2"/>
  <c r="N379" i="2"/>
  <c r="O379" i="2" s="1"/>
  <c r="D379" i="2"/>
  <c r="R379" i="2" l="1"/>
  <c r="Q379" i="2"/>
  <c r="I379" i="2"/>
  <c r="J379" i="2"/>
  <c r="S379" i="2"/>
  <c r="K379" i="2"/>
  <c r="L379" i="2"/>
  <c r="P379" i="2" s="1"/>
  <c r="V379" i="2" l="1"/>
  <c r="Y379" i="2" s="1"/>
  <c r="G380" i="2" s="1"/>
  <c r="U379" i="2"/>
  <c r="X379" i="2" s="1"/>
  <c r="F380" i="2" s="1"/>
  <c r="T379" i="2"/>
  <c r="W379" i="2" s="1"/>
  <c r="E380" i="2" s="1"/>
  <c r="C380" i="2" l="1"/>
  <c r="D380" i="2"/>
  <c r="H380" i="2"/>
  <c r="L380" i="2" s="1"/>
  <c r="B380" i="2"/>
  <c r="J380" i="2" l="1"/>
  <c r="I380" i="2"/>
  <c r="K380" i="2"/>
  <c r="S380" i="2"/>
  <c r="N380" i="2"/>
  <c r="O380" i="2" s="1"/>
  <c r="M380" i="2"/>
  <c r="R380" i="2" l="1"/>
  <c r="Q380" i="2"/>
  <c r="P380" i="2"/>
  <c r="T380" i="2" s="1"/>
  <c r="W380" i="2" s="1"/>
  <c r="E381" i="2" s="1"/>
  <c r="V380" i="2"/>
  <c r="Y380" i="2" s="1"/>
  <c r="G381" i="2" s="1"/>
  <c r="U380" i="2"/>
  <c r="X380" i="2"/>
  <c r="F381" i="2" s="1"/>
  <c r="H381" i="2" l="1"/>
  <c r="L381" i="2" s="1"/>
  <c r="B381" i="2"/>
  <c r="N381" i="2"/>
  <c r="O381" i="2" s="1"/>
  <c r="D381" i="2"/>
  <c r="M381" i="2"/>
  <c r="C381" i="2"/>
  <c r="R381" i="2" l="1"/>
  <c r="Q381" i="2"/>
  <c r="P381" i="2"/>
  <c r="I381" i="2"/>
  <c r="K381" i="2"/>
  <c r="J381" i="2"/>
  <c r="S381" i="2"/>
  <c r="V381" i="2" l="1"/>
  <c r="Y381" i="2" s="1"/>
  <c r="G382" i="2" s="1"/>
  <c r="U381" i="2"/>
  <c r="X381" i="2" s="1"/>
  <c r="F382" i="2" s="1"/>
  <c r="T381" i="2"/>
  <c r="W381" i="2" s="1"/>
  <c r="E382" i="2" s="1"/>
  <c r="C382" i="2" l="1"/>
  <c r="D382" i="2"/>
  <c r="H382" i="2"/>
  <c r="N382" i="2" s="1"/>
  <c r="O382" i="2" s="1"/>
  <c r="B382" i="2"/>
  <c r="R382" i="2" l="1"/>
  <c r="L382" i="2"/>
  <c r="P382" i="2" s="1"/>
  <c r="S382" i="2"/>
  <c r="I382" i="2"/>
  <c r="J382" i="2"/>
  <c r="K382" i="2"/>
  <c r="M382" i="2"/>
  <c r="Q382" i="2" s="1"/>
  <c r="V382" i="2" l="1"/>
  <c r="U382" i="2"/>
  <c r="T382" i="2"/>
  <c r="X382" i="2"/>
  <c r="F383" i="2" s="1"/>
  <c r="Y382" i="2"/>
  <c r="G383" i="2" s="1"/>
  <c r="W382" i="2"/>
  <c r="E383" i="2" s="1"/>
  <c r="D383" i="2" l="1"/>
  <c r="H383" i="2"/>
  <c r="B383" i="2"/>
  <c r="C383" i="2"/>
  <c r="I383" i="2" l="1"/>
  <c r="J383" i="2"/>
  <c r="K383" i="2"/>
  <c r="S383" i="2"/>
  <c r="L383" i="2"/>
  <c r="M383" i="2"/>
  <c r="N383" i="2"/>
  <c r="O383" i="2" s="1"/>
  <c r="R383" i="2" l="1"/>
  <c r="Q383" i="2"/>
  <c r="P383" i="2"/>
  <c r="T383" i="2" s="1"/>
  <c r="W383" i="2" s="1"/>
  <c r="E384" i="2" s="1"/>
  <c r="V383" i="2"/>
  <c r="Y383" i="2" s="1"/>
  <c r="G384" i="2" s="1"/>
  <c r="U383" i="2"/>
  <c r="X383" i="2" s="1"/>
  <c r="F384" i="2" s="1"/>
  <c r="H384" i="2" l="1"/>
  <c r="B384" i="2"/>
  <c r="N384" i="2"/>
  <c r="O384" i="2" s="1"/>
  <c r="D384" i="2"/>
  <c r="M384" i="2"/>
  <c r="C384" i="2"/>
  <c r="R384" i="2" l="1"/>
  <c r="Q384" i="2"/>
  <c r="I384" i="2"/>
  <c r="J384" i="2"/>
  <c r="K384" i="2"/>
  <c r="S384" i="2"/>
  <c r="L384" i="2"/>
  <c r="P384" i="2" s="1"/>
  <c r="V384" i="2" l="1"/>
  <c r="U384" i="2"/>
  <c r="X384" i="2" s="1"/>
  <c r="F385" i="2" s="1"/>
  <c r="T384" i="2"/>
  <c r="Y384" i="2"/>
  <c r="G385" i="2" s="1"/>
  <c r="W384" i="2"/>
  <c r="E385" i="2" s="1"/>
  <c r="C385" i="2" l="1"/>
  <c r="H385" i="2"/>
  <c r="L385" i="2" s="1"/>
  <c r="B385" i="2"/>
  <c r="D385" i="2"/>
  <c r="N385" i="2" l="1"/>
  <c r="O385" i="2" s="1"/>
  <c r="R385" i="2"/>
  <c r="P385" i="2"/>
  <c r="I385" i="2"/>
  <c r="J385" i="2"/>
  <c r="K385" i="2"/>
  <c r="S385" i="2"/>
  <c r="M385" i="2"/>
  <c r="Q385" i="2" s="1"/>
  <c r="V385" i="2" l="1"/>
  <c r="Y385" i="2" s="1"/>
  <c r="G386" i="2" s="1"/>
  <c r="U385" i="2"/>
  <c r="T385" i="2"/>
  <c r="X385" i="2"/>
  <c r="F386" i="2" s="1"/>
  <c r="W385" i="2"/>
  <c r="E386" i="2" s="1"/>
  <c r="H386" i="2" l="1"/>
  <c r="B386" i="2"/>
  <c r="M386" i="2"/>
  <c r="C386" i="2"/>
  <c r="N386" i="2"/>
  <c r="O386" i="2" s="1"/>
  <c r="D386" i="2"/>
  <c r="R386" i="2" l="1"/>
  <c r="Q386" i="2"/>
  <c r="I386" i="2"/>
  <c r="J386" i="2"/>
  <c r="S386" i="2"/>
  <c r="K386" i="2"/>
  <c r="L386" i="2"/>
  <c r="P386" i="2" s="1"/>
  <c r="V386" i="2" l="1"/>
  <c r="U386" i="2"/>
  <c r="X386" i="2" s="1"/>
  <c r="F387" i="2" s="1"/>
  <c r="T386" i="2"/>
  <c r="Y386" i="2"/>
  <c r="G387" i="2" s="1"/>
  <c r="W386" i="2"/>
  <c r="E387" i="2" s="1"/>
  <c r="C387" i="2" l="1"/>
  <c r="H387" i="2"/>
  <c r="L387" i="2" s="1"/>
  <c r="B387" i="2"/>
  <c r="D387" i="2"/>
  <c r="N387" i="2" l="1"/>
  <c r="O387" i="2" s="1"/>
  <c r="R387" i="2"/>
  <c r="P387" i="2"/>
  <c r="I387" i="2"/>
  <c r="J387" i="2"/>
  <c r="K387" i="2"/>
  <c r="S387" i="2"/>
  <c r="M387" i="2"/>
  <c r="Q387" i="2" s="1"/>
  <c r="V387" i="2" l="1"/>
  <c r="U387" i="2"/>
  <c r="T387" i="2"/>
  <c r="X387" i="2"/>
  <c r="F388" i="2" s="1"/>
  <c r="Y387" i="2"/>
  <c r="G388" i="2" s="1"/>
  <c r="W387" i="2"/>
  <c r="E388" i="2" s="1"/>
  <c r="D388" i="2" l="1"/>
  <c r="H388" i="2"/>
  <c r="L388" i="2" s="1"/>
  <c r="B388" i="2"/>
  <c r="C388" i="2"/>
  <c r="M388" i="2" l="1"/>
  <c r="J388" i="2"/>
  <c r="I388" i="2"/>
  <c r="K388" i="2"/>
  <c r="S388" i="2"/>
  <c r="N388" i="2"/>
  <c r="O388" i="2" s="1"/>
  <c r="R388" i="2" l="1"/>
  <c r="Q388" i="2"/>
  <c r="U388" i="2" s="1"/>
  <c r="X388" i="2" s="1"/>
  <c r="F389" i="2" s="1"/>
  <c r="P388" i="2"/>
  <c r="T388" i="2" s="1"/>
  <c r="W388" i="2" s="1"/>
  <c r="E389" i="2" s="1"/>
  <c r="V388" i="2"/>
  <c r="Y388" i="2"/>
  <c r="G389" i="2" s="1"/>
  <c r="H389" i="2" l="1"/>
  <c r="B389" i="2"/>
  <c r="M389" i="2"/>
  <c r="C389" i="2"/>
  <c r="N389" i="2"/>
  <c r="O389" i="2" s="1"/>
  <c r="D389" i="2"/>
  <c r="R389" i="2" l="1"/>
  <c r="Q389" i="2"/>
  <c r="J389" i="2"/>
  <c r="K389" i="2"/>
  <c r="I389" i="2"/>
  <c r="S389" i="2"/>
  <c r="L389" i="2"/>
  <c r="P389" i="2" s="1"/>
  <c r="V389" i="2" l="1"/>
  <c r="U389" i="2"/>
  <c r="T389" i="2"/>
  <c r="Y389" i="2"/>
  <c r="G390" i="2" s="1"/>
  <c r="W389" i="2"/>
  <c r="E390" i="2" s="1"/>
  <c r="X389" i="2"/>
  <c r="F390" i="2" s="1"/>
  <c r="H390" i="2" l="1"/>
  <c r="M390" i="2" s="1"/>
  <c r="B390" i="2"/>
  <c r="C390" i="2"/>
  <c r="N390" i="2"/>
  <c r="O390" i="2" s="1"/>
  <c r="D390" i="2"/>
  <c r="R390" i="2" l="1"/>
  <c r="Q390" i="2"/>
  <c r="J390" i="2"/>
  <c r="S390" i="2"/>
  <c r="K390" i="2"/>
  <c r="I390" i="2"/>
  <c r="L390" i="2"/>
  <c r="P390" i="2" s="1"/>
  <c r="V390" i="2" l="1"/>
  <c r="Y390" i="2" s="1"/>
  <c r="G391" i="2" s="1"/>
  <c r="U390" i="2"/>
  <c r="X390" i="2" s="1"/>
  <c r="F391" i="2" s="1"/>
  <c r="T390" i="2"/>
  <c r="W390" i="2" s="1"/>
  <c r="E391" i="2" s="1"/>
  <c r="C391" i="2" l="1"/>
  <c r="H391" i="2"/>
  <c r="L391" i="2" s="1"/>
  <c r="B391" i="2"/>
  <c r="N391" i="2"/>
  <c r="O391" i="2" s="1"/>
  <c r="D391" i="2"/>
  <c r="R391" i="2" l="1"/>
  <c r="P391" i="2"/>
  <c r="I391" i="2"/>
  <c r="J391" i="2"/>
  <c r="K391" i="2"/>
  <c r="S391" i="2"/>
  <c r="M391" i="2"/>
  <c r="Q391" i="2" s="1"/>
  <c r="V391" i="2" l="1"/>
  <c r="Y391" i="2" s="1"/>
  <c r="G392" i="2" s="1"/>
  <c r="U391" i="2"/>
  <c r="X391" i="2" s="1"/>
  <c r="F392" i="2" s="1"/>
  <c r="T391" i="2"/>
  <c r="W391" i="2" s="1"/>
  <c r="E392" i="2" s="1"/>
  <c r="C392" i="2" l="1"/>
  <c r="D392" i="2"/>
  <c r="H392" i="2"/>
  <c r="N392" i="2" s="1"/>
  <c r="O392" i="2" s="1"/>
  <c r="B392" i="2"/>
  <c r="R392" i="2" l="1"/>
  <c r="L392" i="2"/>
  <c r="P392" i="2" s="1"/>
  <c r="J392" i="2"/>
  <c r="K392" i="2"/>
  <c r="I392" i="2"/>
  <c r="S392" i="2"/>
  <c r="M392" i="2"/>
  <c r="Q392" i="2" s="1"/>
  <c r="V392" i="2" l="1"/>
  <c r="Y392" i="2" s="1"/>
  <c r="G393" i="2" s="1"/>
  <c r="U392" i="2"/>
  <c r="T392" i="2"/>
  <c r="W392" i="2" s="1"/>
  <c r="E393" i="2" s="1"/>
  <c r="X392" i="2"/>
  <c r="F393" i="2" s="1"/>
  <c r="H393" i="2" l="1"/>
  <c r="B393" i="2"/>
  <c r="N393" i="2"/>
  <c r="O393" i="2" s="1"/>
  <c r="D393" i="2"/>
  <c r="M393" i="2"/>
  <c r="C393" i="2"/>
  <c r="R393" i="2" l="1"/>
  <c r="Q393" i="2"/>
  <c r="K393" i="2"/>
  <c r="I393" i="2"/>
  <c r="S393" i="2"/>
  <c r="J393" i="2"/>
  <c r="L393" i="2"/>
  <c r="P393" i="2" s="1"/>
  <c r="V393" i="2" l="1"/>
  <c r="U393" i="2"/>
  <c r="X393" i="2" s="1"/>
  <c r="F394" i="2" s="1"/>
  <c r="T393" i="2"/>
  <c r="W393" i="2" s="1"/>
  <c r="E394" i="2" s="1"/>
  <c r="Y393" i="2"/>
  <c r="G394" i="2" s="1"/>
  <c r="H394" i="2" l="1"/>
  <c r="B394" i="2"/>
  <c r="M394" i="2"/>
  <c r="C394" i="2"/>
  <c r="N394" i="2"/>
  <c r="O394" i="2" s="1"/>
  <c r="D394" i="2"/>
  <c r="R394" i="2" l="1"/>
  <c r="Q394" i="2"/>
  <c r="J394" i="2"/>
  <c r="K394" i="2"/>
  <c r="I394" i="2"/>
  <c r="S394" i="2"/>
  <c r="L394" i="2"/>
  <c r="P394" i="2" s="1"/>
  <c r="V394" i="2" l="1"/>
  <c r="U394" i="2"/>
  <c r="X394" i="2" s="1"/>
  <c r="F395" i="2" s="1"/>
  <c r="T394" i="2"/>
  <c r="W394" i="2" s="1"/>
  <c r="E395" i="2" s="1"/>
  <c r="Y394" i="2"/>
  <c r="G395" i="2" s="1"/>
  <c r="H395" i="2" l="1"/>
  <c r="B395" i="2"/>
  <c r="M395" i="2"/>
  <c r="C395" i="2"/>
  <c r="N395" i="2"/>
  <c r="O395" i="2" s="1"/>
  <c r="D395" i="2"/>
  <c r="R395" i="2" l="1"/>
  <c r="Q395" i="2"/>
  <c r="I395" i="2"/>
  <c r="K395" i="2"/>
  <c r="S395" i="2"/>
  <c r="J395" i="2"/>
  <c r="L395" i="2"/>
  <c r="P395" i="2" s="1"/>
  <c r="V395" i="2" l="1"/>
  <c r="Y395" i="2" s="1"/>
  <c r="G396" i="2" s="1"/>
  <c r="U395" i="2"/>
  <c r="T395" i="2"/>
  <c r="X395" i="2"/>
  <c r="F396" i="2" s="1"/>
  <c r="W395" i="2"/>
  <c r="E396" i="2" s="1"/>
  <c r="D396" i="2" l="1"/>
  <c r="H396" i="2"/>
  <c r="L396" i="2" s="1"/>
  <c r="B396" i="2"/>
  <c r="C396" i="2"/>
  <c r="M396" i="2" l="1"/>
  <c r="I396" i="2"/>
  <c r="S396" i="2"/>
  <c r="J396" i="2"/>
  <c r="K396" i="2"/>
  <c r="N396" i="2"/>
  <c r="O396" i="2" s="1"/>
  <c r="R396" i="2" l="1"/>
  <c r="V396" i="2" s="1"/>
  <c r="Y396" i="2" s="1"/>
  <c r="G397" i="2" s="1"/>
  <c r="Q396" i="2"/>
  <c r="U396" i="2" s="1"/>
  <c r="X396" i="2" s="1"/>
  <c r="F397" i="2" s="1"/>
  <c r="P396" i="2"/>
  <c r="T396" i="2" s="1"/>
  <c r="W396" i="2" s="1"/>
  <c r="E397" i="2" s="1"/>
  <c r="C397" i="2" l="1"/>
  <c r="H397" i="2"/>
  <c r="L397" i="2" s="1"/>
  <c r="B397" i="2"/>
  <c r="D397" i="2"/>
  <c r="N397" i="2" l="1"/>
  <c r="O397" i="2" s="1"/>
  <c r="I397" i="2"/>
  <c r="J397" i="2"/>
  <c r="K397" i="2"/>
  <c r="S397" i="2"/>
  <c r="M397" i="2"/>
  <c r="R397" i="2" l="1"/>
  <c r="V397" i="2" s="1"/>
  <c r="Y397" i="2" s="1"/>
  <c r="G398" i="2" s="1"/>
  <c r="Q397" i="2"/>
  <c r="U397" i="2" s="1"/>
  <c r="X397" i="2" s="1"/>
  <c r="F398" i="2" s="1"/>
  <c r="P397" i="2"/>
  <c r="T397" i="2" s="1"/>
  <c r="W397" i="2" s="1"/>
  <c r="E398" i="2" s="1"/>
  <c r="C398" i="2" l="1"/>
  <c r="H398" i="2"/>
  <c r="L398" i="2" s="1"/>
  <c r="B398" i="2"/>
  <c r="N398" i="2"/>
  <c r="O398" i="2" s="1"/>
  <c r="D398" i="2"/>
  <c r="R398" i="2" l="1"/>
  <c r="P398" i="2"/>
  <c r="I398" i="2"/>
  <c r="J398" i="2"/>
  <c r="S398" i="2"/>
  <c r="K398" i="2"/>
  <c r="M398" i="2"/>
  <c r="Q398" i="2" s="1"/>
  <c r="V398" i="2" l="1"/>
  <c r="Y398" i="2" s="1"/>
  <c r="G399" i="2" s="1"/>
  <c r="U398" i="2"/>
  <c r="X398" i="2" s="1"/>
  <c r="F399" i="2" s="1"/>
  <c r="T398" i="2"/>
  <c r="W398" i="2" s="1"/>
  <c r="E399" i="2" s="1"/>
  <c r="C399" i="2" l="1"/>
  <c r="D399" i="2"/>
  <c r="H399" i="2"/>
  <c r="N399" i="2" s="1"/>
  <c r="O399" i="2" s="1"/>
  <c r="B399" i="2"/>
  <c r="R399" i="2" l="1"/>
  <c r="L399" i="2"/>
  <c r="P399" i="2" s="1"/>
  <c r="K399" i="2"/>
  <c r="I399" i="2"/>
  <c r="J399" i="2"/>
  <c r="S399" i="2"/>
  <c r="M399" i="2"/>
  <c r="Q399" i="2" s="1"/>
  <c r="V399" i="2" l="1"/>
  <c r="U399" i="2"/>
  <c r="X399" i="2" s="1"/>
  <c r="F400" i="2" s="1"/>
  <c r="T399" i="2"/>
  <c r="W399" i="2" s="1"/>
  <c r="E400" i="2" s="1"/>
  <c r="Y399" i="2"/>
  <c r="G400" i="2" s="1"/>
  <c r="H400" i="2" l="1"/>
  <c r="B400" i="2"/>
  <c r="M400" i="2"/>
  <c r="C400" i="2"/>
  <c r="N400" i="2"/>
  <c r="O400" i="2" s="1"/>
  <c r="D400" i="2"/>
  <c r="R400" i="2" l="1"/>
  <c r="Q400" i="2"/>
  <c r="J400" i="2"/>
  <c r="I400" i="2"/>
  <c r="K400" i="2"/>
  <c r="S400" i="2"/>
  <c r="L400" i="2"/>
  <c r="P400" i="2" s="1"/>
  <c r="V400" i="2" l="1"/>
  <c r="Y400" i="2" s="1"/>
  <c r="G401" i="2" s="1"/>
  <c r="U400" i="2"/>
  <c r="T400" i="2"/>
  <c r="W400" i="2" s="1"/>
  <c r="E401" i="2" s="1"/>
  <c r="X400" i="2"/>
  <c r="F401" i="2" s="1"/>
  <c r="D401" i="2" l="1"/>
  <c r="C401" i="2"/>
  <c r="H401" i="2"/>
  <c r="B401" i="2"/>
  <c r="K401" i="2" l="1"/>
  <c r="I401" i="2"/>
  <c r="J401" i="2"/>
  <c r="S401" i="2"/>
  <c r="L401" i="2"/>
  <c r="M401" i="2"/>
  <c r="N401" i="2"/>
  <c r="O401" i="2" s="1"/>
  <c r="R401" i="2" l="1"/>
  <c r="Q401" i="2"/>
  <c r="U401" i="2" s="1"/>
  <c r="X401" i="2" s="1"/>
  <c r="F402" i="2" s="1"/>
  <c r="P401" i="2"/>
  <c r="T401" i="2" s="1"/>
  <c r="W401" i="2" s="1"/>
  <c r="E402" i="2" s="1"/>
  <c r="V401" i="2"/>
  <c r="Y401" i="2"/>
  <c r="G402" i="2" s="1"/>
  <c r="H402" i="2" l="1"/>
  <c r="B402" i="2"/>
  <c r="M402" i="2"/>
  <c r="C402" i="2"/>
  <c r="N402" i="2"/>
  <c r="O402" i="2" s="1"/>
  <c r="D402" i="2"/>
  <c r="R402" i="2" l="1"/>
  <c r="Q402" i="2"/>
  <c r="J402" i="2"/>
  <c r="I402" i="2"/>
  <c r="K402" i="2"/>
  <c r="S402" i="2"/>
  <c r="L402" i="2"/>
  <c r="P402" i="2" s="1"/>
  <c r="V402" i="2" l="1"/>
  <c r="Y402" i="2" s="1"/>
  <c r="G403" i="2" s="1"/>
  <c r="U402" i="2"/>
  <c r="X402" i="2" s="1"/>
  <c r="F403" i="2" s="1"/>
  <c r="T402" i="2"/>
  <c r="W402" i="2" s="1"/>
  <c r="E403" i="2" s="1"/>
  <c r="C403" i="2" l="1"/>
  <c r="D403" i="2"/>
  <c r="H403" i="2"/>
  <c r="L403" i="2" s="1"/>
  <c r="B403" i="2"/>
  <c r="K403" i="2" l="1"/>
  <c r="I403" i="2"/>
  <c r="J403" i="2"/>
  <c r="S403" i="2"/>
  <c r="N403" i="2"/>
  <c r="O403" i="2" s="1"/>
  <c r="M403" i="2"/>
  <c r="R403" i="2" l="1"/>
  <c r="V403" i="2" s="1"/>
  <c r="Y403" i="2" s="1"/>
  <c r="G404" i="2" s="1"/>
  <c r="Q403" i="2"/>
  <c r="U403" i="2" s="1"/>
  <c r="X403" i="2" s="1"/>
  <c r="F404" i="2" s="1"/>
  <c r="P403" i="2"/>
  <c r="T403" i="2" s="1"/>
  <c r="W403" i="2" s="1"/>
  <c r="E404" i="2" s="1"/>
  <c r="C404" i="2" l="1"/>
  <c r="H404" i="2"/>
  <c r="L404" i="2" s="1"/>
  <c r="B404" i="2"/>
  <c r="N404" i="2"/>
  <c r="O404" i="2" s="1"/>
  <c r="D404" i="2"/>
  <c r="R404" i="2" l="1"/>
  <c r="P404" i="2"/>
  <c r="J404" i="2"/>
  <c r="I404" i="2"/>
  <c r="K404" i="2"/>
  <c r="S404" i="2"/>
  <c r="M404" i="2"/>
  <c r="Q404" i="2" s="1"/>
  <c r="V404" i="2" l="1"/>
  <c r="Y404" i="2" s="1"/>
  <c r="G405" i="2" s="1"/>
  <c r="U404" i="2"/>
  <c r="X404" i="2" s="1"/>
  <c r="F405" i="2" s="1"/>
  <c r="T404" i="2"/>
  <c r="W404" i="2" s="1"/>
  <c r="E405" i="2" s="1"/>
  <c r="C405" i="2" l="1"/>
  <c r="D405" i="2"/>
  <c r="H405" i="2"/>
  <c r="B405" i="2"/>
  <c r="I405" i="2" l="1"/>
  <c r="J405" i="2"/>
  <c r="K405" i="2"/>
  <c r="S405" i="2"/>
  <c r="N405" i="2"/>
  <c r="O405" i="2" s="1"/>
  <c r="L405" i="2"/>
  <c r="M405" i="2"/>
  <c r="R405" i="2" l="1"/>
  <c r="V405" i="2" s="1"/>
  <c r="Y405" i="2" s="1"/>
  <c r="G406" i="2" s="1"/>
  <c r="Q405" i="2"/>
  <c r="U405" i="2" s="1"/>
  <c r="X405" i="2" s="1"/>
  <c r="F406" i="2" s="1"/>
  <c r="P405" i="2"/>
  <c r="T405" i="2" s="1"/>
  <c r="W405" i="2" s="1"/>
  <c r="E406" i="2" s="1"/>
  <c r="C406" i="2" l="1"/>
  <c r="H406" i="2"/>
  <c r="L406" i="2" s="1"/>
  <c r="B406" i="2"/>
  <c r="N406" i="2"/>
  <c r="O406" i="2" s="1"/>
  <c r="D406" i="2"/>
  <c r="R406" i="2" l="1"/>
  <c r="P406" i="2"/>
  <c r="J406" i="2"/>
  <c r="S406" i="2"/>
  <c r="K406" i="2"/>
  <c r="I406" i="2"/>
  <c r="M406" i="2"/>
  <c r="Q406" i="2" s="1"/>
  <c r="V406" i="2" l="1"/>
  <c r="Y406" i="2" s="1"/>
  <c r="G407" i="2" s="1"/>
  <c r="U406" i="2"/>
  <c r="X406" i="2" s="1"/>
  <c r="F407" i="2" s="1"/>
  <c r="T406" i="2"/>
  <c r="W406" i="2" s="1"/>
  <c r="E407" i="2" s="1"/>
  <c r="C407" i="2" l="1"/>
  <c r="H407" i="2"/>
  <c r="L407" i="2" s="1"/>
  <c r="B407" i="2"/>
  <c r="D407" i="2"/>
  <c r="N407" i="2" l="1"/>
  <c r="O407" i="2" s="1"/>
  <c r="R407" i="2" s="1"/>
  <c r="I407" i="2"/>
  <c r="J407" i="2"/>
  <c r="K407" i="2"/>
  <c r="S407" i="2"/>
  <c r="M407" i="2"/>
  <c r="Q407" i="2" s="1"/>
  <c r="P407" i="2" l="1"/>
  <c r="V407" i="2"/>
  <c r="Y407" i="2" s="1"/>
  <c r="G408" i="2" s="1"/>
  <c r="U407" i="2"/>
  <c r="T407" i="2"/>
  <c r="W407" i="2" s="1"/>
  <c r="E408" i="2" s="1"/>
  <c r="X407" i="2"/>
  <c r="F408" i="2" s="1"/>
  <c r="H408" i="2" l="1"/>
  <c r="B408" i="2"/>
  <c r="N408" i="2"/>
  <c r="O408" i="2" s="1"/>
  <c r="D408" i="2"/>
  <c r="M408" i="2"/>
  <c r="C408" i="2"/>
  <c r="R408" i="2" l="1"/>
  <c r="Q408" i="2"/>
  <c r="J408" i="2"/>
  <c r="K408" i="2"/>
  <c r="S408" i="2"/>
  <c r="I408" i="2"/>
  <c r="L408" i="2"/>
  <c r="P408" i="2" s="1"/>
  <c r="V408" i="2" l="1"/>
  <c r="Y408" i="2" s="1"/>
  <c r="G409" i="2" s="1"/>
  <c r="U408" i="2"/>
  <c r="T408" i="2"/>
  <c r="W408" i="2" s="1"/>
  <c r="E409" i="2" s="1"/>
  <c r="X408" i="2"/>
  <c r="F409" i="2" s="1"/>
  <c r="H409" i="2" l="1"/>
  <c r="B409" i="2"/>
  <c r="N409" i="2"/>
  <c r="O409" i="2" s="1"/>
  <c r="D409" i="2"/>
  <c r="M409" i="2"/>
  <c r="C409" i="2"/>
  <c r="R409" i="2" l="1"/>
  <c r="Q409" i="2"/>
  <c r="J409" i="2"/>
  <c r="K409" i="2"/>
  <c r="I409" i="2"/>
  <c r="S409" i="2"/>
  <c r="L409" i="2"/>
  <c r="P409" i="2" s="1"/>
  <c r="V409" i="2" l="1"/>
  <c r="Y409" i="2" s="1"/>
  <c r="G410" i="2" s="1"/>
  <c r="U409" i="2"/>
  <c r="T409" i="2"/>
  <c r="W409" i="2"/>
  <c r="E410" i="2" s="1"/>
  <c r="X409" i="2"/>
  <c r="F410" i="2" s="1"/>
  <c r="D410" i="2" l="1"/>
  <c r="C410" i="2"/>
  <c r="H410" i="2"/>
  <c r="L410" i="2" s="1"/>
  <c r="B410" i="2"/>
  <c r="K410" i="2" l="1"/>
  <c r="I410" i="2"/>
  <c r="S410" i="2"/>
  <c r="J410" i="2"/>
  <c r="M410" i="2"/>
  <c r="N410" i="2"/>
  <c r="O410" i="2" s="1"/>
  <c r="R410" i="2" l="1"/>
  <c r="Q410" i="2"/>
  <c r="P410" i="2"/>
  <c r="V410" i="2"/>
  <c r="U410" i="2"/>
  <c r="X410" i="2" s="1"/>
  <c r="F411" i="2" s="1"/>
  <c r="T410" i="2"/>
  <c r="W410" i="2" s="1"/>
  <c r="E411" i="2" s="1"/>
  <c r="Y410" i="2"/>
  <c r="G411" i="2" s="1"/>
  <c r="H411" i="2" l="1"/>
  <c r="B411" i="2"/>
  <c r="M411" i="2"/>
  <c r="C411" i="2"/>
  <c r="N411" i="2"/>
  <c r="O411" i="2" s="1"/>
  <c r="D411" i="2"/>
  <c r="R411" i="2" l="1"/>
  <c r="Q411" i="2"/>
  <c r="K411" i="2"/>
  <c r="S411" i="2"/>
  <c r="I411" i="2"/>
  <c r="J411" i="2"/>
  <c r="L411" i="2"/>
  <c r="P411" i="2" s="1"/>
  <c r="V411" i="2" l="1"/>
  <c r="U411" i="2"/>
  <c r="T411" i="2"/>
  <c r="X411" i="2"/>
  <c r="F412" i="2" s="1"/>
  <c r="W411" i="2"/>
  <c r="E412" i="2" s="1"/>
  <c r="Y411" i="2"/>
  <c r="G412" i="2" s="1"/>
  <c r="H412" i="2" l="1"/>
  <c r="N412" i="2" s="1"/>
  <c r="O412" i="2" s="1"/>
  <c r="B412" i="2"/>
  <c r="D412" i="2"/>
  <c r="M412" i="2"/>
  <c r="C412" i="2"/>
  <c r="R412" i="2" l="1"/>
  <c r="Q412" i="2"/>
  <c r="J412" i="2"/>
  <c r="K412" i="2"/>
  <c r="S412" i="2"/>
  <c r="I412" i="2"/>
  <c r="L412" i="2"/>
  <c r="P412" i="2" s="1"/>
  <c r="V412" i="2" l="1"/>
  <c r="U412" i="2"/>
  <c r="T412" i="2"/>
  <c r="W412" i="2" s="1"/>
  <c r="E413" i="2" s="1"/>
  <c r="Y412" i="2"/>
  <c r="G413" i="2" s="1"/>
  <c r="X412" i="2"/>
  <c r="F413" i="2" s="1"/>
  <c r="H413" i="2" l="1"/>
  <c r="B413" i="2"/>
  <c r="M413" i="2"/>
  <c r="C413" i="2"/>
  <c r="N413" i="2"/>
  <c r="O413" i="2" s="1"/>
  <c r="D413" i="2"/>
  <c r="R413" i="2" l="1"/>
  <c r="Q413" i="2"/>
  <c r="K413" i="2"/>
  <c r="I413" i="2"/>
  <c r="J413" i="2"/>
  <c r="S413" i="2"/>
  <c r="L413" i="2"/>
  <c r="P413" i="2" s="1"/>
  <c r="V413" i="2" l="1"/>
  <c r="U413" i="2"/>
  <c r="X413" i="2" s="1"/>
  <c r="F414" i="2" s="1"/>
  <c r="T413" i="2"/>
  <c r="W413" i="2" s="1"/>
  <c r="E414" i="2" s="1"/>
  <c r="Y413" i="2"/>
  <c r="G414" i="2" s="1"/>
  <c r="H414" i="2" l="1"/>
  <c r="B414" i="2"/>
  <c r="M414" i="2"/>
  <c r="C414" i="2"/>
  <c r="N414" i="2"/>
  <c r="O414" i="2" s="1"/>
  <c r="D414" i="2"/>
  <c r="R414" i="2" l="1"/>
  <c r="Q414" i="2"/>
  <c r="J414" i="2"/>
  <c r="I414" i="2"/>
  <c r="S414" i="2"/>
  <c r="K414" i="2"/>
  <c r="L414" i="2"/>
  <c r="P414" i="2" s="1"/>
  <c r="V414" i="2" l="1"/>
  <c r="U414" i="2"/>
  <c r="T414" i="2"/>
  <c r="Y414" i="2"/>
  <c r="G415" i="2" s="1"/>
  <c r="W414" i="2"/>
  <c r="E415" i="2" s="1"/>
  <c r="X414" i="2"/>
  <c r="F415" i="2" s="1"/>
  <c r="H415" i="2" l="1"/>
  <c r="B415" i="2"/>
  <c r="M415" i="2"/>
  <c r="C415" i="2"/>
  <c r="N415" i="2"/>
  <c r="O415" i="2" s="1"/>
  <c r="D415" i="2"/>
  <c r="R415" i="2" l="1"/>
  <c r="Q415" i="2"/>
  <c r="K415" i="2"/>
  <c r="I415" i="2"/>
  <c r="J415" i="2"/>
  <c r="S415" i="2"/>
  <c r="L415" i="2"/>
  <c r="P415" i="2" s="1"/>
  <c r="V415" i="2" l="1"/>
  <c r="U415" i="2"/>
  <c r="T415" i="2"/>
  <c r="W415" i="2" s="1"/>
  <c r="E416" i="2" s="1"/>
  <c r="X415" i="2"/>
  <c r="F416" i="2" s="1"/>
  <c r="Y415" i="2"/>
  <c r="G416" i="2" s="1"/>
  <c r="H416" i="2" l="1"/>
  <c r="B416" i="2"/>
  <c r="N416" i="2"/>
  <c r="O416" i="2" s="1"/>
  <c r="D416" i="2"/>
  <c r="M416" i="2"/>
  <c r="C416" i="2"/>
  <c r="R416" i="2" l="1"/>
  <c r="Q416" i="2"/>
  <c r="J416" i="2"/>
  <c r="I416" i="2"/>
  <c r="S416" i="2"/>
  <c r="K416" i="2"/>
  <c r="L416" i="2"/>
  <c r="P416" i="2" s="1"/>
  <c r="V416" i="2" l="1"/>
  <c r="Y416" i="2" s="1"/>
  <c r="G417" i="2" s="1"/>
  <c r="U416" i="2"/>
  <c r="T416" i="2"/>
  <c r="W416" i="2"/>
  <c r="E417" i="2" s="1"/>
  <c r="X416" i="2"/>
  <c r="F417" i="2" s="1"/>
  <c r="D417" i="2" l="1"/>
  <c r="C417" i="2"/>
  <c r="H417" i="2"/>
  <c r="M417" i="2" s="1"/>
  <c r="B417" i="2"/>
  <c r="I417" i="2" l="1"/>
  <c r="J417" i="2"/>
  <c r="S417" i="2"/>
  <c r="K417" i="2"/>
  <c r="L417" i="2"/>
  <c r="N417" i="2"/>
  <c r="O417" i="2" s="1"/>
  <c r="R417" i="2" l="1"/>
  <c r="Q417" i="2"/>
  <c r="P417" i="2"/>
  <c r="T417" i="2" s="1"/>
  <c r="W417" i="2" s="1"/>
  <c r="E418" i="2" s="1"/>
  <c r="V417" i="2"/>
  <c r="Y417" i="2" s="1"/>
  <c r="G418" i="2" s="1"/>
  <c r="U417" i="2"/>
  <c r="X417" i="2" s="1"/>
  <c r="F418" i="2" s="1"/>
  <c r="D418" i="2" l="1"/>
  <c r="C418" i="2"/>
  <c r="H418" i="2"/>
  <c r="M418" i="2" s="1"/>
  <c r="B418" i="2"/>
  <c r="L418" i="2" l="1"/>
  <c r="I418" i="2"/>
  <c r="J418" i="2"/>
  <c r="K418" i="2"/>
  <c r="S418" i="2"/>
  <c r="N418" i="2"/>
  <c r="O418" i="2" s="1"/>
  <c r="R418" i="2" l="1"/>
  <c r="Q418" i="2"/>
  <c r="P418" i="2"/>
  <c r="T418" i="2" s="1"/>
  <c r="W418" i="2" s="1"/>
  <c r="E419" i="2" s="1"/>
  <c r="V418" i="2"/>
  <c r="U418" i="2"/>
  <c r="X418" i="2" s="1"/>
  <c r="F419" i="2" s="1"/>
  <c r="Y418" i="2"/>
  <c r="G419" i="2" s="1"/>
  <c r="C419" i="2" l="1"/>
  <c r="H419" i="2"/>
  <c r="L419" i="2" s="1"/>
  <c r="B419" i="2"/>
  <c r="D419" i="2"/>
  <c r="N419" i="2" l="1"/>
  <c r="O419" i="2" s="1"/>
  <c r="R419" i="2"/>
  <c r="P419" i="2"/>
  <c r="I419" i="2"/>
  <c r="J419" i="2"/>
  <c r="K419" i="2"/>
  <c r="S419" i="2"/>
  <c r="M419" i="2"/>
  <c r="Q419" i="2" s="1"/>
  <c r="V419" i="2" l="1"/>
  <c r="U419" i="2"/>
  <c r="T419" i="2"/>
  <c r="W419" i="2"/>
  <c r="E420" i="2" s="1"/>
  <c r="Y419" i="2"/>
  <c r="G420" i="2" s="1"/>
  <c r="X419" i="2"/>
  <c r="F420" i="2" s="1"/>
  <c r="D420" i="2" l="1"/>
  <c r="C420" i="2"/>
  <c r="H420" i="2"/>
  <c r="M420" i="2" s="1"/>
  <c r="B420" i="2"/>
  <c r="I420" i="2" l="1"/>
  <c r="J420" i="2"/>
  <c r="S420" i="2"/>
  <c r="K420" i="2"/>
  <c r="L420" i="2"/>
  <c r="N420" i="2"/>
  <c r="O420" i="2" s="1"/>
  <c r="R420" i="2" l="1"/>
  <c r="Q420" i="2"/>
  <c r="P420" i="2"/>
  <c r="V420" i="2"/>
  <c r="Y420" i="2" s="1"/>
  <c r="G421" i="2" s="1"/>
  <c r="U420" i="2"/>
  <c r="X420" i="2" s="1"/>
  <c r="F421" i="2" s="1"/>
  <c r="T420" i="2"/>
  <c r="W420" i="2" s="1"/>
  <c r="E421" i="2" s="1"/>
  <c r="C421" i="2" l="1"/>
  <c r="D421" i="2"/>
  <c r="H421" i="2"/>
  <c r="B421" i="2"/>
  <c r="I421" i="2" l="1"/>
  <c r="J421" i="2"/>
  <c r="S421" i="2"/>
  <c r="K421" i="2"/>
  <c r="L421" i="2"/>
  <c r="N421" i="2"/>
  <c r="O421" i="2" s="1"/>
  <c r="M421" i="2"/>
  <c r="R421" i="2" l="1"/>
  <c r="Q421" i="2"/>
  <c r="U421" i="2" s="1"/>
  <c r="X421" i="2" s="1"/>
  <c r="F422" i="2" s="1"/>
  <c r="P421" i="2"/>
  <c r="T421" i="2" s="1"/>
  <c r="W421" i="2" s="1"/>
  <c r="E422" i="2" s="1"/>
  <c r="V421" i="2"/>
  <c r="Y421" i="2" s="1"/>
  <c r="G422" i="2" s="1"/>
  <c r="D422" i="2" l="1"/>
  <c r="C422" i="2"/>
  <c r="H422" i="2"/>
  <c r="M422" i="2" s="1"/>
  <c r="B422" i="2"/>
  <c r="L422" i="2" l="1"/>
  <c r="J422" i="2"/>
  <c r="K422" i="2"/>
  <c r="S422" i="2"/>
  <c r="I422" i="2"/>
  <c r="N422" i="2"/>
  <c r="O422" i="2" s="1"/>
  <c r="R422" i="2" l="1"/>
  <c r="Q422" i="2"/>
  <c r="U422" i="2" s="1"/>
  <c r="X422" i="2" s="1"/>
  <c r="F423" i="2" s="1"/>
  <c r="P422" i="2"/>
  <c r="T422" i="2" s="1"/>
  <c r="W422" i="2" s="1"/>
  <c r="E423" i="2" s="1"/>
  <c r="V422" i="2"/>
  <c r="Y422" i="2" s="1"/>
  <c r="G423" i="2" s="1"/>
  <c r="D423" i="2" l="1"/>
  <c r="H423" i="2"/>
  <c r="L423" i="2" s="1"/>
  <c r="B423" i="2"/>
  <c r="C423" i="2"/>
  <c r="M423" i="2" l="1"/>
  <c r="K423" i="2"/>
  <c r="S423" i="2"/>
  <c r="J423" i="2"/>
  <c r="I423" i="2"/>
  <c r="N423" i="2"/>
  <c r="O423" i="2" s="1"/>
  <c r="R423" i="2" l="1"/>
  <c r="Q423" i="2"/>
  <c r="P423" i="2"/>
  <c r="T423" i="2" s="1"/>
  <c r="W423" i="2" s="1"/>
  <c r="E424" i="2" s="1"/>
  <c r="V423" i="2"/>
  <c r="Y423" i="2" s="1"/>
  <c r="G424" i="2" s="1"/>
  <c r="U423" i="2"/>
  <c r="X423" i="2" s="1"/>
  <c r="F424" i="2" s="1"/>
  <c r="H424" i="2" l="1"/>
  <c r="B424" i="2"/>
  <c r="N424" i="2"/>
  <c r="O424" i="2" s="1"/>
  <c r="D424" i="2"/>
  <c r="M424" i="2"/>
  <c r="C424" i="2"/>
  <c r="R424" i="2" l="1"/>
  <c r="Q424" i="2"/>
  <c r="J424" i="2"/>
  <c r="S424" i="2"/>
  <c r="K424" i="2"/>
  <c r="I424" i="2"/>
  <c r="L424" i="2"/>
  <c r="P424" i="2" s="1"/>
  <c r="V424" i="2" l="1"/>
  <c r="Y424" i="2" s="1"/>
  <c r="G425" i="2" s="1"/>
  <c r="U424" i="2"/>
  <c r="X424" i="2" s="1"/>
  <c r="F425" i="2" s="1"/>
  <c r="T424" i="2"/>
  <c r="W424" i="2" s="1"/>
  <c r="E425" i="2" s="1"/>
  <c r="D425" i="2" l="1"/>
  <c r="C425" i="2"/>
  <c r="H425" i="2"/>
  <c r="B425" i="2"/>
  <c r="K425" i="2" l="1"/>
  <c r="J425" i="2"/>
  <c r="I425" i="2"/>
  <c r="S425" i="2"/>
  <c r="L425" i="2"/>
  <c r="M425" i="2"/>
  <c r="N425" i="2"/>
  <c r="O425" i="2" s="1"/>
  <c r="R425" i="2" l="1"/>
  <c r="Q425" i="2"/>
  <c r="P425" i="2"/>
  <c r="V425" i="2"/>
  <c r="Y425" i="2" s="1"/>
  <c r="G426" i="2" s="1"/>
  <c r="U425" i="2"/>
  <c r="T425" i="2"/>
  <c r="W425" i="2" s="1"/>
  <c r="E426" i="2" s="1"/>
  <c r="X425" i="2"/>
  <c r="F426" i="2" s="1"/>
  <c r="D426" i="2" l="1"/>
  <c r="H426" i="2"/>
  <c r="B426" i="2"/>
  <c r="C426" i="2"/>
  <c r="J426" i="2" l="1"/>
  <c r="K426" i="2"/>
  <c r="I426" i="2"/>
  <c r="S426" i="2"/>
  <c r="L426" i="2"/>
  <c r="M426" i="2"/>
  <c r="N426" i="2"/>
  <c r="O426" i="2" s="1"/>
  <c r="R426" i="2" l="1"/>
  <c r="Q426" i="2"/>
  <c r="P426" i="2"/>
  <c r="T426" i="2" s="1"/>
  <c r="W426" i="2" s="1"/>
  <c r="E427" i="2" s="1"/>
  <c r="V426" i="2"/>
  <c r="Y426" i="2" s="1"/>
  <c r="G427" i="2" s="1"/>
  <c r="U426" i="2"/>
  <c r="X426" i="2"/>
  <c r="F427" i="2" s="1"/>
  <c r="H427" i="2" l="1"/>
  <c r="B427" i="2"/>
  <c r="N427" i="2"/>
  <c r="O427" i="2" s="1"/>
  <c r="D427" i="2"/>
  <c r="M427" i="2"/>
  <c r="C427" i="2"/>
  <c r="R427" i="2" l="1"/>
  <c r="Q427" i="2"/>
  <c r="K427" i="2"/>
  <c r="I427" i="2"/>
  <c r="S427" i="2"/>
  <c r="J427" i="2"/>
  <c r="L427" i="2"/>
  <c r="P427" i="2" s="1"/>
  <c r="V427" i="2" l="1"/>
  <c r="U427" i="2"/>
  <c r="X427" i="2" s="1"/>
  <c r="F428" i="2" s="1"/>
  <c r="T427" i="2"/>
  <c r="W427" i="2" s="1"/>
  <c r="E428" i="2" s="1"/>
  <c r="Y427" i="2"/>
  <c r="G428" i="2" s="1"/>
  <c r="H428" i="2" l="1"/>
  <c r="B428" i="2"/>
  <c r="M428" i="2"/>
  <c r="C428" i="2"/>
  <c r="N428" i="2"/>
  <c r="O428" i="2" s="1"/>
  <c r="D428" i="2"/>
  <c r="R428" i="2" l="1"/>
  <c r="Q428" i="2"/>
  <c r="J428" i="2"/>
  <c r="K428" i="2"/>
  <c r="I428" i="2"/>
  <c r="S428" i="2"/>
  <c r="L428" i="2"/>
  <c r="P428" i="2" s="1"/>
  <c r="V428" i="2" l="1"/>
  <c r="Y428" i="2" s="1"/>
  <c r="G429" i="2" s="1"/>
  <c r="U428" i="2"/>
  <c r="T428" i="2"/>
  <c r="W428" i="2" s="1"/>
  <c r="E429" i="2" s="1"/>
  <c r="X428" i="2"/>
  <c r="F429" i="2" s="1"/>
  <c r="H429" i="2" l="1"/>
  <c r="B429" i="2"/>
  <c r="N429" i="2"/>
  <c r="O429" i="2" s="1"/>
  <c r="D429" i="2"/>
  <c r="M429" i="2"/>
  <c r="C429" i="2"/>
  <c r="R429" i="2" l="1"/>
  <c r="Q429" i="2"/>
  <c r="I429" i="2"/>
  <c r="K429" i="2"/>
  <c r="S429" i="2"/>
  <c r="J429" i="2"/>
  <c r="L429" i="2"/>
  <c r="P429" i="2" s="1"/>
  <c r="V429" i="2" l="1"/>
  <c r="Y429" i="2" s="1"/>
  <c r="G430" i="2" s="1"/>
  <c r="U429" i="2"/>
  <c r="X429" i="2" s="1"/>
  <c r="F430" i="2" s="1"/>
  <c r="T429" i="2"/>
  <c r="W429" i="2"/>
  <c r="E430" i="2" s="1"/>
  <c r="D430" i="2" l="1"/>
  <c r="C430" i="2"/>
  <c r="H430" i="2"/>
  <c r="B430" i="2"/>
  <c r="I430" i="2" l="1"/>
  <c r="J430" i="2"/>
  <c r="K430" i="2"/>
  <c r="S430" i="2"/>
  <c r="L430" i="2"/>
  <c r="M430" i="2"/>
  <c r="N430" i="2"/>
  <c r="O430" i="2" s="1"/>
  <c r="R430" i="2" l="1"/>
  <c r="Q430" i="2"/>
  <c r="U430" i="2" s="1"/>
  <c r="X430" i="2" s="1"/>
  <c r="F431" i="2" s="1"/>
  <c r="P430" i="2"/>
  <c r="V430" i="2"/>
  <c r="Y430" i="2" s="1"/>
  <c r="G431" i="2" s="1"/>
  <c r="T430" i="2"/>
  <c r="W430" i="2"/>
  <c r="E431" i="2" s="1"/>
  <c r="C431" i="2" l="1"/>
  <c r="D431" i="2"/>
  <c r="H431" i="2"/>
  <c r="N431" i="2" s="1"/>
  <c r="O431" i="2" s="1"/>
  <c r="B431" i="2"/>
  <c r="R431" i="2" l="1"/>
  <c r="I431" i="2"/>
  <c r="J431" i="2"/>
  <c r="K431" i="2"/>
  <c r="S431" i="2"/>
  <c r="L431" i="2"/>
  <c r="P431" i="2" s="1"/>
  <c r="M431" i="2"/>
  <c r="Q431" i="2" s="1"/>
  <c r="V431" i="2" l="1"/>
  <c r="U431" i="2"/>
  <c r="T431" i="2"/>
  <c r="X431" i="2"/>
  <c r="F432" i="2" s="1"/>
  <c r="Y431" i="2"/>
  <c r="G432" i="2" s="1"/>
  <c r="W431" i="2"/>
  <c r="E432" i="2" s="1"/>
  <c r="D432" i="2" l="1"/>
  <c r="H432" i="2"/>
  <c r="M432" i="2" s="1"/>
  <c r="B432" i="2"/>
  <c r="C432" i="2"/>
  <c r="S432" i="2" l="1"/>
  <c r="I432" i="2"/>
  <c r="J432" i="2"/>
  <c r="K432" i="2"/>
  <c r="L432" i="2"/>
  <c r="N432" i="2"/>
  <c r="O432" i="2" s="1"/>
  <c r="R432" i="2" l="1"/>
  <c r="Q432" i="2"/>
  <c r="P432" i="2"/>
  <c r="V432" i="2"/>
  <c r="Y432" i="2" s="1"/>
  <c r="G433" i="2" s="1"/>
  <c r="U432" i="2"/>
  <c r="X432" i="2" s="1"/>
  <c r="F433" i="2" s="1"/>
  <c r="T432" i="2"/>
  <c r="W432" i="2" s="1"/>
  <c r="E433" i="2" s="1"/>
  <c r="H433" i="2" l="1"/>
  <c r="B433" i="2"/>
  <c r="M433" i="2"/>
  <c r="C433" i="2"/>
  <c r="N433" i="2"/>
  <c r="O433" i="2" s="1"/>
  <c r="D433" i="2"/>
  <c r="I433" i="2" l="1"/>
  <c r="S433" i="2"/>
  <c r="J433" i="2"/>
  <c r="K433" i="2"/>
  <c r="R433" i="2"/>
  <c r="Q433" i="2"/>
  <c r="L433" i="2"/>
  <c r="P433" i="2" s="1"/>
  <c r="V433" i="2" l="1"/>
  <c r="Y433" i="2" s="1"/>
  <c r="G434" i="2" s="1"/>
  <c r="U433" i="2"/>
  <c r="X433" i="2" s="1"/>
  <c r="F434" i="2" s="1"/>
  <c r="T433" i="2"/>
  <c r="W433" i="2" s="1"/>
  <c r="E434" i="2" s="1"/>
  <c r="C434" i="2" l="1"/>
  <c r="H434" i="2"/>
  <c r="L434" i="2" s="1"/>
  <c r="B434" i="2"/>
  <c r="N434" i="2"/>
  <c r="O434" i="2" s="1"/>
  <c r="D434" i="2"/>
  <c r="R434" i="2" l="1"/>
  <c r="P434" i="2"/>
  <c r="I434" i="2"/>
  <c r="J434" i="2"/>
  <c r="K434" i="2"/>
  <c r="S434" i="2"/>
  <c r="M434" i="2"/>
  <c r="Q434" i="2" s="1"/>
  <c r="V434" i="2" l="1"/>
  <c r="U434" i="2"/>
  <c r="T434" i="2"/>
  <c r="X434" i="2"/>
  <c r="F435" i="2" s="1"/>
  <c r="Y434" i="2"/>
  <c r="G435" i="2" s="1"/>
  <c r="W434" i="2"/>
  <c r="E435" i="2" s="1"/>
  <c r="D435" i="2" l="1"/>
  <c r="H435" i="2"/>
  <c r="L435" i="2" s="1"/>
  <c r="B435" i="2"/>
  <c r="C435" i="2"/>
  <c r="M435" i="2" l="1"/>
  <c r="K435" i="2"/>
  <c r="I435" i="2"/>
  <c r="S435" i="2"/>
  <c r="J435" i="2"/>
  <c r="N435" i="2"/>
  <c r="O435" i="2" s="1"/>
  <c r="R435" i="2" l="1"/>
  <c r="Q435" i="2"/>
  <c r="U435" i="2" s="1"/>
  <c r="X435" i="2" s="1"/>
  <c r="F436" i="2" s="1"/>
  <c r="P435" i="2"/>
  <c r="T435" i="2" s="1"/>
  <c r="W435" i="2" s="1"/>
  <c r="E436" i="2" s="1"/>
  <c r="V435" i="2"/>
  <c r="Y435" i="2" s="1"/>
  <c r="G436" i="2" s="1"/>
  <c r="H436" i="2" l="1"/>
  <c r="B436" i="2"/>
  <c r="M436" i="2"/>
  <c r="C436" i="2"/>
  <c r="N436" i="2"/>
  <c r="O436" i="2" s="1"/>
  <c r="D436" i="2"/>
  <c r="R436" i="2" l="1"/>
  <c r="Q436" i="2"/>
  <c r="J436" i="2"/>
  <c r="I436" i="2"/>
  <c r="S436" i="2"/>
  <c r="K436" i="2"/>
  <c r="L436" i="2"/>
  <c r="P436" i="2" s="1"/>
  <c r="V436" i="2" l="1"/>
  <c r="U436" i="2"/>
  <c r="T436" i="2"/>
  <c r="W436" i="2"/>
  <c r="E437" i="2" s="1"/>
  <c r="Y436" i="2"/>
  <c r="G437" i="2" s="1"/>
  <c r="X436" i="2"/>
  <c r="F437" i="2" s="1"/>
  <c r="C437" i="2" l="1"/>
  <c r="D437" i="2"/>
  <c r="H437" i="2"/>
  <c r="N437" i="2" s="1"/>
  <c r="O437" i="2" s="1"/>
  <c r="B437" i="2"/>
  <c r="R437" i="2" l="1"/>
  <c r="L437" i="2"/>
  <c r="P437" i="2" s="1"/>
  <c r="K437" i="2"/>
  <c r="J437" i="2"/>
  <c r="I437" i="2"/>
  <c r="S437" i="2"/>
  <c r="M437" i="2"/>
  <c r="Q437" i="2" s="1"/>
  <c r="V437" i="2" l="1"/>
  <c r="U437" i="2"/>
  <c r="X437" i="2" s="1"/>
  <c r="F438" i="2" s="1"/>
  <c r="T437" i="2"/>
  <c r="W437" i="2" s="1"/>
  <c r="E438" i="2" s="1"/>
  <c r="Y437" i="2"/>
  <c r="G438" i="2" s="1"/>
  <c r="H438" i="2" l="1"/>
  <c r="B438" i="2"/>
  <c r="M438" i="2"/>
  <c r="C438" i="2"/>
  <c r="N438" i="2"/>
  <c r="O438" i="2" s="1"/>
  <c r="D438" i="2"/>
  <c r="R438" i="2" l="1"/>
  <c r="Q438" i="2"/>
  <c r="J438" i="2"/>
  <c r="K438" i="2"/>
  <c r="I438" i="2"/>
  <c r="S438" i="2"/>
  <c r="L438" i="2"/>
  <c r="P438" i="2" s="1"/>
  <c r="V438" i="2" l="1"/>
  <c r="Y438" i="2" s="1"/>
  <c r="G439" i="2" s="1"/>
  <c r="U438" i="2"/>
  <c r="T438" i="2"/>
  <c r="W438" i="2" s="1"/>
  <c r="E439" i="2" s="1"/>
  <c r="X438" i="2"/>
  <c r="F439" i="2" s="1"/>
  <c r="D439" i="2" l="1"/>
  <c r="C439" i="2"/>
  <c r="H439" i="2"/>
  <c r="B439" i="2"/>
  <c r="K439" i="2" l="1"/>
  <c r="I439" i="2"/>
  <c r="J439" i="2"/>
  <c r="S439" i="2"/>
  <c r="L439" i="2"/>
  <c r="M439" i="2"/>
  <c r="N439" i="2"/>
  <c r="O439" i="2" s="1"/>
  <c r="R439" i="2" l="1"/>
  <c r="Q439" i="2"/>
  <c r="P439" i="2"/>
  <c r="T439" i="2" s="1"/>
  <c r="W439" i="2" s="1"/>
  <c r="E440" i="2" s="1"/>
  <c r="V439" i="2"/>
  <c r="U439" i="2"/>
  <c r="X439" i="2"/>
  <c r="F440" i="2" s="1"/>
  <c r="Y439" i="2"/>
  <c r="G440" i="2" s="1"/>
  <c r="H440" i="2" l="1"/>
  <c r="B440" i="2"/>
  <c r="N440" i="2"/>
  <c r="O440" i="2" s="1"/>
  <c r="D440" i="2"/>
  <c r="M440" i="2"/>
  <c r="C440" i="2"/>
  <c r="R440" i="2" l="1"/>
  <c r="Q440" i="2"/>
  <c r="J440" i="2"/>
  <c r="K440" i="2"/>
  <c r="I440" i="2"/>
  <c r="S440" i="2"/>
  <c r="L440" i="2"/>
  <c r="P440" i="2" s="1"/>
  <c r="V440" i="2" l="1"/>
  <c r="Y440" i="2" s="1"/>
  <c r="G441" i="2" s="1"/>
  <c r="U440" i="2"/>
  <c r="T440" i="2"/>
  <c r="W440" i="2" s="1"/>
  <c r="E441" i="2" s="1"/>
  <c r="X440" i="2"/>
  <c r="F441" i="2" s="1"/>
  <c r="H441" i="2" l="1"/>
  <c r="N441" i="2" s="1"/>
  <c r="O441" i="2" s="1"/>
  <c r="B441" i="2"/>
  <c r="D441" i="2"/>
  <c r="C441" i="2"/>
  <c r="M441" i="2" l="1"/>
  <c r="R441" i="2"/>
  <c r="Q441" i="2"/>
  <c r="I441" i="2"/>
  <c r="J441" i="2"/>
  <c r="K441" i="2"/>
  <c r="S441" i="2"/>
  <c r="L441" i="2"/>
  <c r="P441" i="2" s="1"/>
  <c r="V441" i="2" l="1"/>
  <c r="Y441" i="2" s="1"/>
  <c r="G442" i="2" s="1"/>
  <c r="U441" i="2"/>
  <c r="T441" i="2"/>
  <c r="X441" i="2"/>
  <c r="F442" i="2" s="1"/>
  <c r="W441" i="2"/>
  <c r="E442" i="2" s="1"/>
  <c r="D442" i="2" l="1"/>
  <c r="H442" i="2"/>
  <c r="L442" i="2" s="1"/>
  <c r="B442" i="2"/>
  <c r="C442" i="2"/>
  <c r="M442" i="2" l="1"/>
  <c r="J442" i="2"/>
  <c r="K442" i="2"/>
  <c r="I442" i="2"/>
  <c r="S442" i="2"/>
  <c r="N442" i="2"/>
  <c r="O442" i="2" s="1"/>
  <c r="R442" i="2" l="1"/>
  <c r="V442" i="2" s="1"/>
  <c r="Y442" i="2" s="1"/>
  <c r="G443" i="2" s="1"/>
  <c r="Q442" i="2"/>
  <c r="U442" i="2" s="1"/>
  <c r="X442" i="2" s="1"/>
  <c r="F443" i="2" s="1"/>
  <c r="P442" i="2"/>
  <c r="T442" i="2" s="1"/>
  <c r="W442" i="2" s="1"/>
  <c r="E443" i="2" s="1"/>
  <c r="C443" i="2" l="1"/>
  <c r="H443" i="2"/>
  <c r="N443" i="2" s="1"/>
  <c r="O443" i="2" s="1"/>
  <c r="B443" i="2"/>
  <c r="D443" i="2"/>
  <c r="R443" i="2" l="1"/>
  <c r="I443" i="2"/>
  <c r="K443" i="2"/>
  <c r="J443" i="2"/>
  <c r="S443" i="2"/>
  <c r="L443" i="2"/>
  <c r="P443" i="2" s="1"/>
  <c r="M443" i="2"/>
  <c r="Q443" i="2" s="1"/>
  <c r="V443" i="2" l="1"/>
  <c r="U443" i="2"/>
  <c r="T443" i="2"/>
  <c r="Y443" i="2"/>
  <c r="G444" i="2" s="1"/>
  <c r="X443" i="2"/>
  <c r="F444" i="2" s="1"/>
  <c r="W443" i="2"/>
  <c r="E444" i="2" s="1"/>
  <c r="C444" i="2" l="1"/>
  <c r="H444" i="2"/>
  <c r="B444" i="2"/>
  <c r="N444" i="2"/>
  <c r="O444" i="2" s="1"/>
  <c r="D444" i="2"/>
  <c r="R444" i="2" l="1"/>
  <c r="K444" i="2"/>
  <c r="S444" i="2"/>
  <c r="I444" i="2"/>
  <c r="J444" i="2"/>
  <c r="L444" i="2"/>
  <c r="P444" i="2" s="1"/>
  <c r="M444" i="2"/>
  <c r="Q444" i="2" s="1"/>
  <c r="V444" i="2" l="1"/>
  <c r="U444" i="2"/>
  <c r="X444" i="2" s="1"/>
  <c r="F445" i="2" s="1"/>
  <c r="T444" i="2"/>
  <c r="W444" i="2" s="1"/>
  <c r="E445" i="2" s="1"/>
  <c r="Y444" i="2"/>
  <c r="G445" i="2" s="1"/>
  <c r="H445" i="2" l="1"/>
  <c r="M445" i="2" s="1"/>
  <c r="B445" i="2"/>
  <c r="C445" i="2"/>
  <c r="D445" i="2"/>
  <c r="N445" i="2" l="1"/>
  <c r="O445" i="2" s="1"/>
  <c r="R445" i="2"/>
  <c r="Q445" i="2"/>
  <c r="S445" i="2"/>
  <c r="I445" i="2"/>
  <c r="J445" i="2"/>
  <c r="K445" i="2"/>
  <c r="L445" i="2"/>
  <c r="P445" i="2" s="1"/>
  <c r="V445" i="2" l="1"/>
  <c r="Y445" i="2" s="1"/>
  <c r="G446" i="2" s="1"/>
  <c r="U445" i="2"/>
  <c r="X445" i="2" s="1"/>
  <c r="F446" i="2" s="1"/>
  <c r="T445" i="2"/>
  <c r="W445" i="2" s="1"/>
  <c r="E446" i="2" s="1"/>
  <c r="H446" i="2" l="1"/>
  <c r="B446" i="2"/>
  <c r="M446" i="2"/>
  <c r="C446" i="2"/>
  <c r="N446" i="2"/>
  <c r="O446" i="2" s="1"/>
  <c r="D446" i="2"/>
  <c r="R446" i="2" l="1"/>
  <c r="Q446" i="2"/>
  <c r="I446" i="2"/>
  <c r="J446" i="2"/>
  <c r="K446" i="2"/>
  <c r="S446" i="2"/>
  <c r="L446" i="2"/>
  <c r="P446" i="2" s="1"/>
  <c r="V446" i="2" l="1"/>
  <c r="Y446" i="2" s="1"/>
  <c r="G447" i="2" s="1"/>
  <c r="U446" i="2"/>
  <c r="X446" i="2" s="1"/>
  <c r="F447" i="2" s="1"/>
  <c r="T446" i="2"/>
  <c r="W446" i="2" s="1"/>
  <c r="E447" i="2" s="1"/>
  <c r="C447" i="2" l="1"/>
  <c r="D447" i="2"/>
  <c r="H447" i="2"/>
  <c r="B447" i="2"/>
  <c r="K447" i="2" l="1"/>
  <c r="S447" i="2"/>
  <c r="I447" i="2"/>
  <c r="J447" i="2"/>
  <c r="L447" i="2"/>
  <c r="N447" i="2"/>
  <c r="O447" i="2" s="1"/>
  <c r="M447" i="2"/>
  <c r="R447" i="2" l="1"/>
  <c r="Q447" i="2"/>
  <c r="P447" i="2"/>
  <c r="V447" i="2"/>
  <c r="U447" i="2"/>
  <c r="X447" i="2" s="1"/>
  <c r="F448" i="2" s="1"/>
  <c r="T447" i="2"/>
  <c r="W447" i="2" s="1"/>
  <c r="E448" i="2" s="1"/>
  <c r="Y447" i="2"/>
  <c r="G448" i="2" s="1"/>
  <c r="H448" i="2" l="1"/>
  <c r="B448" i="2"/>
  <c r="M448" i="2"/>
  <c r="C448" i="2"/>
  <c r="N448" i="2"/>
  <c r="O448" i="2" s="1"/>
  <c r="D448" i="2"/>
  <c r="R448" i="2" l="1"/>
  <c r="Q448" i="2"/>
  <c r="J448" i="2"/>
  <c r="S448" i="2"/>
  <c r="I448" i="2"/>
  <c r="K448" i="2"/>
  <c r="L448" i="2"/>
  <c r="P448" i="2" s="1"/>
  <c r="V448" i="2" l="1"/>
  <c r="Y448" i="2" s="1"/>
  <c r="G449" i="2" s="1"/>
  <c r="U448" i="2"/>
  <c r="T448" i="2"/>
  <c r="W448" i="2" s="1"/>
  <c r="E449" i="2" s="1"/>
  <c r="X448" i="2"/>
  <c r="F449" i="2" s="1"/>
  <c r="D449" i="2" l="1"/>
  <c r="C449" i="2"/>
  <c r="H449" i="2"/>
  <c r="M449" i="2" s="1"/>
  <c r="B449" i="2"/>
  <c r="L449" i="2" l="1"/>
  <c r="K449" i="2"/>
  <c r="I449" i="2"/>
  <c r="J449" i="2"/>
  <c r="S449" i="2"/>
  <c r="N449" i="2"/>
  <c r="O449" i="2" s="1"/>
  <c r="R449" i="2" l="1"/>
  <c r="V449" i="2" s="1"/>
  <c r="Y449" i="2" s="1"/>
  <c r="G450" i="2" s="1"/>
  <c r="Q449" i="2"/>
  <c r="U449" i="2" s="1"/>
  <c r="X449" i="2" s="1"/>
  <c r="F450" i="2" s="1"/>
  <c r="P449" i="2"/>
  <c r="T449" i="2" s="1"/>
  <c r="W449" i="2" s="1"/>
  <c r="E450" i="2" s="1"/>
  <c r="H450" i="2" l="1"/>
  <c r="B450" i="2"/>
  <c r="M450" i="2"/>
  <c r="C450" i="2"/>
  <c r="N450" i="2"/>
  <c r="O450" i="2" s="1"/>
  <c r="D450" i="2"/>
  <c r="R450" i="2" l="1"/>
  <c r="Q450" i="2"/>
  <c r="J450" i="2"/>
  <c r="I450" i="2"/>
  <c r="K450" i="2"/>
  <c r="S450" i="2"/>
  <c r="L450" i="2"/>
  <c r="P450" i="2" s="1"/>
  <c r="V450" i="2" l="1"/>
  <c r="U450" i="2"/>
  <c r="T450" i="2"/>
  <c r="W450" i="2" s="1"/>
  <c r="E451" i="2" s="1"/>
  <c r="Y450" i="2"/>
  <c r="G451" i="2" s="1"/>
  <c r="X450" i="2"/>
  <c r="F451" i="2" s="1"/>
  <c r="H451" i="2" l="1"/>
  <c r="B451" i="2"/>
  <c r="M451" i="2"/>
  <c r="C451" i="2"/>
  <c r="N451" i="2"/>
  <c r="O451" i="2" s="1"/>
  <c r="D451" i="2"/>
  <c r="R451" i="2" l="1"/>
  <c r="Q451" i="2"/>
  <c r="K451" i="2"/>
  <c r="I451" i="2"/>
  <c r="J451" i="2"/>
  <c r="S451" i="2"/>
  <c r="L451" i="2"/>
  <c r="P451" i="2" s="1"/>
  <c r="V451" i="2" l="1"/>
  <c r="Y451" i="2" s="1"/>
  <c r="G452" i="2" s="1"/>
  <c r="U451" i="2"/>
  <c r="X451" i="2" s="1"/>
  <c r="F452" i="2" s="1"/>
  <c r="T451" i="2"/>
  <c r="W451" i="2" s="1"/>
  <c r="E452" i="2" s="1"/>
  <c r="C452" i="2" l="1"/>
  <c r="D452" i="2"/>
  <c r="H452" i="2"/>
  <c r="B452" i="2"/>
  <c r="J452" i="2" l="1"/>
  <c r="I452" i="2"/>
  <c r="K452" i="2"/>
  <c r="S452" i="2"/>
  <c r="L452" i="2"/>
  <c r="N452" i="2"/>
  <c r="O452" i="2" s="1"/>
  <c r="M452" i="2"/>
  <c r="R452" i="2" l="1"/>
  <c r="Q452" i="2"/>
  <c r="P452" i="2"/>
  <c r="V452" i="2"/>
  <c r="Y452" i="2" s="1"/>
  <c r="G453" i="2" s="1"/>
  <c r="U452" i="2"/>
  <c r="T452" i="2"/>
  <c r="W452" i="2"/>
  <c r="E453" i="2" s="1"/>
  <c r="X452" i="2"/>
  <c r="F453" i="2" s="1"/>
  <c r="D453" i="2" l="1"/>
  <c r="C453" i="2"/>
  <c r="H453" i="2"/>
  <c r="L453" i="2" s="1"/>
  <c r="B453" i="2"/>
  <c r="I453" i="2" l="1"/>
  <c r="J453" i="2"/>
  <c r="K453" i="2"/>
  <c r="S453" i="2"/>
  <c r="M453" i="2"/>
  <c r="N453" i="2"/>
  <c r="O453" i="2" s="1"/>
  <c r="R453" i="2" l="1"/>
  <c r="Q453" i="2"/>
  <c r="P453" i="2"/>
  <c r="V453" i="2"/>
  <c r="Y453" i="2" s="1"/>
  <c r="G454" i="2" s="1"/>
  <c r="U453" i="2"/>
  <c r="T453" i="2"/>
  <c r="X453" i="2"/>
  <c r="F454" i="2" s="1"/>
  <c r="W453" i="2"/>
  <c r="E454" i="2" s="1"/>
  <c r="D454" i="2" l="1"/>
  <c r="H454" i="2"/>
  <c r="M454" i="2" s="1"/>
  <c r="B454" i="2"/>
  <c r="C454" i="2"/>
  <c r="J454" i="2" l="1"/>
  <c r="K454" i="2"/>
  <c r="I454" i="2"/>
  <c r="S454" i="2"/>
  <c r="L454" i="2"/>
  <c r="N454" i="2"/>
  <c r="O454" i="2" s="1"/>
  <c r="R454" i="2" l="1"/>
  <c r="V454" i="2" s="1"/>
  <c r="Y454" i="2" s="1"/>
  <c r="G455" i="2" s="1"/>
  <c r="Q454" i="2"/>
  <c r="U454" i="2" s="1"/>
  <c r="X454" i="2" s="1"/>
  <c r="F455" i="2" s="1"/>
  <c r="P454" i="2"/>
  <c r="T454" i="2" s="1"/>
  <c r="W454" i="2" s="1"/>
  <c r="E455" i="2" s="1"/>
  <c r="H455" i="2" l="1"/>
  <c r="M455" i="2" s="1"/>
  <c r="B455" i="2"/>
  <c r="C455" i="2"/>
  <c r="N455" i="2"/>
  <c r="O455" i="2" s="1"/>
  <c r="D455" i="2"/>
  <c r="R455" i="2" l="1"/>
  <c r="Q455" i="2"/>
  <c r="I455" i="2"/>
  <c r="J455" i="2"/>
  <c r="K455" i="2"/>
  <c r="S455" i="2"/>
  <c r="L455" i="2"/>
  <c r="P455" i="2" s="1"/>
  <c r="V455" i="2" l="1"/>
  <c r="U455" i="2"/>
  <c r="T455" i="2"/>
  <c r="X455" i="2"/>
  <c r="F456" i="2" s="1"/>
  <c r="Y455" i="2"/>
  <c r="G456" i="2" s="1"/>
  <c r="W455" i="2"/>
  <c r="E456" i="2" s="1"/>
  <c r="H456" i="2" l="1"/>
  <c r="B456" i="2"/>
  <c r="N456" i="2"/>
  <c r="O456" i="2" s="1"/>
  <c r="D456" i="2"/>
  <c r="M456" i="2"/>
  <c r="C456" i="2"/>
  <c r="R456" i="2" l="1"/>
  <c r="Q456" i="2"/>
  <c r="J456" i="2"/>
  <c r="K456" i="2"/>
  <c r="S456" i="2"/>
  <c r="I456" i="2"/>
  <c r="L456" i="2"/>
  <c r="P456" i="2" s="1"/>
  <c r="V456" i="2" l="1"/>
  <c r="Y456" i="2" s="1"/>
  <c r="G457" i="2" s="1"/>
  <c r="U456" i="2"/>
  <c r="T456" i="2"/>
  <c r="W456" i="2" s="1"/>
  <c r="E457" i="2" s="1"/>
  <c r="X456" i="2"/>
  <c r="F457" i="2" s="1"/>
  <c r="H457" i="2" l="1"/>
  <c r="B457" i="2"/>
  <c r="N457" i="2"/>
  <c r="O457" i="2" s="1"/>
  <c r="D457" i="2"/>
  <c r="M457" i="2"/>
  <c r="C457" i="2"/>
  <c r="R457" i="2" l="1"/>
  <c r="Q457" i="2"/>
  <c r="J457" i="2"/>
  <c r="K457" i="2"/>
  <c r="S457" i="2"/>
  <c r="I457" i="2"/>
  <c r="L457" i="2"/>
  <c r="P457" i="2" s="1"/>
  <c r="V457" i="2" l="1"/>
  <c r="Y457" i="2" s="1"/>
  <c r="G458" i="2" s="1"/>
  <c r="U457" i="2"/>
  <c r="T457" i="2"/>
  <c r="W457" i="2" s="1"/>
  <c r="E458" i="2" s="1"/>
  <c r="X457" i="2"/>
  <c r="F458" i="2" s="1"/>
  <c r="H458" i="2" l="1"/>
  <c r="B458" i="2"/>
  <c r="N458" i="2"/>
  <c r="O458" i="2" s="1"/>
  <c r="D458" i="2"/>
  <c r="M458" i="2"/>
  <c r="C458" i="2"/>
  <c r="R458" i="2" l="1"/>
  <c r="Q458" i="2"/>
  <c r="K458" i="2"/>
  <c r="I458" i="2"/>
  <c r="J458" i="2"/>
  <c r="S458" i="2"/>
  <c r="L458" i="2"/>
  <c r="P458" i="2" s="1"/>
  <c r="V458" i="2" l="1"/>
  <c r="U458" i="2"/>
  <c r="T458" i="2"/>
  <c r="W458" i="2" s="1"/>
  <c r="E459" i="2" s="1"/>
  <c r="X458" i="2"/>
  <c r="F459" i="2" s="1"/>
  <c r="Y458" i="2"/>
  <c r="G459" i="2" s="1"/>
  <c r="H459" i="2" l="1"/>
  <c r="B459" i="2"/>
  <c r="N459" i="2"/>
  <c r="O459" i="2" s="1"/>
  <c r="D459" i="2"/>
  <c r="M459" i="2"/>
  <c r="C459" i="2"/>
  <c r="R459" i="2" l="1"/>
  <c r="Q459" i="2"/>
  <c r="K459" i="2"/>
  <c r="S459" i="2"/>
  <c r="I459" i="2"/>
  <c r="J459" i="2"/>
  <c r="L459" i="2"/>
  <c r="P459" i="2" s="1"/>
  <c r="V459" i="2" l="1"/>
  <c r="U459" i="2"/>
  <c r="T459" i="2"/>
  <c r="X459" i="2"/>
  <c r="F460" i="2" s="1"/>
  <c r="W459" i="2"/>
  <c r="E460" i="2" s="1"/>
  <c r="Y459" i="2"/>
  <c r="G460" i="2" s="1"/>
  <c r="H460" i="2" l="1"/>
  <c r="B460" i="2"/>
  <c r="N460" i="2"/>
  <c r="O460" i="2" s="1"/>
  <c r="D460" i="2"/>
  <c r="M460" i="2"/>
  <c r="C460" i="2"/>
  <c r="R460" i="2" l="1"/>
  <c r="Q460" i="2"/>
  <c r="J460" i="2"/>
  <c r="K460" i="2"/>
  <c r="S460" i="2"/>
  <c r="I460" i="2"/>
  <c r="L460" i="2"/>
  <c r="P460" i="2" s="1"/>
  <c r="V460" i="2" l="1"/>
  <c r="U460" i="2"/>
  <c r="X460" i="2" s="1"/>
  <c r="F461" i="2" s="1"/>
  <c r="T460" i="2"/>
  <c r="W460" i="2" s="1"/>
  <c r="E461" i="2" s="1"/>
  <c r="Y460" i="2"/>
  <c r="G461" i="2" s="1"/>
  <c r="H461" i="2" l="1"/>
  <c r="B461" i="2"/>
  <c r="M461" i="2"/>
  <c r="C461" i="2"/>
  <c r="N461" i="2"/>
  <c r="O461" i="2" s="1"/>
  <c r="D461" i="2"/>
  <c r="R461" i="2" l="1"/>
  <c r="Q461" i="2"/>
  <c r="K461" i="2"/>
  <c r="I461" i="2"/>
  <c r="J461" i="2"/>
  <c r="S461" i="2"/>
  <c r="L461" i="2"/>
  <c r="P461" i="2" s="1"/>
  <c r="V461" i="2" l="1"/>
  <c r="U461" i="2"/>
  <c r="T461" i="2"/>
  <c r="W461" i="2"/>
  <c r="E462" i="2" s="1"/>
  <c r="X461" i="2"/>
  <c r="F462" i="2" s="1"/>
  <c r="Y461" i="2"/>
  <c r="G462" i="2" s="1"/>
  <c r="D462" i="2" l="1"/>
  <c r="C462" i="2"/>
  <c r="H462" i="2"/>
  <c r="L462" i="2" s="1"/>
  <c r="B462" i="2"/>
  <c r="J462" i="2" l="1"/>
  <c r="I462" i="2"/>
  <c r="K462" i="2"/>
  <c r="S462" i="2"/>
  <c r="M462" i="2"/>
  <c r="N462" i="2"/>
  <c r="O462" i="2" s="1"/>
  <c r="R462" i="2" l="1"/>
  <c r="Q462" i="2"/>
  <c r="P462" i="2"/>
  <c r="T462" i="2" s="1"/>
  <c r="W462" i="2" s="1"/>
  <c r="E463" i="2" s="1"/>
  <c r="V462" i="2"/>
  <c r="U462" i="2"/>
  <c r="Y462" i="2"/>
  <c r="G463" i="2" s="1"/>
  <c r="X462" i="2"/>
  <c r="F463" i="2" s="1"/>
  <c r="H463" i="2" l="1"/>
  <c r="B463" i="2"/>
  <c r="M463" i="2"/>
  <c r="C463" i="2"/>
  <c r="N463" i="2"/>
  <c r="O463" i="2" s="1"/>
  <c r="D463" i="2"/>
  <c r="R463" i="2" l="1"/>
  <c r="Q463" i="2"/>
  <c r="K463" i="2"/>
  <c r="I463" i="2"/>
  <c r="J463" i="2"/>
  <c r="S463" i="2"/>
  <c r="L463" i="2"/>
  <c r="P463" i="2" s="1"/>
  <c r="V463" i="2" l="1"/>
  <c r="U463" i="2"/>
  <c r="T463" i="2"/>
  <c r="Y463" i="2"/>
  <c r="G464" i="2" s="1"/>
  <c r="X463" i="2"/>
  <c r="F464" i="2" s="1"/>
  <c r="W463" i="2"/>
  <c r="E464" i="2" s="1"/>
  <c r="H464" i="2" l="1"/>
  <c r="B464" i="2"/>
  <c r="M464" i="2"/>
  <c r="C464" i="2"/>
  <c r="N464" i="2"/>
  <c r="O464" i="2" s="1"/>
  <c r="D464" i="2"/>
  <c r="R464" i="2" l="1"/>
  <c r="Q464" i="2"/>
  <c r="J464" i="2"/>
  <c r="I464" i="2"/>
  <c r="K464" i="2"/>
  <c r="S464" i="2"/>
  <c r="L464" i="2"/>
  <c r="P464" i="2" s="1"/>
  <c r="V464" i="2" l="1"/>
  <c r="U464" i="2"/>
  <c r="T464" i="2"/>
  <c r="W464" i="2" s="1"/>
  <c r="E465" i="2" s="1"/>
  <c r="Y464" i="2"/>
  <c r="G465" i="2" s="1"/>
  <c r="X464" i="2"/>
  <c r="F465" i="2" s="1"/>
  <c r="H465" i="2" l="1"/>
  <c r="B465" i="2"/>
  <c r="M465" i="2"/>
  <c r="C465" i="2"/>
  <c r="N465" i="2"/>
  <c r="O465" i="2" s="1"/>
  <c r="D465" i="2"/>
  <c r="R465" i="2" l="1"/>
  <c r="Q465" i="2"/>
  <c r="I465" i="2"/>
  <c r="J465" i="2"/>
  <c r="S465" i="2"/>
  <c r="K465" i="2"/>
  <c r="L465" i="2"/>
  <c r="P465" i="2" s="1"/>
  <c r="V465" i="2" l="1"/>
  <c r="Y465" i="2" s="1"/>
  <c r="G466" i="2" s="1"/>
  <c r="U465" i="2"/>
  <c r="X465" i="2" s="1"/>
  <c r="F466" i="2" s="1"/>
  <c r="T465" i="2"/>
  <c r="W465" i="2" s="1"/>
  <c r="E466" i="2" s="1"/>
  <c r="C466" i="2" l="1"/>
  <c r="D466" i="2"/>
  <c r="H466" i="2"/>
  <c r="L466" i="2" s="1"/>
  <c r="B466" i="2"/>
  <c r="I466" i="2" l="1"/>
  <c r="J466" i="2"/>
  <c r="K466" i="2"/>
  <c r="S466" i="2"/>
  <c r="N466" i="2"/>
  <c r="O466" i="2" s="1"/>
  <c r="M466" i="2"/>
  <c r="R466" i="2" l="1"/>
  <c r="V466" i="2" s="1"/>
  <c r="Y466" i="2" s="1"/>
  <c r="G467" i="2" s="1"/>
  <c r="Q466" i="2"/>
  <c r="U466" i="2" s="1"/>
  <c r="X466" i="2" s="1"/>
  <c r="F467" i="2" s="1"/>
  <c r="P466" i="2"/>
  <c r="T466" i="2" s="1"/>
  <c r="W466" i="2" s="1"/>
  <c r="E467" i="2" s="1"/>
  <c r="H467" i="2" l="1"/>
  <c r="B467" i="2"/>
  <c r="M467" i="2"/>
  <c r="C467" i="2"/>
  <c r="N467" i="2"/>
  <c r="O467" i="2" s="1"/>
  <c r="D467" i="2"/>
  <c r="R467" i="2" l="1"/>
  <c r="Q467" i="2"/>
  <c r="I467" i="2"/>
  <c r="J467" i="2"/>
  <c r="K467" i="2"/>
  <c r="S467" i="2"/>
  <c r="L467" i="2"/>
  <c r="P467" i="2" s="1"/>
  <c r="V467" i="2" l="1"/>
  <c r="U467" i="2"/>
  <c r="T467" i="2"/>
  <c r="X467" i="2"/>
  <c r="F468" i="2" s="1"/>
  <c r="Y467" i="2"/>
  <c r="G468" i="2" s="1"/>
  <c r="W467" i="2"/>
  <c r="E468" i="2" s="1"/>
  <c r="H468" i="2" l="1"/>
  <c r="B468" i="2"/>
  <c r="N468" i="2"/>
  <c r="O468" i="2" s="1"/>
  <c r="D468" i="2"/>
  <c r="M468" i="2"/>
  <c r="C468" i="2"/>
  <c r="R468" i="2" l="1"/>
  <c r="Q468" i="2"/>
  <c r="I468" i="2"/>
  <c r="S468" i="2"/>
  <c r="J468" i="2"/>
  <c r="K468" i="2"/>
  <c r="L468" i="2"/>
  <c r="P468" i="2" s="1"/>
  <c r="V468" i="2" l="1"/>
  <c r="Y468" i="2" s="1"/>
  <c r="G469" i="2" s="1"/>
  <c r="U468" i="2"/>
  <c r="X468" i="2" s="1"/>
  <c r="F469" i="2" s="1"/>
  <c r="T468" i="2"/>
  <c r="W468" i="2" s="1"/>
  <c r="E469" i="2" s="1"/>
  <c r="D469" i="2" l="1"/>
  <c r="H469" i="2"/>
  <c r="M469" i="2" s="1"/>
  <c r="B469" i="2"/>
  <c r="C469" i="2"/>
  <c r="I469" i="2" l="1"/>
  <c r="J469" i="2"/>
  <c r="S469" i="2"/>
  <c r="K469" i="2"/>
  <c r="L469" i="2"/>
  <c r="N469" i="2"/>
  <c r="O469" i="2" s="1"/>
  <c r="R469" i="2" l="1"/>
  <c r="Q469" i="2"/>
  <c r="P469" i="2"/>
  <c r="V469" i="2"/>
  <c r="Y469" i="2" s="1"/>
  <c r="G470" i="2" s="1"/>
  <c r="U469" i="2"/>
  <c r="X469" i="2" s="1"/>
  <c r="F470" i="2" s="1"/>
  <c r="T469" i="2"/>
  <c r="W469" i="2"/>
  <c r="E470" i="2" s="1"/>
  <c r="C470" i="2" l="1"/>
  <c r="D470" i="2"/>
  <c r="H470" i="2"/>
  <c r="N470" i="2" s="1"/>
  <c r="O470" i="2" s="1"/>
  <c r="B470" i="2"/>
  <c r="R470" i="2" l="1"/>
  <c r="J470" i="2"/>
  <c r="K470" i="2"/>
  <c r="S470" i="2"/>
  <c r="I470" i="2"/>
  <c r="L470" i="2"/>
  <c r="P470" i="2" s="1"/>
  <c r="M470" i="2"/>
  <c r="Q470" i="2" s="1"/>
  <c r="V470" i="2" l="1"/>
  <c r="U470" i="2"/>
  <c r="T470" i="2"/>
  <c r="Y470" i="2"/>
  <c r="G471" i="2" s="1"/>
  <c r="W470" i="2"/>
  <c r="E471" i="2" s="1"/>
  <c r="X470" i="2"/>
  <c r="F471" i="2" s="1"/>
  <c r="C471" i="2" l="1"/>
  <c r="D471" i="2"/>
  <c r="H471" i="2"/>
  <c r="B471" i="2"/>
  <c r="K471" i="2" l="1"/>
  <c r="S471" i="2"/>
  <c r="J471" i="2"/>
  <c r="I471" i="2"/>
  <c r="L471" i="2"/>
  <c r="N471" i="2"/>
  <c r="O471" i="2" s="1"/>
  <c r="M471" i="2"/>
  <c r="R471" i="2" l="1"/>
  <c r="Q471" i="2"/>
  <c r="P471" i="2"/>
  <c r="T471" i="2" s="1"/>
  <c r="W471" i="2" s="1"/>
  <c r="E472" i="2" s="1"/>
  <c r="V471" i="2"/>
  <c r="U471" i="2"/>
  <c r="X471" i="2" s="1"/>
  <c r="F472" i="2" s="1"/>
  <c r="Y471" i="2"/>
  <c r="G472" i="2" s="1"/>
  <c r="C472" i="2" l="1"/>
  <c r="H472" i="2"/>
  <c r="L472" i="2" s="1"/>
  <c r="B472" i="2"/>
  <c r="D472" i="2"/>
  <c r="N472" i="2" l="1"/>
  <c r="O472" i="2" s="1"/>
  <c r="R472" i="2"/>
  <c r="P472" i="2"/>
  <c r="J472" i="2"/>
  <c r="S472" i="2"/>
  <c r="K472" i="2"/>
  <c r="I472" i="2"/>
  <c r="M472" i="2"/>
  <c r="Q472" i="2" s="1"/>
  <c r="V472" i="2" l="1"/>
  <c r="U472" i="2"/>
  <c r="T472" i="2"/>
  <c r="W472" i="2"/>
  <c r="E473" i="2" s="1"/>
  <c r="Y472" i="2"/>
  <c r="G473" i="2" s="1"/>
  <c r="X472" i="2"/>
  <c r="F473" i="2" s="1"/>
  <c r="C473" i="2" l="1"/>
  <c r="D473" i="2"/>
  <c r="H473" i="2"/>
  <c r="N473" i="2" s="1"/>
  <c r="O473" i="2" s="1"/>
  <c r="B473" i="2"/>
  <c r="R473" i="2" l="1"/>
  <c r="L473" i="2"/>
  <c r="P473" i="2" s="1"/>
  <c r="K473" i="2"/>
  <c r="J473" i="2"/>
  <c r="I473" i="2"/>
  <c r="S473" i="2"/>
  <c r="M473" i="2"/>
  <c r="Q473" i="2" s="1"/>
  <c r="V473" i="2" l="1"/>
  <c r="U473" i="2"/>
  <c r="T473" i="2"/>
  <c r="W473" i="2" s="1"/>
  <c r="E474" i="2" s="1"/>
  <c r="X473" i="2"/>
  <c r="F474" i="2" s="1"/>
  <c r="Y473" i="2"/>
  <c r="G474" i="2" s="1"/>
  <c r="H474" i="2" l="1"/>
  <c r="B474" i="2"/>
  <c r="N474" i="2"/>
  <c r="O474" i="2" s="1"/>
  <c r="D474" i="2"/>
  <c r="M474" i="2"/>
  <c r="C474" i="2"/>
  <c r="R474" i="2" l="1"/>
  <c r="Q474" i="2"/>
  <c r="J474" i="2"/>
  <c r="K474" i="2"/>
  <c r="I474" i="2"/>
  <c r="S474" i="2"/>
  <c r="L474" i="2"/>
  <c r="P474" i="2" s="1"/>
  <c r="V474" i="2" l="1"/>
  <c r="U474" i="2"/>
  <c r="T474" i="2"/>
  <c r="W474" i="2"/>
  <c r="E475" i="2" s="1"/>
  <c r="X474" i="2"/>
  <c r="F475" i="2" s="1"/>
  <c r="Y474" i="2"/>
  <c r="G475" i="2" s="1"/>
  <c r="D475" i="2" l="1"/>
  <c r="C475" i="2"/>
  <c r="H475" i="2"/>
  <c r="M475" i="2" s="1"/>
  <c r="B475" i="2"/>
  <c r="L475" i="2" l="1"/>
  <c r="K475" i="2"/>
  <c r="I475" i="2"/>
  <c r="J475" i="2"/>
  <c r="S475" i="2"/>
  <c r="N475" i="2"/>
  <c r="O475" i="2" s="1"/>
  <c r="R475" i="2" l="1"/>
  <c r="V475" i="2" s="1"/>
  <c r="Y475" i="2" s="1"/>
  <c r="G476" i="2" s="1"/>
  <c r="Q475" i="2"/>
  <c r="U475" i="2" s="1"/>
  <c r="X475" i="2" s="1"/>
  <c r="F476" i="2" s="1"/>
  <c r="P475" i="2"/>
  <c r="T475" i="2" s="1"/>
  <c r="W475" i="2" s="1"/>
  <c r="E476" i="2" s="1"/>
  <c r="C476" i="2" l="1"/>
  <c r="H476" i="2"/>
  <c r="L476" i="2" s="1"/>
  <c r="B476" i="2"/>
  <c r="N476" i="2"/>
  <c r="O476" i="2" s="1"/>
  <c r="D476" i="2"/>
  <c r="R476" i="2" l="1"/>
  <c r="P476" i="2"/>
  <c r="J476" i="2"/>
  <c r="K476" i="2"/>
  <c r="I476" i="2"/>
  <c r="S476" i="2"/>
  <c r="M476" i="2"/>
  <c r="Q476" i="2" s="1"/>
  <c r="V476" i="2" l="1"/>
  <c r="Y476" i="2" s="1"/>
  <c r="G477" i="2" s="1"/>
  <c r="U476" i="2"/>
  <c r="X476" i="2" s="1"/>
  <c r="F477" i="2" s="1"/>
  <c r="T476" i="2"/>
  <c r="W476" i="2" s="1"/>
  <c r="E477" i="2" s="1"/>
  <c r="C477" i="2" l="1"/>
  <c r="D477" i="2"/>
  <c r="H477" i="2"/>
  <c r="L477" i="2" s="1"/>
  <c r="B477" i="2"/>
  <c r="I477" i="2" l="1"/>
  <c r="K477" i="2"/>
  <c r="S477" i="2"/>
  <c r="J477" i="2"/>
  <c r="N477" i="2"/>
  <c r="O477" i="2" s="1"/>
  <c r="M477" i="2"/>
  <c r="R477" i="2" l="1"/>
  <c r="Q477" i="2"/>
  <c r="U477" i="2" s="1"/>
  <c r="X477" i="2" s="1"/>
  <c r="F478" i="2" s="1"/>
  <c r="P477" i="2"/>
  <c r="V477" i="2"/>
  <c r="Y477" i="2" s="1"/>
  <c r="G478" i="2" s="1"/>
  <c r="T477" i="2"/>
  <c r="W477" i="2"/>
  <c r="E478" i="2" s="1"/>
  <c r="D478" i="2" l="1"/>
  <c r="C478" i="2"/>
  <c r="H478" i="2"/>
  <c r="L478" i="2" s="1"/>
  <c r="B478" i="2"/>
  <c r="I478" i="2" l="1"/>
  <c r="S478" i="2"/>
  <c r="J478" i="2"/>
  <c r="K478" i="2"/>
  <c r="M478" i="2"/>
  <c r="N478" i="2"/>
  <c r="O478" i="2" s="1"/>
  <c r="R478" i="2" l="1"/>
  <c r="V478" i="2" s="1"/>
  <c r="Y478" i="2" s="1"/>
  <c r="G479" i="2" s="1"/>
  <c r="Q478" i="2"/>
  <c r="U478" i="2" s="1"/>
  <c r="X478" i="2" s="1"/>
  <c r="F479" i="2" s="1"/>
  <c r="P478" i="2"/>
  <c r="T478" i="2" s="1"/>
  <c r="W478" i="2" s="1"/>
  <c r="E479" i="2" s="1"/>
  <c r="C479" i="2" l="1"/>
  <c r="H479" i="2"/>
  <c r="L479" i="2" s="1"/>
  <c r="B479" i="2"/>
  <c r="D479" i="2"/>
  <c r="N479" i="2" l="1"/>
  <c r="O479" i="2" s="1"/>
  <c r="R479" i="2"/>
  <c r="P479" i="2"/>
  <c r="I479" i="2"/>
  <c r="J479" i="2"/>
  <c r="S479" i="2"/>
  <c r="K479" i="2"/>
  <c r="M479" i="2"/>
  <c r="Q479" i="2" s="1"/>
  <c r="V479" i="2" l="1"/>
  <c r="U479" i="2"/>
  <c r="X479" i="2" s="1"/>
  <c r="F480" i="2" s="1"/>
  <c r="T479" i="2"/>
  <c r="Y479" i="2"/>
  <c r="G480" i="2" s="1"/>
  <c r="W479" i="2"/>
  <c r="E480" i="2" s="1"/>
  <c r="C480" i="2" l="1"/>
  <c r="H480" i="2"/>
  <c r="L480" i="2" s="1"/>
  <c r="B480" i="2"/>
  <c r="N480" i="2"/>
  <c r="O480" i="2" s="1"/>
  <c r="D480" i="2"/>
  <c r="R480" i="2" l="1"/>
  <c r="P480" i="2"/>
  <c r="S480" i="2"/>
  <c r="I480" i="2"/>
  <c r="J480" i="2"/>
  <c r="K480" i="2"/>
  <c r="M480" i="2"/>
  <c r="Q480" i="2" s="1"/>
  <c r="V480" i="2" l="1"/>
  <c r="Y480" i="2" s="1"/>
  <c r="G481" i="2" s="1"/>
  <c r="U480" i="2"/>
  <c r="X480" i="2" s="1"/>
  <c r="F481" i="2" s="1"/>
  <c r="T480" i="2"/>
  <c r="W480" i="2" s="1"/>
  <c r="E481" i="2" s="1"/>
  <c r="H481" i="2" l="1"/>
  <c r="M481" i="2" s="1"/>
  <c r="B481" i="2"/>
  <c r="C481" i="2"/>
  <c r="N481" i="2"/>
  <c r="O481" i="2" s="1"/>
  <c r="D481" i="2"/>
  <c r="R481" i="2" l="1"/>
  <c r="Q481" i="2"/>
  <c r="I481" i="2"/>
  <c r="S481" i="2"/>
  <c r="J481" i="2"/>
  <c r="K481" i="2"/>
  <c r="L481" i="2"/>
  <c r="P481" i="2" s="1"/>
  <c r="V481" i="2" l="1"/>
  <c r="Y481" i="2" s="1"/>
  <c r="G482" i="2" s="1"/>
  <c r="U481" i="2"/>
  <c r="X481" i="2" s="1"/>
  <c r="F482" i="2" s="1"/>
  <c r="T481" i="2"/>
  <c r="W481" i="2" s="1"/>
  <c r="E482" i="2" s="1"/>
  <c r="C482" i="2" l="1"/>
  <c r="H482" i="2"/>
  <c r="L482" i="2" s="1"/>
  <c r="B482" i="2"/>
  <c r="N482" i="2"/>
  <c r="O482" i="2" s="1"/>
  <c r="D482" i="2"/>
  <c r="R482" i="2" l="1"/>
  <c r="P482" i="2"/>
  <c r="I482" i="2"/>
  <c r="J482" i="2"/>
  <c r="K482" i="2"/>
  <c r="S482" i="2"/>
  <c r="M482" i="2"/>
  <c r="Q482" i="2" s="1"/>
  <c r="V482" i="2" l="1"/>
  <c r="U482" i="2"/>
  <c r="X482" i="2" s="1"/>
  <c r="F483" i="2" s="1"/>
  <c r="T482" i="2"/>
  <c r="Y482" i="2"/>
  <c r="G483" i="2" s="1"/>
  <c r="W482" i="2"/>
  <c r="E483" i="2" s="1"/>
  <c r="C483" i="2" l="1"/>
  <c r="H483" i="2"/>
  <c r="B483" i="2"/>
  <c r="N483" i="2"/>
  <c r="O483" i="2" s="1"/>
  <c r="D483" i="2"/>
  <c r="R483" i="2" l="1"/>
  <c r="K483" i="2"/>
  <c r="I483" i="2"/>
  <c r="S483" i="2"/>
  <c r="J483" i="2"/>
  <c r="L483" i="2"/>
  <c r="P483" i="2" s="1"/>
  <c r="M483" i="2"/>
  <c r="Q483" i="2" s="1"/>
  <c r="V483" i="2" l="1"/>
  <c r="Y483" i="2" s="1"/>
  <c r="G484" i="2" s="1"/>
  <c r="U483" i="2"/>
  <c r="X483" i="2" s="1"/>
  <c r="F484" i="2" s="1"/>
  <c r="T483" i="2"/>
  <c r="W483" i="2" s="1"/>
  <c r="E484" i="2" s="1"/>
  <c r="C484" i="2" l="1"/>
  <c r="D484" i="2"/>
  <c r="H484" i="2"/>
  <c r="B484" i="2"/>
  <c r="J484" i="2" l="1"/>
  <c r="I484" i="2"/>
  <c r="S484" i="2"/>
  <c r="K484" i="2"/>
  <c r="L484" i="2"/>
  <c r="N484" i="2"/>
  <c r="O484" i="2" s="1"/>
  <c r="M484" i="2"/>
  <c r="R484" i="2" l="1"/>
  <c r="Q484" i="2"/>
  <c r="P484" i="2"/>
  <c r="V484" i="2"/>
  <c r="Y484" i="2" s="1"/>
  <c r="G485" i="2" s="1"/>
  <c r="U484" i="2"/>
  <c r="T484" i="2"/>
  <c r="W484" i="2" s="1"/>
  <c r="E485" i="2" s="1"/>
  <c r="X484" i="2"/>
  <c r="F485" i="2" s="1"/>
  <c r="H485" i="2" l="1"/>
  <c r="B485" i="2"/>
  <c r="N485" i="2"/>
  <c r="O485" i="2" s="1"/>
  <c r="D485" i="2"/>
  <c r="M485" i="2"/>
  <c r="C485" i="2"/>
  <c r="R485" i="2" l="1"/>
  <c r="Q485" i="2"/>
  <c r="K485" i="2"/>
  <c r="J485" i="2"/>
  <c r="S485" i="2"/>
  <c r="I485" i="2"/>
  <c r="L485" i="2"/>
  <c r="P485" i="2" s="1"/>
  <c r="V485" i="2" l="1"/>
  <c r="U485" i="2"/>
  <c r="X485" i="2" s="1"/>
  <c r="F486" i="2" s="1"/>
  <c r="T485" i="2"/>
  <c r="W485" i="2" s="1"/>
  <c r="E486" i="2" s="1"/>
  <c r="Y485" i="2"/>
  <c r="G486" i="2" s="1"/>
  <c r="H486" i="2" l="1"/>
  <c r="B486" i="2"/>
  <c r="M486" i="2"/>
  <c r="C486" i="2"/>
  <c r="N486" i="2"/>
  <c r="O486" i="2" s="1"/>
  <c r="D486" i="2"/>
  <c r="R486" i="2" l="1"/>
  <c r="Q486" i="2"/>
  <c r="J486" i="2"/>
  <c r="K486" i="2"/>
  <c r="S486" i="2"/>
  <c r="I486" i="2"/>
  <c r="L486" i="2"/>
  <c r="P486" i="2" s="1"/>
  <c r="V486" i="2" l="1"/>
  <c r="U486" i="2"/>
  <c r="X486" i="2" s="1"/>
  <c r="F487" i="2" s="1"/>
  <c r="T486" i="2"/>
  <c r="W486" i="2" s="1"/>
  <c r="E487" i="2" s="1"/>
  <c r="Y486" i="2"/>
  <c r="G487" i="2" s="1"/>
  <c r="C487" i="2" l="1"/>
  <c r="D487" i="2"/>
  <c r="H487" i="2"/>
  <c r="L487" i="2" s="1"/>
  <c r="B487" i="2"/>
  <c r="K487" i="2" l="1"/>
  <c r="I487" i="2"/>
  <c r="J487" i="2"/>
  <c r="S487" i="2"/>
  <c r="N487" i="2"/>
  <c r="O487" i="2" s="1"/>
  <c r="M487" i="2"/>
  <c r="R487" i="2" l="1"/>
  <c r="Q487" i="2"/>
  <c r="P487" i="2"/>
  <c r="T487" i="2" s="1"/>
  <c r="W487" i="2" s="1"/>
  <c r="E488" i="2" s="1"/>
  <c r="V487" i="2"/>
  <c r="U487" i="2"/>
  <c r="X487" i="2"/>
  <c r="F488" i="2" s="1"/>
  <c r="Y487" i="2"/>
  <c r="G488" i="2" s="1"/>
  <c r="H488" i="2" l="1"/>
  <c r="B488" i="2"/>
  <c r="M488" i="2"/>
  <c r="C488" i="2"/>
  <c r="N488" i="2"/>
  <c r="O488" i="2" s="1"/>
  <c r="D488" i="2"/>
  <c r="R488" i="2" l="1"/>
  <c r="Q488" i="2"/>
  <c r="J488" i="2"/>
  <c r="K488" i="2"/>
  <c r="S488" i="2"/>
  <c r="I488" i="2"/>
  <c r="L488" i="2"/>
  <c r="P488" i="2" s="1"/>
  <c r="V488" i="2" l="1"/>
  <c r="Y488" i="2" s="1"/>
  <c r="G489" i="2" s="1"/>
  <c r="U488" i="2"/>
  <c r="T488" i="2"/>
  <c r="W488" i="2" s="1"/>
  <c r="E489" i="2" s="1"/>
  <c r="X488" i="2"/>
  <c r="F489" i="2" s="1"/>
  <c r="D489" i="2" l="1"/>
  <c r="C489" i="2"/>
  <c r="H489" i="2"/>
  <c r="B489" i="2"/>
  <c r="I489" i="2" l="1"/>
  <c r="J489" i="2"/>
  <c r="K489" i="2"/>
  <c r="S489" i="2"/>
  <c r="L489" i="2"/>
  <c r="M489" i="2"/>
  <c r="N489" i="2"/>
  <c r="O489" i="2" s="1"/>
  <c r="R489" i="2" l="1"/>
  <c r="Q489" i="2"/>
  <c r="U489" i="2" s="1"/>
  <c r="X489" i="2" s="1"/>
  <c r="F490" i="2" s="1"/>
  <c r="P489" i="2"/>
  <c r="T489" i="2" s="1"/>
  <c r="W489" i="2" s="1"/>
  <c r="E490" i="2" s="1"/>
  <c r="V489" i="2"/>
  <c r="Y489" i="2" s="1"/>
  <c r="G490" i="2" s="1"/>
  <c r="C490" i="2" l="1"/>
  <c r="H490" i="2"/>
  <c r="L490" i="2" s="1"/>
  <c r="B490" i="2"/>
  <c r="D490" i="2"/>
  <c r="N490" i="2" l="1"/>
  <c r="O490" i="2" s="1"/>
  <c r="J490" i="2"/>
  <c r="K490" i="2"/>
  <c r="S490" i="2"/>
  <c r="I490" i="2"/>
  <c r="M490" i="2"/>
  <c r="R490" i="2" l="1"/>
  <c r="V490" i="2" s="1"/>
  <c r="Y490" i="2" s="1"/>
  <c r="G491" i="2" s="1"/>
  <c r="Q490" i="2"/>
  <c r="U490" i="2" s="1"/>
  <c r="X490" i="2" s="1"/>
  <c r="F491" i="2" s="1"/>
  <c r="P490" i="2"/>
  <c r="T490" i="2" s="1"/>
  <c r="W490" i="2" s="1"/>
  <c r="E491" i="2" s="1"/>
  <c r="H491" i="2" l="1"/>
  <c r="B491" i="2"/>
  <c r="M491" i="2"/>
  <c r="C491" i="2"/>
  <c r="N491" i="2"/>
  <c r="O491" i="2" s="1"/>
  <c r="D491" i="2"/>
  <c r="R491" i="2" l="1"/>
  <c r="Q491" i="2"/>
  <c r="I491" i="2"/>
  <c r="K491" i="2"/>
  <c r="J491" i="2"/>
  <c r="S491" i="2"/>
  <c r="L491" i="2"/>
  <c r="P491" i="2" s="1"/>
  <c r="V491" i="2" l="1"/>
  <c r="Y491" i="2" s="1"/>
  <c r="G492" i="2" s="1"/>
  <c r="U491" i="2"/>
  <c r="X491" i="2" s="1"/>
  <c r="F492" i="2" s="1"/>
  <c r="T491" i="2"/>
  <c r="W491" i="2" s="1"/>
  <c r="E492" i="2" s="1"/>
  <c r="C492" i="2" l="1"/>
  <c r="D492" i="2"/>
  <c r="H492" i="2"/>
  <c r="L492" i="2" s="1"/>
  <c r="B492" i="2"/>
  <c r="K492" i="2" l="1"/>
  <c r="S492" i="2"/>
  <c r="I492" i="2"/>
  <c r="J492" i="2"/>
  <c r="N492" i="2"/>
  <c r="O492" i="2" s="1"/>
  <c r="M492" i="2"/>
  <c r="R492" i="2" l="1"/>
  <c r="Q492" i="2"/>
  <c r="P492" i="2"/>
  <c r="T492" i="2"/>
  <c r="W492" i="2" s="1"/>
  <c r="E493" i="2" s="1"/>
  <c r="V492" i="2"/>
  <c r="Y492" i="2" s="1"/>
  <c r="G493" i="2" s="1"/>
  <c r="U492" i="2"/>
  <c r="X492" i="2" s="1"/>
  <c r="F493" i="2" s="1"/>
  <c r="C493" i="2" l="1"/>
  <c r="D493" i="2"/>
  <c r="H493" i="2"/>
  <c r="B493" i="2"/>
  <c r="K493" i="2" l="1"/>
  <c r="J493" i="2"/>
  <c r="I493" i="2"/>
  <c r="S493" i="2"/>
  <c r="N493" i="2"/>
  <c r="O493" i="2" s="1"/>
  <c r="L493" i="2"/>
  <c r="M493" i="2"/>
  <c r="P493" i="2" l="1"/>
  <c r="T493" i="2" s="1"/>
  <c r="W493" i="2" s="1"/>
  <c r="E494" i="2" s="1"/>
  <c r="Q493" i="2"/>
  <c r="U493" i="2" s="1"/>
  <c r="X493" i="2" s="1"/>
  <c r="F494" i="2" s="1"/>
  <c r="R493" i="2"/>
  <c r="V493" i="2" s="1"/>
  <c r="Y493" i="2" s="1"/>
  <c r="G494" i="2" s="1"/>
  <c r="C494" i="2" l="1"/>
  <c r="D494" i="2"/>
  <c r="H494" i="2"/>
  <c r="L494" i="2" s="1"/>
  <c r="B494" i="2"/>
  <c r="I494" i="2" l="1"/>
  <c r="J494" i="2"/>
  <c r="K494" i="2"/>
  <c r="S494" i="2"/>
  <c r="N494" i="2"/>
  <c r="O494" i="2" s="1"/>
  <c r="M494" i="2"/>
  <c r="R494" i="2" l="1"/>
  <c r="Q494" i="2"/>
  <c r="U494" i="2" s="1"/>
  <c r="X494" i="2" s="1"/>
  <c r="F495" i="2" s="1"/>
  <c r="P494" i="2"/>
  <c r="T494" i="2" s="1"/>
  <c r="W494" i="2" s="1"/>
  <c r="E495" i="2" s="1"/>
  <c r="V494" i="2"/>
  <c r="Y494" i="2" s="1"/>
  <c r="G495" i="2" s="1"/>
  <c r="D495" i="2" l="1"/>
  <c r="C495" i="2"/>
  <c r="H495" i="2"/>
  <c r="B495" i="2"/>
  <c r="K495" i="2" l="1"/>
  <c r="I495" i="2"/>
  <c r="J495" i="2"/>
  <c r="S495" i="2"/>
  <c r="L495" i="2"/>
  <c r="M495" i="2"/>
  <c r="N495" i="2"/>
  <c r="O495" i="2" s="1"/>
  <c r="R495" i="2" l="1"/>
  <c r="Q495" i="2"/>
  <c r="P495" i="2"/>
  <c r="T495" i="2" s="1"/>
  <c r="W495" i="2" s="1"/>
  <c r="E496" i="2" s="1"/>
  <c r="U495" i="2"/>
  <c r="X495" i="2" s="1"/>
  <c r="F496" i="2" s="1"/>
  <c r="V495" i="2"/>
  <c r="Y495" i="2" s="1"/>
  <c r="G496" i="2" s="1"/>
  <c r="H496" i="2" l="1"/>
  <c r="L496" i="2" s="1"/>
  <c r="B496" i="2"/>
  <c r="N496" i="2"/>
  <c r="O496" i="2" s="1"/>
  <c r="D496" i="2"/>
  <c r="M496" i="2"/>
  <c r="C496" i="2"/>
  <c r="R496" i="2" l="1"/>
  <c r="Q496" i="2"/>
  <c r="P496" i="2"/>
  <c r="K496" i="2"/>
  <c r="S496" i="2"/>
  <c r="I496" i="2"/>
  <c r="J496" i="2"/>
  <c r="T496" i="2" l="1"/>
  <c r="W496" i="2" s="1"/>
  <c r="E497" i="2" s="1"/>
  <c r="V496" i="2"/>
  <c r="U496" i="2"/>
  <c r="X496" i="2"/>
  <c r="F497" i="2" s="1"/>
  <c r="Y496" i="2"/>
  <c r="G497" i="2" s="1"/>
  <c r="H497" i="2" l="1"/>
  <c r="L497" i="2"/>
  <c r="B497" i="2"/>
  <c r="N497" i="2"/>
  <c r="O497" i="2" s="1"/>
  <c r="D497" i="2"/>
  <c r="M497" i="2"/>
  <c r="C497" i="2"/>
  <c r="R497" i="2" l="1"/>
  <c r="Q497" i="2"/>
  <c r="P497" i="2"/>
  <c r="S497" i="2"/>
  <c r="J497" i="2"/>
  <c r="K497" i="2"/>
  <c r="I497" i="2"/>
  <c r="T497" i="2" l="1"/>
  <c r="W497" i="2" s="1"/>
  <c r="E498" i="2" s="1"/>
  <c r="V497" i="2"/>
  <c r="Y497" i="2" s="1"/>
  <c r="G498" i="2" s="1"/>
  <c r="U497" i="2"/>
  <c r="X497" i="2" s="1"/>
  <c r="F498" i="2" s="1"/>
  <c r="C498" i="2" l="1"/>
  <c r="D498" i="2"/>
  <c r="H498" i="2"/>
  <c r="N498" i="2" s="1"/>
  <c r="O498" i="2" s="1"/>
  <c r="B498" i="2"/>
  <c r="R498" i="2" l="1"/>
  <c r="L498" i="2"/>
  <c r="P498" i="2" s="1"/>
  <c r="S498" i="2"/>
  <c r="I498" i="2"/>
  <c r="J498" i="2"/>
  <c r="K498" i="2"/>
  <c r="M498" i="2"/>
  <c r="Q498" i="2" s="1"/>
  <c r="T498" i="2" l="1"/>
  <c r="V498" i="2"/>
  <c r="U498" i="2"/>
  <c r="X498" i="2"/>
  <c r="F499" i="2" s="1"/>
  <c r="Y498" i="2"/>
  <c r="G499" i="2" s="1"/>
  <c r="W498" i="2"/>
  <c r="E499" i="2" s="1"/>
  <c r="H499" i="2" l="1"/>
  <c r="L499" i="2"/>
  <c r="B499" i="2"/>
  <c r="N499" i="2"/>
  <c r="O499" i="2" s="1"/>
  <c r="D499" i="2"/>
  <c r="M499" i="2"/>
  <c r="C499" i="2"/>
  <c r="P499" i="2" l="1"/>
  <c r="Q499" i="2"/>
  <c r="R499" i="2"/>
  <c r="S499" i="2"/>
  <c r="K499" i="2"/>
  <c r="J499" i="2"/>
  <c r="I499" i="2"/>
  <c r="T499" i="2" l="1"/>
  <c r="W499" i="2" s="1"/>
  <c r="E500" i="2" s="1"/>
  <c r="V499" i="2"/>
  <c r="Y499" i="2" s="1"/>
  <c r="G500" i="2" s="1"/>
  <c r="U499" i="2"/>
  <c r="X499" i="2" s="1"/>
  <c r="F500" i="2" s="1"/>
  <c r="C500" i="2" l="1"/>
  <c r="D500" i="2"/>
  <c r="H500" i="2"/>
  <c r="L500" i="2" s="1"/>
  <c r="B500" i="2"/>
  <c r="I500" i="2" l="1"/>
  <c r="J500" i="2"/>
  <c r="S500" i="2"/>
  <c r="K500" i="2"/>
  <c r="N500" i="2"/>
  <c r="O500" i="2" s="1"/>
  <c r="M500" i="2"/>
  <c r="R500" i="2" l="1"/>
  <c r="V500" i="2" s="1"/>
  <c r="Y500" i="2" s="1"/>
  <c r="G501" i="2" s="1"/>
  <c r="Q500" i="2"/>
  <c r="U500" i="2" s="1"/>
  <c r="X500" i="2" s="1"/>
  <c r="F501" i="2" s="1"/>
  <c r="P500" i="2"/>
  <c r="T500" i="2" s="1"/>
  <c r="W500" i="2" s="1"/>
  <c r="E501" i="2" s="1"/>
  <c r="C501" i="2" l="1"/>
  <c r="H501" i="2"/>
  <c r="L501" i="2" s="1"/>
  <c r="B501" i="2"/>
  <c r="D501" i="2"/>
  <c r="N501" i="2" l="1"/>
  <c r="O501" i="2" s="1"/>
  <c r="R501" i="2"/>
  <c r="P501" i="2"/>
  <c r="I501" i="2"/>
  <c r="J501" i="2"/>
  <c r="K501" i="2"/>
  <c r="S501" i="2"/>
  <c r="M501" i="2"/>
  <c r="Q501" i="2" s="1"/>
  <c r="T501" i="2" l="1"/>
  <c r="U501" i="2"/>
  <c r="V501" i="2"/>
  <c r="Y501" i="2" s="1"/>
  <c r="G502" i="2" s="1"/>
  <c r="X501" i="2"/>
  <c r="F502" i="2" s="1"/>
  <c r="W501" i="2"/>
  <c r="E502" i="2" s="1"/>
  <c r="D502" i="2" l="1"/>
  <c r="H502" i="2"/>
  <c r="M502" i="2" s="1"/>
  <c r="B502" i="2"/>
  <c r="C502" i="2"/>
  <c r="K502" i="2" l="1"/>
  <c r="S502" i="2"/>
  <c r="I502" i="2"/>
  <c r="J502" i="2"/>
  <c r="L502" i="2"/>
  <c r="N502" i="2"/>
  <c r="O502" i="2" s="1"/>
  <c r="R502" i="2" l="1"/>
  <c r="V502" i="2" s="1"/>
  <c r="Y502" i="2" s="1"/>
  <c r="G503" i="2" s="1"/>
  <c r="Q502" i="2"/>
  <c r="U502" i="2" s="1"/>
  <c r="X502" i="2" s="1"/>
  <c r="F503" i="2" s="1"/>
  <c r="P502" i="2"/>
  <c r="T502" i="2" s="1"/>
  <c r="W502" i="2" s="1"/>
  <c r="E503" i="2" s="1"/>
  <c r="C503" i="2" l="1"/>
  <c r="H503" i="2"/>
  <c r="B503" i="2"/>
  <c r="N503" i="2"/>
  <c r="O503" i="2" s="1"/>
  <c r="D503" i="2"/>
  <c r="R503" i="2" l="1"/>
  <c r="J503" i="2"/>
  <c r="I503" i="2"/>
  <c r="K503" i="2"/>
  <c r="S503" i="2"/>
  <c r="L503" i="2"/>
  <c r="P503" i="2" s="1"/>
  <c r="M503" i="2"/>
  <c r="Q503" i="2" s="1"/>
  <c r="T503" i="2" l="1"/>
  <c r="W503" i="2" s="1"/>
  <c r="E504" i="2" s="1"/>
  <c r="V503" i="2"/>
  <c r="Y503" i="2" s="1"/>
  <c r="G504" i="2" s="1"/>
  <c r="U503" i="2"/>
  <c r="X503" i="2" s="1"/>
  <c r="F504" i="2" s="1"/>
  <c r="D504" i="2" l="1"/>
  <c r="H504" i="2"/>
  <c r="B504" i="2"/>
  <c r="C504" i="2"/>
  <c r="I504" i="2" l="1"/>
  <c r="J504" i="2"/>
  <c r="K504" i="2"/>
  <c r="S504" i="2"/>
  <c r="M504" i="2"/>
  <c r="L504" i="2"/>
  <c r="N504" i="2"/>
  <c r="O504" i="2" s="1"/>
  <c r="R504" i="2" l="1"/>
  <c r="V504" i="2" s="1"/>
  <c r="Y504" i="2" s="1"/>
  <c r="G505" i="2" s="1"/>
  <c r="Q504" i="2"/>
  <c r="U504" i="2" s="1"/>
  <c r="X504" i="2" s="1"/>
  <c r="F505" i="2" s="1"/>
  <c r="P504" i="2"/>
  <c r="T504" i="2" s="1"/>
  <c r="W504" i="2" s="1"/>
  <c r="E505" i="2" s="1"/>
  <c r="C505" i="2" l="1"/>
  <c r="H505" i="2"/>
  <c r="B505" i="2"/>
  <c r="N505" i="2"/>
  <c r="O505" i="2" s="1"/>
  <c r="D505" i="2"/>
  <c r="K505" i="2" l="1"/>
  <c r="S505" i="2"/>
  <c r="J505" i="2"/>
  <c r="I505" i="2"/>
  <c r="R505" i="2"/>
  <c r="L505" i="2"/>
  <c r="P505" i="2" s="1"/>
  <c r="M505" i="2"/>
  <c r="Q505" i="2" s="1"/>
  <c r="T505" i="2" l="1"/>
  <c r="W505" i="2" s="1"/>
  <c r="E506" i="2" s="1"/>
  <c r="V505" i="2"/>
  <c r="Y505" i="2" s="1"/>
  <c r="G506" i="2" s="1"/>
  <c r="U505" i="2"/>
  <c r="X505" i="2" s="1"/>
  <c r="F506" i="2" s="1"/>
  <c r="C506" i="2" l="1"/>
  <c r="D506" i="2"/>
  <c r="H506" i="2"/>
  <c r="N506" i="2" s="1"/>
  <c r="O506" i="2" s="1"/>
  <c r="B506" i="2"/>
  <c r="R506" i="2" l="1"/>
  <c r="L506" i="2"/>
  <c r="P506" i="2" s="1"/>
  <c r="K506" i="2"/>
  <c r="I506" i="2"/>
  <c r="J506" i="2"/>
  <c r="S506" i="2"/>
  <c r="M506" i="2"/>
  <c r="Q506" i="2" s="1"/>
  <c r="T506" i="2" l="1"/>
  <c r="W506" i="2" s="1"/>
  <c r="E507" i="2" s="1"/>
  <c r="V506" i="2"/>
  <c r="Y506" i="2" s="1"/>
  <c r="G507" i="2" s="1"/>
  <c r="U506" i="2"/>
  <c r="X506" i="2" s="1"/>
  <c r="F507" i="2" s="1"/>
  <c r="C507" i="2" l="1"/>
  <c r="D507" i="2"/>
  <c r="H507" i="2"/>
  <c r="N507" i="2" s="1"/>
  <c r="O507" i="2" s="1"/>
  <c r="B507" i="2"/>
  <c r="R507" i="2" l="1"/>
  <c r="J507" i="2"/>
  <c r="K507" i="2"/>
  <c r="I507" i="2"/>
  <c r="S507" i="2"/>
  <c r="L507" i="2"/>
  <c r="P507" i="2" s="1"/>
  <c r="M507" i="2"/>
  <c r="Q507" i="2" s="1"/>
  <c r="T507" i="2" l="1"/>
  <c r="U507" i="2"/>
  <c r="X507" i="2" s="1"/>
  <c r="F508" i="2" s="1"/>
  <c r="V507" i="2"/>
  <c r="Y507" i="2" s="1"/>
  <c r="G508" i="2" s="1"/>
  <c r="W507" i="2"/>
  <c r="E508" i="2" s="1"/>
  <c r="D508" i="2" l="1"/>
  <c r="C508" i="2"/>
  <c r="H508" i="2"/>
  <c r="B508" i="2"/>
  <c r="I508" i="2" l="1"/>
  <c r="J508" i="2"/>
  <c r="K508" i="2"/>
  <c r="S508" i="2"/>
  <c r="L508" i="2"/>
  <c r="M508" i="2"/>
  <c r="N508" i="2"/>
  <c r="O508" i="2" s="1"/>
  <c r="R508" i="2" l="1"/>
  <c r="V508" i="2" s="1"/>
  <c r="Y508" i="2" s="1"/>
  <c r="G509" i="2" s="1"/>
  <c r="Q508" i="2"/>
  <c r="U508" i="2" s="1"/>
  <c r="X508" i="2" s="1"/>
  <c r="F509" i="2" s="1"/>
  <c r="P508" i="2"/>
  <c r="T508" i="2" s="1"/>
  <c r="W508" i="2" s="1"/>
  <c r="E509" i="2" s="1"/>
  <c r="H509" i="2" l="1"/>
  <c r="L509" i="2"/>
  <c r="B509" i="2"/>
  <c r="M509" i="2"/>
  <c r="C509" i="2"/>
  <c r="N509" i="2"/>
  <c r="O509" i="2" s="1"/>
  <c r="D509" i="2"/>
  <c r="R509" i="2" l="1"/>
  <c r="Q509" i="2"/>
  <c r="P509" i="2"/>
  <c r="I509" i="2"/>
  <c r="K509" i="2"/>
  <c r="J509" i="2"/>
  <c r="S509" i="2"/>
  <c r="T509" i="2" l="1"/>
  <c r="V509" i="2"/>
  <c r="Y509" i="2" s="1"/>
  <c r="G510" i="2" s="1"/>
  <c r="U509" i="2"/>
  <c r="X509" i="2" s="1"/>
  <c r="F510" i="2" s="1"/>
  <c r="W509" i="2"/>
  <c r="E510" i="2" s="1"/>
  <c r="C510" i="2" l="1"/>
  <c r="D510" i="2"/>
  <c r="H510" i="2"/>
  <c r="L510" i="2" s="1"/>
  <c r="B510" i="2"/>
  <c r="S510" i="2" l="1"/>
  <c r="I510" i="2"/>
  <c r="J510" i="2"/>
  <c r="K510" i="2"/>
  <c r="N510" i="2"/>
  <c r="O510" i="2" s="1"/>
  <c r="M510" i="2"/>
  <c r="R510" i="2" l="1"/>
  <c r="Q510" i="2"/>
  <c r="P510" i="2"/>
  <c r="T510" i="2" s="1"/>
  <c r="W510" i="2" s="1"/>
  <c r="E511" i="2" s="1"/>
  <c r="V510" i="2"/>
  <c r="Y510" i="2" s="1"/>
  <c r="G511" i="2" s="1"/>
  <c r="U510" i="2"/>
  <c r="X510" i="2" s="1"/>
  <c r="F511" i="2" s="1"/>
  <c r="D511" i="2" l="1"/>
  <c r="C511" i="2"/>
  <c r="H511" i="2"/>
  <c r="B511" i="2"/>
  <c r="K511" i="2" l="1"/>
  <c r="J511" i="2"/>
  <c r="I511" i="2"/>
  <c r="S511" i="2"/>
  <c r="L511" i="2"/>
  <c r="M511" i="2"/>
  <c r="N511" i="2"/>
  <c r="O511" i="2" s="1"/>
  <c r="P511" i="2" l="1"/>
  <c r="Q511" i="2"/>
  <c r="R511" i="2"/>
  <c r="V511" i="2" s="1"/>
  <c r="Y511" i="2" s="1"/>
  <c r="G512" i="2" s="1"/>
  <c r="T511" i="2"/>
  <c r="U511" i="2"/>
  <c r="X511" i="2" s="1"/>
  <c r="F512" i="2" s="1"/>
  <c r="W511" i="2"/>
  <c r="E512" i="2" s="1"/>
  <c r="C512" i="2" l="1"/>
  <c r="D512" i="2"/>
  <c r="H512" i="2"/>
  <c r="L512" i="2" s="1"/>
  <c r="B512" i="2"/>
  <c r="J512" i="2" l="1"/>
  <c r="S512" i="2"/>
  <c r="K512" i="2"/>
  <c r="I512" i="2"/>
  <c r="N512" i="2"/>
  <c r="O512" i="2" s="1"/>
  <c r="M512" i="2"/>
  <c r="R512" i="2" l="1"/>
  <c r="V512" i="2" s="1"/>
  <c r="Y512" i="2" s="1"/>
  <c r="G513" i="2" s="1"/>
  <c r="Q512" i="2"/>
  <c r="U512" i="2" s="1"/>
  <c r="X512" i="2" s="1"/>
  <c r="F513" i="2" s="1"/>
  <c r="P512" i="2"/>
  <c r="T512" i="2" s="1"/>
  <c r="W512" i="2" s="1"/>
  <c r="E513" i="2" s="1"/>
  <c r="C513" i="2" l="1"/>
  <c r="H513" i="2"/>
  <c r="L513" i="2" s="1"/>
  <c r="B513" i="2"/>
  <c r="D513" i="2"/>
  <c r="N513" i="2" l="1"/>
  <c r="O513" i="2" s="1"/>
  <c r="R513" i="2"/>
  <c r="P513" i="2"/>
  <c r="I513" i="2"/>
  <c r="J513" i="2"/>
  <c r="K513" i="2"/>
  <c r="S513" i="2"/>
  <c r="M513" i="2"/>
  <c r="Q513" i="2" s="1"/>
  <c r="T513" i="2" l="1"/>
  <c r="W513" i="2" s="1"/>
  <c r="E514" i="2" s="1"/>
  <c r="V513" i="2"/>
  <c r="Y513" i="2" s="1"/>
  <c r="G514" i="2" s="1"/>
  <c r="U513" i="2"/>
  <c r="X513" i="2"/>
  <c r="F514" i="2" s="1"/>
  <c r="H514" i="2" l="1"/>
  <c r="L514" i="2"/>
  <c r="B514" i="2"/>
  <c r="M514" i="2"/>
  <c r="C514" i="2"/>
  <c r="N514" i="2"/>
  <c r="O514" i="2" s="1"/>
  <c r="D514" i="2"/>
  <c r="R514" i="2" l="1"/>
  <c r="P514" i="2"/>
  <c r="Q514" i="2"/>
  <c r="K514" i="2"/>
  <c r="J514" i="2"/>
  <c r="I514" i="2"/>
  <c r="S514" i="2"/>
  <c r="T514" i="2" l="1"/>
  <c r="W514" i="2" s="1"/>
  <c r="E515" i="2" s="1"/>
  <c r="V514" i="2"/>
  <c r="U514" i="2"/>
  <c r="X514" i="2" s="1"/>
  <c r="F515" i="2" s="1"/>
  <c r="Y514" i="2"/>
  <c r="G515" i="2" s="1"/>
  <c r="C515" i="2" l="1"/>
  <c r="H515" i="2"/>
  <c r="B515" i="2"/>
  <c r="D515" i="2"/>
  <c r="S515" i="2" l="1"/>
  <c r="K515" i="2"/>
  <c r="J515" i="2"/>
  <c r="I515" i="2"/>
  <c r="N515" i="2"/>
  <c r="O515" i="2" s="1"/>
  <c r="L515" i="2"/>
  <c r="M515" i="2"/>
  <c r="R515" i="2" l="1"/>
  <c r="Q515" i="2"/>
  <c r="P515" i="2"/>
  <c r="T515" i="2" s="1"/>
  <c r="W515" i="2" s="1"/>
  <c r="E516" i="2" s="1"/>
  <c r="U515" i="2"/>
  <c r="X515" i="2" s="1"/>
  <c r="F516" i="2" s="1"/>
  <c r="V515" i="2"/>
  <c r="Y515" i="2" s="1"/>
  <c r="G516" i="2" s="1"/>
  <c r="D516" i="2" l="1"/>
  <c r="C516" i="2"/>
  <c r="H516" i="2"/>
  <c r="B516" i="2"/>
  <c r="I516" i="2" l="1"/>
  <c r="J516" i="2"/>
  <c r="K516" i="2"/>
  <c r="S516" i="2"/>
  <c r="M516" i="2"/>
  <c r="L516" i="2"/>
  <c r="N516" i="2"/>
  <c r="O516" i="2" s="1"/>
  <c r="R516" i="2" l="1"/>
  <c r="Q516" i="2"/>
  <c r="P516" i="2"/>
  <c r="T516" i="2" s="1"/>
  <c r="W516" i="2" s="1"/>
  <c r="E517" i="2" s="1"/>
  <c r="V516" i="2"/>
  <c r="Y516" i="2" s="1"/>
  <c r="G517" i="2" s="1"/>
  <c r="U516" i="2"/>
  <c r="X516" i="2" s="1"/>
  <c r="F517" i="2" s="1"/>
  <c r="C517" i="2" l="1"/>
  <c r="H517" i="2"/>
  <c r="B517" i="2"/>
  <c r="D517" i="2"/>
  <c r="I517" i="2" l="1"/>
  <c r="S517" i="2"/>
  <c r="J517" i="2"/>
  <c r="K517" i="2"/>
  <c r="N517" i="2"/>
  <c r="O517" i="2" s="1"/>
  <c r="L517" i="2"/>
  <c r="M517" i="2"/>
  <c r="R517" i="2" l="1"/>
  <c r="P517" i="2"/>
  <c r="T517" i="2" s="1"/>
  <c r="W517" i="2" s="1"/>
  <c r="E518" i="2" s="1"/>
  <c r="Q517" i="2"/>
  <c r="U517" i="2" s="1"/>
  <c r="X517" i="2" s="1"/>
  <c r="F518" i="2" s="1"/>
  <c r="V517" i="2"/>
  <c r="Y517" i="2"/>
  <c r="G518" i="2" s="1"/>
  <c r="H518" i="2" l="1"/>
  <c r="L518" i="2"/>
  <c r="B518" i="2"/>
  <c r="M518" i="2"/>
  <c r="C518" i="2"/>
  <c r="N518" i="2"/>
  <c r="O518" i="2" s="1"/>
  <c r="D518" i="2"/>
  <c r="P518" i="2" l="1"/>
  <c r="R518" i="2"/>
  <c r="Q518" i="2"/>
  <c r="K518" i="2"/>
  <c r="J518" i="2"/>
  <c r="I518" i="2"/>
  <c r="S518" i="2"/>
  <c r="T518" i="2" l="1"/>
  <c r="W518" i="2" s="1"/>
  <c r="E519" i="2" s="1"/>
  <c r="V518" i="2"/>
  <c r="U518" i="2"/>
  <c r="X518" i="2"/>
  <c r="F519" i="2" s="1"/>
  <c r="Y518" i="2"/>
  <c r="G519" i="2" s="1"/>
  <c r="H519" i="2" l="1"/>
  <c r="L519" i="2"/>
  <c r="B519" i="2"/>
  <c r="N519" i="2"/>
  <c r="O519" i="2" s="1"/>
  <c r="D519" i="2"/>
  <c r="M519" i="2"/>
  <c r="C519" i="2"/>
  <c r="P519" i="2" l="1"/>
  <c r="R519" i="2"/>
  <c r="Q519" i="2"/>
  <c r="I519" i="2"/>
  <c r="J519" i="2"/>
  <c r="S519" i="2"/>
  <c r="K519" i="2"/>
  <c r="T519" i="2" l="1"/>
  <c r="U519" i="2"/>
  <c r="X519" i="2" s="1"/>
  <c r="F520" i="2" s="1"/>
  <c r="V519" i="2"/>
  <c r="Y519" i="2" s="1"/>
  <c r="G520" i="2" s="1"/>
  <c r="W519" i="2"/>
  <c r="E520" i="2" s="1"/>
  <c r="D520" i="2" l="1"/>
  <c r="C520" i="2"/>
  <c r="H520" i="2"/>
  <c r="B520" i="2"/>
  <c r="I520" i="2" l="1"/>
  <c r="J520" i="2"/>
  <c r="K520" i="2"/>
  <c r="S520" i="2"/>
  <c r="M520" i="2"/>
  <c r="N520" i="2"/>
  <c r="O520" i="2" s="1"/>
  <c r="L520" i="2"/>
  <c r="P520" i="2" l="1"/>
  <c r="Q520" i="2"/>
  <c r="U520" i="2" s="1"/>
  <c r="X520" i="2" s="1"/>
  <c r="F521" i="2" s="1"/>
  <c r="R520" i="2"/>
  <c r="V520" i="2" s="1"/>
  <c r="Y520" i="2" s="1"/>
  <c r="G521" i="2" s="1"/>
  <c r="T520" i="2"/>
  <c r="W520" i="2" s="1"/>
  <c r="E521" i="2" s="1"/>
  <c r="C521" i="2" l="1"/>
  <c r="H521" i="2"/>
  <c r="B521" i="2"/>
  <c r="N521" i="2"/>
  <c r="O521" i="2" s="1"/>
  <c r="D521" i="2"/>
  <c r="J521" i="2" l="1"/>
  <c r="K521" i="2"/>
  <c r="I521" i="2"/>
  <c r="S521" i="2"/>
  <c r="R521" i="2"/>
  <c r="L521" i="2"/>
  <c r="P521" i="2" s="1"/>
  <c r="M521" i="2"/>
  <c r="Q521" i="2" s="1"/>
  <c r="T521" i="2" l="1"/>
  <c r="W521" i="2" s="1"/>
  <c r="E522" i="2" s="1"/>
  <c r="V521" i="2"/>
  <c r="U521" i="2"/>
  <c r="Y521" i="2"/>
  <c r="G522" i="2" s="1"/>
  <c r="X521" i="2"/>
  <c r="F522" i="2" s="1"/>
  <c r="H522" i="2" l="1"/>
  <c r="L522" i="2" s="1"/>
  <c r="B522" i="2"/>
  <c r="C522" i="2"/>
  <c r="D522" i="2"/>
  <c r="N522" i="2" l="1"/>
  <c r="O522" i="2" s="1"/>
  <c r="M522" i="2"/>
  <c r="P522" i="2"/>
  <c r="R522" i="2"/>
  <c r="Q522" i="2"/>
  <c r="I522" i="2"/>
  <c r="J522" i="2"/>
  <c r="K522" i="2"/>
  <c r="S522" i="2"/>
  <c r="T522" i="2" l="1"/>
  <c r="V522" i="2"/>
  <c r="Y522" i="2" s="1"/>
  <c r="G523" i="2" s="1"/>
  <c r="U522" i="2"/>
  <c r="X522" i="2" s="1"/>
  <c r="F523" i="2" s="1"/>
  <c r="W522" i="2"/>
  <c r="E523" i="2" s="1"/>
  <c r="D523" i="2" l="1"/>
  <c r="H523" i="2"/>
  <c r="B523" i="2"/>
  <c r="C523" i="2"/>
  <c r="I523" i="2" l="1"/>
  <c r="S523" i="2"/>
  <c r="K523" i="2"/>
  <c r="J523" i="2"/>
  <c r="M523" i="2"/>
  <c r="L523" i="2"/>
  <c r="N523" i="2"/>
  <c r="O523" i="2" s="1"/>
  <c r="P523" i="2" l="1"/>
  <c r="R523" i="2"/>
  <c r="Q523" i="2"/>
  <c r="U523" i="2" s="1"/>
  <c r="X523" i="2" s="1"/>
  <c r="F524" i="2" s="1"/>
  <c r="T523" i="2"/>
  <c r="V523" i="2"/>
  <c r="Y523" i="2" s="1"/>
  <c r="G524" i="2" s="1"/>
  <c r="W523" i="2"/>
  <c r="E524" i="2" s="1"/>
  <c r="D524" i="2" l="1"/>
  <c r="C524" i="2"/>
  <c r="H524" i="2"/>
  <c r="M524" i="2" s="1"/>
  <c r="B524" i="2"/>
  <c r="L524" i="2" l="1"/>
  <c r="K524" i="2"/>
  <c r="J524" i="2"/>
  <c r="I524" i="2"/>
  <c r="S524" i="2"/>
  <c r="N524" i="2"/>
  <c r="O524" i="2" s="1"/>
  <c r="P524" i="2" l="1"/>
  <c r="T524" i="2" s="1"/>
  <c r="W524" i="2" s="1"/>
  <c r="E525" i="2" s="1"/>
  <c r="R524" i="2"/>
  <c r="V524" i="2" s="1"/>
  <c r="Y524" i="2" s="1"/>
  <c r="G525" i="2" s="1"/>
  <c r="Q524" i="2"/>
  <c r="U524" i="2" s="1"/>
  <c r="X524" i="2" s="1"/>
  <c r="F525" i="2" s="1"/>
  <c r="D525" i="2" l="1"/>
  <c r="C525" i="2"/>
  <c r="H525" i="2"/>
  <c r="B525" i="2"/>
  <c r="I525" i="2" l="1"/>
  <c r="S525" i="2"/>
  <c r="J525" i="2"/>
  <c r="K525" i="2"/>
  <c r="L525" i="2"/>
  <c r="M525" i="2"/>
  <c r="N525" i="2"/>
  <c r="O525" i="2" s="1"/>
  <c r="P525" i="2" l="1"/>
  <c r="R525" i="2"/>
  <c r="Q525" i="2"/>
  <c r="U525" i="2" s="1"/>
  <c r="X525" i="2" s="1"/>
  <c r="F526" i="2" s="1"/>
  <c r="T525" i="2"/>
  <c r="V525" i="2"/>
  <c r="Y525" i="2"/>
  <c r="G526" i="2" s="1"/>
  <c r="W525" i="2"/>
  <c r="E526" i="2" s="1"/>
  <c r="D526" i="2" l="1"/>
  <c r="H526" i="2"/>
  <c r="M526" i="2" s="1"/>
  <c r="B526" i="2"/>
  <c r="C526" i="2"/>
  <c r="I526" i="2" l="1"/>
  <c r="S526" i="2"/>
  <c r="K526" i="2"/>
  <c r="J526" i="2"/>
  <c r="L526" i="2"/>
  <c r="N526" i="2"/>
  <c r="O526" i="2" s="1"/>
  <c r="Q526" i="2" l="1"/>
  <c r="U526" i="2" s="1"/>
  <c r="X526" i="2" s="1"/>
  <c r="F527" i="2" s="1"/>
  <c r="P526" i="2"/>
  <c r="T526" i="2" s="1"/>
  <c r="W526" i="2" s="1"/>
  <c r="E527" i="2" s="1"/>
  <c r="R526" i="2"/>
  <c r="V526" i="2" s="1"/>
  <c r="Y526" i="2" s="1"/>
  <c r="G527" i="2" s="1"/>
  <c r="H527" i="2" l="1"/>
  <c r="L527" i="2"/>
  <c r="B527" i="2"/>
  <c r="N527" i="2"/>
  <c r="O527" i="2" s="1"/>
  <c r="D527" i="2"/>
  <c r="M527" i="2"/>
  <c r="C527" i="2"/>
  <c r="Q527" i="2" l="1"/>
  <c r="P527" i="2"/>
  <c r="R527" i="2"/>
  <c r="K527" i="2"/>
  <c r="I527" i="2"/>
  <c r="J527" i="2"/>
  <c r="S527" i="2"/>
  <c r="T527" i="2" l="1"/>
  <c r="W527" i="2" s="1"/>
  <c r="E528" i="2" s="1"/>
  <c r="U527" i="2"/>
  <c r="X527" i="2" s="1"/>
  <c r="F528" i="2" s="1"/>
  <c r="V527" i="2"/>
  <c r="Y527" i="2" s="1"/>
  <c r="G528" i="2" s="1"/>
  <c r="C528" i="2" l="1"/>
  <c r="H528" i="2"/>
  <c r="L528" i="2" s="1"/>
  <c r="B528" i="2"/>
  <c r="D528" i="2"/>
  <c r="N528" i="2" l="1"/>
  <c r="O528" i="2" s="1"/>
  <c r="P528" i="2"/>
  <c r="R528" i="2"/>
  <c r="I528" i="2"/>
  <c r="S528" i="2"/>
  <c r="K528" i="2"/>
  <c r="J528" i="2"/>
  <c r="M528" i="2"/>
  <c r="Q528" i="2" s="1"/>
  <c r="T528" i="2" l="1"/>
  <c r="U528" i="2"/>
  <c r="X528" i="2" s="1"/>
  <c r="F529" i="2" s="1"/>
  <c r="V528" i="2"/>
  <c r="Y528" i="2" s="1"/>
  <c r="G529" i="2" s="1"/>
  <c r="W528" i="2"/>
  <c r="E529" i="2" s="1"/>
  <c r="D529" i="2" l="1"/>
  <c r="C529" i="2"/>
  <c r="H529" i="2"/>
  <c r="L529" i="2" s="1"/>
  <c r="B529" i="2"/>
  <c r="S529" i="2" l="1"/>
  <c r="I529" i="2"/>
  <c r="K529" i="2"/>
  <c r="J529" i="2"/>
  <c r="M529" i="2"/>
  <c r="N529" i="2"/>
  <c r="O529" i="2" s="1"/>
  <c r="Q529" i="2" l="1"/>
  <c r="P529" i="2"/>
  <c r="R529" i="2"/>
  <c r="T529" i="2"/>
  <c r="W529" i="2" s="1"/>
  <c r="E530" i="2" s="1"/>
  <c r="U529" i="2"/>
  <c r="X529" i="2" s="1"/>
  <c r="F530" i="2" s="1"/>
  <c r="V529" i="2"/>
  <c r="Y529" i="2" s="1"/>
  <c r="G530" i="2" s="1"/>
  <c r="D530" i="2" l="1"/>
  <c r="H530" i="2"/>
  <c r="B530" i="2"/>
  <c r="C530" i="2"/>
  <c r="I530" i="2" l="1"/>
  <c r="K530" i="2"/>
  <c r="J530" i="2"/>
  <c r="S530" i="2"/>
  <c r="M530" i="2"/>
  <c r="L530" i="2"/>
  <c r="N530" i="2"/>
  <c r="O530" i="2" s="1"/>
  <c r="Q530" i="2" l="1"/>
  <c r="U530" i="2" s="1"/>
  <c r="X530" i="2" s="1"/>
  <c r="F531" i="2" s="1"/>
  <c r="P530" i="2"/>
  <c r="T530" i="2" s="1"/>
  <c r="W530" i="2" s="1"/>
  <c r="E531" i="2" s="1"/>
  <c r="R530" i="2"/>
  <c r="V530" i="2" s="1"/>
  <c r="Y530" i="2" s="1"/>
  <c r="G531" i="2" s="1"/>
  <c r="H531" i="2" l="1"/>
  <c r="L531" i="2"/>
  <c r="B531" i="2"/>
  <c r="N531" i="2"/>
  <c r="O531" i="2" s="1"/>
  <c r="D531" i="2"/>
  <c r="M531" i="2"/>
  <c r="C531" i="2"/>
  <c r="Q531" i="2" l="1"/>
  <c r="P531" i="2"/>
  <c r="R531" i="2"/>
  <c r="K531" i="2"/>
  <c r="I531" i="2"/>
  <c r="J531" i="2"/>
  <c r="S531" i="2"/>
  <c r="T531" i="2" l="1"/>
  <c r="W531" i="2" s="1"/>
  <c r="E532" i="2" s="1"/>
  <c r="U531" i="2"/>
  <c r="X531" i="2" s="1"/>
  <c r="F532" i="2" s="1"/>
  <c r="V531" i="2"/>
  <c r="Y531" i="2"/>
  <c r="G532" i="2" s="1"/>
  <c r="C532" i="2" l="1"/>
  <c r="H532" i="2"/>
  <c r="L532" i="2" s="1"/>
  <c r="B532" i="2"/>
  <c r="N532" i="2"/>
  <c r="O532" i="2" s="1"/>
  <c r="D532" i="2"/>
  <c r="P532" i="2" l="1"/>
  <c r="R532" i="2"/>
  <c r="J532" i="2"/>
  <c r="K532" i="2"/>
  <c r="I532" i="2"/>
  <c r="S532" i="2"/>
  <c r="M532" i="2"/>
  <c r="Q532" i="2" s="1"/>
  <c r="T532" i="2" l="1"/>
  <c r="W532" i="2" s="1"/>
  <c r="E533" i="2" s="1"/>
  <c r="U532" i="2"/>
  <c r="V532" i="2"/>
  <c r="Y532" i="2"/>
  <c r="G533" i="2" s="1"/>
  <c r="X532" i="2"/>
  <c r="F533" i="2" s="1"/>
  <c r="H533" i="2" l="1"/>
  <c r="L533" i="2" s="1"/>
  <c r="B533" i="2"/>
  <c r="M533" i="2"/>
  <c r="C533" i="2"/>
  <c r="N533" i="2"/>
  <c r="O533" i="2" s="1"/>
  <c r="D533" i="2"/>
  <c r="Q533" i="2" l="1"/>
  <c r="P533" i="2"/>
  <c r="R533" i="2"/>
  <c r="K533" i="2"/>
  <c r="J533" i="2"/>
  <c r="S533" i="2"/>
  <c r="I533" i="2"/>
  <c r="T533" i="2" l="1"/>
  <c r="V533" i="2"/>
  <c r="U533" i="2"/>
  <c r="W533" i="2"/>
  <c r="E534" i="2" s="1"/>
  <c r="X533" i="2"/>
  <c r="F534" i="2" s="1"/>
  <c r="Y533" i="2"/>
  <c r="G534" i="2" s="1"/>
  <c r="C534" i="2" l="1"/>
  <c r="D534" i="2"/>
  <c r="H534" i="2"/>
  <c r="L534" i="2" s="1"/>
  <c r="B534" i="2"/>
  <c r="J534" i="2" l="1"/>
  <c r="I534" i="2"/>
  <c r="S534" i="2"/>
  <c r="K534" i="2"/>
  <c r="N534" i="2"/>
  <c r="O534" i="2" s="1"/>
  <c r="M534" i="2"/>
  <c r="Q534" i="2" l="1"/>
  <c r="P534" i="2"/>
  <c r="T534" i="2" s="1"/>
  <c r="W534" i="2" s="1"/>
  <c r="E535" i="2" s="1"/>
  <c r="R534" i="2"/>
  <c r="V534" i="2" s="1"/>
  <c r="Y534" i="2" s="1"/>
  <c r="G535" i="2" s="1"/>
  <c r="U534" i="2"/>
  <c r="X534" i="2" s="1"/>
  <c r="F535" i="2" s="1"/>
  <c r="D535" i="2" l="1"/>
  <c r="H535" i="2"/>
  <c r="L535" i="2" s="1"/>
  <c r="B535" i="2"/>
  <c r="C535" i="2"/>
  <c r="M535" i="2" l="1"/>
  <c r="J535" i="2"/>
  <c r="S535" i="2"/>
  <c r="I535" i="2"/>
  <c r="K535" i="2"/>
  <c r="N535" i="2"/>
  <c r="O535" i="2" s="1"/>
  <c r="R535" i="2" l="1"/>
  <c r="Q535" i="2"/>
  <c r="U535" i="2" s="1"/>
  <c r="X535" i="2" s="1"/>
  <c r="F536" i="2" s="1"/>
  <c r="P535" i="2"/>
  <c r="T535" i="2" s="1"/>
  <c r="W535" i="2" s="1"/>
  <c r="E536" i="2" s="1"/>
  <c r="V535" i="2"/>
  <c r="Y535" i="2" s="1"/>
  <c r="G536" i="2" s="1"/>
  <c r="D536" i="2" l="1"/>
  <c r="H536" i="2"/>
  <c r="L536" i="2" s="1"/>
  <c r="B536" i="2"/>
  <c r="C536" i="2"/>
  <c r="M536" i="2" l="1"/>
  <c r="I536" i="2"/>
  <c r="K536" i="2"/>
  <c r="J536" i="2"/>
  <c r="S536" i="2"/>
  <c r="N536" i="2"/>
  <c r="O536" i="2" s="1"/>
  <c r="R536" i="2" l="1"/>
  <c r="Q536" i="2"/>
  <c r="P536" i="2"/>
  <c r="T536" i="2" s="1"/>
  <c r="W536" i="2" s="1"/>
  <c r="E537" i="2" s="1"/>
  <c r="V536" i="2"/>
  <c r="Y536" i="2" s="1"/>
  <c r="G537" i="2" s="1"/>
  <c r="U536" i="2"/>
  <c r="X536" i="2" s="1"/>
  <c r="F537" i="2" s="1"/>
  <c r="C537" i="2" l="1"/>
  <c r="D537" i="2"/>
  <c r="H537" i="2"/>
  <c r="B537" i="2"/>
  <c r="I537" i="2" l="1"/>
  <c r="J537" i="2"/>
  <c r="S537" i="2"/>
  <c r="K537" i="2"/>
  <c r="N537" i="2"/>
  <c r="O537" i="2" s="1"/>
  <c r="L537" i="2"/>
  <c r="M537" i="2"/>
  <c r="R537" i="2" l="1"/>
  <c r="Q537" i="2"/>
  <c r="U537" i="2" s="1"/>
  <c r="X537" i="2" s="1"/>
  <c r="F538" i="2" s="1"/>
  <c r="P537" i="2"/>
  <c r="T537" i="2" s="1"/>
  <c r="W537" i="2" s="1"/>
  <c r="E538" i="2" s="1"/>
  <c r="V537" i="2"/>
  <c r="Y537" i="2" s="1"/>
  <c r="G538" i="2" s="1"/>
  <c r="D538" i="2" l="1"/>
  <c r="C538" i="2"/>
  <c r="H538" i="2"/>
  <c r="B538" i="2"/>
  <c r="I538" i="2" l="1"/>
  <c r="S538" i="2"/>
  <c r="K538" i="2"/>
  <c r="J538" i="2"/>
  <c r="L538" i="2"/>
  <c r="M538" i="2"/>
  <c r="N538" i="2"/>
  <c r="O538" i="2" s="1"/>
  <c r="R538" i="2" l="1"/>
  <c r="Q538" i="2"/>
  <c r="U538" i="2" s="1"/>
  <c r="X538" i="2" s="1"/>
  <c r="F539" i="2" s="1"/>
  <c r="P538" i="2"/>
  <c r="T538" i="2" s="1"/>
  <c r="W538" i="2" s="1"/>
  <c r="E539" i="2" s="1"/>
  <c r="V538" i="2"/>
  <c r="Y538" i="2"/>
  <c r="G539" i="2" s="1"/>
  <c r="C539" i="2" l="1"/>
  <c r="H539" i="2"/>
  <c r="L539" i="2" s="1"/>
  <c r="B539" i="2"/>
  <c r="N539" i="2"/>
  <c r="O539" i="2" s="1"/>
  <c r="D539" i="2"/>
  <c r="R539" i="2" l="1"/>
  <c r="P539" i="2"/>
  <c r="K539" i="2"/>
  <c r="J539" i="2"/>
  <c r="I539" i="2"/>
  <c r="S539" i="2"/>
  <c r="M539" i="2"/>
  <c r="Q539" i="2" s="1"/>
  <c r="T539" i="2" l="1"/>
  <c r="U539" i="2"/>
  <c r="V539" i="2"/>
  <c r="X539" i="2"/>
  <c r="F540" i="2" s="1"/>
  <c r="W539" i="2"/>
  <c r="E540" i="2" s="1"/>
  <c r="Y539" i="2"/>
  <c r="G540" i="2" s="1"/>
  <c r="H540" i="2" l="1"/>
  <c r="L540" i="2"/>
  <c r="B540" i="2"/>
  <c r="N540" i="2"/>
  <c r="O540" i="2" s="1"/>
  <c r="D540" i="2"/>
  <c r="M540" i="2"/>
  <c r="C540" i="2"/>
  <c r="R540" i="2" l="1"/>
  <c r="Q540" i="2"/>
  <c r="P540" i="2"/>
  <c r="S540" i="2"/>
  <c r="K540" i="2"/>
  <c r="J540" i="2"/>
  <c r="I540" i="2"/>
  <c r="T540" i="2" l="1"/>
  <c r="W540" i="2" s="1"/>
  <c r="E541" i="2" s="1"/>
  <c r="V540" i="2"/>
  <c r="Y540" i="2" s="1"/>
  <c r="G541" i="2" s="1"/>
  <c r="U540" i="2"/>
  <c r="X540" i="2" s="1"/>
  <c r="F541" i="2" s="1"/>
  <c r="C541" i="2" l="1"/>
  <c r="D541" i="2"/>
  <c r="H541" i="2"/>
  <c r="L541" i="2" s="1"/>
  <c r="B541" i="2"/>
  <c r="K541" i="2" l="1"/>
  <c r="S541" i="2"/>
  <c r="J541" i="2"/>
  <c r="I541" i="2"/>
  <c r="N541" i="2"/>
  <c r="O541" i="2" s="1"/>
  <c r="M541" i="2"/>
  <c r="R541" i="2" l="1"/>
  <c r="V541" i="2" s="1"/>
  <c r="Y541" i="2" s="1"/>
  <c r="G542" i="2" s="1"/>
  <c r="Q541" i="2"/>
  <c r="U541" i="2" s="1"/>
  <c r="X541" i="2" s="1"/>
  <c r="F542" i="2" s="1"/>
  <c r="P541" i="2"/>
  <c r="T541" i="2" s="1"/>
  <c r="W541" i="2" s="1"/>
  <c r="E542" i="2" s="1"/>
  <c r="C542" i="2" l="1"/>
  <c r="H542" i="2"/>
  <c r="N542" i="2" s="1"/>
  <c r="O542" i="2" s="1"/>
  <c r="B542" i="2"/>
  <c r="D542" i="2"/>
  <c r="K542" i="2" l="1"/>
  <c r="J542" i="2"/>
  <c r="S542" i="2"/>
  <c r="I542" i="2"/>
  <c r="R542" i="2"/>
  <c r="L542" i="2"/>
  <c r="P542" i="2" s="1"/>
  <c r="M542" i="2"/>
  <c r="Q542" i="2" s="1"/>
  <c r="T542" i="2" l="1"/>
  <c r="W542" i="2" s="1"/>
  <c r="E543" i="2" s="1"/>
  <c r="V542" i="2"/>
  <c r="Y542" i="2" s="1"/>
  <c r="G543" i="2" s="1"/>
  <c r="U542" i="2"/>
  <c r="X542" i="2" s="1"/>
  <c r="F543" i="2" s="1"/>
  <c r="D543" i="2" l="1"/>
  <c r="C543" i="2"/>
  <c r="H543" i="2"/>
  <c r="B543" i="2"/>
  <c r="K543" i="2" l="1"/>
  <c r="J543" i="2"/>
  <c r="I543" i="2"/>
  <c r="S543" i="2"/>
  <c r="L543" i="2"/>
  <c r="M543" i="2"/>
  <c r="N543" i="2"/>
  <c r="O543" i="2" s="1"/>
  <c r="R543" i="2" l="1"/>
  <c r="Q543" i="2"/>
  <c r="P543" i="2"/>
  <c r="T543" i="2" s="1"/>
  <c r="W543" i="2" s="1"/>
  <c r="E544" i="2" s="1"/>
  <c r="U543" i="2"/>
  <c r="X543" i="2" s="1"/>
  <c r="F544" i="2" s="1"/>
  <c r="V543" i="2"/>
  <c r="Y543" i="2" s="1"/>
  <c r="G544" i="2" s="1"/>
  <c r="C544" i="2" l="1"/>
  <c r="D544" i="2"/>
  <c r="H544" i="2"/>
  <c r="N544" i="2" s="1"/>
  <c r="O544" i="2" s="1"/>
  <c r="B544" i="2"/>
  <c r="L544" i="2" l="1"/>
  <c r="R544" i="2"/>
  <c r="P544" i="2"/>
  <c r="J544" i="2"/>
  <c r="K544" i="2"/>
  <c r="I544" i="2"/>
  <c r="S544" i="2"/>
  <c r="M544" i="2"/>
  <c r="Q544" i="2" s="1"/>
  <c r="T544" i="2" l="1"/>
  <c r="V544" i="2"/>
  <c r="Y544" i="2" s="1"/>
  <c r="G545" i="2" s="1"/>
  <c r="U544" i="2"/>
  <c r="W544" i="2"/>
  <c r="E545" i="2" s="1"/>
  <c r="X544" i="2"/>
  <c r="F545" i="2" s="1"/>
  <c r="D545" i="2" l="1"/>
  <c r="C545" i="2"/>
  <c r="H545" i="2"/>
  <c r="N545" i="2" s="1"/>
  <c r="O545" i="2" s="1"/>
  <c r="B545" i="2"/>
  <c r="L545" i="2" l="1"/>
  <c r="R545" i="2"/>
  <c r="P545" i="2"/>
  <c r="M545" i="2"/>
  <c r="Q545" i="2" s="1"/>
  <c r="K545" i="2"/>
  <c r="I545" i="2"/>
  <c r="S545" i="2"/>
  <c r="J545" i="2"/>
  <c r="T545" i="2" l="1"/>
  <c r="U545" i="2"/>
  <c r="V545" i="2"/>
  <c r="Y545" i="2"/>
  <c r="G546" i="2" s="1"/>
  <c r="X545" i="2"/>
  <c r="F546" i="2" s="1"/>
  <c r="W545" i="2"/>
  <c r="E546" i="2" s="1"/>
  <c r="H546" i="2" l="1"/>
  <c r="L546" i="2" s="1"/>
  <c r="B546" i="2"/>
  <c r="M546" i="2"/>
  <c r="C546" i="2"/>
  <c r="N546" i="2"/>
  <c r="O546" i="2" s="1"/>
  <c r="D546" i="2"/>
  <c r="R546" i="2" l="1"/>
  <c r="Q546" i="2"/>
  <c r="P546" i="2"/>
  <c r="K546" i="2"/>
  <c r="J546" i="2"/>
  <c r="S546" i="2"/>
  <c r="I546" i="2"/>
  <c r="T546" i="2" l="1"/>
  <c r="W546" i="2" s="1"/>
  <c r="E547" i="2" s="1"/>
  <c r="V546" i="2"/>
  <c r="U546" i="2"/>
  <c r="X546" i="2" s="1"/>
  <c r="F547" i="2" s="1"/>
  <c r="Y546" i="2"/>
  <c r="G547" i="2" s="1"/>
  <c r="C547" i="2" l="1"/>
  <c r="H547" i="2"/>
  <c r="L547" i="2" s="1"/>
  <c r="B547" i="2"/>
  <c r="D547" i="2"/>
  <c r="N547" i="2" l="1"/>
  <c r="O547" i="2" s="1"/>
  <c r="R547" i="2"/>
  <c r="P547" i="2"/>
  <c r="K547" i="2"/>
  <c r="I547" i="2"/>
  <c r="S547" i="2"/>
  <c r="J547" i="2"/>
  <c r="M547" i="2"/>
  <c r="Q547" i="2" s="1"/>
  <c r="T547" i="2" l="1"/>
  <c r="W547" i="2" s="1"/>
  <c r="E548" i="2" s="1"/>
  <c r="U547" i="2"/>
  <c r="X547" i="2" s="1"/>
  <c r="F548" i="2" s="1"/>
  <c r="V547" i="2"/>
  <c r="Y547" i="2" s="1"/>
  <c r="G548" i="2" s="1"/>
  <c r="C548" i="2" l="1"/>
  <c r="H548" i="2"/>
  <c r="N548" i="2" s="1"/>
  <c r="O548" i="2" s="1"/>
  <c r="B548" i="2"/>
  <c r="D548" i="2"/>
  <c r="R548" i="2" l="1"/>
  <c r="K548" i="2"/>
  <c r="J548" i="2"/>
  <c r="I548" i="2"/>
  <c r="S548" i="2"/>
  <c r="L548" i="2"/>
  <c r="P548" i="2" s="1"/>
  <c r="M548" i="2"/>
  <c r="Q548" i="2" s="1"/>
  <c r="T548" i="2" l="1"/>
  <c r="V548" i="2"/>
  <c r="U548" i="2"/>
  <c r="X548" i="2" s="1"/>
  <c r="F549" i="2" s="1"/>
  <c r="W548" i="2"/>
  <c r="E549" i="2" s="1"/>
  <c r="Y548" i="2"/>
  <c r="G549" i="2" s="1"/>
  <c r="C549" i="2" l="1"/>
  <c r="D549" i="2"/>
  <c r="H549" i="2"/>
  <c r="L549" i="2" s="1"/>
  <c r="B549" i="2"/>
  <c r="J549" i="2" l="1"/>
  <c r="S549" i="2"/>
  <c r="I549" i="2"/>
  <c r="K549" i="2"/>
  <c r="N549" i="2"/>
  <c r="O549" i="2" s="1"/>
  <c r="M549" i="2"/>
  <c r="R549" i="2" l="1"/>
  <c r="Q549" i="2"/>
  <c r="U549" i="2" s="1"/>
  <c r="X549" i="2" s="1"/>
  <c r="F550" i="2" s="1"/>
  <c r="P549" i="2"/>
  <c r="T549" i="2" s="1"/>
  <c r="W549" i="2" s="1"/>
  <c r="E550" i="2" s="1"/>
  <c r="V549" i="2"/>
  <c r="Y549" i="2"/>
  <c r="G550" i="2" s="1"/>
  <c r="H550" i="2" l="1"/>
  <c r="L550" i="2"/>
  <c r="B550" i="2"/>
  <c r="M550" i="2"/>
  <c r="C550" i="2"/>
  <c r="N550" i="2"/>
  <c r="O550" i="2" s="1"/>
  <c r="D550" i="2"/>
  <c r="R550" i="2" l="1"/>
  <c r="Q550" i="2"/>
  <c r="P550" i="2"/>
  <c r="S550" i="2"/>
  <c r="J550" i="2"/>
  <c r="I550" i="2"/>
  <c r="K550" i="2"/>
  <c r="T550" i="2" l="1"/>
  <c r="W550" i="2" s="1"/>
  <c r="E551" i="2" s="1"/>
  <c r="V550" i="2"/>
  <c r="Y550" i="2" s="1"/>
  <c r="G551" i="2" s="1"/>
  <c r="U550" i="2"/>
  <c r="X550" i="2" s="1"/>
  <c r="F551" i="2" s="1"/>
  <c r="D551" i="2" l="1"/>
  <c r="C551" i="2"/>
  <c r="H551" i="2"/>
  <c r="B551" i="2"/>
  <c r="K551" i="2" l="1"/>
  <c r="I551" i="2"/>
  <c r="J551" i="2"/>
  <c r="S551" i="2"/>
  <c r="L551" i="2"/>
  <c r="M551" i="2"/>
  <c r="N551" i="2"/>
  <c r="O551" i="2" s="1"/>
  <c r="R551" i="2" l="1"/>
  <c r="Q551" i="2"/>
  <c r="P551" i="2"/>
  <c r="T551" i="2" s="1"/>
  <c r="W551" i="2" s="1"/>
  <c r="E552" i="2" s="1"/>
  <c r="U551" i="2"/>
  <c r="V551" i="2"/>
  <c r="X551" i="2"/>
  <c r="F552" i="2" s="1"/>
  <c r="Y551" i="2"/>
  <c r="G552" i="2" s="1"/>
  <c r="H552" i="2" l="1"/>
  <c r="L552" i="2"/>
  <c r="B552" i="2"/>
  <c r="N552" i="2"/>
  <c r="O552" i="2" s="1"/>
  <c r="D552" i="2"/>
  <c r="M552" i="2"/>
  <c r="C552" i="2"/>
  <c r="R552" i="2" l="1"/>
  <c r="Q552" i="2"/>
  <c r="P552" i="2"/>
  <c r="I552" i="2"/>
  <c r="S552" i="2"/>
  <c r="J552" i="2"/>
  <c r="K552" i="2"/>
  <c r="T552" i="2" l="1"/>
  <c r="V552" i="2"/>
  <c r="U552" i="2"/>
  <c r="Y552" i="2"/>
  <c r="G553" i="2" s="1"/>
  <c r="X552" i="2"/>
  <c r="F553" i="2" s="1"/>
  <c r="W552" i="2"/>
  <c r="E553" i="2" s="1"/>
  <c r="C553" i="2" l="1"/>
  <c r="H553" i="2"/>
  <c r="N553" i="2" s="1"/>
  <c r="O553" i="2" s="1"/>
  <c r="B553" i="2"/>
  <c r="D553" i="2"/>
  <c r="K553" i="2" l="1"/>
  <c r="J553" i="2"/>
  <c r="I553" i="2"/>
  <c r="S553" i="2"/>
  <c r="M553" i="2"/>
  <c r="R553" i="2"/>
  <c r="Q553" i="2"/>
  <c r="L553" i="2"/>
  <c r="P553" i="2" s="1"/>
  <c r="T553" i="2" l="1"/>
  <c r="U553" i="2"/>
  <c r="V553" i="2"/>
  <c r="Y553" i="2" s="1"/>
  <c r="G554" i="2" s="1"/>
  <c r="W553" i="2"/>
  <c r="E554" i="2" s="1"/>
  <c r="X553" i="2"/>
  <c r="F554" i="2" s="1"/>
  <c r="D554" i="2" l="1"/>
  <c r="C554" i="2"/>
  <c r="H554" i="2"/>
  <c r="L554" i="2" s="1"/>
  <c r="B554" i="2"/>
  <c r="J554" i="2" l="1"/>
  <c r="I554" i="2"/>
  <c r="K554" i="2"/>
  <c r="S554" i="2"/>
  <c r="M554" i="2"/>
  <c r="N554" i="2"/>
  <c r="O554" i="2" s="1"/>
  <c r="R554" i="2" l="1"/>
  <c r="Q554" i="2"/>
  <c r="P554" i="2"/>
  <c r="T554" i="2" s="1"/>
  <c r="W554" i="2" s="1"/>
  <c r="E555" i="2" s="1"/>
  <c r="V554" i="2"/>
  <c r="Y554" i="2" s="1"/>
  <c r="G555" i="2" s="1"/>
  <c r="U554" i="2"/>
  <c r="X554" i="2"/>
  <c r="F555" i="2" s="1"/>
  <c r="H555" i="2" l="1"/>
  <c r="L555" i="2" s="1"/>
  <c r="B555" i="2"/>
  <c r="M555" i="2"/>
  <c r="C555" i="2"/>
  <c r="N555" i="2"/>
  <c r="O555" i="2" s="1"/>
  <c r="D555" i="2"/>
  <c r="R555" i="2" l="1"/>
  <c r="Q555" i="2"/>
  <c r="P555" i="2"/>
  <c r="K555" i="2"/>
  <c r="I555" i="2"/>
  <c r="J555" i="2"/>
  <c r="S555" i="2"/>
  <c r="T555" i="2" l="1"/>
  <c r="W555" i="2" s="1"/>
  <c r="E556" i="2" s="1"/>
  <c r="U555" i="2"/>
  <c r="X555" i="2" s="1"/>
  <c r="F556" i="2" s="1"/>
  <c r="V555" i="2"/>
  <c r="Y555" i="2" s="1"/>
  <c r="G556" i="2" s="1"/>
  <c r="C556" i="2" l="1"/>
  <c r="D556" i="2"/>
  <c r="H556" i="2"/>
  <c r="L556" i="2" s="1"/>
  <c r="B556" i="2"/>
  <c r="J556" i="2" l="1"/>
  <c r="I556" i="2"/>
  <c r="K556" i="2"/>
  <c r="S556" i="2"/>
  <c r="N556" i="2"/>
  <c r="O556" i="2" s="1"/>
  <c r="M556" i="2"/>
  <c r="R556" i="2" l="1"/>
  <c r="Q556" i="2"/>
  <c r="P556" i="2"/>
  <c r="T556" i="2" s="1"/>
  <c r="W556" i="2" s="1"/>
  <c r="E557" i="2" s="1"/>
  <c r="V556" i="2"/>
  <c r="U556" i="2"/>
  <c r="Y556" i="2"/>
  <c r="G557" i="2" s="1"/>
  <c r="X556" i="2"/>
  <c r="F557" i="2" s="1"/>
  <c r="H557" i="2" l="1"/>
  <c r="L557" i="2" s="1"/>
  <c r="B557" i="2"/>
  <c r="M557" i="2"/>
  <c r="C557" i="2"/>
  <c r="N557" i="2"/>
  <c r="O557" i="2" s="1"/>
  <c r="D557" i="2"/>
  <c r="R557" i="2" l="1"/>
  <c r="Q557" i="2"/>
  <c r="P557" i="2"/>
  <c r="J557" i="2"/>
  <c r="I557" i="2"/>
  <c r="K557" i="2"/>
  <c r="S557" i="2"/>
  <c r="T557" i="2" l="1"/>
  <c r="U557" i="2"/>
  <c r="V557" i="2"/>
  <c r="W557" i="2"/>
  <c r="E558" i="2" s="1"/>
  <c r="Y557" i="2"/>
  <c r="G558" i="2" s="1"/>
  <c r="X557" i="2"/>
  <c r="F558" i="2" s="1"/>
  <c r="D558" i="2" l="1"/>
  <c r="C558" i="2"/>
  <c r="H558" i="2"/>
  <c r="M558" i="2" s="1"/>
  <c r="B558" i="2"/>
  <c r="J558" i="2" l="1"/>
  <c r="I558" i="2"/>
  <c r="K558" i="2"/>
  <c r="S558" i="2"/>
  <c r="L558" i="2"/>
  <c r="N558" i="2"/>
  <c r="O558" i="2" s="1"/>
  <c r="R558" i="2" l="1"/>
  <c r="Q558" i="2"/>
  <c r="P558" i="2"/>
  <c r="T558" i="2"/>
  <c r="W558" i="2" s="1"/>
  <c r="E559" i="2" s="1"/>
  <c r="V558" i="2"/>
  <c r="Y558" i="2" s="1"/>
  <c r="G559" i="2" s="1"/>
  <c r="U558" i="2"/>
  <c r="X558" i="2" s="1"/>
  <c r="F559" i="2" s="1"/>
  <c r="D559" i="2" l="1"/>
  <c r="C559" i="2"/>
  <c r="H559" i="2"/>
  <c r="B559" i="2"/>
  <c r="I559" i="2" l="1"/>
  <c r="K559" i="2"/>
  <c r="S559" i="2"/>
  <c r="J559" i="2"/>
  <c r="M559" i="2"/>
  <c r="L559" i="2"/>
  <c r="N559" i="2"/>
  <c r="O559" i="2" s="1"/>
  <c r="R559" i="2" l="1"/>
  <c r="Q559" i="2"/>
  <c r="U559" i="2" s="1"/>
  <c r="X559" i="2" s="1"/>
  <c r="F560" i="2" s="1"/>
  <c r="P559" i="2"/>
  <c r="T559" i="2" s="1"/>
  <c r="W559" i="2" s="1"/>
  <c r="E560" i="2" s="1"/>
  <c r="V559" i="2"/>
  <c r="Y559" i="2" s="1"/>
  <c r="G560" i="2" s="1"/>
  <c r="D560" i="2" l="1"/>
  <c r="C560" i="2"/>
  <c r="H560" i="2"/>
  <c r="L560" i="2" s="1"/>
  <c r="B560" i="2"/>
  <c r="J560" i="2" l="1"/>
  <c r="I560" i="2"/>
  <c r="K560" i="2"/>
  <c r="S560" i="2"/>
  <c r="M560" i="2"/>
  <c r="N560" i="2"/>
  <c r="O560" i="2" s="1"/>
  <c r="R560" i="2" l="1"/>
  <c r="V560" i="2" s="1"/>
  <c r="Y560" i="2" s="1"/>
  <c r="G561" i="2" s="1"/>
  <c r="Q560" i="2"/>
  <c r="P560" i="2"/>
  <c r="T560" i="2" s="1"/>
  <c r="W560" i="2" s="1"/>
  <c r="E561" i="2" s="1"/>
  <c r="U560" i="2"/>
  <c r="X560" i="2" s="1"/>
  <c r="F561" i="2" s="1"/>
  <c r="D561" i="2" l="1"/>
  <c r="C561" i="2"/>
  <c r="H561" i="2"/>
  <c r="M561" i="2" s="1"/>
  <c r="B561" i="2"/>
  <c r="L561" i="2" l="1"/>
  <c r="I561" i="2"/>
  <c r="K561" i="2"/>
  <c r="S561" i="2"/>
  <c r="J561" i="2"/>
  <c r="N561" i="2"/>
  <c r="O561" i="2" s="1"/>
  <c r="R561" i="2" l="1"/>
  <c r="Q561" i="2"/>
  <c r="U561" i="2" s="1"/>
  <c r="X561" i="2" s="1"/>
  <c r="F562" i="2" s="1"/>
  <c r="P561" i="2"/>
  <c r="T561" i="2" s="1"/>
  <c r="W561" i="2" s="1"/>
  <c r="E562" i="2" s="1"/>
  <c r="V561" i="2"/>
  <c r="Y561" i="2" s="1"/>
  <c r="G562" i="2" s="1"/>
  <c r="D562" i="2" l="1"/>
  <c r="C562" i="2"/>
  <c r="H562" i="2"/>
  <c r="B562" i="2"/>
  <c r="J562" i="2" l="1"/>
  <c r="K562" i="2"/>
  <c r="I562" i="2"/>
  <c r="S562" i="2"/>
  <c r="L562" i="2"/>
  <c r="M562" i="2"/>
  <c r="N562" i="2"/>
  <c r="O562" i="2" s="1"/>
  <c r="R562" i="2" l="1"/>
  <c r="Q562" i="2"/>
  <c r="P562" i="2"/>
  <c r="T562" i="2" s="1"/>
  <c r="W562" i="2" s="1"/>
  <c r="E563" i="2" s="1"/>
  <c r="V562" i="2"/>
  <c r="Y562" i="2" s="1"/>
  <c r="G563" i="2" s="1"/>
  <c r="U562" i="2"/>
  <c r="X562" i="2" s="1"/>
  <c r="F563" i="2" s="1"/>
  <c r="D563" i="2" l="1"/>
  <c r="H563" i="2"/>
  <c r="B563" i="2"/>
  <c r="C563" i="2"/>
  <c r="K563" i="2" l="1"/>
  <c r="I563" i="2"/>
  <c r="J563" i="2"/>
  <c r="S563" i="2"/>
  <c r="M563" i="2"/>
  <c r="L563" i="2"/>
  <c r="N563" i="2"/>
  <c r="O563" i="2" s="1"/>
  <c r="R563" i="2" l="1"/>
  <c r="V563" i="2" s="1"/>
  <c r="Y563" i="2" s="1"/>
  <c r="G564" i="2" s="1"/>
  <c r="Q563" i="2"/>
  <c r="U563" i="2" s="1"/>
  <c r="X563" i="2" s="1"/>
  <c r="F564" i="2" s="1"/>
  <c r="P563" i="2"/>
  <c r="T563" i="2" s="1"/>
  <c r="W563" i="2" s="1"/>
  <c r="E564" i="2" s="1"/>
  <c r="C564" i="2" l="1"/>
  <c r="H564" i="2"/>
  <c r="B564" i="2"/>
  <c r="D564" i="2"/>
  <c r="J564" i="2" l="1"/>
  <c r="K564" i="2"/>
  <c r="I564" i="2"/>
  <c r="S564" i="2"/>
  <c r="N564" i="2"/>
  <c r="O564" i="2" s="1"/>
  <c r="L564" i="2"/>
  <c r="M564" i="2"/>
  <c r="R564" i="2" l="1"/>
  <c r="Q564" i="2"/>
  <c r="P564" i="2"/>
  <c r="T564" i="2" s="1"/>
  <c r="W564" i="2" s="1"/>
  <c r="E565" i="2" s="1"/>
  <c r="V564" i="2"/>
  <c r="Y564" i="2" s="1"/>
  <c r="G565" i="2" s="1"/>
  <c r="U564" i="2"/>
  <c r="X564" i="2"/>
  <c r="F565" i="2" s="1"/>
  <c r="D565" i="2" l="1"/>
  <c r="C565" i="2"/>
  <c r="H565" i="2"/>
  <c r="B565" i="2"/>
  <c r="K565" i="2" l="1"/>
  <c r="I565" i="2"/>
  <c r="S565" i="2"/>
  <c r="J565" i="2"/>
  <c r="M565" i="2"/>
  <c r="L565" i="2"/>
  <c r="N565" i="2"/>
  <c r="O565" i="2" s="1"/>
  <c r="R565" i="2" l="1"/>
  <c r="Q565" i="2"/>
  <c r="P565" i="2"/>
  <c r="T565" i="2" s="1"/>
  <c r="W565" i="2" s="1"/>
  <c r="E566" i="2" s="1"/>
  <c r="U565" i="2"/>
  <c r="X565" i="2" s="1"/>
  <c r="F566" i="2" s="1"/>
  <c r="V565" i="2"/>
  <c r="Y565" i="2" s="1"/>
  <c r="G566" i="2" s="1"/>
  <c r="C566" i="2" l="1"/>
  <c r="H566" i="2"/>
  <c r="L566" i="2" s="1"/>
  <c r="B566" i="2"/>
  <c r="N566" i="2"/>
  <c r="O566" i="2" s="1"/>
  <c r="D566" i="2"/>
  <c r="R566" i="2" l="1"/>
  <c r="P566" i="2"/>
  <c r="K566" i="2"/>
  <c r="J566" i="2"/>
  <c r="I566" i="2"/>
  <c r="S566" i="2"/>
  <c r="M566" i="2"/>
  <c r="Q566" i="2" s="1"/>
  <c r="T566" i="2" l="1"/>
  <c r="W566" i="2" s="1"/>
  <c r="E567" i="2" s="1"/>
  <c r="U566" i="2"/>
  <c r="V566" i="2"/>
  <c r="X566" i="2"/>
  <c r="F567" i="2" s="1"/>
  <c r="Y566" i="2"/>
  <c r="G567" i="2" s="1"/>
  <c r="H567" i="2" l="1"/>
  <c r="L567" i="2" s="1"/>
  <c r="B567" i="2"/>
  <c r="D567" i="2"/>
  <c r="C567" i="2"/>
  <c r="N567" i="2" l="1"/>
  <c r="O567" i="2" s="1"/>
  <c r="M567" i="2"/>
  <c r="R567" i="2"/>
  <c r="Q567" i="2"/>
  <c r="P567" i="2"/>
  <c r="K567" i="2"/>
  <c r="I567" i="2"/>
  <c r="J567" i="2"/>
  <c r="S567" i="2"/>
  <c r="T567" i="2" l="1"/>
  <c r="U567" i="2"/>
  <c r="X567" i="2" s="1"/>
  <c r="F568" i="2" s="1"/>
  <c r="V567" i="2"/>
  <c r="Y567" i="2" s="1"/>
  <c r="G568" i="2" s="1"/>
  <c r="W567" i="2"/>
  <c r="E568" i="2" s="1"/>
  <c r="D568" i="2" l="1"/>
  <c r="C568" i="2"/>
  <c r="H568" i="2"/>
  <c r="L568" i="2" s="1"/>
  <c r="B568" i="2"/>
  <c r="J568" i="2" l="1"/>
  <c r="I568" i="2"/>
  <c r="S568" i="2"/>
  <c r="K568" i="2"/>
  <c r="M568" i="2"/>
  <c r="N568" i="2"/>
  <c r="O568" i="2" s="1"/>
  <c r="R568" i="2" l="1"/>
  <c r="Q568" i="2"/>
  <c r="P568" i="2"/>
  <c r="T568" i="2"/>
  <c r="W568" i="2" s="1"/>
  <c r="E569" i="2" s="1"/>
  <c r="U568" i="2"/>
  <c r="X568" i="2" s="1"/>
  <c r="F569" i="2" s="1"/>
  <c r="V568" i="2"/>
  <c r="Y568" i="2" s="1"/>
  <c r="G569" i="2" s="1"/>
  <c r="C569" i="2" l="1"/>
  <c r="D569" i="2"/>
  <c r="H569" i="2"/>
  <c r="N569" i="2" s="1"/>
  <c r="O569" i="2" s="1"/>
  <c r="B569" i="2"/>
  <c r="R569" i="2" l="1"/>
  <c r="L569" i="2"/>
  <c r="P569" i="2" s="1"/>
  <c r="I569" i="2"/>
  <c r="J569" i="2"/>
  <c r="S569" i="2"/>
  <c r="K569" i="2"/>
  <c r="M569" i="2"/>
  <c r="Q569" i="2" s="1"/>
  <c r="T569" i="2" l="1"/>
  <c r="W569" i="2" s="1"/>
  <c r="E570" i="2" s="1"/>
  <c r="U569" i="2"/>
  <c r="V569" i="2"/>
  <c r="Y569" i="2" s="1"/>
  <c r="G570" i="2" s="1"/>
  <c r="X569" i="2"/>
  <c r="F570" i="2" s="1"/>
  <c r="D570" i="2" l="1"/>
  <c r="H570" i="2"/>
  <c r="L570" i="2" s="1"/>
  <c r="B570" i="2"/>
  <c r="M570" i="2"/>
  <c r="C570" i="2"/>
  <c r="J570" i="2" l="1"/>
  <c r="I570" i="2"/>
  <c r="S570" i="2"/>
  <c r="K570" i="2"/>
  <c r="N570" i="2"/>
  <c r="O570" i="2" s="1"/>
  <c r="R570" i="2" l="1"/>
  <c r="Q570" i="2"/>
  <c r="P570" i="2"/>
  <c r="T570" i="2" s="1"/>
  <c r="W570" i="2" s="1"/>
  <c r="E571" i="2" s="1"/>
  <c r="U570" i="2"/>
  <c r="V570" i="2"/>
  <c r="Y570" i="2"/>
  <c r="G571" i="2" s="1"/>
  <c r="X570" i="2"/>
  <c r="F571" i="2" s="1"/>
  <c r="H571" i="2" l="1"/>
  <c r="L571" i="2"/>
  <c r="B571" i="2"/>
  <c r="N571" i="2"/>
  <c r="O571" i="2" s="1"/>
  <c r="D571" i="2"/>
  <c r="M571" i="2"/>
  <c r="C571" i="2"/>
  <c r="R571" i="2" l="1"/>
  <c r="Q571" i="2"/>
  <c r="P571" i="2"/>
  <c r="J571" i="2"/>
  <c r="I571" i="2"/>
  <c r="S571" i="2"/>
  <c r="K571" i="2"/>
  <c r="T571" i="2" l="1"/>
  <c r="U571" i="2"/>
  <c r="X571" i="2" s="1"/>
  <c r="F572" i="2" s="1"/>
  <c r="V571" i="2"/>
  <c r="Y571" i="2" s="1"/>
  <c r="G572" i="2" s="1"/>
  <c r="W571" i="2"/>
  <c r="E572" i="2" s="1"/>
  <c r="C572" i="2" l="1"/>
  <c r="H572" i="2"/>
  <c r="N572" i="2" s="1"/>
  <c r="O572" i="2" s="1"/>
  <c r="B572" i="2"/>
  <c r="D572" i="2"/>
  <c r="J572" i="2" l="1"/>
  <c r="I572" i="2"/>
  <c r="S572" i="2"/>
  <c r="K572" i="2"/>
  <c r="R572" i="2"/>
  <c r="L572" i="2"/>
  <c r="P572" i="2" s="1"/>
  <c r="M572" i="2"/>
  <c r="Q572" i="2" s="1"/>
  <c r="T572" i="2" l="1"/>
  <c r="U572" i="2"/>
  <c r="V572" i="2"/>
  <c r="W572" i="2"/>
  <c r="E573" i="2" s="1"/>
  <c r="Y572" i="2"/>
  <c r="G573" i="2" s="1"/>
  <c r="X572" i="2"/>
  <c r="F573" i="2" s="1"/>
  <c r="D573" i="2" l="1"/>
  <c r="C573" i="2"/>
  <c r="H573" i="2"/>
  <c r="B573" i="2"/>
  <c r="J573" i="2" l="1"/>
  <c r="I573" i="2"/>
  <c r="S573" i="2"/>
  <c r="K573" i="2"/>
  <c r="L573" i="2"/>
  <c r="M573" i="2"/>
  <c r="N573" i="2"/>
  <c r="O573" i="2" s="1"/>
  <c r="R573" i="2" l="1"/>
  <c r="Q573" i="2"/>
  <c r="P573" i="2"/>
  <c r="T573" i="2" s="1"/>
  <c r="W573" i="2" s="1"/>
  <c r="E574" i="2" s="1"/>
  <c r="U573" i="2"/>
  <c r="X573" i="2" s="1"/>
  <c r="F574" i="2" s="1"/>
  <c r="V573" i="2"/>
  <c r="Y573" i="2" s="1"/>
  <c r="G574" i="2" s="1"/>
  <c r="C574" i="2" l="1"/>
  <c r="D574" i="2"/>
  <c r="H574" i="2"/>
  <c r="B574" i="2"/>
  <c r="I574" i="2" l="1"/>
  <c r="J574" i="2"/>
  <c r="S574" i="2"/>
  <c r="K574" i="2"/>
  <c r="L574" i="2"/>
  <c r="N574" i="2"/>
  <c r="O574" i="2" s="1"/>
  <c r="M574" i="2"/>
  <c r="R574" i="2" l="1"/>
  <c r="Q574" i="2"/>
  <c r="U574" i="2" s="1"/>
  <c r="X574" i="2" s="1"/>
  <c r="F575" i="2" s="1"/>
  <c r="P574" i="2"/>
  <c r="T574" i="2" s="1"/>
  <c r="W574" i="2" s="1"/>
  <c r="E575" i="2" s="1"/>
  <c r="V574" i="2"/>
  <c r="Y574" i="2" s="1"/>
  <c r="G575" i="2" s="1"/>
  <c r="D575" i="2" l="1"/>
  <c r="C575" i="2"/>
  <c r="H575" i="2"/>
  <c r="N575" i="2" s="1"/>
  <c r="O575" i="2" s="1"/>
  <c r="B575" i="2"/>
  <c r="L575" i="2" l="1"/>
  <c r="R575" i="2"/>
  <c r="P575" i="2"/>
  <c r="K575" i="2"/>
  <c r="J575" i="2"/>
  <c r="I575" i="2"/>
  <c r="S575" i="2"/>
  <c r="M575" i="2"/>
  <c r="Q575" i="2" s="1"/>
  <c r="T575" i="2" l="1"/>
  <c r="U575" i="2"/>
  <c r="X575" i="2" s="1"/>
  <c r="F576" i="2" s="1"/>
  <c r="V575" i="2"/>
  <c r="W575" i="2"/>
  <c r="E576" i="2" s="1"/>
  <c r="Y575" i="2"/>
  <c r="G576" i="2" s="1"/>
  <c r="C576" i="2" l="1"/>
  <c r="D576" i="2"/>
  <c r="H576" i="2"/>
  <c r="B576" i="2"/>
  <c r="J576" i="2" l="1"/>
  <c r="S576" i="2"/>
  <c r="K576" i="2"/>
  <c r="I576" i="2"/>
  <c r="N576" i="2"/>
  <c r="O576" i="2" s="1"/>
  <c r="L576" i="2"/>
  <c r="M576" i="2"/>
  <c r="R576" i="2" l="1"/>
  <c r="Q576" i="2"/>
  <c r="U576" i="2" s="1"/>
  <c r="X576" i="2" s="1"/>
  <c r="F577" i="2" s="1"/>
  <c r="P576" i="2"/>
  <c r="T576" i="2" s="1"/>
  <c r="W576" i="2" s="1"/>
  <c r="E577" i="2" s="1"/>
  <c r="V576" i="2"/>
  <c r="Y576" i="2"/>
  <c r="G577" i="2" s="1"/>
  <c r="C577" i="2" l="1"/>
  <c r="H577" i="2"/>
  <c r="N577" i="2" s="1"/>
  <c r="O577" i="2" s="1"/>
  <c r="B577" i="2"/>
  <c r="D577" i="2"/>
  <c r="R577" i="2" l="1"/>
  <c r="K577" i="2"/>
  <c r="I577" i="2"/>
  <c r="J577" i="2"/>
  <c r="S577" i="2"/>
  <c r="L577" i="2"/>
  <c r="P577" i="2" s="1"/>
  <c r="M577" i="2"/>
  <c r="Q577" i="2" s="1"/>
  <c r="T577" i="2" l="1"/>
  <c r="W577" i="2" s="1"/>
  <c r="E578" i="2" s="1"/>
  <c r="U577" i="2"/>
  <c r="X577" i="2" s="1"/>
  <c r="F578" i="2" s="1"/>
  <c r="V577" i="2"/>
  <c r="Y577" i="2" s="1"/>
  <c r="G578" i="2" s="1"/>
  <c r="C578" i="2" l="1"/>
  <c r="H578" i="2"/>
  <c r="N578" i="2" s="1"/>
  <c r="O578" i="2" s="1"/>
  <c r="B578" i="2"/>
  <c r="D578" i="2"/>
  <c r="J578" i="2" l="1"/>
  <c r="K578" i="2"/>
  <c r="I578" i="2"/>
  <c r="S578" i="2"/>
  <c r="M578" i="2"/>
  <c r="R578" i="2"/>
  <c r="Q578" i="2"/>
  <c r="L578" i="2"/>
  <c r="P578" i="2" s="1"/>
  <c r="T578" i="2" l="1"/>
  <c r="U578" i="2"/>
  <c r="V578" i="2"/>
  <c r="Y578" i="2" s="1"/>
  <c r="G579" i="2" s="1"/>
  <c r="W578" i="2"/>
  <c r="E579" i="2" s="1"/>
  <c r="X578" i="2"/>
  <c r="F579" i="2" s="1"/>
  <c r="D579" i="2" l="1"/>
  <c r="H579" i="2"/>
  <c r="M579" i="2" s="1"/>
  <c r="B579" i="2"/>
  <c r="C579" i="2"/>
  <c r="K579" i="2" l="1"/>
  <c r="I579" i="2"/>
  <c r="J579" i="2"/>
  <c r="S579" i="2"/>
  <c r="N579" i="2"/>
  <c r="O579" i="2" s="1"/>
  <c r="L579" i="2"/>
  <c r="R579" i="2" l="1"/>
  <c r="Q579" i="2"/>
  <c r="P579" i="2"/>
  <c r="T579" i="2" s="1"/>
  <c r="W579" i="2" s="1"/>
  <c r="E580" i="2" s="1"/>
  <c r="U579" i="2"/>
  <c r="V579" i="2"/>
  <c r="X579" i="2"/>
  <c r="F580" i="2" s="1"/>
  <c r="Y579" i="2"/>
  <c r="G580" i="2" s="1"/>
  <c r="H580" i="2" l="1"/>
  <c r="L580" i="2" s="1"/>
  <c r="B580" i="2"/>
  <c r="N580" i="2"/>
  <c r="O580" i="2" s="1"/>
  <c r="D580" i="2"/>
  <c r="M580" i="2"/>
  <c r="C580" i="2"/>
  <c r="R580" i="2" l="1"/>
  <c r="Q580" i="2"/>
  <c r="P580" i="2"/>
  <c r="J580" i="2"/>
  <c r="K580" i="2"/>
  <c r="I580" i="2"/>
  <c r="S580" i="2"/>
  <c r="T580" i="2" l="1"/>
  <c r="U580" i="2"/>
  <c r="V580" i="2"/>
  <c r="Y580" i="2"/>
  <c r="G581" i="2" s="1"/>
  <c r="W580" i="2"/>
  <c r="E581" i="2" s="1"/>
  <c r="X580" i="2"/>
  <c r="F581" i="2" s="1"/>
  <c r="D581" i="2" l="1"/>
  <c r="C581" i="2"/>
  <c r="H581" i="2"/>
  <c r="N581" i="2" s="1"/>
  <c r="O581" i="2" s="1"/>
  <c r="B581" i="2"/>
  <c r="L581" i="2" l="1"/>
  <c r="R581" i="2"/>
  <c r="P581" i="2"/>
  <c r="M581" i="2"/>
  <c r="Q581" i="2" s="1"/>
  <c r="I581" i="2"/>
  <c r="K581" i="2"/>
  <c r="J581" i="2"/>
  <c r="S581" i="2"/>
  <c r="T581" i="2" l="1"/>
  <c r="U581" i="2"/>
  <c r="V581" i="2"/>
  <c r="W581" i="2"/>
  <c r="E582" i="2" s="1"/>
  <c r="X581" i="2"/>
  <c r="F582" i="2" s="1"/>
  <c r="Y581" i="2"/>
  <c r="G582" i="2" s="1"/>
  <c r="C582" i="2" l="1"/>
  <c r="D582" i="2"/>
  <c r="H582" i="2"/>
  <c r="M582" i="2" s="1"/>
  <c r="B582" i="2"/>
  <c r="L582" i="2" l="1"/>
  <c r="K582" i="2"/>
  <c r="I582" i="2"/>
  <c r="S582" i="2"/>
  <c r="J582" i="2"/>
  <c r="N582" i="2"/>
  <c r="O582" i="2" s="1"/>
  <c r="R582" i="2" l="1"/>
  <c r="Q582" i="2"/>
  <c r="P582" i="2"/>
  <c r="T582" i="2"/>
  <c r="W582" i="2" s="1"/>
  <c r="E583" i="2" s="1"/>
  <c r="U582" i="2"/>
  <c r="X582" i="2" s="1"/>
  <c r="F583" i="2" s="1"/>
  <c r="V582" i="2"/>
  <c r="Y582" i="2" s="1"/>
  <c r="G583" i="2" s="1"/>
  <c r="C583" i="2" l="1"/>
  <c r="H583" i="2"/>
  <c r="N583" i="2" s="1"/>
  <c r="O583" i="2" s="1"/>
  <c r="B583" i="2"/>
  <c r="D583" i="2"/>
  <c r="J583" i="2" l="1"/>
  <c r="I583" i="2"/>
  <c r="S583" i="2"/>
  <c r="K583" i="2"/>
  <c r="R583" i="2"/>
  <c r="L583" i="2"/>
  <c r="P583" i="2" s="1"/>
  <c r="M583" i="2"/>
  <c r="Q583" i="2" s="1"/>
  <c r="T583" i="2" l="1"/>
  <c r="U583" i="2"/>
  <c r="X583" i="2" s="1"/>
  <c r="F584" i="2" s="1"/>
  <c r="V583" i="2"/>
  <c r="Y583" i="2" s="1"/>
  <c r="G584" i="2" s="1"/>
  <c r="W583" i="2"/>
  <c r="E584" i="2" s="1"/>
  <c r="D584" i="2" l="1"/>
  <c r="C584" i="2"/>
  <c r="H584" i="2"/>
  <c r="L584" i="2" s="1"/>
  <c r="B584" i="2"/>
  <c r="I584" i="2" l="1"/>
  <c r="S584" i="2"/>
  <c r="K584" i="2"/>
  <c r="J584" i="2"/>
  <c r="M584" i="2"/>
  <c r="N584" i="2"/>
  <c r="O584" i="2" s="1"/>
  <c r="R584" i="2" l="1"/>
  <c r="V584" i="2" s="1"/>
  <c r="Y584" i="2" s="1"/>
  <c r="G585" i="2" s="1"/>
  <c r="Q584" i="2"/>
  <c r="U584" i="2" s="1"/>
  <c r="X584" i="2" s="1"/>
  <c r="F585" i="2" s="1"/>
  <c r="P584" i="2"/>
  <c r="T584" i="2" s="1"/>
  <c r="W584" i="2" s="1"/>
  <c r="E585" i="2" s="1"/>
  <c r="C585" i="2" l="1"/>
  <c r="H585" i="2"/>
  <c r="B585" i="2"/>
  <c r="N585" i="2"/>
  <c r="O585" i="2" s="1"/>
  <c r="D585" i="2"/>
  <c r="R585" i="2" l="1"/>
  <c r="S585" i="2"/>
  <c r="I585" i="2"/>
  <c r="K585" i="2"/>
  <c r="J585" i="2"/>
  <c r="M585" i="2"/>
  <c r="Q585" i="2" s="1"/>
  <c r="L585" i="2"/>
  <c r="P585" i="2" s="1"/>
  <c r="T585" i="2" l="1"/>
  <c r="W585" i="2" s="1"/>
  <c r="E586" i="2" s="1"/>
  <c r="U585" i="2"/>
  <c r="X585" i="2" s="1"/>
  <c r="F586" i="2" s="1"/>
  <c r="V585" i="2"/>
  <c r="Y585" i="2" s="1"/>
  <c r="G586" i="2" s="1"/>
  <c r="C586" i="2" l="1"/>
  <c r="D586" i="2"/>
  <c r="H586" i="2"/>
  <c r="N586" i="2" s="1"/>
  <c r="O586" i="2" s="1"/>
  <c r="L586" i="2"/>
  <c r="B586" i="2"/>
  <c r="R586" i="2" l="1"/>
  <c r="P586" i="2"/>
  <c r="I586" i="2"/>
  <c r="S586" i="2"/>
  <c r="K586" i="2"/>
  <c r="J586" i="2"/>
  <c r="M586" i="2"/>
  <c r="Q586" i="2" s="1"/>
  <c r="T586" i="2" l="1"/>
  <c r="W586" i="2" s="1"/>
  <c r="E587" i="2" s="1"/>
  <c r="U586" i="2"/>
  <c r="X586" i="2" s="1"/>
  <c r="F587" i="2" s="1"/>
  <c r="V586" i="2"/>
  <c r="Y586" i="2" s="1"/>
  <c r="G587" i="2" s="1"/>
  <c r="D587" i="2" l="1"/>
  <c r="C587" i="2"/>
  <c r="H587" i="2"/>
  <c r="L587" i="2" s="1"/>
  <c r="B587" i="2"/>
  <c r="K587" i="2" l="1"/>
  <c r="I587" i="2"/>
  <c r="S587" i="2"/>
  <c r="J587" i="2"/>
  <c r="M587" i="2"/>
  <c r="N587" i="2"/>
  <c r="O587" i="2" s="1"/>
  <c r="R587" i="2" l="1"/>
  <c r="Q587" i="2"/>
  <c r="U587" i="2" s="1"/>
  <c r="X587" i="2" s="1"/>
  <c r="F588" i="2" s="1"/>
  <c r="P587" i="2"/>
  <c r="T587" i="2" s="1"/>
  <c r="W587" i="2" s="1"/>
  <c r="E588" i="2" s="1"/>
  <c r="V587" i="2"/>
  <c r="Y587" i="2" s="1"/>
  <c r="G588" i="2" s="1"/>
  <c r="C588" i="2" l="1"/>
  <c r="H588" i="2"/>
  <c r="N588" i="2" s="1"/>
  <c r="O588" i="2" s="1"/>
  <c r="B588" i="2"/>
  <c r="D588" i="2"/>
  <c r="S588" i="2" l="1"/>
  <c r="I588" i="2"/>
  <c r="K588" i="2"/>
  <c r="J588" i="2"/>
  <c r="R588" i="2"/>
  <c r="L588" i="2"/>
  <c r="P588" i="2" s="1"/>
  <c r="M588" i="2"/>
  <c r="Q588" i="2" s="1"/>
  <c r="T588" i="2" l="1"/>
  <c r="W588" i="2" s="1"/>
  <c r="E589" i="2" s="1"/>
  <c r="U588" i="2"/>
  <c r="X588" i="2" s="1"/>
  <c r="F589" i="2" s="1"/>
  <c r="V588" i="2"/>
  <c r="Y588" i="2" s="1"/>
  <c r="G589" i="2" s="1"/>
  <c r="C589" i="2" l="1"/>
  <c r="D589" i="2"/>
  <c r="H589" i="2"/>
  <c r="L589" i="2" s="1"/>
  <c r="B589" i="2"/>
  <c r="J589" i="2" l="1"/>
  <c r="K589" i="2"/>
  <c r="I589" i="2"/>
  <c r="S589" i="2"/>
  <c r="N589" i="2"/>
  <c r="O589" i="2" s="1"/>
  <c r="M589" i="2"/>
  <c r="R589" i="2" l="1"/>
  <c r="Q589" i="2"/>
  <c r="U589" i="2" s="1"/>
  <c r="X589" i="2" s="1"/>
  <c r="F590" i="2" s="1"/>
  <c r="P589" i="2"/>
  <c r="T589" i="2" s="1"/>
  <c r="W589" i="2" s="1"/>
  <c r="E590" i="2" s="1"/>
  <c r="V589" i="2"/>
  <c r="Y589" i="2" s="1"/>
  <c r="G590" i="2" s="1"/>
  <c r="C590" i="2" l="1"/>
  <c r="D590" i="2"/>
  <c r="H590" i="2"/>
  <c r="N590" i="2" s="1"/>
  <c r="O590" i="2" s="1"/>
  <c r="B590" i="2"/>
  <c r="L590" i="2" l="1"/>
  <c r="R590" i="2"/>
  <c r="P590" i="2"/>
  <c r="I590" i="2"/>
  <c r="K590" i="2"/>
  <c r="J590" i="2"/>
  <c r="S590" i="2"/>
  <c r="M590" i="2"/>
  <c r="Q590" i="2" s="1"/>
  <c r="T590" i="2" l="1"/>
  <c r="W590" i="2" s="1"/>
  <c r="E591" i="2" s="1"/>
  <c r="U590" i="2"/>
  <c r="X590" i="2" s="1"/>
  <c r="F591" i="2" s="1"/>
  <c r="V590" i="2"/>
  <c r="Y590" i="2" s="1"/>
  <c r="G591" i="2" s="1"/>
  <c r="C591" i="2" l="1"/>
  <c r="D591" i="2"/>
  <c r="H591" i="2"/>
  <c r="M591" i="2" s="1"/>
  <c r="B591" i="2"/>
  <c r="L591" i="2" l="1"/>
  <c r="N591" i="2"/>
  <c r="O591" i="2" s="1"/>
  <c r="K591" i="2"/>
  <c r="I591" i="2"/>
  <c r="J591" i="2"/>
  <c r="S591" i="2"/>
  <c r="R591" i="2" l="1"/>
  <c r="V591" i="2" s="1"/>
  <c r="Y591" i="2" s="1"/>
  <c r="G592" i="2" s="1"/>
  <c r="Q591" i="2"/>
  <c r="U591" i="2" s="1"/>
  <c r="X591" i="2" s="1"/>
  <c r="F592" i="2" s="1"/>
  <c r="P591" i="2"/>
  <c r="T591" i="2" s="1"/>
  <c r="W591" i="2" s="1"/>
  <c r="E592" i="2" s="1"/>
  <c r="C592" i="2" l="1"/>
  <c r="H592" i="2"/>
  <c r="B592" i="2"/>
  <c r="N592" i="2"/>
  <c r="O592" i="2" s="1"/>
  <c r="D592" i="2"/>
  <c r="K592" i="2" l="1"/>
  <c r="S592" i="2"/>
  <c r="J592" i="2"/>
  <c r="I592" i="2"/>
  <c r="M592" i="2"/>
  <c r="R592" i="2"/>
  <c r="Q592" i="2"/>
  <c r="L592" i="2"/>
  <c r="P592" i="2" s="1"/>
  <c r="T592" i="2" l="1"/>
  <c r="W592" i="2" s="1"/>
  <c r="E593" i="2" s="1"/>
  <c r="U592" i="2"/>
  <c r="V592" i="2"/>
  <c r="X592" i="2"/>
  <c r="F593" i="2" s="1"/>
  <c r="Y592" i="2"/>
  <c r="G593" i="2" s="1"/>
  <c r="H593" i="2" l="1"/>
  <c r="L593" i="2"/>
  <c r="B593" i="2"/>
  <c r="M593" i="2"/>
  <c r="C593" i="2"/>
  <c r="N593" i="2"/>
  <c r="O593" i="2" s="1"/>
  <c r="D593" i="2"/>
  <c r="R593" i="2" l="1"/>
  <c r="Q593" i="2"/>
  <c r="P593" i="2"/>
  <c r="I593" i="2"/>
  <c r="K593" i="2"/>
  <c r="J593" i="2"/>
  <c r="S593" i="2"/>
  <c r="T593" i="2" l="1"/>
  <c r="U593" i="2"/>
  <c r="V593" i="2"/>
  <c r="X593" i="2"/>
  <c r="F594" i="2" s="1"/>
  <c r="W593" i="2"/>
  <c r="E594" i="2" s="1"/>
  <c r="Y593" i="2"/>
  <c r="G594" i="2" s="1"/>
  <c r="H594" i="2" l="1"/>
  <c r="L594" i="2" s="1"/>
  <c r="B594" i="2"/>
  <c r="N594" i="2"/>
  <c r="O594" i="2" s="1"/>
  <c r="D594" i="2"/>
  <c r="M594" i="2"/>
  <c r="C594" i="2"/>
  <c r="R594" i="2" l="1"/>
  <c r="Q594" i="2"/>
  <c r="P594" i="2"/>
  <c r="K594" i="2"/>
  <c r="J594" i="2"/>
  <c r="S594" i="2"/>
  <c r="I594" i="2"/>
  <c r="T594" i="2" l="1"/>
  <c r="W594" i="2" s="1"/>
  <c r="E595" i="2" s="1"/>
  <c r="U594" i="2"/>
  <c r="X594" i="2" s="1"/>
  <c r="F595" i="2" s="1"/>
  <c r="V594" i="2"/>
  <c r="Y594" i="2" s="1"/>
  <c r="G595" i="2" s="1"/>
  <c r="H595" i="2" l="1"/>
  <c r="L595" i="2" s="1"/>
  <c r="B595" i="2"/>
  <c r="N595" i="2"/>
  <c r="O595" i="2" s="1"/>
  <c r="D595" i="2"/>
  <c r="M595" i="2"/>
  <c r="C595" i="2"/>
  <c r="R595" i="2" l="1"/>
  <c r="Q595" i="2"/>
  <c r="P595" i="2"/>
  <c r="K595" i="2"/>
  <c r="S595" i="2"/>
  <c r="I595" i="2"/>
  <c r="J595" i="2"/>
  <c r="T595" i="2" l="1"/>
  <c r="W595" i="2" s="1"/>
  <c r="E596" i="2" s="1"/>
  <c r="U595" i="2"/>
  <c r="X595" i="2" s="1"/>
  <c r="F596" i="2" s="1"/>
  <c r="V595" i="2"/>
  <c r="Y595" i="2" s="1"/>
  <c r="G596" i="2" s="1"/>
  <c r="C596" i="2" l="1"/>
  <c r="H596" i="2"/>
  <c r="N596" i="2" s="1"/>
  <c r="O596" i="2" s="1"/>
  <c r="B596" i="2"/>
  <c r="D596" i="2"/>
  <c r="R596" i="2" l="1"/>
  <c r="K596" i="2"/>
  <c r="S596" i="2"/>
  <c r="J596" i="2"/>
  <c r="I596" i="2"/>
  <c r="L596" i="2"/>
  <c r="P596" i="2" s="1"/>
  <c r="M596" i="2"/>
  <c r="Q596" i="2" s="1"/>
  <c r="T596" i="2" l="1"/>
  <c r="W596" i="2" s="1"/>
  <c r="E597" i="2" s="1"/>
  <c r="U596" i="2"/>
  <c r="X596" i="2" s="1"/>
  <c r="F597" i="2" s="1"/>
  <c r="V596" i="2"/>
  <c r="Y596" i="2" s="1"/>
  <c r="G597" i="2" s="1"/>
  <c r="C597" i="2" l="1"/>
  <c r="D597" i="2"/>
  <c r="H597" i="2"/>
  <c r="L597" i="2" s="1"/>
  <c r="B597" i="2"/>
  <c r="J597" i="2" l="1"/>
  <c r="K597" i="2"/>
  <c r="S597" i="2"/>
  <c r="I597" i="2"/>
  <c r="N597" i="2"/>
  <c r="O597" i="2" s="1"/>
  <c r="M597" i="2"/>
  <c r="R597" i="2" l="1"/>
  <c r="Q597" i="2"/>
  <c r="P597" i="2"/>
  <c r="T597" i="2" s="1"/>
  <c r="W597" i="2" s="1"/>
  <c r="E598" i="2" s="1"/>
  <c r="U597" i="2"/>
  <c r="X597" i="2" s="1"/>
  <c r="F598" i="2" s="1"/>
  <c r="V597" i="2"/>
  <c r="Y597" i="2" s="1"/>
  <c r="G598" i="2" s="1"/>
  <c r="D598" i="2" l="1"/>
  <c r="H598" i="2"/>
  <c r="M598" i="2" s="1"/>
  <c r="B598" i="2"/>
  <c r="C598" i="2"/>
  <c r="S598" i="2" l="1"/>
  <c r="I598" i="2"/>
  <c r="J598" i="2"/>
  <c r="K598" i="2"/>
  <c r="L598" i="2"/>
  <c r="N598" i="2"/>
  <c r="O598" i="2" s="1"/>
  <c r="R598" i="2" l="1"/>
  <c r="Q598" i="2"/>
  <c r="P598" i="2"/>
  <c r="T598" i="2" s="1"/>
  <c r="W598" i="2" s="1"/>
  <c r="E599" i="2" s="1"/>
  <c r="U598" i="2"/>
  <c r="X598" i="2" s="1"/>
  <c r="F599" i="2" s="1"/>
  <c r="V598" i="2"/>
  <c r="Y598" i="2" s="1"/>
  <c r="G599" i="2" s="1"/>
  <c r="C599" i="2" l="1"/>
  <c r="D599" i="2"/>
  <c r="H599" i="2"/>
  <c r="L599" i="2" s="1"/>
  <c r="B599" i="2"/>
  <c r="K599" i="2" l="1"/>
  <c r="I599" i="2"/>
  <c r="J599" i="2"/>
  <c r="S599" i="2"/>
  <c r="N599" i="2"/>
  <c r="O599" i="2" s="1"/>
  <c r="M599" i="2"/>
  <c r="R599" i="2" l="1"/>
  <c r="V599" i="2" s="1"/>
  <c r="Y599" i="2" s="1"/>
  <c r="G600" i="2" s="1"/>
  <c r="Q599" i="2"/>
  <c r="U599" i="2" s="1"/>
  <c r="X599" i="2" s="1"/>
  <c r="F600" i="2" s="1"/>
  <c r="P599" i="2"/>
  <c r="T599" i="2" s="1"/>
  <c r="W599" i="2" s="1"/>
  <c r="E600" i="2" s="1"/>
  <c r="C600" i="2" l="1"/>
  <c r="H600" i="2"/>
  <c r="N600" i="2" s="1"/>
  <c r="O600" i="2" s="1"/>
  <c r="B600" i="2"/>
  <c r="D600" i="2"/>
  <c r="R600" i="2" l="1"/>
  <c r="S600" i="2"/>
  <c r="I600" i="2"/>
  <c r="J600" i="2"/>
  <c r="K600" i="2"/>
  <c r="L600" i="2"/>
  <c r="P600" i="2" s="1"/>
  <c r="M600" i="2"/>
  <c r="Q600" i="2" s="1"/>
  <c r="T600" i="2" l="1"/>
  <c r="W600" i="2" s="1"/>
  <c r="E601" i="2" s="1"/>
  <c r="U600" i="2"/>
  <c r="X600" i="2" s="1"/>
  <c r="F601" i="2" s="1"/>
  <c r="V600" i="2"/>
  <c r="Y600" i="2" s="1"/>
  <c r="G601" i="2" s="1"/>
  <c r="C601" i="2" l="1"/>
  <c r="D601" i="2"/>
  <c r="H601" i="2"/>
  <c r="L601" i="2" s="1"/>
  <c r="B601" i="2"/>
  <c r="K601" i="2" l="1"/>
  <c r="I601" i="2"/>
  <c r="S601" i="2"/>
  <c r="J601" i="2"/>
  <c r="N601" i="2"/>
  <c r="O601" i="2" s="1"/>
  <c r="M601" i="2"/>
  <c r="R601" i="2" l="1"/>
  <c r="V601" i="2" s="1"/>
  <c r="Y601" i="2" s="1"/>
  <c r="G602" i="2" s="1"/>
  <c r="Q601" i="2"/>
  <c r="P601" i="2"/>
  <c r="T601" i="2" s="1"/>
  <c r="W601" i="2" s="1"/>
  <c r="E602" i="2" s="1"/>
  <c r="U601" i="2"/>
  <c r="X601" i="2" s="1"/>
  <c r="F602" i="2" s="1"/>
  <c r="C602" i="2" l="1"/>
  <c r="H602" i="2"/>
  <c r="B602" i="2"/>
  <c r="N602" i="2"/>
  <c r="O602" i="2" s="1"/>
  <c r="D602" i="2"/>
  <c r="I602" i="2" l="1"/>
  <c r="J602" i="2"/>
  <c r="K602" i="2"/>
  <c r="S602" i="2"/>
  <c r="R602" i="2"/>
  <c r="L602" i="2"/>
  <c r="P602" i="2" s="1"/>
  <c r="M602" i="2"/>
  <c r="Q602" i="2" s="1"/>
  <c r="T602" i="2" l="1"/>
  <c r="U602" i="2"/>
  <c r="X602" i="2" s="1"/>
  <c r="F603" i="2" s="1"/>
  <c r="V602" i="2"/>
  <c r="Y602" i="2" s="1"/>
  <c r="G603" i="2" s="1"/>
  <c r="W602" i="2"/>
  <c r="E603" i="2" s="1"/>
  <c r="D603" i="2" l="1"/>
  <c r="C603" i="2"/>
  <c r="H603" i="2"/>
  <c r="B603" i="2"/>
  <c r="K603" i="2" l="1"/>
  <c r="I603" i="2"/>
  <c r="J603" i="2"/>
  <c r="S603" i="2"/>
  <c r="L603" i="2"/>
  <c r="M603" i="2"/>
  <c r="N603" i="2"/>
  <c r="O603" i="2" s="1"/>
  <c r="R603" i="2" l="1"/>
  <c r="Q603" i="2"/>
  <c r="U603" i="2" s="1"/>
  <c r="X603" i="2" s="1"/>
  <c r="F604" i="2" s="1"/>
  <c r="P603" i="2"/>
  <c r="T603" i="2" s="1"/>
  <c r="W603" i="2" s="1"/>
  <c r="E604" i="2" s="1"/>
  <c r="V603" i="2"/>
  <c r="Y603" i="2" s="1"/>
  <c r="G604" i="2" s="1"/>
  <c r="D604" i="2" l="1"/>
  <c r="H604" i="2"/>
  <c r="L604" i="2" s="1"/>
  <c r="B604" i="2"/>
  <c r="C604" i="2"/>
  <c r="M604" i="2" l="1"/>
  <c r="K604" i="2"/>
  <c r="I604" i="2"/>
  <c r="J604" i="2"/>
  <c r="S604" i="2"/>
  <c r="N604" i="2"/>
  <c r="O604" i="2" s="1"/>
  <c r="R604" i="2" l="1"/>
  <c r="Q604" i="2"/>
  <c r="P604" i="2"/>
  <c r="T604" i="2" s="1"/>
  <c r="W604" i="2" s="1"/>
  <c r="E605" i="2" s="1"/>
  <c r="U604" i="2"/>
  <c r="X604" i="2" s="1"/>
  <c r="F605" i="2" s="1"/>
  <c r="V604" i="2"/>
  <c r="Y604" i="2"/>
  <c r="G605" i="2" s="1"/>
  <c r="H605" i="2" l="1"/>
  <c r="L605" i="2"/>
  <c r="B605" i="2"/>
  <c r="M605" i="2"/>
  <c r="C605" i="2"/>
  <c r="N605" i="2"/>
  <c r="O605" i="2" s="1"/>
  <c r="D605" i="2"/>
  <c r="R605" i="2" l="1"/>
  <c r="Q605" i="2"/>
  <c r="P605" i="2"/>
  <c r="I605" i="2"/>
  <c r="J605" i="2"/>
  <c r="K605" i="2"/>
  <c r="S605" i="2"/>
  <c r="T605" i="2" l="1"/>
  <c r="U605" i="2"/>
  <c r="X605" i="2" s="1"/>
  <c r="F606" i="2" s="1"/>
  <c r="V605" i="2"/>
  <c r="Y605" i="2"/>
  <c r="G606" i="2" s="1"/>
  <c r="W605" i="2"/>
  <c r="E606" i="2" s="1"/>
  <c r="C606" i="2" l="1"/>
  <c r="H606" i="2"/>
  <c r="B606" i="2"/>
  <c r="D606" i="2"/>
  <c r="I606" i="2" l="1"/>
  <c r="J606" i="2"/>
  <c r="K606" i="2"/>
  <c r="S606" i="2"/>
  <c r="N606" i="2"/>
  <c r="O606" i="2" s="1"/>
  <c r="L606" i="2"/>
  <c r="M606" i="2"/>
  <c r="R606" i="2" l="1"/>
  <c r="V606" i="2" s="1"/>
  <c r="Y606" i="2" s="1"/>
  <c r="G607" i="2" s="1"/>
  <c r="Q606" i="2"/>
  <c r="U606" i="2" s="1"/>
  <c r="X606" i="2" s="1"/>
  <c r="F607" i="2" s="1"/>
  <c r="P606" i="2"/>
  <c r="T606" i="2" s="1"/>
  <c r="W606" i="2" s="1"/>
  <c r="E607" i="2" s="1"/>
  <c r="C607" i="2" l="1"/>
  <c r="H607" i="2"/>
  <c r="B607" i="2"/>
  <c r="D607" i="2"/>
  <c r="I607" i="2" l="1"/>
  <c r="K607" i="2"/>
  <c r="J607" i="2"/>
  <c r="S607" i="2"/>
  <c r="N607" i="2"/>
  <c r="O607" i="2" s="1"/>
  <c r="L607" i="2"/>
  <c r="M607" i="2"/>
  <c r="R607" i="2" l="1"/>
  <c r="V607" i="2" s="1"/>
  <c r="Y607" i="2" s="1"/>
  <c r="G608" i="2" s="1"/>
  <c r="Q607" i="2"/>
  <c r="U607" i="2" s="1"/>
  <c r="X607" i="2" s="1"/>
  <c r="F608" i="2" s="1"/>
  <c r="P607" i="2"/>
  <c r="T607" i="2" s="1"/>
  <c r="W607" i="2" s="1"/>
  <c r="E608" i="2" s="1"/>
  <c r="H608" i="2" l="1"/>
  <c r="L608" i="2" s="1"/>
  <c r="B608" i="2"/>
  <c r="M608" i="2"/>
  <c r="C608" i="2"/>
  <c r="N608" i="2"/>
  <c r="O608" i="2" s="1"/>
  <c r="D608" i="2"/>
  <c r="R608" i="2" l="1"/>
  <c r="Q608" i="2"/>
  <c r="P608" i="2"/>
  <c r="J608" i="2"/>
  <c r="K608" i="2"/>
  <c r="S608" i="2"/>
  <c r="I608" i="2"/>
  <c r="T608" i="2" l="1"/>
  <c r="U608" i="2"/>
  <c r="V608" i="2"/>
  <c r="W608" i="2"/>
  <c r="E609" i="2" s="1"/>
  <c r="Y608" i="2"/>
  <c r="G609" i="2" s="1"/>
  <c r="X608" i="2"/>
  <c r="F609" i="2" s="1"/>
  <c r="D609" i="2" l="1"/>
  <c r="C609" i="2"/>
  <c r="H609" i="2"/>
  <c r="B609" i="2"/>
  <c r="J609" i="2" l="1"/>
  <c r="K609" i="2"/>
  <c r="S609" i="2"/>
  <c r="I609" i="2"/>
  <c r="L609" i="2"/>
  <c r="M609" i="2"/>
  <c r="N609" i="2"/>
  <c r="O609" i="2" s="1"/>
  <c r="R609" i="2" l="1"/>
  <c r="Q609" i="2"/>
  <c r="P609" i="2"/>
  <c r="T609" i="2" s="1"/>
  <c r="W609" i="2" s="1"/>
  <c r="E610" i="2" s="1"/>
  <c r="U609" i="2"/>
  <c r="V609" i="2"/>
  <c r="Y609" i="2" s="1"/>
  <c r="G610" i="2" s="1"/>
  <c r="X609" i="2"/>
  <c r="F610" i="2" s="1"/>
  <c r="D610" i="2" l="1"/>
  <c r="H610" i="2"/>
  <c r="L610" i="2" s="1"/>
  <c r="B610" i="2"/>
  <c r="C610" i="2"/>
  <c r="M610" i="2" l="1"/>
  <c r="K610" i="2"/>
  <c r="S610" i="2"/>
  <c r="J610" i="2"/>
  <c r="I610" i="2"/>
  <c r="N610" i="2"/>
  <c r="O610" i="2" s="1"/>
  <c r="R610" i="2" l="1"/>
  <c r="Q610" i="2"/>
  <c r="P610" i="2"/>
  <c r="T610" i="2" s="1"/>
  <c r="W610" i="2" s="1"/>
  <c r="E611" i="2" s="1"/>
  <c r="U610" i="2"/>
  <c r="X610" i="2" s="1"/>
  <c r="F611" i="2" s="1"/>
  <c r="V610" i="2"/>
  <c r="Y610" i="2" s="1"/>
  <c r="G611" i="2" s="1"/>
  <c r="C611" i="2" l="1"/>
  <c r="H611" i="2"/>
  <c r="M611" i="2" s="1"/>
  <c r="B611" i="2"/>
  <c r="D611" i="2"/>
  <c r="N611" i="2" l="1"/>
  <c r="O611" i="2" s="1"/>
  <c r="L611" i="2"/>
  <c r="K611" i="2"/>
  <c r="J611" i="2"/>
  <c r="I611" i="2"/>
  <c r="S611" i="2"/>
  <c r="R611" i="2" l="1"/>
  <c r="V611" i="2" s="1"/>
  <c r="Y611" i="2" s="1"/>
  <c r="G612" i="2" s="1"/>
  <c r="Q611" i="2"/>
  <c r="U611" i="2" s="1"/>
  <c r="X611" i="2" s="1"/>
  <c r="F612" i="2" s="1"/>
  <c r="P611" i="2"/>
  <c r="T611" i="2" s="1"/>
  <c r="W611" i="2" s="1"/>
  <c r="E612" i="2" s="1"/>
  <c r="C612" i="2" l="1"/>
  <c r="H612" i="2"/>
  <c r="L612" i="2" s="1"/>
  <c r="B612" i="2"/>
  <c r="D612" i="2"/>
  <c r="N612" i="2" l="1"/>
  <c r="O612" i="2" s="1"/>
  <c r="R612" i="2"/>
  <c r="P612" i="2"/>
  <c r="K612" i="2"/>
  <c r="S612" i="2"/>
  <c r="J612" i="2"/>
  <c r="I612" i="2"/>
  <c r="M612" i="2"/>
  <c r="Q612" i="2" s="1"/>
  <c r="T612" i="2" l="1"/>
  <c r="W612" i="2" s="1"/>
  <c r="E613" i="2" s="1"/>
  <c r="U612" i="2"/>
  <c r="X612" i="2" s="1"/>
  <c r="F613" i="2" s="1"/>
  <c r="V612" i="2"/>
  <c r="Y612" i="2" s="1"/>
  <c r="G613" i="2" s="1"/>
  <c r="C613" i="2" l="1"/>
  <c r="H613" i="2"/>
  <c r="L613" i="2" s="1"/>
  <c r="B613" i="2"/>
  <c r="N613" i="2"/>
  <c r="O613" i="2" s="1"/>
  <c r="D613" i="2"/>
  <c r="R613" i="2" l="1"/>
  <c r="P613" i="2"/>
  <c r="K613" i="2"/>
  <c r="I613" i="2"/>
  <c r="J613" i="2"/>
  <c r="S613" i="2"/>
  <c r="M613" i="2"/>
  <c r="Q613" i="2" s="1"/>
  <c r="T613" i="2" l="1"/>
  <c r="W613" i="2" s="1"/>
  <c r="E614" i="2" s="1"/>
  <c r="U613" i="2"/>
  <c r="V613" i="2"/>
  <c r="X613" i="2"/>
  <c r="F614" i="2" s="1"/>
  <c r="Y613" i="2"/>
  <c r="G614" i="2" s="1"/>
  <c r="H614" i="2" l="1"/>
  <c r="L614" i="2"/>
  <c r="B614" i="2"/>
  <c r="N614" i="2"/>
  <c r="O614" i="2" s="1"/>
  <c r="D614" i="2"/>
  <c r="M614" i="2"/>
  <c r="C614" i="2"/>
  <c r="R614" i="2" l="1"/>
  <c r="Q614" i="2"/>
  <c r="P614" i="2"/>
  <c r="K614" i="2"/>
  <c r="J614" i="2"/>
  <c r="I614" i="2"/>
  <c r="S614" i="2"/>
  <c r="T614" i="2" l="1"/>
  <c r="U614" i="2"/>
  <c r="X614" i="2" s="1"/>
  <c r="F615" i="2" s="1"/>
  <c r="V614" i="2"/>
  <c r="W614" i="2"/>
  <c r="E615" i="2" s="1"/>
  <c r="Y614" i="2"/>
  <c r="G615" i="2" s="1"/>
  <c r="C615" i="2" l="1"/>
  <c r="D615" i="2"/>
  <c r="H615" i="2"/>
  <c r="L615" i="2" s="1"/>
  <c r="B615" i="2"/>
  <c r="K615" i="2" l="1"/>
  <c r="I615" i="2"/>
  <c r="J615" i="2"/>
  <c r="S615" i="2"/>
  <c r="N615" i="2"/>
  <c r="O615" i="2" s="1"/>
  <c r="M615" i="2"/>
  <c r="R615" i="2" l="1"/>
  <c r="V615" i="2" s="1"/>
  <c r="Y615" i="2" s="1"/>
  <c r="G616" i="2" s="1"/>
  <c r="Q615" i="2"/>
  <c r="U615" i="2" s="1"/>
  <c r="X615" i="2" s="1"/>
  <c r="F616" i="2" s="1"/>
  <c r="P615" i="2"/>
  <c r="T615" i="2" s="1"/>
  <c r="W615" i="2" s="1"/>
  <c r="E616" i="2" s="1"/>
  <c r="C616" i="2" l="1"/>
  <c r="H616" i="2"/>
  <c r="L616" i="2" s="1"/>
  <c r="B616" i="2"/>
  <c r="D616" i="2"/>
  <c r="N616" i="2" l="1"/>
  <c r="O616" i="2" s="1"/>
  <c r="R616" i="2"/>
  <c r="P616" i="2"/>
  <c r="K616" i="2"/>
  <c r="J616" i="2"/>
  <c r="I616" i="2"/>
  <c r="S616" i="2"/>
  <c r="M616" i="2"/>
  <c r="Q616" i="2" s="1"/>
  <c r="T616" i="2" l="1"/>
  <c r="U616" i="2"/>
  <c r="X616" i="2" s="1"/>
  <c r="F617" i="2" s="1"/>
  <c r="V616" i="2"/>
  <c r="W616" i="2"/>
  <c r="E617" i="2" s="1"/>
  <c r="Y616" i="2"/>
  <c r="G617" i="2" s="1"/>
  <c r="D617" i="2" l="1"/>
  <c r="H617" i="2"/>
  <c r="L617" i="2" s="1"/>
  <c r="B617" i="2"/>
  <c r="C617" i="2"/>
  <c r="M617" i="2" l="1"/>
  <c r="I617" i="2"/>
  <c r="K617" i="2"/>
  <c r="J617" i="2"/>
  <c r="S617" i="2"/>
  <c r="N617" i="2"/>
  <c r="O617" i="2" s="1"/>
  <c r="R617" i="2" l="1"/>
  <c r="V617" i="2" s="1"/>
  <c r="Y617" i="2" s="1"/>
  <c r="G618" i="2" s="1"/>
  <c r="Q617" i="2"/>
  <c r="U617" i="2" s="1"/>
  <c r="X617" i="2" s="1"/>
  <c r="F618" i="2" s="1"/>
  <c r="P617" i="2"/>
  <c r="T617" i="2" s="1"/>
  <c r="W617" i="2" s="1"/>
  <c r="E618" i="2" s="1"/>
  <c r="H618" i="2" l="1"/>
  <c r="L618" i="2"/>
  <c r="B618" i="2"/>
  <c r="M618" i="2"/>
  <c r="C618" i="2"/>
  <c r="N618" i="2"/>
  <c r="O618" i="2" s="1"/>
  <c r="D618" i="2"/>
  <c r="R618" i="2" l="1"/>
  <c r="Q618" i="2"/>
  <c r="P618" i="2"/>
  <c r="J618" i="2"/>
  <c r="I618" i="2"/>
  <c r="S618" i="2"/>
  <c r="K618" i="2"/>
  <c r="T618" i="2" l="1"/>
  <c r="U618" i="2"/>
  <c r="V618" i="2"/>
  <c r="Y618" i="2" s="1"/>
  <c r="G619" i="2" s="1"/>
  <c r="W618" i="2"/>
  <c r="E619" i="2" s="1"/>
  <c r="X618" i="2"/>
  <c r="F619" i="2" s="1"/>
  <c r="D619" i="2" l="1"/>
  <c r="C619" i="2"/>
  <c r="H619" i="2"/>
  <c r="B619" i="2"/>
  <c r="J619" i="2" l="1"/>
  <c r="I619" i="2"/>
  <c r="S619" i="2"/>
  <c r="K619" i="2"/>
  <c r="L619" i="2"/>
  <c r="M619" i="2"/>
  <c r="N619" i="2"/>
  <c r="O619" i="2" s="1"/>
  <c r="R619" i="2" l="1"/>
  <c r="V619" i="2" s="1"/>
  <c r="Y619" i="2" s="1"/>
  <c r="G620" i="2" s="1"/>
  <c r="Q619" i="2"/>
  <c r="U619" i="2" s="1"/>
  <c r="X619" i="2" s="1"/>
  <c r="F620" i="2" s="1"/>
  <c r="P619" i="2"/>
  <c r="T619" i="2" s="1"/>
  <c r="W619" i="2" s="1"/>
  <c r="E620" i="2" s="1"/>
  <c r="D620" i="2" l="1"/>
  <c r="H620" i="2"/>
  <c r="N620" i="2" s="1"/>
  <c r="O620" i="2" s="1"/>
  <c r="B620" i="2"/>
  <c r="C620" i="2"/>
  <c r="R620" i="2" l="1"/>
  <c r="M620" i="2"/>
  <c r="Q620" i="2" s="1"/>
  <c r="L620" i="2"/>
  <c r="P620" i="2" s="1"/>
  <c r="J620" i="2"/>
  <c r="I620" i="2"/>
  <c r="S620" i="2"/>
  <c r="K620" i="2"/>
  <c r="T620" i="2" l="1"/>
  <c r="W620" i="2" s="1"/>
  <c r="E621" i="2" s="1"/>
  <c r="U620" i="2"/>
  <c r="V620" i="2"/>
  <c r="Y620" i="2" s="1"/>
  <c r="G621" i="2" s="1"/>
  <c r="X620" i="2"/>
  <c r="F621" i="2" s="1"/>
  <c r="D621" i="2" l="1"/>
  <c r="H621" i="2"/>
  <c r="L621" i="2" s="1"/>
  <c r="B621" i="2"/>
  <c r="C621" i="2"/>
  <c r="M621" i="2" l="1"/>
  <c r="K621" i="2"/>
  <c r="I621" i="2"/>
  <c r="J621" i="2"/>
  <c r="S621" i="2"/>
  <c r="N621" i="2"/>
  <c r="O621" i="2" s="1"/>
  <c r="R621" i="2" l="1"/>
  <c r="Q621" i="2"/>
  <c r="P621" i="2"/>
  <c r="T621" i="2" s="1"/>
  <c r="W621" i="2" s="1"/>
  <c r="E622" i="2" s="1"/>
  <c r="U621" i="2"/>
  <c r="V621" i="2"/>
  <c r="X621" i="2"/>
  <c r="F622" i="2" s="1"/>
  <c r="Y621" i="2"/>
  <c r="G622" i="2" s="1"/>
  <c r="H622" i="2" l="1"/>
  <c r="L622" i="2"/>
  <c r="B622" i="2"/>
  <c r="N622" i="2"/>
  <c r="O622" i="2" s="1"/>
  <c r="D622" i="2"/>
  <c r="M622" i="2"/>
  <c r="C622" i="2"/>
  <c r="R622" i="2" l="1"/>
  <c r="Q622" i="2"/>
  <c r="P622" i="2"/>
  <c r="I622" i="2"/>
  <c r="J622" i="2"/>
  <c r="S622" i="2"/>
  <c r="K622" i="2"/>
  <c r="T622" i="2" l="1"/>
  <c r="U622" i="2"/>
  <c r="X622" i="2" s="1"/>
  <c r="F623" i="2" s="1"/>
  <c r="V622" i="2"/>
  <c r="Y622" i="2" s="1"/>
  <c r="G623" i="2" s="1"/>
  <c r="W622" i="2"/>
  <c r="E623" i="2" s="1"/>
  <c r="D623" i="2" l="1"/>
  <c r="C623" i="2"/>
  <c r="H623" i="2"/>
  <c r="L623" i="2" s="1"/>
  <c r="B623" i="2"/>
  <c r="K623" i="2" l="1"/>
  <c r="J623" i="2"/>
  <c r="I623" i="2"/>
  <c r="S623" i="2"/>
  <c r="M623" i="2"/>
  <c r="N623" i="2"/>
  <c r="O623" i="2" s="1"/>
  <c r="R623" i="2" l="1"/>
  <c r="Q623" i="2"/>
  <c r="P623" i="2"/>
  <c r="T623" i="2"/>
  <c r="W623" i="2" s="1"/>
  <c r="E624" i="2" s="1"/>
  <c r="U623" i="2"/>
  <c r="X623" i="2" s="1"/>
  <c r="F624" i="2" s="1"/>
  <c r="V623" i="2"/>
  <c r="Y623" i="2" s="1"/>
  <c r="G624" i="2" s="1"/>
  <c r="H624" i="2" l="1"/>
  <c r="L624" i="2" s="1"/>
  <c r="B624" i="2"/>
  <c r="N624" i="2"/>
  <c r="O624" i="2" s="1"/>
  <c r="D624" i="2"/>
  <c r="M624" i="2"/>
  <c r="C624" i="2"/>
  <c r="R624" i="2" l="1"/>
  <c r="Q624" i="2"/>
  <c r="P624" i="2"/>
  <c r="J624" i="2"/>
  <c r="S624" i="2"/>
  <c r="K624" i="2"/>
  <c r="I624" i="2"/>
  <c r="T624" i="2" l="1"/>
  <c r="W624" i="2" s="1"/>
  <c r="E625" i="2" s="1"/>
  <c r="U624" i="2"/>
  <c r="X624" i="2" s="1"/>
  <c r="F625" i="2" s="1"/>
  <c r="V624" i="2"/>
  <c r="Y624" i="2" s="1"/>
  <c r="G625" i="2" s="1"/>
  <c r="C625" i="2" l="1"/>
  <c r="D625" i="2"/>
  <c r="H625" i="2"/>
  <c r="B625" i="2"/>
  <c r="J625" i="2" l="1"/>
  <c r="K625" i="2"/>
  <c r="I625" i="2"/>
  <c r="S625" i="2"/>
  <c r="L625" i="2"/>
  <c r="N625" i="2"/>
  <c r="O625" i="2" s="1"/>
  <c r="M625" i="2"/>
  <c r="R625" i="2" l="1"/>
  <c r="Q625" i="2"/>
  <c r="P625" i="2"/>
  <c r="T625" i="2" s="1"/>
  <c r="W625" i="2" s="1"/>
  <c r="E626" i="2" s="1"/>
  <c r="U625" i="2"/>
  <c r="V625" i="2"/>
  <c r="Y625" i="2"/>
  <c r="G626" i="2" s="1"/>
  <c r="X625" i="2"/>
  <c r="F626" i="2" s="1"/>
  <c r="D626" i="2" l="1"/>
  <c r="C626" i="2"/>
  <c r="H626" i="2"/>
  <c r="B626" i="2"/>
  <c r="K626" i="2" l="1"/>
  <c r="I626" i="2"/>
  <c r="J626" i="2"/>
  <c r="S626" i="2"/>
  <c r="L626" i="2"/>
  <c r="M626" i="2"/>
  <c r="N626" i="2"/>
  <c r="O626" i="2" s="1"/>
  <c r="R626" i="2" l="1"/>
  <c r="Q626" i="2"/>
  <c r="U626" i="2" s="1"/>
  <c r="X626" i="2" s="1"/>
  <c r="F627" i="2" s="1"/>
  <c r="P626" i="2"/>
  <c r="T626" i="2" s="1"/>
  <c r="W626" i="2" s="1"/>
  <c r="E627" i="2" s="1"/>
  <c r="V626" i="2"/>
  <c r="Y626" i="2"/>
  <c r="G627" i="2" s="1"/>
  <c r="D627" i="2" l="1"/>
  <c r="C627" i="2"/>
  <c r="H627" i="2"/>
  <c r="N627" i="2" s="1"/>
  <c r="O627" i="2" s="1"/>
  <c r="B627" i="2"/>
  <c r="R627" i="2" l="1"/>
  <c r="L627" i="2"/>
  <c r="P627" i="2" s="1"/>
  <c r="M627" i="2"/>
  <c r="Q627" i="2" s="1"/>
  <c r="K627" i="2"/>
  <c r="I627" i="2"/>
  <c r="J627" i="2"/>
  <c r="S627" i="2"/>
  <c r="T627" i="2" l="1"/>
  <c r="U627" i="2"/>
  <c r="V627" i="2"/>
  <c r="Y627" i="2" s="1"/>
  <c r="G628" i="2" s="1"/>
  <c r="X627" i="2"/>
  <c r="F628" i="2" s="1"/>
  <c r="W627" i="2"/>
  <c r="E628" i="2" s="1"/>
  <c r="D628" i="2" l="1"/>
  <c r="H628" i="2"/>
  <c r="M628" i="2" s="1"/>
  <c r="B628" i="2"/>
  <c r="C628" i="2"/>
  <c r="K628" i="2" l="1"/>
  <c r="I628" i="2"/>
  <c r="S628" i="2"/>
  <c r="J628" i="2"/>
  <c r="N628" i="2"/>
  <c r="O628" i="2" s="1"/>
  <c r="L628" i="2"/>
  <c r="R628" i="2" l="1"/>
  <c r="Q628" i="2"/>
  <c r="P628" i="2"/>
  <c r="T628" i="2" s="1"/>
  <c r="W628" i="2" s="1"/>
  <c r="E629" i="2" s="1"/>
  <c r="U628" i="2"/>
  <c r="X628" i="2" s="1"/>
  <c r="F629" i="2" s="1"/>
  <c r="V628" i="2"/>
  <c r="Y628" i="2" s="1"/>
  <c r="G629" i="2" s="1"/>
  <c r="C629" i="2" l="1"/>
  <c r="H629" i="2"/>
  <c r="L629" i="2" s="1"/>
  <c r="B629" i="2"/>
  <c r="N629" i="2"/>
  <c r="O629" i="2" s="1"/>
  <c r="D629" i="2"/>
  <c r="R629" i="2" l="1"/>
  <c r="P629" i="2"/>
  <c r="I629" i="2"/>
  <c r="K629" i="2"/>
  <c r="J629" i="2"/>
  <c r="S629" i="2"/>
  <c r="M629" i="2"/>
  <c r="Q629" i="2" s="1"/>
  <c r="T629" i="2" l="1"/>
  <c r="U629" i="2"/>
  <c r="X629" i="2" s="1"/>
  <c r="F630" i="2" s="1"/>
  <c r="V629" i="2"/>
  <c r="Y629" i="2" s="1"/>
  <c r="G630" i="2" s="1"/>
  <c r="W629" i="2"/>
  <c r="E630" i="2" s="1"/>
  <c r="C630" i="2" l="1"/>
  <c r="H630" i="2"/>
  <c r="L630" i="2" s="1"/>
  <c r="B630" i="2"/>
  <c r="D630" i="2"/>
  <c r="N630" i="2" l="1"/>
  <c r="O630" i="2" s="1"/>
  <c r="R630" i="2"/>
  <c r="P630" i="2"/>
  <c r="J630" i="2"/>
  <c r="K630" i="2"/>
  <c r="I630" i="2"/>
  <c r="S630" i="2"/>
  <c r="M630" i="2"/>
  <c r="Q630" i="2" s="1"/>
  <c r="T630" i="2" l="1"/>
  <c r="U630" i="2"/>
  <c r="V630" i="2"/>
  <c r="Y630" i="2" s="1"/>
  <c r="G631" i="2" s="1"/>
  <c r="W630" i="2"/>
  <c r="E631" i="2" s="1"/>
  <c r="X630" i="2"/>
  <c r="F631" i="2" s="1"/>
  <c r="D631" i="2" l="1"/>
  <c r="C631" i="2"/>
  <c r="H631" i="2"/>
  <c r="L631" i="2" s="1"/>
  <c r="B631" i="2"/>
  <c r="K631" i="2" l="1"/>
  <c r="J631" i="2"/>
  <c r="I631" i="2"/>
  <c r="S631" i="2"/>
  <c r="M631" i="2"/>
  <c r="N631" i="2"/>
  <c r="O631" i="2" s="1"/>
  <c r="R631" i="2" l="1"/>
  <c r="Q631" i="2"/>
  <c r="P631" i="2"/>
  <c r="T631" i="2" s="1"/>
  <c r="W631" i="2" s="1"/>
  <c r="E632" i="2" s="1"/>
  <c r="U631" i="2"/>
  <c r="X631" i="2" s="1"/>
  <c r="F632" i="2" s="1"/>
  <c r="V631" i="2"/>
  <c r="Y631" i="2"/>
  <c r="G632" i="2" s="1"/>
  <c r="C632" i="2" l="1"/>
  <c r="H632" i="2"/>
  <c r="L632" i="2" s="1"/>
  <c r="B632" i="2"/>
  <c r="D632" i="2"/>
  <c r="N632" i="2" l="1"/>
  <c r="O632" i="2" s="1"/>
  <c r="R632" i="2"/>
  <c r="P632" i="2"/>
  <c r="K632" i="2"/>
  <c r="I632" i="2"/>
  <c r="S632" i="2"/>
  <c r="J632" i="2"/>
  <c r="M632" i="2"/>
  <c r="Q632" i="2" s="1"/>
  <c r="T632" i="2" l="1"/>
  <c r="U632" i="2"/>
  <c r="X632" i="2" s="1"/>
  <c r="F633" i="2" s="1"/>
  <c r="V632" i="2"/>
  <c r="Y632" i="2" s="1"/>
  <c r="G633" i="2" s="1"/>
  <c r="W632" i="2"/>
  <c r="E633" i="2" s="1"/>
  <c r="D633" i="2" l="1"/>
  <c r="C633" i="2"/>
  <c r="H633" i="2"/>
  <c r="B633" i="2"/>
  <c r="J633" i="2" l="1"/>
  <c r="K633" i="2"/>
  <c r="S633" i="2"/>
  <c r="I633" i="2"/>
  <c r="L633" i="2"/>
  <c r="M633" i="2"/>
  <c r="N633" i="2"/>
  <c r="O633" i="2" s="1"/>
  <c r="R633" i="2" l="1"/>
  <c r="Q633" i="2"/>
  <c r="P633" i="2"/>
  <c r="T633" i="2" s="1"/>
  <c r="W633" i="2" s="1"/>
  <c r="E634" i="2" s="1"/>
  <c r="U633" i="2"/>
  <c r="V633" i="2"/>
  <c r="Y633" i="2" s="1"/>
  <c r="G634" i="2" s="1"/>
  <c r="X633" i="2"/>
  <c r="F634" i="2" s="1"/>
  <c r="H634" i="2" l="1"/>
  <c r="L634" i="2" s="1"/>
  <c r="B634" i="2"/>
  <c r="C634" i="2"/>
  <c r="D634" i="2"/>
  <c r="N634" i="2" l="1"/>
  <c r="O634" i="2" s="1"/>
  <c r="M634" i="2"/>
  <c r="R634" i="2"/>
  <c r="Q634" i="2"/>
  <c r="P634" i="2"/>
  <c r="K634" i="2"/>
  <c r="I634" i="2"/>
  <c r="S634" i="2"/>
  <c r="J634" i="2"/>
  <c r="T634" i="2" l="1"/>
  <c r="W634" i="2" s="1"/>
  <c r="E635" i="2" s="1"/>
  <c r="U634" i="2"/>
  <c r="X634" i="2" s="1"/>
  <c r="F635" i="2" s="1"/>
  <c r="V634" i="2"/>
  <c r="Y634" i="2" s="1"/>
  <c r="G635" i="2" s="1"/>
  <c r="C635" i="2" l="1"/>
  <c r="D635" i="2"/>
  <c r="H635" i="2"/>
  <c r="B635" i="2"/>
  <c r="K635" i="2" l="1"/>
  <c r="I635" i="2"/>
  <c r="J635" i="2"/>
  <c r="S635" i="2"/>
  <c r="L635" i="2"/>
  <c r="N635" i="2"/>
  <c r="O635" i="2" s="1"/>
  <c r="M635" i="2"/>
  <c r="R635" i="2" l="1"/>
  <c r="Q635" i="2"/>
  <c r="U635" i="2" s="1"/>
  <c r="X635" i="2" s="1"/>
  <c r="F636" i="2" s="1"/>
  <c r="P635" i="2"/>
  <c r="T635" i="2" s="1"/>
  <c r="W635" i="2" s="1"/>
  <c r="E636" i="2" s="1"/>
  <c r="V635" i="2"/>
  <c r="Y635" i="2" s="1"/>
  <c r="G636" i="2" s="1"/>
  <c r="H636" i="2" l="1"/>
  <c r="L636" i="2" s="1"/>
  <c r="B636" i="2"/>
  <c r="M636" i="2"/>
  <c r="C636" i="2"/>
  <c r="N636" i="2"/>
  <c r="O636" i="2" s="1"/>
  <c r="D636" i="2"/>
  <c r="R636" i="2" l="1"/>
  <c r="Q636" i="2"/>
  <c r="P636" i="2"/>
  <c r="K636" i="2"/>
  <c r="J636" i="2"/>
  <c r="I636" i="2"/>
  <c r="S636" i="2"/>
  <c r="T636" i="2" l="1"/>
  <c r="W636" i="2" s="1"/>
  <c r="E637" i="2" s="1"/>
  <c r="U636" i="2"/>
  <c r="X636" i="2" s="1"/>
  <c r="F637" i="2" s="1"/>
  <c r="V636" i="2"/>
  <c r="Y636" i="2" s="1"/>
  <c r="G637" i="2" s="1"/>
  <c r="C637" i="2" l="1"/>
  <c r="H637" i="2"/>
  <c r="L637" i="2" s="1"/>
  <c r="B637" i="2"/>
  <c r="D637" i="2"/>
  <c r="N637" i="2" l="1"/>
  <c r="O637" i="2" s="1"/>
  <c r="R637" i="2"/>
  <c r="P637" i="2"/>
  <c r="K637" i="2"/>
  <c r="I637" i="2"/>
  <c r="S637" i="2"/>
  <c r="J637" i="2"/>
  <c r="M637" i="2"/>
  <c r="Q637" i="2" s="1"/>
  <c r="T637" i="2" l="1"/>
  <c r="W637" i="2" s="1"/>
  <c r="E638" i="2" s="1"/>
  <c r="U637" i="2"/>
  <c r="X637" i="2" s="1"/>
  <c r="F638" i="2" s="1"/>
  <c r="V637" i="2"/>
  <c r="Y637" i="2" s="1"/>
  <c r="G638" i="2" s="1"/>
  <c r="C638" i="2" l="1"/>
  <c r="H638" i="2"/>
  <c r="N638" i="2" s="1"/>
  <c r="O638" i="2" s="1"/>
  <c r="B638" i="2"/>
  <c r="D638" i="2"/>
  <c r="I638" i="2" l="1"/>
  <c r="J638" i="2"/>
  <c r="K638" i="2"/>
  <c r="S638" i="2"/>
  <c r="M638" i="2"/>
  <c r="Q638" i="2" s="1"/>
  <c r="R638" i="2"/>
  <c r="L638" i="2"/>
  <c r="P638" i="2" s="1"/>
  <c r="T638" i="2" l="1"/>
  <c r="U638" i="2"/>
  <c r="V638" i="2"/>
  <c r="X638" i="2"/>
  <c r="F639" i="2" s="1"/>
  <c r="Y638" i="2"/>
  <c r="G639" i="2" s="1"/>
  <c r="W638" i="2"/>
  <c r="E639" i="2" s="1"/>
  <c r="D639" i="2" l="1"/>
  <c r="H639" i="2"/>
  <c r="L639" i="2" s="1"/>
  <c r="B639" i="2"/>
  <c r="C639" i="2"/>
  <c r="M639" i="2" l="1"/>
  <c r="K639" i="2"/>
  <c r="I639" i="2"/>
  <c r="J639" i="2"/>
  <c r="S639" i="2"/>
  <c r="N639" i="2"/>
  <c r="O639" i="2" s="1"/>
  <c r="R639" i="2" l="1"/>
  <c r="V639" i="2" s="1"/>
  <c r="Y639" i="2" s="1"/>
  <c r="G640" i="2" s="1"/>
  <c r="Q639" i="2"/>
  <c r="U639" i="2" s="1"/>
  <c r="X639" i="2" s="1"/>
  <c r="F640" i="2" s="1"/>
  <c r="P639" i="2"/>
  <c r="T639" i="2" s="1"/>
  <c r="W639" i="2" s="1"/>
  <c r="E640" i="2" s="1"/>
  <c r="H640" i="2" l="1"/>
  <c r="L640" i="2"/>
  <c r="B640" i="2"/>
  <c r="M640" i="2"/>
  <c r="C640" i="2"/>
  <c r="N640" i="2"/>
  <c r="O640" i="2" s="1"/>
  <c r="D640" i="2"/>
  <c r="R640" i="2" l="1"/>
  <c r="Q640" i="2"/>
  <c r="P640" i="2"/>
  <c r="K640" i="2"/>
  <c r="J640" i="2"/>
  <c r="S640" i="2"/>
  <c r="I640" i="2"/>
  <c r="U640" i="2" l="1"/>
  <c r="X640" i="2" s="1"/>
  <c r="F641" i="2" s="1"/>
  <c r="T640" i="2"/>
  <c r="W640" i="2" s="1"/>
  <c r="E641" i="2" s="1"/>
  <c r="V640" i="2"/>
  <c r="Y640" i="2" s="1"/>
  <c r="G641" i="2" s="1"/>
  <c r="H641" i="2" l="1"/>
  <c r="L641" i="2" s="1"/>
  <c r="B641" i="2"/>
  <c r="M641" i="2"/>
  <c r="C641" i="2"/>
  <c r="N641" i="2"/>
  <c r="O641" i="2" s="1"/>
  <c r="D641" i="2"/>
  <c r="R641" i="2" l="1"/>
  <c r="Q641" i="2"/>
  <c r="P641" i="2"/>
  <c r="J641" i="2"/>
  <c r="I641" i="2"/>
  <c r="K641" i="2"/>
  <c r="S641" i="2"/>
  <c r="U641" i="2" l="1"/>
  <c r="V641" i="2"/>
  <c r="Y641" i="2" s="1"/>
  <c r="G642" i="2" s="1"/>
  <c r="T641" i="2"/>
  <c r="W641" i="2" s="1"/>
  <c r="E642" i="2" s="1"/>
  <c r="X641" i="2"/>
  <c r="F642" i="2" s="1"/>
  <c r="H642" i="2" l="1"/>
  <c r="B642" i="2"/>
  <c r="N642" i="2"/>
  <c r="O642" i="2" s="1"/>
  <c r="D642" i="2"/>
  <c r="M642" i="2"/>
  <c r="C642" i="2"/>
  <c r="R642" i="2" l="1"/>
  <c r="Q642" i="2"/>
  <c r="K642" i="2"/>
  <c r="I642" i="2"/>
  <c r="S642" i="2"/>
  <c r="J642" i="2"/>
  <c r="L642" i="2"/>
  <c r="P642" i="2" s="1"/>
  <c r="U642" i="2" l="1"/>
  <c r="X642" i="2" s="1"/>
  <c r="F643" i="2" s="1"/>
  <c r="V642" i="2"/>
  <c r="T642" i="2"/>
  <c r="W642" i="2" s="1"/>
  <c r="E643" i="2" s="1"/>
  <c r="Y642" i="2"/>
  <c r="G643" i="2" s="1"/>
  <c r="H643" i="2" l="1"/>
  <c r="L643" i="2" s="1"/>
  <c r="B643" i="2"/>
  <c r="M643" i="2"/>
  <c r="C643" i="2"/>
  <c r="N643" i="2"/>
  <c r="O643" i="2" s="1"/>
  <c r="D643" i="2"/>
  <c r="R643" i="2" l="1"/>
  <c r="Q643" i="2"/>
  <c r="P643" i="2"/>
  <c r="K643" i="2"/>
  <c r="I643" i="2"/>
  <c r="S643" i="2"/>
  <c r="J643" i="2"/>
  <c r="U643" i="2" l="1"/>
  <c r="X643" i="2" s="1"/>
  <c r="F644" i="2" s="1"/>
  <c r="T643" i="2"/>
  <c r="W643" i="2" s="1"/>
  <c r="E644" i="2" s="1"/>
  <c r="V643" i="2"/>
  <c r="Y643" i="2" s="1"/>
  <c r="G644" i="2" s="1"/>
  <c r="H644" i="2" l="1"/>
  <c r="L644" i="2" s="1"/>
  <c r="B644" i="2"/>
  <c r="C644" i="2"/>
  <c r="N644" i="2"/>
  <c r="O644" i="2" s="1"/>
  <c r="D644" i="2"/>
  <c r="M644" i="2" l="1"/>
  <c r="R644" i="2"/>
  <c r="Q644" i="2"/>
  <c r="P644" i="2"/>
  <c r="J644" i="2"/>
  <c r="I644" i="2"/>
  <c r="K644" i="2"/>
  <c r="S644" i="2"/>
  <c r="U644" i="2" l="1"/>
  <c r="V644" i="2"/>
  <c r="T644" i="2"/>
  <c r="W644" i="2"/>
  <c r="E645" i="2" s="1"/>
  <c r="Y644" i="2"/>
  <c r="G645" i="2" s="1"/>
  <c r="X644" i="2"/>
  <c r="F645" i="2" s="1"/>
  <c r="H645" i="2" l="1"/>
  <c r="B645" i="2"/>
  <c r="M645" i="2"/>
  <c r="C645" i="2"/>
  <c r="N645" i="2"/>
  <c r="O645" i="2" s="1"/>
  <c r="D645" i="2"/>
  <c r="R645" i="2" l="1"/>
  <c r="Q645" i="2"/>
  <c r="J645" i="2"/>
  <c r="I645" i="2"/>
  <c r="K645" i="2"/>
  <c r="S645" i="2"/>
  <c r="L645" i="2"/>
  <c r="P645" i="2" s="1"/>
  <c r="U645" i="2" l="1"/>
  <c r="X645" i="2" s="1"/>
  <c r="F646" i="2" s="1"/>
  <c r="V645" i="2"/>
  <c r="Y645" i="2" s="1"/>
  <c r="G646" i="2" s="1"/>
  <c r="T645" i="2"/>
  <c r="W645" i="2" s="1"/>
  <c r="E646" i="2" s="1"/>
  <c r="D646" i="2" l="1"/>
  <c r="C646" i="2"/>
  <c r="H646" i="2"/>
  <c r="B646" i="2"/>
  <c r="I646" i="2" l="1"/>
  <c r="K646" i="2"/>
  <c r="S646" i="2"/>
  <c r="J646" i="2"/>
  <c r="L646" i="2"/>
  <c r="M646" i="2"/>
  <c r="N646" i="2"/>
  <c r="O646" i="2" s="1"/>
  <c r="R646" i="2" l="1"/>
  <c r="Q646" i="2"/>
  <c r="U646" i="2" s="1"/>
  <c r="X646" i="2" s="1"/>
  <c r="F647" i="2" s="1"/>
  <c r="P646" i="2"/>
  <c r="T646" i="2" s="1"/>
  <c r="W646" i="2" s="1"/>
  <c r="E647" i="2" s="1"/>
  <c r="V646" i="2"/>
  <c r="Y646" i="2" s="1"/>
  <c r="G647" i="2" s="1"/>
  <c r="D647" i="2" l="1"/>
  <c r="C647" i="2"/>
  <c r="H647" i="2"/>
  <c r="L647" i="2" s="1"/>
  <c r="B647" i="2"/>
  <c r="I647" i="2" l="1"/>
  <c r="J647" i="2"/>
  <c r="K647" i="2"/>
  <c r="S647" i="2"/>
  <c r="M647" i="2"/>
  <c r="N647" i="2"/>
  <c r="O647" i="2" s="1"/>
  <c r="R647" i="2" l="1"/>
  <c r="Q647" i="2"/>
  <c r="P647" i="2"/>
  <c r="U647" i="2"/>
  <c r="X647" i="2" s="1"/>
  <c r="F648" i="2" s="1"/>
  <c r="V647" i="2"/>
  <c r="Y647" i="2" s="1"/>
  <c r="G648" i="2" s="1"/>
  <c r="T647" i="2"/>
  <c r="W647" i="2"/>
  <c r="E648" i="2" s="1"/>
  <c r="C648" i="2" l="1"/>
  <c r="D648" i="2"/>
  <c r="H648" i="2"/>
  <c r="N648" i="2" s="1"/>
  <c r="O648" i="2" s="1"/>
  <c r="B648" i="2"/>
  <c r="R648" i="2" l="1"/>
  <c r="J648" i="2"/>
  <c r="K648" i="2"/>
  <c r="S648" i="2"/>
  <c r="I648" i="2"/>
  <c r="L648" i="2"/>
  <c r="P648" i="2" s="1"/>
  <c r="M648" i="2"/>
  <c r="Q648" i="2" s="1"/>
  <c r="U648" i="2" l="1"/>
  <c r="V648" i="2"/>
  <c r="T648" i="2"/>
  <c r="W648" i="2"/>
  <c r="E649" i="2" s="1"/>
  <c r="Y648" i="2"/>
  <c r="G649" i="2" s="1"/>
  <c r="X648" i="2"/>
  <c r="F649" i="2" s="1"/>
  <c r="D649" i="2" l="1"/>
  <c r="C649" i="2"/>
  <c r="H649" i="2"/>
  <c r="B649" i="2"/>
  <c r="I649" i="2" l="1"/>
  <c r="K649" i="2"/>
  <c r="S649" i="2"/>
  <c r="J649" i="2"/>
  <c r="L649" i="2"/>
  <c r="M649" i="2"/>
  <c r="N649" i="2"/>
  <c r="O649" i="2" s="1"/>
  <c r="R649" i="2" l="1"/>
  <c r="Q649" i="2"/>
  <c r="P649" i="2"/>
  <c r="U649" i="2"/>
  <c r="X649" i="2" s="1"/>
  <c r="F650" i="2" s="1"/>
  <c r="T649" i="2"/>
  <c r="W649" i="2" s="1"/>
  <c r="E650" i="2" s="1"/>
  <c r="V649" i="2"/>
  <c r="Y649" i="2" s="1"/>
  <c r="G650" i="2" s="1"/>
  <c r="H650" i="2" l="1"/>
  <c r="L650" i="2"/>
  <c r="B650" i="2"/>
  <c r="N650" i="2"/>
  <c r="O650" i="2" s="1"/>
  <c r="D650" i="2"/>
  <c r="M650" i="2"/>
  <c r="C650" i="2"/>
  <c r="R650" i="2" l="1"/>
  <c r="Q650" i="2"/>
  <c r="P650" i="2"/>
  <c r="I650" i="2"/>
  <c r="K650" i="2"/>
  <c r="J650" i="2"/>
  <c r="S650" i="2"/>
  <c r="U650" i="2" l="1"/>
  <c r="X650" i="2" s="1"/>
  <c r="F651" i="2" s="1"/>
  <c r="V650" i="2"/>
  <c r="Y650" i="2" s="1"/>
  <c r="G651" i="2" s="1"/>
  <c r="T650" i="2"/>
  <c r="W650" i="2" s="1"/>
  <c r="E651" i="2" s="1"/>
  <c r="C651" i="2" l="1"/>
  <c r="H651" i="2"/>
  <c r="B651" i="2"/>
  <c r="N651" i="2"/>
  <c r="O651" i="2" s="1"/>
  <c r="D651" i="2"/>
  <c r="R651" i="2" l="1"/>
  <c r="I651" i="2"/>
  <c r="J651" i="2"/>
  <c r="K651" i="2"/>
  <c r="S651" i="2"/>
  <c r="L651" i="2"/>
  <c r="P651" i="2" s="1"/>
  <c r="M651" i="2"/>
  <c r="Q651" i="2" s="1"/>
  <c r="U651" i="2" l="1"/>
  <c r="V651" i="2"/>
  <c r="T651" i="2"/>
  <c r="W651" i="2"/>
  <c r="E652" i="2" s="1"/>
  <c r="Y651" i="2"/>
  <c r="G652" i="2" s="1"/>
  <c r="X651" i="2"/>
  <c r="F652" i="2" s="1"/>
  <c r="D652" i="2" l="1"/>
  <c r="C652" i="2"/>
  <c r="H652" i="2"/>
  <c r="N652" i="2" s="1"/>
  <c r="O652" i="2" s="1"/>
  <c r="B652" i="2"/>
  <c r="R652" i="2" l="1"/>
  <c r="M652" i="2"/>
  <c r="Q652" i="2" s="1"/>
  <c r="K652" i="2"/>
  <c r="I652" i="2"/>
  <c r="J652" i="2"/>
  <c r="S652" i="2"/>
  <c r="L652" i="2"/>
  <c r="P652" i="2" s="1"/>
  <c r="U652" i="2" l="1"/>
  <c r="T652" i="2"/>
  <c r="V652" i="2"/>
  <c r="X652" i="2"/>
  <c r="F653" i="2" s="1"/>
  <c r="Y652" i="2"/>
  <c r="G653" i="2" s="1"/>
  <c r="W652" i="2"/>
  <c r="E653" i="2" s="1"/>
  <c r="D653" i="2" l="1"/>
  <c r="H653" i="2"/>
  <c r="M653" i="2" s="1"/>
  <c r="B653" i="2"/>
  <c r="C653" i="2"/>
  <c r="J653" i="2" l="1"/>
  <c r="K653" i="2"/>
  <c r="S653" i="2"/>
  <c r="I653" i="2"/>
  <c r="N653" i="2"/>
  <c r="O653" i="2" s="1"/>
  <c r="L653" i="2"/>
  <c r="R653" i="2" l="1"/>
  <c r="Q653" i="2"/>
  <c r="U653" i="2" s="1"/>
  <c r="X653" i="2" s="1"/>
  <c r="F654" i="2" s="1"/>
  <c r="P653" i="2"/>
  <c r="V653" i="2"/>
  <c r="Y653" i="2" s="1"/>
  <c r="G654" i="2" s="1"/>
  <c r="T653" i="2"/>
  <c r="W653" i="2" s="1"/>
  <c r="E654" i="2" s="1"/>
  <c r="H654" i="2" l="1"/>
  <c r="B654" i="2"/>
  <c r="N654" i="2"/>
  <c r="O654" i="2" s="1"/>
  <c r="D654" i="2"/>
  <c r="M654" i="2"/>
  <c r="C654" i="2"/>
  <c r="Q654" i="2" l="1"/>
  <c r="R654" i="2"/>
  <c r="K654" i="2"/>
  <c r="J654" i="2"/>
  <c r="S654" i="2"/>
  <c r="I654" i="2"/>
  <c r="L654" i="2"/>
  <c r="P654" i="2" s="1"/>
  <c r="U654" i="2" l="1"/>
  <c r="V654" i="2"/>
  <c r="T654" i="2"/>
  <c r="W654" i="2"/>
  <c r="E655" i="2" s="1"/>
  <c r="X654" i="2"/>
  <c r="F655" i="2" s="1"/>
  <c r="Y654" i="2"/>
  <c r="G655" i="2" s="1"/>
  <c r="C655" i="2" l="1"/>
  <c r="D655" i="2"/>
  <c r="H655" i="2"/>
  <c r="B655" i="2"/>
  <c r="J655" i="2" l="1"/>
  <c r="K655" i="2"/>
  <c r="I655" i="2"/>
  <c r="S655" i="2"/>
  <c r="N655" i="2"/>
  <c r="O655" i="2" s="1"/>
  <c r="M655" i="2"/>
  <c r="L655" i="2"/>
  <c r="P655" i="2" l="1"/>
  <c r="R655" i="2"/>
  <c r="Q655" i="2"/>
  <c r="U655" i="2"/>
  <c r="V655" i="2"/>
  <c r="Y655" i="2" s="1"/>
  <c r="G656" i="2" s="1"/>
  <c r="T655" i="2"/>
  <c r="W655" i="2" s="1"/>
  <c r="E656" i="2" s="1"/>
  <c r="X655" i="2"/>
  <c r="F656" i="2" s="1"/>
  <c r="H656" i="2" l="1"/>
  <c r="B656" i="2"/>
  <c r="N656" i="2"/>
  <c r="O656" i="2" s="1"/>
  <c r="D656" i="2"/>
  <c r="M656" i="2"/>
  <c r="C656" i="2"/>
  <c r="R656" i="2" l="1"/>
  <c r="Q656" i="2"/>
  <c r="I656" i="2"/>
  <c r="J656" i="2"/>
  <c r="K656" i="2"/>
  <c r="S656" i="2"/>
  <c r="L656" i="2"/>
  <c r="P656" i="2" s="1"/>
  <c r="U656" i="2" l="1"/>
  <c r="V656" i="2"/>
  <c r="T656" i="2"/>
  <c r="X656" i="2"/>
  <c r="F657" i="2" s="1"/>
  <c r="Y656" i="2"/>
  <c r="G657" i="2" s="1"/>
  <c r="W656" i="2"/>
  <c r="E657" i="2" s="1"/>
  <c r="D657" i="2" l="1"/>
  <c r="H657" i="2"/>
  <c r="B657" i="2"/>
  <c r="C657" i="2"/>
  <c r="K657" i="2" l="1"/>
  <c r="I657" i="2"/>
  <c r="S657" i="2"/>
  <c r="J657" i="2"/>
  <c r="L657" i="2"/>
  <c r="M657" i="2"/>
  <c r="N657" i="2"/>
  <c r="O657" i="2" s="1"/>
  <c r="P657" i="2" l="1"/>
  <c r="Q657" i="2"/>
  <c r="U657" i="2" s="1"/>
  <c r="X657" i="2" s="1"/>
  <c r="F658" i="2" s="1"/>
  <c r="R657" i="2"/>
  <c r="V657" i="2" s="1"/>
  <c r="Y657" i="2" s="1"/>
  <c r="G658" i="2" s="1"/>
  <c r="T657" i="2"/>
  <c r="W657" i="2" s="1"/>
  <c r="E658" i="2" s="1"/>
  <c r="H658" i="2" l="1"/>
  <c r="L658" i="2" s="1"/>
  <c r="B658" i="2"/>
  <c r="M658" i="2"/>
  <c r="C658" i="2"/>
  <c r="N658" i="2"/>
  <c r="O658" i="2" s="1"/>
  <c r="D658" i="2"/>
  <c r="P658" i="2" l="1"/>
  <c r="R658" i="2"/>
  <c r="Q658" i="2"/>
  <c r="I658" i="2"/>
  <c r="J658" i="2"/>
  <c r="K658" i="2"/>
  <c r="S658" i="2"/>
  <c r="U658" i="2" l="1"/>
  <c r="V658" i="2"/>
  <c r="Y658" i="2" s="1"/>
  <c r="G659" i="2" s="1"/>
  <c r="T658" i="2"/>
  <c r="W658" i="2" s="1"/>
  <c r="E659" i="2" s="1"/>
  <c r="X658" i="2"/>
  <c r="F659" i="2" s="1"/>
  <c r="H659" i="2" l="1"/>
  <c r="B659" i="2"/>
  <c r="N659" i="2"/>
  <c r="O659" i="2" s="1"/>
  <c r="D659" i="2"/>
  <c r="M659" i="2"/>
  <c r="C659" i="2"/>
  <c r="R659" i="2" l="1"/>
  <c r="Q659" i="2"/>
  <c r="I659" i="2"/>
  <c r="K659" i="2"/>
  <c r="J659" i="2"/>
  <c r="S659" i="2"/>
  <c r="L659" i="2"/>
  <c r="P659" i="2" s="1"/>
  <c r="U659" i="2" l="1"/>
  <c r="X659" i="2" s="1"/>
  <c r="F660" i="2" s="1"/>
  <c r="V659" i="2"/>
  <c r="T659" i="2"/>
  <c r="W659" i="2"/>
  <c r="E660" i="2" s="1"/>
  <c r="Y659" i="2"/>
  <c r="G660" i="2" s="1"/>
  <c r="C660" i="2" l="1"/>
  <c r="D660" i="2"/>
  <c r="H660" i="2"/>
  <c r="B660" i="2"/>
  <c r="K660" i="2" l="1"/>
  <c r="S660" i="2"/>
  <c r="I660" i="2"/>
  <c r="J660" i="2"/>
  <c r="L660" i="2"/>
  <c r="N660" i="2"/>
  <c r="O660" i="2" s="1"/>
  <c r="M660" i="2"/>
  <c r="P660" i="2" l="1"/>
  <c r="Q660" i="2"/>
  <c r="U660" i="2" s="1"/>
  <c r="X660" i="2" s="1"/>
  <c r="F661" i="2" s="1"/>
  <c r="R660" i="2"/>
  <c r="V660" i="2" s="1"/>
  <c r="Y660" i="2" s="1"/>
  <c r="G661" i="2" s="1"/>
  <c r="T660" i="2"/>
  <c r="W660" i="2" s="1"/>
  <c r="E661" i="2" s="1"/>
  <c r="H661" i="2" l="1"/>
  <c r="L661" i="2" s="1"/>
  <c r="B661" i="2"/>
  <c r="M661" i="2"/>
  <c r="C661" i="2"/>
  <c r="N661" i="2"/>
  <c r="O661" i="2" s="1"/>
  <c r="D661" i="2"/>
  <c r="P661" i="2" l="1"/>
  <c r="R661" i="2"/>
  <c r="Q661" i="2"/>
  <c r="I661" i="2"/>
  <c r="K661" i="2"/>
  <c r="J661" i="2"/>
  <c r="S661" i="2"/>
  <c r="U661" i="2" l="1"/>
  <c r="X661" i="2" s="1"/>
  <c r="F662" i="2" s="1"/>
  <c r="V661" i="2"/>
  <c r="T661" i="2"/>
  <c r="W661" i="2" s="1"/>
  <c r="E662" i="2" s="1"/>
  <c r="Y661" i="2"/>
  <c r="G662" i="2" s="1"/>
  <c r="H662" i="2" l="1"/>
  <c r="B662" i="2"/>
  <c r="M662" i="2"/>
  <c r="C662" i="2"/>
  <c r="N662" i="2"/>
  <c r="O662" i="2" s="1"/>
  <c r="D662" i="2"/>
  <c r="R662" i="2" l="1"/>
  <c r="Q662" i="2"/>
  <c r="I662" i="2"/>
  <c r="J662" i="2"/>
  <c r="K662" i="2"/>
  <c r="S662" i="2"/>
  <c r="L662" i="2"/>
  <c r="P662" i="2" s="1"/>
  <c r="U662" i="2" l="1"/>
  <c r="X662" i="2" s="1"/>
  <c r="F663" i="2" s="1"/>
  <c r="V662" i="2"/>
  <c r="T662" i="2"/>
  <c r="Y662" i="2"/>
  <c r="G663" i="2" s="1"/>
  <c r="W662" i="2"/>
  <c r="E663" i="2" s="1"/>
  <c r="C663" i="2" l="1"/>
  <c r="H663" i="2"/>
  <c r="B663" i="2"/>
  <c r="N663" i="2"/>
  <c r="O663" i="2" s="1"/>
  <c r="D663" i="2"/>
  <c r="R663" i="2" l="1"/>
  <c r="J663" i="2"/>
  <c r="K663" i="2"/>
  <c r="I663" i="2"/>
  <c r="S663" i="2"/>
  <c r="L663" i="2"/>
  <c r="P663" i="2" s="1"/>
  <c r="M663" i="2"/>
  <c r="Q663" i="2" s="1"/>
  <c r="U663" i="2" l="1"/>
  <c r="V663" i="2"/>
  <c r="Y663" i="2" s="1"/>
  <c r="G664" i="2" s="1"/>
  <c r="T663" i="2"/>
  <c r="W663" i="2" s="1"/>
  <c r="E664" i="2" s="1"/>
  <c r="X663" i="2"/>
  <c r="F664" i="2" s="1"/>
  <c r="D664" i="2" l="1"/>
  <c r="C664" i="2"/>
  <c r="H664" i="2"/>
  <c r="N664" i="2" s="1"/>
  <c r="O664" i="2" s="1"/>
  <c r="B664" i="2"/>
  <c r="R664" i="2" l="1"/>
  <c r="M664" i="2"/>
  <c r="Q664" i="2" s="1"/>
  <c r="K664" i="2"/>
  <c r="I664" i="2"/>
  <c r="J664" i="2"/>
  <c r="S664" i="2"/>
  <c r="L664" i="2"/>
  <c r="P664" i="2" s="1"/>
  <c r="U664" i="2" l="1"/>
  <c r="X664" i="2" s="1"/>
  <c r="F665" i="2" s="1"/>
  <c r="T664" i="2"/>
  <c r="V664" i="2"/>
  <c r="Y664" i="2"/>
  <c r="G665" i="2" s="1"/>
  <c r="W664" i="2"/>
  <c r="E665" i="2" s="1"/>
  <c r="C665" i="2" l="1"/>
  <c r="H665" i="2"/>
  <c r="N665" i="2" s="1"/>
  <c r="O665" i="2" s="1"/>
  <c r="B665" i="2"/>
  <c r="D665" i="2"/>
  <c r="R665" i="2" l="1"/>
  <c r="K665" i="2"/>
  <c r="J665" i="2"/>
  <c r="I665" i="2"/>
  <c r="S665" i="2"/>
  <c r="L665" i="2"/>
  <c r="P665" i="2" s="1"/>
  <c r="M665" i="2"/>
  <c r="Q665" i="2" s="1"/>
  <c r="U665" i="2" l="1"/>
  <c r="V665" i="2"/>
  <c r="T665" i="2"/>
  <c r="W665" i="2" s="1"/>
  <c r="E666" i="2" s="1"/>
  <c r="X665" i="2"/>
  <c r="F666" i="2" s="1"/>
  <c r="Y665" i="2"/>
  <c r="G666" i="2" s="1"/>
  <c r="C666" i="2" l="1"/>
  <c r="D666" i="2"/>
  <c r="H666" i="2"/>
  <c r="B666" i="2"/>
  <c r="J666" i="2" l="1"/>
  <c r="K666" i="2"/>
  <c r="I666" i="2"/>
  <c r="S666" i="2"/>
  <c r="N666" i="2"/>
  <c r="O666" i="2" s="1"/>
  <c r="L666" i="2"/>
  <c r="M666" i="2"/>
  <c r="R666" i="2" l="1"/>
  <c r="Q666" i="2"/>
  <c r="P666" i="2"/>
  <c r="T666" i="2" s="1"/>
  <c r="W666" i="2" s="1"/>
  <c r="E667" i="2" s="1"/>
  <c r="U666" i="2"/>
  <c r="V666" i="2"/>
  <c r="Y666" i="2" s="1"/>
  <c r="G667" i="2" s="1"/>
  <c r="X666" i="2"/>
  <c r="F667" i="2" s="1"/>
  <c r="H667" i="2" l="1"/>
  <c r="B667" i="2"/>
  <c r="N667" i="2"/>
  <c r="O667" i="2" s="1"/>
  <c r="D667" i="2"/>
  <c r="M667" i="2"/>
  <c r="C667" i="2"/>
  <c r="R667" i="2" l="1"/>
  <c r="Q667" i="2"/>
  <c r="I667" i="2"/>
  <c r="K667" i="2"/>
  <c r="J667" i="2"/>
  <c r="S667" i="2"/>
  <c r="L667" i="2"/>
  <c r="P667" i="2" s="1"/>
  <c r="U667" i="2" l="1"/>
  <c r="X667" i="2" s="1"/>
  <c r="F668" i="2" s="1"/>
  <c r="T667" i="2"/>
  <c r="V667" i="2"/>
  <c r="Y667" i="2" s="1"/>
  <c r="G668" i="2" s="1"/>
  <c r="W667" i="2"/>
  <c r="E668" i="2" s="1"/>
  <c r="D668" i="2" l="1"/>
  <c r="C668" i="2"/>
  <c r="H668" i="2"/>
  <c r="B668" i="2"/>
  <c r="I668" i="2" l="1"/>
  <c r="K668" i="2"/>
  <c r="S668" i="2"/>
  <c r="J668" i="2"/>
  <c r="L668" i="2"/>
  <c r="M668" i="2"/>
  <c r="N668" i="2"/>
  <c r="O668" i="2" s="1"/>
  <c r="R668" i="2" l="1"/>
  <c r="Q668" i="2"/>
  <c r="U668" i="2" s="1"/>
  <c r="X668" i="2" s="1"/>
  <c r="F669" i="2" s="1"/>
  <c r="P668" i="2"/>
  <c r="V668" i="2"/>
  <c r="T668" i="2"/>
  <c r="W668" i="2" s="1"/>
  <c r="E669" i="2" s="1"/>
  <c r="Y668" i="2"/>
  <c r="G669" i="2" s="1"/>
  <c r="H669" i="2" l="1"/>
  <c r="L669" i="2" s="1"/>
  <c r="B669" i="2"/>
  <c r="C669" i="2"/>
  <c r="D669" i="2"/>
  <c r="N669" i="2" l="1"/>
  <c r="O669" i="2" s="1"/>
  <c r="M669" i="2"/>
  <c r="R669" i="2"/>
  <c r="Q669" i="2"/>
  <c r="P669" i="2"/>
  <c r="J669" i="2"/>
  <c r="I669" i="2"/>
  <c r="S669" i="2"/>
  <c r="K669" i="2"/>
  <c r="U669" i="2" l="1"/>
  <c r="T669" i="2"/>
  <c r="V669" i="2"/>
  <c r="Y669" i="2"/>
  <c r="G670" i="2" s="1"/>
  <c r="W669" i="2"/>
  <c r="E670" i="2" s="1"/>
  <c r="X669" i="2"/>
  <c r="F670" i="2" s="1"/>
  <c r="H670" i="2" l="1"/>
  <c r="L670" i="2" s="1"/>
  <c r="B670" i="2"/>
  <c r="M670" i="2"/>
  <c r="C670" i="2"/>
  <c r="N670" i="2"/>
  <c r="O670" i="2" s="1"/>
  <c r="D670" i="2"/>
  <c r="R670" i="2" l="1"/>
  <c r="Q670" i="2"/>
  <c r="P670" i="2"/>
  <c r="J670" i="2"/>
  <c r="I670" i="2"/>
  <c r="S670" i="2"/>
  <c r="K670" i="2"/>
  <c r="U670" i="2" l="1"/>
  <c r="X670" i="2" s="1"/>
  <c r="F671" i="2" s="1"/>
  <c r="T670" i="2"/>
  <c r="W670" i="2" s="1"/>
  <c r="E671" i="2" s="1"/>
  <c r="V670" i="2"/>
  <c r="Y670" i="2" s="1"/>
  <c r="G671" i="2" s="1"/>
  <c r="D671" i="2" l="1"/>
  <c r="H671" i="2"/>
  <c r="M671" i="2" s="1"/>
  <c r="B671" i="2"/>
  <c r="C671" i="2"/>
  <c r="I671" i="2" l="1"/>
  <c r="J671" i="2"/>
  <c r="K671" i="2"/>
  <c r="S671" i="2"/>
  <c r="L671" i="2"/>
  <c r="N671" i="2"/>
  <c r="O671" i="2" s="1"/>
  <c r="R671" i="2" l="1"/>
  <c r="Q671" i="2"/>
  <c r="U671" i="2" s="1"/>
  <c r="X671" i="2" s="1"/>
  <c r="F672" i="2" s="1"/>
  <c r="P671" i="2"/>
  <c r="T671" i="2" s="1"/>
  <c r="W671" i="2" s="1"/>
  <c r="E672" i="2" s="1"/>
  <c r="V671" i="2"/>
  <c r="Y671" i="2" s="1"/>
  <c r="G672" i="2" s="1"/>
  <c r="H672" i="2" l="1"/>
  <c r="L672" i="2"/>
  <c r="B672" i="2"/>
  <c r="N672" i="2"/>
  <c r="O672" i="2" s="1"/>
  <c r="D672" i="2"/>
  <c r="M672" i="2"/>
  <c r="C672" i="2"/>
  <c r="R672" i="2" l="1"/>
  <c r="Q672" i="2"/>
  <c r="P672" i="2"/>
  <c r="K672" i="2"/>
  <c r="S672" i="2"/>
  <c r="I672" i="2"/>
  <c r="J672" i="2"/>
  <c r="U672" i="2" l="1"/>
  <c r="X672" i="2" s="1"/>
  <c r="F673" i="2" s="1"/>
  <c r="T672" i="2"/>
  <c r="W672" i="2" s="1"/>
  <c r="E673" i="2" s="1"/>
  <c r="V672" i="2"/>
  <c r="Y672" i="2" s="1"/>
  <c r="G673" i="2" s="1"/>
  <c r="H673" i="2" l="1"/>
  <c r="L673" i="2"/>
  <c r="B673" i="2"/>
  <c r="N673" i="2"/>
  <c r="O673" i="2" s="1"/>
  <c r="D673" i="2"/>
  <c r="M673" i="2"/>
  <c r="C673" i="2"/>
  <c r="R673" i="2" l="1"/>
  <c r="Q673" i="2"/>
  <c r="P673" i="2"/>
  <c r="I673" i="2"/>
  <c r="J673" i="2"/>
  <c r="S673" i="2"/>
  <c r="K673" i="2"/>
  <c r="U673" i="2" l="1"/>
  <c r="T673" i="2"/>
  <c r="W673" i="2" s="1"/>
  <c r="E674" i="2" s="1"/>
  <c r="V673" i="2"/>
  <c r="Y673" i="2" s="1"/>
  <c r="G674" i="2" s="1"/>
  <c r="X673" i="2"/>
  <c r="F674" i="2" s="1"/>
  <c r="D674" i="2" l="1"/>
  <c r="H674" i="2"/>
  <c r="B674" i="2"/>
  <c r="M674" i="2"/>
  <c r="C674" i="2"/>
  <c r="I674" i="2" l="1"/>
  <c r="J674" i="2"/>
  <c r="K674" i="2"/>
  <c r="S674" i="2"/>
  <c r="L674" i="2"/>
  <c r="N674" i="2"/>
  <c r="O674" i="2" s="1"/>
  <c r="R674" i="2" l="1"/>
  <c r="Q674" i="2"/>
  <c r="P674" i="2"/>
  <c r="T674" i="2" s="1"/>
  <c r="W674" i="2" s="1"/>
  <c r="E675" i="2" s="1"/>
  <c r="U674" i="2"/>
  <c r="X674" i="2" s="1"/>
  <c r="F675" i="2" s="1"/>
  <c r="V674" i="2"/>
  <c r="Y674" i="2" s="1"/>
  <c r="G675" i="2" s="1"/>
  <c r="C675" i="2" l="1"/>
  <c r="H675" i="2"/>
  <c r="B675" i="2"/>
  <c r="N675" i="2"/>
  <c r="O675" i="2" s="1"/>
  <c r="D675" i="2"/>
  <c r="I675" i="2" l="1"/>
  <c r="J675" i="2"/>
  <c r="K675" i="2"/>
  <c r="S675" i="2"/>
  <c r="M675" i="2"/>
  <c r="R675" i="2"/>
  <c r="Q675" i="2"/>
  <c r="L675" i="2"/>
  <c r="P675" i="2" s="1"/>
  <c r="U675" i="2" l="1"/>
  <c r="X675" i="2" s="1"/>
  <c r="F676" i="2" s="1"/>
  <c r="T675" i="2"/>
  <c r="W675" i="2" s="1"/>
  <c r="E676" i="2" s="1"/>
  <c r="V675" i="2"/>
  <c r="Y675" i="2" s="1"/>
  <c r="G676" i="2" s="1"/>
  <c r="C676" i="2" l="1"/>
  <c r="H676" i="2"/>
  <c r="L676" i="2" s="1"/>
  <c r="B676" i="2"/>
  <c r="N676" i="2"/>
  <c r="O676" i="2" s="1"/>
  <c r="D676" i="2"/>
  <c r="J676" i="2" l="1"/>
  <c r="K676" i="2"/>
  <c r="I676" i="2"/>
  <c r="S676" i="2"/>
  <c r="M676" i="2"/>
  <c r="R676" i="2"/>
  <c r="Q676" i="2"/>
  <c r="P676" i="2"/>
  <c r="U676" i="2" l="1"/>
  <c r="T676" i="2"/>
  <c r="V676" i="2"/>
  <c r="Y676" i="2" s="1"/>
  <c r="G677" i="2" s="1"/>
  <c r="W676" i="2"/>
  <c r="E677" i="2" s="1"/>
  <c r="X676" i="2"/>
  <c r="F677" i="2" s="1"/>
  <c r="D677" i="2" l="1"/>
  <c r="C677" i="2"/>
  <c r="H677" i="2"/>
  <c r="L677" i="2" s="1"/>
  <c r="B677" i="2"/>
  <c r="J677" i="2" l="1"/>
  <c r="I677" i="2"/>
  <c r="K677" i="2"/>
  <c r="S677" i="2"/>
  <c r="M677" i="2"/>
  <c r="N677" i="2"/>
  <c r="O677" i="2" s="1"/>
  <c r="R677" i="2" l="1"/>
  <c r="Q677" i="2"/>
  <c r="U677" i="2" s="1"/>
  <c r="X677" i="2" s="1"/>
  <c r="F678" i="2" s="1"/>
  <c r="P677" i="2"/>
  <c r="T677" i="2" s="1"/>
  <c r="W677" i="2" s="1"/>
  <c r="E678" i="2" s="1"/>
  <c r="V677" i="2"/>
  <c r="Y677" i="2" s="1"/>
  <c r="G678" i="2" s="1"/>
  <c r="D678" i="2" l="1"/>
  <c r="H678" i="2"/>
  <c r="L678" i="2" s="1"/>
  <c r="B678" i="2"/>
  <c r="C678" i="2"/>
  <c r="M678" i="2" l="1"/>
  <c r="I678" i="2"/>
  <c r="J678" i="2"/>
  <c r="K678" i="2"/>
  <c r="S678" i="2"/>
  <c r="N678" i="2"/>
  <c r="O678" i="2" s="1"/>
  <c r="R678" i="2" l="1"/>
  <c r="V678" i="2" s="1"/>
  <c r="Y678" i="2" s="1"/>
  <c r="G679" i="2" s="1"/>
  <c r="Q678" i="2"/>
  <c r="U678" i="2" s="1"/>
  <c r="X678" i="2" s="1"/>
  <c r="F679" i="2" s="1"/>
  <c r="P678" i="2"/>
  <c r="T678" i="2" s="1"/>
  <c r="W678" i="2" s="1"/>
  <c r="E679" i="2" s="1"/>
  <c r="C679" i="2" l="1"/>
  <c r="H679" i="2"/>
  <c r="N679" i="2" s="1"/>
  <c r="O679" i="2" s="1"/>
  <c r="B679" i="2"/>
  <c r="D679" i="2"/>
  <c r="R679" i="2" l="1"/>
  <c r="I679" i="2"/>
  <c r="J679" i="2"/>
  <c r="K679" i="2"/>
  <c r="S679" i="2"/>
  <c r="M679" i="2"/>
  <c r="Q679" i="2" s="1"/>
  <c r="L679" i="2"/>
  <c r="P679" i="2" s="1"/>
  <c r="U679" i="2" l="1"/>
  <c r="T679" i="2"/>
  <c r="V679" i="2"/>
  <c r="Y679" i="2"/>
  <c r="G680" i="2" s="1"/>
  <c r="X679" i="2"/>
  <c r="F680" i="2" s="1"/>
  <c r="W679" i="2"/>
  <c r="E680" i="2" s="1"/>
  <c r="C680" i="2" l="1"/>
  <c r="H680" i="2"/>
  <c r="N680" i="2" s="1"/>
  <c r="O680" i="2" s="1"/>
  <c r="B680" i="2"/>
  <c r="D680" i="2"/>
  <c r="R680" i="2" l="1"/>
  <c r="K680" i="2"/>
  <c r="I680" i="2"/>
  <c r="J680" i="2"/>
  <c r="S680" i="2"/>
  <c r="L680" i="2"/>
  <c r="P680" i="2" s="1"/>
  <c r="M680" i="2"/>
  <c r="Q680" i="2" s="1"/>
  <c r="U680" i="2" l="1"/>
  <c r="T680" i="2"/>
  <c r="V680" i="2"/>
  <c r="W680" i="2"/>
  <c r="E681" i="2" s="1"/>
  <c r="X680" i="2"/>
  <c r="F681" i="2" s="1"/>
  <c r="Y680" i="2"/>
  <c r="G681" i="2" s="1"/>
  <c r="C681" i="2" l="1"/>
  <c r="D681" i="2"/>
  <c r="H681" i="2"/>
  <c r="L681" i="2" s="1"/>
  <c r="B681" i="2"/>
  <c r="I681" i="2" l="1"/>
  <c r="K681" i="2"/>
  <c r="S681" i="2"/>
  <c r="J681" i="2"/>
  <c r="N681" i="2"/>
  <c r="O681" i="2" s="1"/>
  <c r="M681" i="2"/>
  <c r="R681" i="2" l="1"/>
  <c r="Q681" i="2"/>
  <c r="U681" i="2" s="1"/>
  <c r="X681" i="2" s="1"/>
  <c r="F682" i="2" s="1"/>
  <c r="P681" i="2"/>
  <c r="T681" i="2" s="1"/>
  <c r="W681" i="2" s="1"/>
  <c r="E682" i="2" s="1"/>
  <c r="V681" i="2"/>
  <c r="Y681" i="2" s="1"/>
  <c r="G682" i="2" s="1"/>
  <c r="D682" i="2" l="1"/>
  <c r="C682" i="2"/>
  <c r="H682" i="2"/>
  <c r="N682" i="2" s="1"/>
  <c r="O682" i="2" s="1"/>
  <c r="B682" i="2"/>
  <c r="L682" i="2" l="1"/>
  <c r="R682" i="2"/>
  <c r="P682" i="2"/>
  <c r="M682" i="2"/>
  <c r="Q682" i="2" s="1"/>
  <c r="K682" i="2"/>
  <c r="I682" i="2"/>
  <c r="J682" i="2"/>
  <c r="S682" i="2"/>
  <c r="U682" i="2" l="1"/>
  <c r="T682" i="2"/>
  <c r="V682" i="2"/>
  <c r="W682" i="2"/>
  <c r="E683" i="2" s="1"/>
  <c r="X682" i="2"/>
  <c r="F683" i="2" s="1"/>
  <c r="Y682" i="2"/>
  <c r="G683" i="2" s="1"/>
  <c r="H683" i="2" l="1"/>
  <c r="L683" i="2" s="1"/>
  <c r="B683" i="2"/>
  <c r="N683" i="2"/>
  <c r="O683" i="2" s="1"/>
  <c r="D683" i="2"/>
  <c r="M683" i="2"/>
  <c r="C683" i="2"/>
  <c r="R683" i="2" l="1"/>
  <c r="Q683" i="2"/>
  <c r="P683" i="2"/>
  <c r="I683" i="2"/>
  <c r="J683" i="2"/>
  <c r="K683" i="2"/>
  <c r="S683" i="2"/>
  <c r="U683" i="2" l="1"/>
  <c r="T683" i="2"/>
  <c r="W683" i="2" s="1"/>
  <c r="E684" i="2" s="1"/>
  <c r="V683" i="2"/>
  <c r="Y683" i="2" s="1"/>
  <c r="G684" i="2" s="1"/>
  <c r="X683" i="2"/>
  <c r="F684" i="2" s="1"/>
  <c r="D684" i="2" l="1"/>
  <c r="H684" i="2"/>
  <c r="B684" i="2"/>
  <c r="M684" i="2"/>
  <c r="C684" i="2"/>
  <c r="K684" i="2" l="1"/>
  <c r="J684" i="2"/>
  <c r="I684" i="2"/>
  <c r="S684" i="2"/>
  <c r="N684" i="2"/>
  <c r="O684" i="2" s="1"/>
  <c r="L684" i="2"/>
  <c r="R684" i="2" l="1"/>
  <c r="V684" i="2" s="1"/>
  <c r="Y684" i="2" s="1"/>
  <c r="G685" i="2" s="1"/>
  <c r="Q684" i="2"/>
  <c r="U684" i="2" s="1"/>
  <c r="X684" i="2" s="1"/>
  <c r="F685" i="2" s="1"/>
  <c r="P684" i="2"/>
  <c r="T684" i="2" s="1"/>
  <c r="W684" i="2" s="1"/>
  <c r="E685" i="2" s="1"/>
  <c r="H685" i="2" l="1"/>
  <c r="L685" i="2" s="1"/>
  <c r="B685" i="2"/>
  <c r="M685" i="2"/>
  <c r="C685" i="2"/>
  <c r="N685" i="2"/>
  <c r="O685" i="2" s="1"/>
  <c r="D685" i="2"/>
  <c r="R685" i="2" l="1"/>
  <c r="Q685" i="2"/>
  <c r="P685" i="2"/>
  <c r="I685" i="2"/>
  <c r="J685" i="2"/>
  <c r="S685" i="2"/>
  <c r="K685" i="2"/>
  <c r="U685" i="2" l="1"/>
  <c r="T685" i="2"/>
  <c r="V685" i="2"/>
  <c r="Y685" i="2" s="1"/>
  <c r="G686" i="2" s="1"/>
  <c r="X685" i="2"/>
  <c r="F686" i="2" s="1"/>
  <c r="W685" i="2"/>
  <c r="E686" i="2" s="1"/>
  <c r="D686" i="2" l="1"/>
  <c r="H686" i="2"/>
  <c r="B686" i="2"/>
  <c r="C686" i="2"/>
  <c r="I686" i="2" l="1"/>
  <c r="J686" i="2"/>
  <c r="K686" i="2"/>
  <c r="S686" i="2"/>
  <c r="M686" i="2"/>
  <c r="L686" i="2"/>
  <c r="N686" i="2"/>
  <c r="O686" i="2" s="1"/>
  <c r="R686" i="2" l="1"/>
  <c r="Q686" i="2"/>
  <c r="P686" i="2"/>
  <c r="U686" i="2"/>
  <c r="X686" i="2" s="1"/>
  <c r="F687" i="2" s="1"/>
  <c r="T686" i="2"/>
  <c r="V686" i="2"/>
  <c r="Y686" i="2"/>
  <c r="G687" i="2" s="1"/>
  <c r="W686" i="2"/>
  <c r="E687" i="2" s="1"/>
  <c r="C687" i="2" l="1"/>
  <c r="D687" i="2"/>
  <c r="H687" i="2"/>
  <c r="N687" i="2" s="1"/>
  <c r="O687" i="2" s="1"/>
  <c r="B687" i="2"/>
  <c r="L687" i="2" l="1"/>
  <c r="R687" i="2"/>
  <c r="P687" i="2"/>
  <c r="J687" i="2"/>
  <c r="K687" i="2"/>
  <c r="I687" i="2"/>
  <c r="S687" i="2"/>
  <c r="M687" i="2"/>
  <c r="Q687" i="2" s="1"/>
  <c r="U687" i="2" l="1"/>
  <c r="X687" i="2" s="1"/>
  <c r="F688" i="2" s="1"/>
  <c r="T687" i="2"/>
  <c r="V687" i="2"/>
  <c r="W687" i="2"/>
  <c r="E688" i="2" s="1"/>
  <c r="Y687" i="2"/>
  <c r="G688" i="2" s="1"/>
  <c r="D688" i="2" l="1"/>
  <c r="C688" i="2"/>
  <c r="H688" i="2"/>
  <c r="B688" i="2"/>
  <c r="I688" i="2" l="1"/>
  <c r="J688" i="2"/>
  <c r="K688" i="2"/>
  <c r="S688" i="2"/>
  <c r="M688" i="2"/>
  <c r="L688" i="2"/>
  <c r="N688" i="2"/>
  <c r="O688" i="2" s="1"/>
  <c r="R688" i="2" l="1"/>
  <c r="Q688" i="2"/>
  <c r="P688" i="2"/>
  <c r="U688" i="2"/>
  <c r="X688" i="2" s="1"/>
  <c r="F689" i="2" s="1"/>
  <c r="T688" i="2"/>
  <c r="V688" i="2"/>
  <c r="Y688" i="2" s="1"/>
  <c r="G689" i="2" s="1"/>
  <c r="W688" i="2"/>
  <c r="E689" i="2" s="1"/>
  <c r="D689" i="2" l="1"/>
  <c r="C689" i="2"/>
  <c r="H689" i="2"/>
  <c r="N689" i="2" s="1"/>
  <c r="O689" i="2" s="1"/>
  <c r="L689" i="2"/>
  <c r="B689" i="2"/>
  <c r="R689" i="2" l="1"/>
  <c r="P689" i="2"/>
  <c r="M689" i="2"/>
  <c r="Q689" i="2" s="1"/>
  <c r="I689" i="2"/>
  <c r="K689" i="2"/>
  <c r="S689" i="2"/>
  <c r="J689" i="2"/>
  <c r="U689" i="2" l="1"/>
  <c r="T689" i="2"/>
  <c r="V689" i="2"/>
  <c r="Y689" i="2"/>
  <c r="G690" i="2" s="1"/>
  <c r="X689" i="2"/>
  <c r="F690" i="2" s="1"/>
  <c r="W689" i="2"/>
  <c r="E690" i="2" s="1"/>
  <c r="H690" i="2" l="1"/>
  <c r="L690" i="2" s="1"/>
  <c r="B690" i="2"/>
  <c r="M690" i="2"/>
  <c r="C690" i="2"/>
  <c r="N690" i="2"/>
  <c r="O690" i="2" s="1"/>
  <c r="D690" i="2"/>
  <c r="R690" i="2" l="1"/>
  <c r="Q690" i="2"/>
  <c r="P690" i="2"/>
  <c r="J690" i="2"/>
  <c r="I690" i="2"/>
  <c r="K690" i="2"/>
  <c r="S690" i="2"/>
  <c r="U690" i="2" l="1"/>
  <c r="T690" i="2"/>
  <c r="W690" i="2" s="1"/>
  <c r="E691" i="2" s="1"/>
  <c r="V690" i="2"/>
  <c r="Y690" i="2" s="1"/>
  <c r="G691" i="2" s="1"/>
  <c r="X690" i="2"/>
  <c r="F691" i="2" s="1"/>
  <c r="H691" i="2" l="1"/>
  <c r="L691" i="2"/>
  <c r="B691" i="2"/>
  <c r="M691" i="2"/>
  <c r="C691" i="2"/>
  <c r="N691" i="2"/>
  <c r="O691" i="2" s="1"/>
  <c r="D691" i="2"/>
  <c r="R691" i="2" l="1"/>
  <c r="Q691" i="2"/>
  <c r="P691" i="2"/>
  <c r="J691" i="2"/>
  <c r="K691" i="2"/>
  <c r="I691" i="2"/>
  <c r="S691" i="2"/>
  <c r="U691" i="2" l="1"/>
  <c r="X691" i="2" s="1"/>
  <c r="F692" i="2" s="1"/>
  <c r="T691" i="2"/>
  <c r="W691" i="2" s="1"/>
  <c r="E692" i="2" s="1"/>
  <c r="V691" i="2"/>
  <c r="Y691" i="2" s="1"/>
  <c r="G692" i="2" s="1"/>
  <c r="H692" i="2" l="1"/>
  <c r="L692" i="2"/>
  <c r="B692" i="2"/>
  <c r="N692" i="2"/>
  <c r="O692" i="2" s="1"/>
  <c r="D692" i="2"/>
  <c r="M692" i="2"/>
  <c r="C692" i="2"/>
  <c r="R692" i="2" l="1"/>
  <c r="Q692" i="2"/>
  <c r="P692" i="2"/>
  <c r="I692" i="2"/>
  <c r="K692" i="2"/>
  <c r="S692" i="2"/>
  <c r="J692" i="2"/>
  <c r="U692" i="2" l="1"/>
  <c r="T692" i="2"/>
  <c r="V692" i="2"/>
  <c r="X692" i="2"/>
  <c r="F693" i="2" s="1"/>
  <c r="Y692" i="2"/>
  <c r="G693" i="2" s="1"/>
  <c r="W692" i="2"/>
  <c r="E693" i="2" s="1"/>
  <c r="H693" i="2" l="1"/>
  <c r="L693" i="2"/>
  <c r="B693" i="2"/>
  <c r="N693" i="2"/>
  <c r="O693" i="2" s="1"/>
  <c r="D693" i="2"/>
  <c r="M693" i="2"/>
  <c r="C693" i="2"/>
  <c r="R693" i="2" l="1"/>
  <c r="Q693" i="2"/>
  <c r="P693" i="2"/>
  <c r="J693" i="2"/>
  <c r="I693" i="2"/>
  <c r="K693" i="2"/>
  <c r="S693" i="2"/>
  <c r="U693" i="2" l="1"/>
  <c r="T693" i="2"/>
  <c r="W693" i="2" s="1"/>
  <c r="E694" i="2" s="1"/>
  <c r="V693" i="2"/>
  <c r="Y693" i="2" s="1"/>
  <c r="G694" i="2" s="1"/>
  <c r="X693" i="2"/>
  <c r="F694" i="2" s="1"/>
  <c r="D694" i="2" l="1"/>
  <c r="H694" i="2"/>
  <c r="B694" i="2"/>
  <c r="M694" i="2"/>
  <c r="C694" i="2"/>
  <c r="J694" i="2" l="1"/>
  <c r="I694" i="2"/>
  <c r="K694" i="2"/>
  <c r="S694" i="2"/>
  <c r="L694" i="2"/>
  <c r="N694" i="2"/>
  <c r="O694" i="2" s="1"/>
  <c r="R694" i="2" l="1"/>
  <c r="Q694" i="2"/>
  <c r="P694" i="2"/>
  <c r="T694" i="2" s="1"/>
  <c r="W694" i="2" s="1"/>
  <c r="E695" i="2" s="1"/>
  <c r="U694" i="2"/>
  <c r="V694" i="2"/>
  <c r="Y694" i="2" s="1"/>
  <c r="G695" i="2" s="1"/>
  <c r="X694" i="2"/>
  <c r="F695" i="2" s="1"/>
  <c r="C695" i="2" l="1"/>
  <c r="H695" i="2"/>
  <c r="L695" i="2"/>
  <c r="B695" i="2"/>
  <c r="N695" i="2"/>
  <c r="O695" i="2" s="1"/>
  <c r="D695" i="2"/>
  <c r="R695" i="2" l="1"/>
  <c r="P695" i="2"/>
  <c r="I695" i="2"/>
  <c r="K695" i="2"/>
  <c r="J695" i="2"/>
  <c r="S695" i="2"/>
  <c r="M695" i="2"/>
  <c r="Q695" i="2" s="1"/>
  <c r="U695" i="2" l="1"/>
  <c r="T695" i="2"/>
  <c r="V695" i="2"/>
  <c r="Y695" i="2" s="1"/>
  <c r="G696" i="2" s="1"/>
  <c r="X695" i="2"/>
  <c r="F696" i="2" s="1"/>
  <c r="W695" i="2"/>
  <c r="E696" i="2" s="1"/>
  <c r="D696" i="2" l="1"/>
  <c r="H696" i="2"/>
  <c r="L696" i="2" s="1"/>
  <c r="B696" i="2"/>
  <c r="M696" i="2"/>
  <c r="C696" i="2"/>
  <c r="S696" i="2" l="1"/>
  <c r="J696" i="2"/>
  <c r="K696" i="2"/>
  <c r="I696" i="2"/>
  <c r="N696" i="2"/>
  <c r="O696" i="2" s="1"/>
  <c r="R696" i="2" l="1"/>
  <c r="Q696" i="2"/>
  <c r="U696" i="2" s="1"/>
  <c r="X696" i="2" s="1"/>
  <c r="F697" i="2" s="1"/>
  <c r="P696" i="2"/>
  <c r="T696" i="2" s="1"/>
  <c r="W696" i="2" s="1"/>
  <c r="E697" i="2" s="1"/>
  <c r="V696" i="2"/>
  <c r="Y696" i="2" s="1"/>
  <c r="G697" i="2" s="1"/>
  <c r="D697" i="2" l="1"/>
  <c r="H697" i="2"/>
  <c r="L697" i="2" s="1"/>
  <c r="B697" i="2"/>
  <c r="C697" i="2"/>
  <c r="M697" i="2" l="1"/>
  <c r="I697" i="2"/>
  <c r="J697" i="2"/>
  <c r="K697" i="2"/>
  <c r="S697" i="2"/>
  <c r="N697" i="2"/>
  <c r="O697" i="2" s="1"/>
  <c r="R697" i="2" l="1"/>
  <c r="Q697" i="2"/>
  <c r="U697" i="2" s="1"/>
  <c r="X697" i="2" s="1"/>
  <c r="F698" i="2" s="1"/>
  <c r="P697" i="2"/>
  <c r="T697" i="2" s="1"/>
  <c r="W697" i="2" s="1"/>
  <c r="E698" i="2" s="1"/>
  <c r="V697" i="2"/>
  <c r="Y697" i="2" s="1"/>
  <c r="G698" i="2" s="1"/>
  <c r="C698" i="2" l="1"/>
  <c r="H698" i="2"/>
  <c r="L698" i="2" s="1"/>
  <c r="B698" i="2"/>
  <c r="D698" i="2"/>
  <c r="N698" i="2" l="1"/>
  <c r="O698" i="2" s="1"/>
  <c r="R698" i="2"/>
  <c r="P698" i="2"/>
  <c r="I698" i="2"/>
  <c r="K698" i="2"/>
  <c r="J698" i="2"/>
  <c r="S698" i="2"/>
  <c r="M698" i="2"/>
  <c r="Q698" i="2" s="1"/>
  <c r="U698" i="2" l="1"/>
  <c r="X698" i="2" s="1"/>
  <c r="F699" i="2" s="1"/>
  <c r="T698" i="2"/>
  <c r="W698" i="2" s="1"/>
  <c r="E699" i="2" s="1"/>
  <c r="V698" i="2"/>
  <c r="Y698" i="2" s="1"/>
  <c r="G699" i="2" s="1"/>
  <c r="D699" i="2" l="1"/>
  <c r="H699" i="2"/>
  <c r="M699" i="2" s="1"/>
  <c r="B699" i="2"/>
  <c r="C699" i="2"/>
  <c r="J699" i="2" l="1"/>
  <c r="K699" i="2"/>
  <c r="I699" i="2"/>
  <c r="S699" i="2"/>
  <c r="L699" i="2"/>
  <c r="N699" i="2"/>
  <c r="O699" i="2" s="1"/>
  <c r="R699" i="2" l="1"/>
  <c r="Q699" i="2"/>
  <c r="U699" i="2" s="1"/>
  <c r="X699" i="2" s="1"/>
  <c r="F700" i="2" s="1"/>
  <c r="P699" i="2"/>
  <c r="T699" i="2" s="1"/>
  <c r="W699" i="2" s="1"/>
  <c r="E700" i="2" s="1"/>
  <c r="V699" i="2"/>
  <c r="Y699" i="2" s="1"/>
  <c r="G700" i="2" s="1"/>
  <c r="H700" i="2" l="1"/>
  <c r="L700" i="2"/>
  <c r="B700" i="2"/>
  <c r="M700" i="2"/>
  <c r="C700" i="2"/>
  <c r="N700" i="2"/>
  <c r="O700" i="2" s="1"/>
  <c r="D700" i="2"/>
  <c r="R700" i="2" l="1"/>
  <c r="Q700" i="2"/>
  <c r="P700" i="2"/>
  <c r="I700" i="2"/>
  <c r="K700" i="2"/>
  <c r="J700" i="2"/>
  <c r="S700" i="2"/>
  <c r="U700" i="2" l="1"/>
  <c r="T700" i="2"/>
  <c r="V700" i="2"/>
  <c r="Y700" i="2"/>
  <c r="G701" i="2" s="1"/>
  <c r="X700" i="2"/>
  <c r="F701" i="2" s="1"/>
  <c r="W700" i="2"/>
  <c r="E701" i="2" s="1"/>
  <c r="H701" i="2" l="1"/>
  <c r="L701" i="2"/>
  <c r="B701" i="2"/>
  <c r="M701" i="2"/>
  <c r="C701" i="2"/>
  <c r="N701" i="2"/>
  <c r="O701" i="2" s="1"/>
  <c r="D701" i="2"/>
  <c r="R701" i="2" l="1"/>
  <c r="Q701" i="2"/>
  <c r="P701" i="2"/>
  <c r="J701" i="2"/>
  <c r="K701" i="2"/>
  <c r="S701" i="2"/>
  <c r="I701" i="2"/>
  <c r="U701" i="2" l="1"/>
  <c r="T701" i="2"/>
  <c r="W701" i="2" s="1"/>
  <c r="E702" i="2" s="1"/>
  <c r="V701" i="2"/>
  <c r="Y701" i="2" s="1"/>
  <c r="G702" i="2" s="1"/>
  <c r="X701" i="2"/>
  <c r="F702" i="2" s="1"/>
  <c r="D702" i="2" l="1"/>
  <c r="H702" i="2"/>
  <c r="M702" i="2" s="1"/>
  <c r="B702" i="2"/>
  <c r="C702" i="2"/>
  <c r="J702" i="2" l="1"/>
  <c r="S702" i="2"/>
  <c r="I702" i="2"/>
  <c r="K702" i="2"/>
  <c r="N702" i="2"/>
  <c r="O702" i="2" s="1"/>
  <c r="L702" i="2"/>
  <c r="R702" i="2" l="1"/>
  <c r="Q702" i="2"/>
  <c r="P702" i="2"/>
  <c r="T702" i="2" s="1"/>
  <c r="W702" i="2" s="1"/>
  <c r="E703" i="2" s="1"/>
  <c r="U702" i="2"/>
  <c r="X702" i="2" s="1"/>
  <c r="F703" i="2" s="1"/>
  <c r="V702" i="2"/>
  <c r="Y702" i="2" s="1"/>
  <c r="G703" i="2" s="1"/>
  <c r="H703" i="2" l="1"/>
  <c r="L703" i="2" s="1"/>
  <c r="B703" i="2"/>
  <c r="N703" i="2"/>
  <c r="O703" i="2" s="1"/>
  <c r="D703" i="2"/>
  <c r="M703" i="2"/>
  <c r="C703" i="2"/>
  <c r="R703" i="2" l="1"/>
  <c r="Q703" i="2"/>
  <c r="P703" i="2"/>
  <c r="J703" i="2"/>
  <c r="I703" i="2"/>
  <c r="K703" i="2"/>
  <c r="S703" i="2"/>
  <c r="U703" i="2" l="1"/>
  <c r="T703" i="2"/>
  <c r="V703" i="2"/>
  <c r="W703" i="2"/>
  <c r="E704" i="2" s="1"/>
  <c r="Y703" i="2"/>
  <c r="G704" i="2" s="1"/>
  <c r="X703" i="2"/>
  <c r="F704" i="2" s="1"/>
  <c r="D704" i="2" l="1"/>
  <c r="C704" i="2"/>
  <c r="H704" i="2"/>
  <c r="B704" i="2"/>
  <c r="I704" i="2" l="1"/>
  <c r="S704" i="2"/>
  <c r="K704" i="2"/>
  <c r="J704" i="2"/>
  <c r="L704" i="2"/>
  <c r="M704" i="2"/>
  <c r="N704" i="2"/>
  <c r="O704" i="2" s="1"/>
  <c r="R704" i="2" l="1"/>
  <c r="V704" i="2" s="1"/>
  <c r="Y704" i="2" s="1"/>
  <c r="G705" i="2" s="1"/>
  <c r="Q704" i="2"/>
  <c r="U704" i="2" s="1"/>
  <c r="X704" i="2" s="1"/>
  <c r="F705" i="2" s="1"/>
  <c r="P704" i="2"/>
  <c r="T704" i="2"/>
  <c r="W704" i="2"/>
  <c r="E705" i="2" s="1"/>
  <c r="D705" i="2" l="1"/>
  <c r="H705" i="2"/>
  <c r="L705" i="2" s="1"/>
  <c r="B705" i="2"/>
  <c r="M705" i="2"/>
  <c r="C705" i="2"/>
  <c r="J705" i="2" l="1"/>
  <c r="I705" i="2"/>
  <c r="K705" i="2"/>
  <c r="S705" i="2"/>
  <c r="N705" i="2"/>
  <c r="O705" i="2" s="1"/>
  <c r="R705" i="2" l="1"/>
  <c r="Q705" i="2"/>
  <c r="P705" i="2"/>
  <c r="U705" i="2"/>
  <c r="T705" i="2"/>
  <c r="W705" i="2" s="1"/>
  <c r="E706" i="2" s="1"/>
  <c r="V705" i="2"/>
  <c r="Y705" i="2" s="1"/>
  <c r="G706" i="2" s="1"/>
  <c r="X705" i="2"/>
  <c r="F706" i="2" s="1"/>
  <c r="H706" i="2" l="1"/>
  <c r="L706" i="2"/>
  <c r="B706" i="2"/>
  <c r="N706" i="2"/>
  <c r="O706" i="2" s="1"/>
  <c r="D706" i="2"/>
  <c r="M706" i="2"/>
  <c r="C706" i="2"/>
  <c r="R706" i="2" l="1"/>
  <c r="Q706" i="2"/>
  <c r="P706" i="2"/>
  <c r="I706" i="2"/>
  <c r="J706" i="2"/>
  <c r="S706" i="2"/>
  <c r="K706" i="2"/>
  <c r="U706" i="2" l="1"/>
  <c r="T706" i="2"/>
  <c r="V706" i="2"/>
  <c r="Y706" i="2"/>
  <c r="G707" i="2" s="1"/>
  <c r="X706" i="2"/>
  <c r="F707" i="2" s="1"/>
  <c r="W706" i="2"/>
  <c r="E707" i="2" s="1"/>
  <c r="D707" i="2" l="1"/>
  <c r="H707" i="2"/>
  <c r="M707" i="2" s="1"/>
  <c r="B707" i="2"/>
  <c r="C707" i="2"/>
  <c r="I707" i="2" l="1"/>
  <c r="J707" i="2"/>
  <c r="K707" i="2"/>
  <c r="S707" i="2"/>
  <c r="N707" i="2"/>
  <c r="O707" i="2" s="1"/>
  <c r="L707" i="2"/>
  <c r="R707" i="2" l="1"/>
  <c r="Q707" i="2"/>
  <c r="U707" i="2" s="1"/>
  <c r="X707" i="2" s="1"/>
  <c r="F708" i="2" s="1"/>
  <c r="P707" i="2"/>
  <c r="T707" i="2"/>
  <c r="V707" i="2"/>
  <c r="Y707" i="2" s="1"/>
  <c r="G708" i="2" s="1"/>
  <c r="W707" i="2"/>
  <c r="E708" i="2" s="1"/>
  <c r="D708" i="2" l="1"/>
  <c r="C708" i="2"/>
  <c r="H708" i="2"/>
  <c r="L708" i="2" s="1"/>
  <c r="B708" i="2"/>
  <c r="J708" i="2" l="1"/>
  <c r="S708" i="2"/>
  <c r="I708" i="2"/>
  <c r="K708" i="2"/>
  <c r="M708" i="2"/>
  <c r="N708" i="2"/>
  <c r="O708" i="2" s="1"/>
  <c r="R708" i="2" l="1"/>
  <c r="Q708" i="2"/>
  <c r="U708" i="2" s="1"/>
  <c r="X708" i="2" s="1"/>
  <c r="F709" i="2" s="1"/>
  <c r="P708" i="2"/>
  <c r="T708" i="2" s="1"/>
  <c r="W708" i="2" s="1"/>
  <c r="E709" i="2" s="1"/>
  <c r="V708" i="2"/>
  <c r="Y708" i="2" s="1"/>
  <c r="G709" i="2" s="1"/>
  <c r="C709" i="2" l="1"/>
  <c r="D709" i="2"/>
  <c r="H709" i="2"/>
  <c r="B709" i="2"/>
  <c r="I709" i="2" l="1"/>
  <c r="J709" i="2"/>
  <c r="K709" i="2"/>
  <c r="S709" i="2"/>
  <c r="N709" i="2"/>
  <c r="O709" i="2" s="1"/>
  <c r="L709" i="2"/>
  <c r="M709" i="2"/>
  <c r="R709" i="2" l="1"/>
  <c r="Q709" i="2"/>
  <c r="U709" i="2" s="1"/>
  <c r="X709" i="2" s="1"/>
  <c r="F710" i="2" s="1"/>
  <c r="P709" i="2"/>
  <c r="T709" i="2" s="1"/>
  <c r="W709" i="2" s="1"/>
  <c r="E710" i="2" s="1"/>
  <c r="V709" i="2"/>
  <c r="Y709" i="2" s="1"/>
  <c r="G710" i="2" s="1"/>
  <c r="C710" i="2" l="1"/>
  <c r="D710" i="2"/>
  <c r="H710" i="2"/>
  <c r="M710" i="2" s="1"/>
  <c r="B710" i="2"/>
  <c r="L710" i="2" l="1"/>
  <c r="N710" i="2"/>
  <c r="O710" i="2" s="1"/>
  <c r="I710" i="2"/>
  <c r="J710" i="2"/>
  <c r="K710" i="2"/>
  <c r="S710" i="2"/>
  <c r="R710" i="2" l="1"/>
  <c r="V710" i="2" s="1"/>
  <c r="Y710" i="2" s="1"/>
  <c r="G711" i="2" s="1"/>
  <c r="Q710" i="2"/>
  <c r="U710" i="2" s="1"/>
  <c r="X710" i="2" s="1"/>
  <c r="F711" i="2" s="1"/>
  <c r="P710" i="2"/>
  <c r="T710" i="2" s="1"/>
  <c r="W710" i="2" s="1"/>
  <c r="E711" i="2" s="1"/>
  <c r="C711" i="2" l="1"/>
  <c r="H711" i="2"/>
  <c r="L711" i="2" s="1"/>
  <c r="B711" i="2"/>
  <c r="N711" i="2"/>
  <c r="O711" i="2" s="1"/>
  <c r="D711" i="2"/>
  <c r="R711" i="2" l="1"/>
  <c r="P711" i="2"/>
  <c r="K711" i="2"/>
  <c r="I711" i="2"/>
  <c r="J711" i="2"/>
  <c r="S711" i="2"/>
  <c r="M711" i="2"/>
  <c r="Q711" i="2" s="1"/>
  <c r="U711" i="2" l="1"/>
  <c r="X711" i="2" s="1"/>
  <c r="F712" i="2" s="1"/>
  <c r="T711" i="2"/>
  <c r="V711" i="2"/>
  <c r="W711" i="2"/>
  <c r="E712" i="2" s="1"/>
  <c r="Y711" i="2"/>
  <c r="G712" i="2" s="1"/>
  <c r="H712" i="2" l="1"/>
  <c r="L712" i="2" s="1"/>
  <c r="B712" i="2"/>
  <c r="D712" i="2"/>
  <c r="C712" i="2"/>
  <c r="N712" i="2" l="1"/>
  <c r="O712" i="2" s="1"/>
  <c r="M712" i="2"/>
  <c r="R712" i="2"/>
  <c r="Q712" i="2"/>
  <c r="P712" i="2"/>
  <c r="J712" i="2"/>
  <c r="K712" i="2"/>
  <c r="I712" i="2"/>
  <c r="S712" i="2"/>
  <c r="U712" i="2" l="1"/>
  <c r="T712" i="2"/>
  <c r="V712" i="2"/>
  <c r="W712" i="2"/>
  <c r="E713" i="2" s="1"/>
  <c r="Y712" i="2"/>
  <c r="G713" i="2" s="1"/>
  <c r="X712" i="2"/>
  <c r="F713" i="2" s="1"/>
  <c r="D713" i="2" l="1"/>
  <c r="C713" i="2"/>
  <c r="H713" i="2"/>
  <c r="B713" i="2"/>
  <c r="J713" i="2" l="1"/>
  <c r="K713" i="2"/>
  <c r="I713" i="2"/>
  <c r="S713" i="2"/>
  <c r="M713" i="2"/>
  <c r="L713" i="2"/>
  <c r="N713" i="2"/>
  <c r="O713" i="2" s="1"/>
  <c r="R713" i="2" l="1"/>
  <c r="V713" i="2" s="1"/>
  <c r="Y713" i="2" s="1"/>
  <c r="G714" i="2" s="1"/>
  <c r="Q713" i="2"/>
  <c r="U713" i="2" s="1"/>
  <c r="X713" i="2" s="1"/>
  <c r="F714" i="2" s="1"/>
  <c r="P713" i="2"/>
  <c r="T713" i="2" s="1"/>
  <c r="W713" i="2" s="1"/>
  <c r="E714" i="2" s="1"/>
  <c r="H714" i="2" l="1"/>
  <c r="L714" i="2" s="1"/>
  <c r="B714" i="2"/>
  <c r="C714" i="2"/>
  <c r="D714" i="2"/>
  <c r="N714" i="2" l="1"/>
  <c r="O714" i="2" s="1"/>
  <c r="P714" i="2" s="1"/>
  <c r="M714" i="2"/>
  <c r="R714" i="2"/>
  <c r="Q714" i="2"/>
  <c r="J714" i="2"/>
  <c r="I714" i="2"/>
  <c r="K714" i="2"/>
  <c r="S714" i="2"/>
  <c r="U714" i="2" l="1"/>
  <c r="T714" i="2"/>
  <c r="V714" i="2"/>
  <c r="W714" i="2"/>
  <c r="E715" i="2" s="1"/>
  <c r="Y714" i="2"/>
  <c r="G715" i="2" s="1"/>
  <c r="X714" i="2"/>
  <c r="F715" i="2" s="1"/>
  <c r="C715" i="2" l="1"/>
  <c r="D715" i="2"/>
  <c r="H715" i="2"/>
  <c r="B715" i="2"/>
  <c r="K715" i="2" l="1"/>
  <c r="I715" i="2"/>
  <c r="J715" i="2"/>
  <c r="S715" i="2"/>
  <c r="M715" i="2"/>
  <c r="L715" i="2"/>
  <c r="N715" i="2"/>
  <c r="O715" i="2" s="1"/>
  <c r="R715" i="2" l="1"/>
  <c r="Q715" i="2"/>
  <c r="U715" i="2" s="1"/>
  <c r="X715" i="2" s="1"/>
  <c r="F716" i="2" s="1"/>
  <c r="P715" i="2"/>
  <c r="T715" i="2" s="1"/>
  <c r="W715" i="2" s="1"/>
  <c r="E716" i="2" s="1"/>
  <c r="V715" i="2"/>
  <c r="Y715" i="2" s="1"/>
  <c r="G716" i="2" s="1"/>
  <c r="D716" i="2" l="1"/>
  <c r="C716" i="2"/>
  <c r="H716" i="2"/>
  <c r="M716" i="2" s="1"/>
  <c r="B716" i="2"/>
  <c r="L716" i="2" l="1"/>
  <c r="K716" i="2"/>
  <c r="I716" i="2"/>
  <c r="S716" i="2"/>
  <c r="J716" i="2"/>
  <c r="N716" i="2"/>
  <c r="O716" i="2" s="1"/>
  <c r="R716" i="2" l="1"/>
  <c r="V716" i="2" s="1"/>
  <c r="Y716" i="2" s="1"/>
  <c r="G717" i="2" s="1"/>
  <c r="Q716" i="2"/>
  <c r="U716" i="2" s="1"/>
  <c r="X716" i="2" s="1"/>
  <c r="F717" i="2" s="1"/>
  <c r="P716" i="2"/>
  <c r="T716" i="2" s="1"/>
  <c r="W716" i="2" s="1"/>
  <c r="E717" i="2" s="1"/>
  <c r="H717" i="2" l="1"/>
  <c r="L717" i="2"/>
  <c r="B717" i="2"/>
  <c r="M717" i="2"/>
  <c r="C717" i="2"/>
  <c r="N717" i="2"/>
  <c r="O717" i="2" s="1"/>
  <c r="D717" i="2"/>
  <c r="R717" i="2" l="1"/>
  <c r="Q717" i="2"/>
  <c r="P717" i="2"/>
  <c r="K717" i="2"/>
  <c r="I717" i="2"/>
  <c r="J717" i="2"/>
  <c r="S717" i="2"/>
  <c r="U717" i="2" l="1"/>
  <c r="T717" i="2"/>
  <c r="V717" i="2"/>
  <c r="Y717" i="2"/>
  <c r="G718" i="2" s="1"/>
  <c r="X717" i="2"/>
  <c r="F718" i="2" s="1"/>
  <c r="W717" i="2"/>
  <c r="E718" i="2" s="1"/>
  <c r="C718" i="2" l="1"/>
  <c r="H718" i="2"/>
  <c r="B718" i="2"/>
  <c r="D718" i="2"/>
  <c r="I718" i="2" l="1"/>
  <c r="J718" i="2"/>
  <c r="S718" i="2"/>
  <c r="K718" i="2"/>
  <c r="N718" i="2"/>
  <c r="O718" i="2" s="1"/>
  <c r="L718" i="2"/>
  <c r="M718" i="2"/>
  <c r="R718" i="2" l="1"/>
  <c r="Q718" i="2"/>
  <c r="U718" i="2" s="1"/>
  <c r="X718" i="2" s="1"/>
  <c r="F719" i="2" s="1"/>
  <c r="P718" i="2"/>
  <c r="T718" i="2" s="1"/>
  <c r="W718" i="2" s="1"/>
  <c r="E719" i="2" s="1"/>
  <c r="V718" i="2"/>
  <c r="Y718" i="2" s="1"/>
  <c r="G719" i="2" s="1"/>
  <c r="D719" i="2" l="1"/>
  <c r="C719" i="2"/>
  <c r="H719" i="2"/>
  <c r="B719" i="2"/>
  <c r="J719" i="2" l="1"/>
  <c r="I719" i="2"/>
  <c r="K719" i="2"/>
  <c r="S719" i="2"/>
  <c r="L719" i="2"/>
  <c r="M719" i="2"/>
  <c r="N719" i="2"/>
  <c r="O719" i="2" s="1"/>
  <c r="R719" i="2" l="1"/>
  <c r="Q719" i="2"/>
  <c r="P719" i="2"/>
  <c r="T719" i="2" s="1"/>
  <c r="W719" i="2" s="1"/>
  <c r="E720" i="2" s="1"/>
  <c r="U719" i="2"/>
  <c r="V719" i="2"/>
  <c r="Y719" i="2" s="1"/>
  <c r="G720" i="2" s="1"/>
  <c r="X719" i="2"/>
  <c r="F720" i="2" s="1"/>
  <c r="D720" i="2" l="1"/>
  <c r="C720" i="2"/>
  <c r="H720" i="2"/>
  <c r="B720" i="2"/>
  <c r="K720" i="2" l="1"/>
  <c r="J720" i="2"/>
  <c r="S720" i="2"/>
  <c r="I720" i="2"/>
  <c r="L720" i="2"/>
  <c r="M720" i="2"/>
  <c r="N720" i="2"/>
  <c r="O720" i="2" s="1"/>
  <c r="R720" i="2" l="1"/>
  <c r="Q720" i="2"/>
  <c r="P720" i="2"/>
  <c r="T720" i="2" s="1"/>
  <c r="W720" i="2" s="1"/>
  <c r="E721" i="2" s="1"/>
  <c r="U720" i="2"/>
  <c r="X720" i="2" s="1"/>
  <c r="F721" i="2" s="1"/>
  <c r="V720" i="2"/>
  <c r="Y720" i="2" s="1"/>
  <c r="G721" i="2" s="1"/>
  <c r="C721" i="2" l="1"/>
  <c r="H721" i="2"/>
  <c r="B721" i="2"/>
  <c r="N721" i="2"/>
  <c r="O721" i="2" s="1"/>
  <c r="D721" i="2"/>
  <c r="R721" i="2" l="1"/>
  <c r="I721" i="2"/>
  <c r="K721" i="2"/>
  <c r="S721" i="2"/>
  <c r="J721" i="2"/>
  <c r="L721" i="2"/>
  <c r="P721" i="2" s="1"/>
  <c r="M721" i="2"/>
  <c r="Q721" i="2" s="1"/>
  <c r="U721" i="2" l="1"/>
  <c r="X721" i="2" s="1"/>
  <c r="F722" i="2" s="1"/>
  <c r="T721" i="2"/>
  <c r="V721" i="2"/>
  <c r="Y721" i="2" s="1"/>
  <c r="G722" i="2" s="1"/>
  <c r="W721" i="2"/>
  <c r="E722" i="2" s="1"/>
  <c r="D722" i="2" l="1"/>
  <c r="C722" i="2"/>
  <c r="H722" i="2"/>
  <c r="L722" i="2" s="1"/>
  <c r="B722" i="2"/>
  <c r="I722" i="2" l="1"/>
  <c r="J722" i="2"/>
  <c r="K722" i="2"/>
  <c r="S722" i="2"/>
  <c r="M722" i="2"/>
  <c r="N722" i="2"/>
  <c r="O722" i="2" s="1"/>
  <c r="R722" i="2" l="1"/>
  <c r="Q722" i="2"/>
  <c r="P722" i="2"/>
  <c r="T722" i="2" s="1"/>
  <c r="W722" i="2" s="1"/>
  <c r="E723" i="2" s="1"/>
  <c r="U722" i="2"/>
  <c r="X722" i="2" s="1"/>
  <c r="F723" i="2" s="1"/>
  <c r="V722" i="2"/>
  <c r="Y722" i="2" s="1"/>
  <c r="G723" i="2" s="1"/>
  <c r="C723" i="2" l="1"/>
  <c r="H723" i="2"/>
  <c r="N723" i="2" s="1"/>
  <c r="O723" i="2" s="1"/>
  <c r="B723" i="2"/>
  <c r="D723" i="2"/>
  <c r="J723" i="2" l="1"/>
  <c r="I723" i="2"/>
  <c r="K723" i="2"/>
  <c r="S723" i="2"/>
  <c r="R723" i="2"/>
  <c r="L723" i="2"/>
  <c r="P723" i="2" s="1"/>
  <c r="M723" i="2"/>
  <c r="Q723" i="2" s="1"/>
  <c r="U723" i="2" l="1"/>
  <c r="X723" i="2" s="1"/>
  <c r="F724" i="2" s="1"/>
  <c r="T723" i="2"/>
  <c r="V723" i="2"/>
  <c r="W723" i="2"/>
  <c r="E724" i="2" s="1"/>
  <c r="Y723" i="2"/>
  <c r="G724" i="2" s="1"/>
  <c r="D724" i="2" l="1"/>
  <c r="C724" i="2"/>
  <c r="H724" i="2"/>
  <c r="L724" i="2" s="1"/>
  <c r="B724" i="2"/>
  <c r="K724" i="2" l="1"/>
  <c r="I724" i="2"/>
  <c r="J724" i="2"/>
  <c r="S724" i="2"/>
  <c r="M724" i="2"/>
  <c r="N724" i="2"/>
  <c r="O724" i="2" s="1"/>
  <c r="R724" i="2" l="1"/>
  <c r="Q724" i="2"/>
  <c r="U724" i="2" s="1"/>
  <c r="X724" i="2" s="1"/>
  <c r="F725" i="2" s="1"/>
  <c r="P724" i="2"/>
  <c r="T724" i="2" s="1"/>
  <c r="W724" i="2" s="1"/>
  <c r="E725" i="2" s="1"/>
  <c r="V724" i="2"/>
  <c r="Y724" i="2" s="1"/>
  <c r="G725" i="2" s="1"/>
  <c r="H725" i="2" l="1"/>
  <c r="L725" i="2" s="1"/>
  <c r="B725" i="2"/>
  <c r="D725" i="2"/>
  <c r="C725" i="2"/>
  <c r="M725" i="2" l="1"/>
  <c r="N725" i="2"/>
  <c r="O725" i="2" s="1"/>
  <c r="R725" i="2"/>
  <c r="Q725" i="2"/>
  <c r="P725" i="2"/>
  <c r="K725" i="2"/>
  <c r="J725" i="2"/>
  <c r="I725" i="2"/>
  <c r="S725" i="2"/>
  <c r="U725" i="2" l="1"/>
  <c r="X725" i="2" s="1"/>
  <c r="F726" i="2" s="1"/>
  <c r="T725" i="2"/>
  <c r="W725" i="2" s="1"/>
  <c r="E726" i="2" s="1"/>
  <c r="V725" i="2"/>
  <c r="Y725" i="2" s="1"/>
  <c r="G726" i="2" s="1"/>
  <c r="H726" i="2" l="1"/>
  <c r="L726" i="2"/>
  <c r="B726" i="2"/>
  <c r="M726" i="2"/>
  <c r="C726" i="2"/>
  <c r="N726" i="2"/>
  <c r="O726" i="2" s="1"/>
  <c r="D726" i="2"/>
  <c r="R726" i="2" l="1"/>
  <c r="Q726" i="2"/>
  <c r="P726" i="2"/>
  <c r="I726" i="2"/>
  <c r="K726" i="2"/>
  <c r="S726" i="2"/>
  <c r="J726" i="2"/>
  <c r="U726" i="2" l="1"/>
  <c r="X726" i="2" s="1"/>
  <c r="F727" i="2" s="1"/>
  <c r="T726" i="2"/>
  <c r="V726" i="2"/>
  <c r="Y726" i="2" s="1"/>
  <c r="G727" i="2" s="1"/>
  <c r="W726" i="2"/>
  <c r="E727" i="2" s="1"/>
  <c r="D727" i="2" l="1"/>
  <c r="C727" i="2"/>
  <c r="H727" i="2"/>
  <c r="B727" i="2"/>
  <c r="I727" i="2" l="1"/>
  <c r="J727" i="2"/>
  <c r="K727" i="2"/>
  <c r="S727" i="2"/>
  <c r="L727" i="2"/>
  <c r="M727" i="2"/>
  <c r="N727" i="2"/>
  <c r="O727" i="2" s="1"/>
  <c r="R727" i="2" l="1"/>
  <c r="Q727" i="2"/>
  <c r="U727" i="2" s="1"/>
  <c r="X727" i="2" s="1"/>
  <c r="F728" i="2" s="1"/>
  <c r="P727" i="2"/>
  <c r="T727" i="2"/>
  <c r="V727" i="2"/>
  <c r="Y727" i="2" s="1"/>
  <c r="G728" i="2" s="1"/>
  <c r="W727" i="2"/>
  <c r="E728" i="2" s="1"/>
  <c r="D728" i="2" l="1"/>
  <c r="H728" i="2"/>
  <c r="L728" i="2" s="1"/>
  <c r="B728" i="2"/>
  <c r="C728" i="2"/>
  <c r="M728" i="2" l="1"/>
  <c r="K728" i="2"/>
  <c r="I728" i="2"/>
  <c r="J728" i="2"/>
  <c r="S728" i="2"/>
  <c r="N728" i="2"/>
  <c r="O728" i="2" s="1"/>
  <c r="R728" i="2" l="1"/>
  <c r="Q728" i="2"/>
  <c r="U728" i="2" s="1"/>
  <c r="X728" i="2" s="1"/>
  <c r="F729" i="2" s="1"/>
  <c r="P728" i="2"/>
  <c r="T728" i="2"/>
  <c r="W728" i="2" s="1"/>
  <c r="E729" i="2" s="1"/>
  <c r="V728" i="2"/>
  <c r="Y728" i="2" s="1"/>
  <c r="G729" i="2" s="1"/>
  <c r="H729" i="2" l="1"/>
  <c r="L729" i="2"/>
  <c r="B729" i="2"/>
  <c r="M729" i="2"/>
  <c r="C729" i="2"/>
  <c r="N729" i="2"/>
  <c r="O729" i="2" s="1"/>
  <c r="D729" i="2"/>
  <c r="R729" i="2" l="1"/>
  <c r="Q729" i="2"/>
  <c r="P729" i="2"/>
  <c r="I729" i="2"/>
  <c r="J729" i="2"/>
  <c r="K729" i="2"/>
  <c r="S729" i="2"/>
  <c r="U729" i="2" l="1"/>
  <c r="T729" i="2"/>
  <c r="V729" i="2"/>
  <c r="X729" i="2"/>
  <c r="F730" i="2" s="1"/>
  <c r="Y729" i="2"/>
  <c r="G730" i="2" s="1"/>
  <c r="W729" i="2"/>
  <c r="E730" i="2" s="1"/>
  <c r="H730" i="2" l="1"/>
  <c r="N730" i="2" s="1"/>
  <c r="O730" i="2" s="1"/>
  <c r="L730" i="2"/>
  <c r="B730" i="2"/>
  <c r="D730" i="2"/>
  <c r="C730" i="2"/>
  <c r="M730" i="2" l="1"/>
  <c r="R730" i="2"/>
  <c r="Q730" i="2"/>
  <c r="P730" i="2"/>
  <c r="I730" i="2"/>
  <c r="K730" i="2"/>
  <c r="S730" i="2"/>
  <c r="J730" i="2"/>
  <c r="U730" i="2" l="1"/>
  <c r="X730" i="2" s="1"/>
  <c r="F731" i="2" s="1"/>
  <c r="T730" i="2"/>
  <c r="V730" i="2"/>
  <c r="Y730" i="2" s="1"/>
  <c r="G731" i="2" s="1"/>
  <c r="W730" i="2"/>
  <c r="E731" i="2" s="1"/>
  <c r="D731" i="2" l="1"/>
  <c r="C731" i="2"/>
  <c r="H731" i="2"/>
  <c r="L731" i="2" s="1"/>
  <c r="B731" i="2"/>
  <c r="I731" i="2" l="1"/>
  <c r="K731" i="2"/>
  <c r="J731" i="2"/>
  <c r="S731" i="2"/>
  <c r="M731" i="2"/>
  <c r="N731" i="2"/>
  <c r="O731" i="2" s="1"/>
  <c r="R731" i="2" l="1"/>
  <c r="Q731" i="2"/>
  <c r="U731" i="2" s="1"/>
  <c r="X731" i="2" s="1"/>
  <c r="F732" i="2" s="1"/>
  <c r="P731" i="2"/>
  <c r="T731" i="2"/>
  <c r="V731" i="2"/>
  <c r="Y731" i="2" s="1"/>
  <c r="G732" i="2" s="1"/>
  <c r="W731" i="2"/>
  <c r="E732" i="2" s="1"/>
  <c r="D732" i="2" l="1"/>
  <c r="C732" i="2"/>
  <c r="H732" i="2"/>
  <c r="B732" i="2"/>
  <c r="I732" i="2" l="1"/>
  <c r="S732" i="2"/>
  <c r="K732" i="2"/>
  <c r="J732" i="2"/>
  <c r="L732" i="2"/>
  <c r="M732" i="2"/>
  <c r="N732" i="2"/>
  <c r="O732" i="2" s="1"/>
  <c r="R732" i="2" l="1"/>
  <c r="Q732" i="2"/>
  <c r="U732" i="2" s="1"/>
  <c r="X732" i="2" s="1"/>
  <c r="F733" i="2" s="1"/>
  <c r="P732" i="2"/>
  <c r="T732" i="2" s="1"/>
  <c r="W732" i="2" s="1"/>
  <c r="E733" i="2" s="1"/>
  <c r="V732" i="2"/>
  <c r="Y732" i="2" s="1"/>
  <c r="G733" i="2" s="1"/>
  <c r="D733" i="2" l="1"/>
  <c r="C733" i="2"/>
  <c r="H733" i="2"/>
  <c r="B733" i="2"/>
  <c r="I733" i="2" l="1"/>
  <c r="J733" i="2"/>
  <c r="S733" i="2"/>
  <c r="K733" i="2"/>
  <c r="L733" i="2"/>
  <c r="M733" i="2"/>
  <c r="N733" i="2"/>
  <c r="O733" i="2" s="1"/>
  <c r="R733" i="2" l="1"/>
  <c r="V733" i="2" s="1"/>
  <c r="Y733" i="2" s="1"/>
  <c r="G734" i="2" s="1"/>
  <c r="Q733" i="2"/>
  <c r="P733" i="2"/>
  <c r="T733" i="2" s="1"/>
  <c r="W733" i="2" s="1"/>
  <c r="E734" i="2" s="1"/>
  <c r="U733" i="2"/>
  <c r="X733" i="2" s="1"/>
  <c r="F734" i="2" s="1"/>
  <c r="C734" i="2" l="1"/>
  <c r="D734" i="2"/>
  <c r="H734" i="2"/>
  <c r="B734" i="2"/>
  <c r="I734" i="2" l="1"/>
  <c r="K734" i="2"/>
  <c r="J734" i="2"/>
  <c r="S734" i="2"/>
  <c r="L734" i="2"/>
  <c r="N734" i="2"/>
  <c r="O734" i="2" s="1"/>
  <c r="M734" i="2"/>
  <c r="R734" i="2" l="1"/>
  <c r="Q734" i="2"/>
  <c r="U734" i="2" s="1"/>
  <c r="X734" i="2" s="1"/>
  <c r="F735" i="2" s="1"/>
  <c r="P734" i="2"/>
  <c r="T734" i="2" s="1"/>
  <c r="W734" i="2" s="1"/>
  <c r="E735" i="2" s="1"/>
  <c r="V734" i="2"/>
  <c r="Y734" i="2" s="1"/>
  <c r="G735" i="2" s="1"/>
  <c r="D735" i="2" l="1"/>
  <c r="C735" i="2"/>
  <c r="H735" i="2"/>
  <c r="B735" i="2"/>
  <c r="J735" i="2" l="1"/>
  <c r="K735" i="2"/>
  <c r="I735" i="2"/>
  <c r="S735" i="2"/>
  <c r="L735" i="2"/>
  <c r="M735" i="2"/>
  <c r="N735" i="2"/>
  <c r="O735" i="2" s="1"/>
  <c r="R735" i="2" l="1"/>
  <c r="Q735" i="2"/>
  <c r="U735" i="2" s="1"/>
  <c r="X735" i="2" s="1"/>
  <c r="F736" i="2" s="1"/>
  <c r="P735" i="2"/>
  <c r="T735" i="2" s="1"/>
  <c r="W735" i="2" s="1"/>
  <c r="E736" i="2" s="1"/>
  <c r="V735" i="2"/>
  <c r="Y735" i="2" s="1"/>
  <c r="G736" i="2" s="1"/>
  <c r="D736" i="2" l="1"/>
  <c r="C736" i="2"/>
  <c r="H736" i="2"/>
  <c r="L736" i="2" s="1"/>
  <c r="B736" i="2"/>
  <c r="I736" i="2" l="1"/>
  <c r="K736" i="2"/>
  <c r="J736" i="2"/>
  <c r="S736" i="2"/>
  <c r="M736" i="2"/>
  <c r="N736" i="2"/>
  <c r="O736" i="2" s="1"/>
  <c r="R736" i="2" l="1"/>
  <c r="Q736" i="2"/>
  <c r="P736" i="2"/>
  <c r="T736" i="2" s="1"/>
  <c r="W736" i="2" s="1"/>
  <c r="E737" i="2" s="1"/>
  <c r="U736" i="2"/>
  <c r="V736" i="2"/>
  <c r="Y736" i="2" s="1"/>
  <c r="G737" i="2" s="1"/>
  <c r="X736" i="2"/>
  <c r="F737" i="2" s="1"/>
  <c r="D737" i="2" l="1"/>
  <c r="H737" i="2"/>
  <c r="M737" i="2" s="1"/>
  <c r="B737" i="2"/>
  <c r="C737" i="2"/>
  <c r="J737" i="2" l="1"/>
  <c r="I737" i="2"/>
  <c r="K737" i="2"/>
  <c r="S737" i="2"/>
  <c r="L737" i="2"/>
  <c r="N737" i="2"/>
  <c r="O737" i="2" s="1"/>
  <c r="R737" i="2" l="1"/>
  <c r="V737" i="2" s="1"/>
  <c r="Y737" i="2" s="1"/>
  <c r="G738" i="2" s="1"/>
  <c r="Q737" i="2"/>
  <c r="P737" i="2"/>
  <c r="T737" i="2" s="1"/>
  <c r="W737" i="2" s="1"/>
  <c r="E738" i="2" s="1"/>
  <c r="U737" i="2"/>
  <c r="X737" i="2"/>
  <c r="F738" i="2" s="1"/>
  <c r="H738" i="2" l="1"/>
  <c r="L738" i="2" s="1"/>
  <c r="B738" i="2"/>
  <c r="C738" i="2"/>
  <c r="N738" i="2"/>
  <c r="O738" i="2" s="1"/>
  <c r="D738" i="2"/>
  <c r="M738" i="2" l="1"/>
  <c r="R738" i="2"/>
  <c r="Q738" i="2"/>
  <c r="P738" i="2"/>
  <c r="I738" i="2"/>
  <c r="K738" i="2"/>
  <c r="S738" i="2"/>
  <c r="J738" i="2"/>
  <c r="U738" i="2" l="1"/>
  <c r="X738" i="2" s="1"/>
  <c r="F739" i="2" s="1"/>
  <c r="T738" i="2"/>
  <c r="V738" i="2"/>
  <c r="Y738" i="2" s="1"/>
  <c r="G739" i="2" s="1"/>
  <c r="W738" i="2"/>
  <c r="E739" i="2" s="1"/>
  <c r="D739" i="2" l="1"/>
  <c r="C739" i="2"/>
  <c r="H739" i="2"/>
  <c r="L739" i="2" s="1"/>
  <c r="B739" i="2"/>
  <c r="J739" i="2" l="1"/>
  <c r="I739" i="2"/>
  <c r="K739" i="2"/>
  <c r="S739" i="2"/>
  <c r="M739" i="2"/>
  <c r="N739" i="2"/>
  <c r="O739" i="2" s="1"/>
  <c r="R739" i="2" l="1"/>
  <c r="Q739" i="2"/>
  <c r="U739" i="2" s="1"/>
  <c r="X739" i="2" s="1"/>
  <c r="F740" i="2" s="1"/>
  <c r="P739" i="2"/>
  <c r="T739" i="2" s="1"/>
  <c r="W739" i="2" s="1"/>
  <c r="E740" i="2" s="1"/>
  <c r="V739" i="2"/>
  <c r="Y739" i="2" s="1"/>
  <c r="G740" i="2" s="1"/>
  <c r="H740" i="2" l="1"/>
  <c r="L740" i="2"/>
  <c r="B740" i="2"/>
  <c r="M740" i="2"/>
  <c r="C740" i="2"/>
  <c r="N740" i="2"/>
  <c r="O740" i="2" s="1"/>
  <c r="D740" i="2"/>
  <c r="R740" i="2" l="1"/>
  <c r="Q740" i="2"/>
  <c r="P740" i="2"/>
  <c r="I740" i="2"/>
  <c r="K740" i="2"/>
  <c r="S740" i="2"/>
  <c r="J740" i="2"/>
  <c r="U740" i="2" l="1"/>
  <c r="X740" i="2" s="1"/>
  <c r="F741" i="2" s="1"/>
  <c r="T740" i="2"/>
  <c r="V740" i="2"/>
  <c r="Y740" i="2" s="1"/>
  <c r="G741" i="2" s="1"/>
  <c r="W740" i="2"/>
  <c r="E741" i="2" s="1"/>
  <c r="D741" i="2" l="1"/>
  <c r="C741" i="2"/>
  <c r="H741" i="2"/>
  <c r="M741" i="2" s="1"/>
  <c r="B741" i="2"/>
  <c r="L741" i="2" l="1"/>
  <c r="J741" i="2"/>
  <c r="I741" i="2"/>
  <c r="K741" i="2"/>
  <c r="S741" i="2"/>
  <c r="N741" i="2"/>
  <c r="O741" i="2" s="1"/>
  <c r="R741" i="2" l="1"/>
  <c r="Q741" i="2"/>
  <c r="P741" i="2"/>
  <c r="T741" i="2" s="1"/>
  <c r="W741" i="2" s="1"/>
  <c r="E742" i="2" s="1"/>
  <c r="U741" i="2"/>
  <c r="V741" i="2"/>
  <c r="Y741" i="2" s="1"/>
  <c r="G742" i="2" s="1"/>
  <c r="X741" i="2"/>
  <c r="F742" i="2" s="1"/>
  <c r="H742" i="2" l="1"/>
  <c r="L742" i="2"/>
  <c r="B742" i="2"/>
  <c r="N742" i="2"/>
  <c r="O742" i="2" s="1"/>
  <c r="D742" i="2"/>
  <c r="M742" i="2"/>
  <c r="C742" i="2"/>
  <c r="R742" i="2" l="1"/>
  <c r="Q742" i="2"/>
  <c r="P742" i="2"/>
  <c r="I742" i="2"/>
  <c r="S742" i="2"/>
  <c r="K742" i="2"/>
  <c r="J742" i="2"/>
  <c r="U742" i="2" l="1"/>
  <c r="X742" i="2" s="1"/>
  <c r="F743" i="2" s="1"/>
  <c r="T742" i="2"/>
  <c r="W742" i="2" s="1"/>
  <c r="E743" i="2" s="1"/>
  <c r="V742" i="2"/>
  <c r="Y742" i="2" s="1"/>
  <c r="G743" i="2" s="1"/>
  <c r="D743" i="2" l="1"/>
  <c r="H743" i="2"/>
  <c r="N743" i="2" s="1"/>
  <c r="O743" i="2" s="1"/>
  <c r="B743" i="2"/>
  <c r="M743" i="2"/>
  <c r="C743" i="2"/>
  <c r="R743" i="2" l="1"/>
  <c r="Q743" i="2"/>
  <c r="L743" i="2"/>
  <c r="P743" i="2" s="1"/>
  <c r="I743" i="2"/>
  <c r="J743" i="2"/>
  <c r="K743" i="2"/>
  <c r="S743" i="2"/>
  <c r="U743" i="2" l="1"/>
  <c r="T743" i="2"/>
  <c r="W743" i="2" s="1"/>
  <c r="E744" i="2" s="1"/>
  <c r="V743" i="2"/>
  <c r="Y743" i="2" s="1"/>
  <c r="G744" i="2" s="1"/>
  <c r="X743" i="2"/>
  <c r="F744" i="2" s="1"/>
  <c r="D744" i="2" l="1"/>
  <c r="H744" i="2"/>
  <c r="L744" i="2" s="1"/>
  <c r="B744" i="2"/>
  <c r="M744" i="2"/>
  <c r="C744" i="2"/>
  <c r="J744" i="2" l="1"/>
  <c r="K744" i="2"/>
  <c r="S744" i="2"/>
  <c r="I744" i="2"/>
  <c r="N744" i="2"/>
  <c r="O744" i="2" s="1"/>
  <c r="R744" i="2" l="1"/>
  <c r="Q744" i="2"/>
  <c r="P744" i="2"/>
  <c r="T744" i="2" s="1"/>
  <c r="W744" i="2" s="1"/>
  <c r="E745" i="2" s="1"/>
  <c r="U744" i="2"/>
  <c r="X744" i="2" s="1"/>
  <c r="F745" i="2" s="1"/>
  <c r="V744" i="2"/>
  <c r="Y744" i="2" s="1"/>
  <c r="G745" i="2" s="1"/>
  <c r="D745" i="2" l="1"/>
  <c r="H745" i="2"/>
  <c r="L745" i="2" s="1"/>
  <c r="B745" i="2"/>
  <c r="C745" i="2"/>
  <c r="M745" i="2" l="1"/>
  <c r="I745" i="2"/>
  <c r="J745" i="2"/>
  <c r="K745" i="2"/>
  <c r="S745" i="2"/>
  <c r="N745" i="2"/>
  <c r="O745" i="2" s="1"/>
  <c r="R745" i="2" l="1"/>
  <c r="Q745" i="2"/>
  <c r="U745" i="2" s="1"/>
  <c r="X745" i="2" s="1"/>
  <c r="F746" i="2" s="1"/>
  <c r="P745" i="2"/>
  <c r="T745" i="2" s="1"/>
  <c r="W745" i="2" s="1"/>
  <c r="E746" i="2" s="1"/>
  <c r="V745" i="2"/>
  <c r="Y745" i="2" s="1"/>
  <c r="G746" i="2" s="1"/>
  <c r="C746" i="2" l="1"/>
  <c r="H746" i="2"/>
  <c r="B746" i="2"/>
  <c r="D746" i="2"/>
  <c r="I746" i="2" l="1"/>
  <c r="J746" i="2"/>
  <c r="K746" i="2"/>
  <c r="S746" i="2"/>
  <c r="M746" i="2"/>
  <c r="N746" i="2"/>
  <c r="O746" i="2" s="1"/>
  <c r="L746" i="2"/>
  <c r="R746" i="2" l="1"/>
  <c r="V746" i="2" s="1"/>
  <c r="Y746" i="2" s="1"/>
  <c r="G747" i="2" s="1"/>
  <c r="Q746" i="2"/>
  <c r="U746" i="2" s="1"/>
  <c r="X746" i="2" s="1"/>
  <c r="F747" i="2" s="1"/>
  <c r="P746" i="2"/>
  <c r="T746" i="2" s="1"/>
  <c r="W746" i="2" s="1"/>
  <c r="E747" i="2" s="1"/>
  <c r="C747" i="2" l="1"/>
  <c r="H747" i="2"/>
  <c r="L747" i="2"/>
  <c r="B747" i="2"/>
  <c r="N747" i="2"/>
  <c r="O747" i="2" s="1"/>
  <c r="D747" i="2"/>
  <c r="R747" i="2" l="1"/>
  <c r="P747" i="2"/>
  <c r="K747" i="2"/>
  <c r="I747" i="2"/>
  <c r="J747" i="2"/>
  <c r="S747" i="2"/>
  <c r="M747" i="2"/>
  <c r="Q747" i="2" s="1"/>
  <c r="U747" i="2" l="1"/>
  <c r="X747" i="2" s="1"/>
  <c r="F748" i="2" s="1"/>
  <c r="T747" i="2"/>
  <c r="V747" i="2"/>
  <c r="Y747" i="2" s="1"/>
  <c r="G748" i="2" s="1"/>
  <c r="W747" i="2"/>
  <c r="E748" i="2" s="1"/>
  <c r="C748" i="2" l="1"/>
  <c r="D748" i="2"/>
  <c r="H748" i="2"/>
  <c r="M748" i="2" s="1"/>
  <c r="L748" i="2"/>
  <c r="B748" i="2"/>
  <c r="J748" i="2" l="1"/>
  <c r="K748" i="2"/>
  <c r="I748" i="2"/>
  <c r="S748" i="2"/>
  <c r="N748" i="2"/>
  <c r="O748" i="2" s="1"/>
  <c r="R748" i="2" l="1"/>
  <c r="V748" i="2" s="1"/>
  <c r="Y748" i="2" s="1"/>
  <c r="G749" i="2" s="1"/>
  <c r="Q748" i="2"/>
  <c r="U748" i="2" s="1"/>
  <c r="X748" i="2" s="1"/>
  <c r="F749" i="2" s="1"/>
  <c r="P748" i="2"/>
  <c r="T748" i="2" s="1"/>
  <c r="W748" i="2" s="1"/>
  <c r="E749" i="2" s="1"/>
  <c r="H749" i="2" l="1"/>
  <c r="L749" i="2" s="1"/>
  <c r="B749" i="2"/>
  <c r="M749" i="2"/>
  <c r="C749" i="2"/>
  <c r="N749" i="2"/>
  <c r="O749" i="2" s="1"/>
  <c r="D749" i="2"/>
  <c r="R749" i="2" l="1"/>
  <c r="Q749" i="2"/>
  <c r="P749" i="2"/>
  <c r="J749" i="2"/>
  <c r="K749" i="2"/>
  <c r="S749" i="2"/>
  <c r="I749" i="2"/>
  <c r="U749" i="2" l="1"/>
  <c r="T749" i="2"/>
  <c r="V749" i="2"/>
  <c r="Y749" i="2"/>
  <c r="G750" i="2" s="1"/>
  <c r="W749" i="2"/>
  <c r="E750" i="2" s="1"/>
  <c r="X749" i="2"/>
  <c r="F750" i="2" s="1"/>
  <c r="D750" i="2" l="1"/>
  <c r="C750" i="2"/>
  <c r="H750" i="2"/>
  <c r="N750" i="2" s="1"/>
  <c r="O750" i="2" s="1"/>
  <c r="B750" i="2"/>
  <c r="L750" i="2" l="1"/>
  <c r="R750" i="2"/>
  <c r="P750" i="2"/>
  <c r="K750" i="2"/>
  <c r="J750" i="2"/>
  <c r="S750" i="2"/>
  <c r="I750" i="2"/>
  <c r="M750" i="2"/>
  <c r="Q750" i="2" s="1"/>
  <c r="U750" i="2" l="1"/>
  <c r="T750" i="2"/>
  <c r="V750" i="2"/>
  <c r="W750" i="2"/>
  <c r="E751" i="2" s="1"/>
  <c r="Y750" i="2"/>
  <c r="G751" i="2" s="1"/>
  <c r="X750" i="2"/>
  <c r="F751" i="2" s="1"/>
  <c r="D751" i="2" l="1"/>
  <c r="C751" i="2"/>
  <c r="H751" i="2"/>
  <c r="N751" i="2" s="1"/>
  <c r="O751" i="2" s="1"/>
  <c r="B751" i="2"/>
  <c r="L751" i="2" l="1"/>
  <c r="R751" i="2"/>
  <c r="P751" i="2"/>
  <c r="M751" i="2"/>
  <c r="Q751" i="2" s="1"/>
  <c r="K751" i="2"/>
  <c r="I751" i="2"/>
  <c r="J751" i="2"/>
  <c r="S751" i="2"/>
  <c r="U751" i="2" l="1"/>
  <c r="X751" i="2" s="1"/>
  <c r="F752" i="2" s="1"/>
  <c r="T751" i="2"/>
  <c r="V751" i="2"/>
  <c r="Y751" i="2" s="1"/>
  <c r="G752" i="2" s="1"/>
  <c r="W751" i="2"/>
  <c r="E752" i="2" s="1"/>
  <c r="D752" i="2" l="1"/>
  <c r="C752" i="2"/>
  <c r="H752" i="2"/>
  <c r="N752" i="2" s="1"/>
  <c r="O752" i="2" s="1"/>
  <c r="B752" i="2"/>
  <c r="L752" i="2" l="1"/>
  <c r="R752" i="2"/>
  <c r="P752" i="2"/>
  <c r="M752" i="2"/>
  <c r="Q752" i="2" s="1"/>
  <c r="K752" i="2"/>
  <c r="I752" i="2"/>
  <c r="J752" i="2"/>
  <c r="S752" i="2"/>
  <c r="U752" i="2" l="1"/>
  <c r="X752" i="2" s="1"/>
  <c r="F753" i="2" s="1"/>
  <c r="T752" i="2"/>
  <c r="W752" i="2" s="1"/>
  <c r="E753" i="2" s="1"/>
  <c r="V752" i="2"/>
  <c r="Y752" i="2" s="1"/>
  <c r="G753" i="2" s="1"/>
  <c r="H753" i="2" l="1"/>
  <c r="L753" i="2"/>
  <c r="B753" i="2"/>
  <c r="N753" i="2"/>
  <c r="O753" i="2" s="1"/>
  <c r="D753" i="2"/>
  <c r="M753" i="2"/>
  <c r="C753" i="2"/>
  <c r="R753" i="2" l="1"/>
  <c r="Q753" i="2"/>
  <c r="P753" i="2"/>
  <c r="K753" i="2"/>
  <c r="I753" i="2"/>
  <c r="S753" i="2"/>
  <c r="J753" i="2"/>
  <c r="U753" i="2" l="1"/>
  <c r="X753" i="2" s="1"/>
  <c r="F754" i="2" s="1"/>
  <c r="T753" i="2"/>
  <c r="V753" i="2"/>
  <c r="Y753" i="2" s="1"/>
  <c r="G754" i="2" s="1"/>
  <c r="W753" i="2"/>
  <c r="E754" i="2" s="1"/>
  <c r="C754" i="2" l="1"/>
  <c r="H754" i="2"/>
  <c r="B754" i="2"/>
  <c r="N754" i="2"/>
  <c r="O754" i="2" s="1"/>
  <c r="D754" i="2"/>
  <c r="I754" i="2" l="1"/>
  <c r="J754" i="2"/>
  <c r="S754" i="2"/>
  <c r="K754" i="2"/>
  <c r="R754" i="2"/>
  <c r="L754" i="2"/>
  <c r="P754" i="2" s="1"/>
  <c r="M754" i="2"/>
  <c r="Q754" i="2" s="1"/>
  <c r="U754" i="2" l="1"/>
  <c r="X754" i="2" s="1"/>
  <c r="F755" i="2" s="1"/>
  <c r="T754" i="2"/>
  <c r="W754" i="2" s="1"/>
  <c r="E755" i="2" s="1"/>
  <c r="V754" i="2"/>
  <c r="Y754" i="2" s="1"/>
  <c r="G755" i="2" s="1"/>
  <c r="H755" i="2" l="1"/>
  <c r="L755" i="2"/>
  <c r="B755" i="2"/>
  <c r="N755" i="2"/>
  <c r="O755" i="2" s="1"/>
  <c r="D755" i="2"/>
  <c r="M755" i="2"/>
  <c r="C755" i="2"/>
  <c r="R755" i="2" l="1"/>
  <c r="Q755" i="2"/>
  <c r="P755" i="2"/>
  <c r="J755" i="2"/>
  <c r="I755" i="2"/>
  <c r="K755" i="2"/>
  <c r="S755" i="2"/>
  <c r="U755" i="2" l="1"/>
  <c r="T755" i="2"/>
  <c r="V755" i="2"/>
  <c r="Y755" i="2"/>
  <c r="G756" i="2" s="1"/>
  <c r="X755" i="2"/>
  <c r="F756" i="2" s="1"/>
  <c r="W755" i="2"/>
  <c r="E756" i="2" s="1"/>
  <c r="C756" i="2" l="1"/>
  <c r="H756" i="2"/>
  <c r="B756" i="2"/>
  <c r="N756" i="2"/>
  <c r="O756" i="2" s="1"/>
  <c r="D756" i="2"/>
  <c r="R756" i="2" l="1"/>
  <c r="K756" i="2"/>
  <c r="S756" i="2"/>
  <c r="J756" i="2"/>
  <c r="I756" i="2"/>
  <c r="M756" i="2"/>
  <c r="Q756" i="2" s="1"/>
  <c r="L756" i="2"/>
  <c r="P756" i="2" s="1"/>
  <c r="U756" i="2" l="1"/>
  <c r="X756" i="2" s="1"/>
  <c r="F757" i="2" s="1"/>
  <c r="T756" i="2"/>
  <c r="W756" i="2" s="1"/>
  <c r="E757" i="2" s="1"/>
  <c r="V756" i="2"/>
  <c r="Y756" i="2" s="1"/>
  <c r="G757" i="2" s="1"/>
  <c r="H757" i="2" l="1"/>
  <c r="L757" i="2"/>
  <c r="B757" i="2"/>
  <c r="M757" i="2"/>
  <c r="C757" i="2"/>
  <c r="N757" i="2"/>
  <c r="O757" i="2" s="1"/>
  <c r="D757" i="2"/>
  <c r="R757" i="2" l="1"/>
  <c r="Q757" i="2"/>
  <c r="P757" i="2"/>
  <c r="I757" i="2"/>
  <c r="K757" i="2"/>
  <c r="S757" i="2"/>
  <c r="J757" i="2"/>
  <c r="U757" i="2" l="1"/>
  <c r="T757" i="2"/>
  <c r="V757" i="2"/>
  <c r="Y757" i="2"/>
  <c r="G758" i="2" s="1"/>
  <c r="X757" i="2"/>
  <c r="F758" i="2" s="1"/>
  <c r="W757" i="2"/>
  <c r="E758" i="2" s="1"/>
  <c r="C758" i="2" l="1"/>
  <c r="H758" i="2"/>
  <c r="B758" i="2"/>
  <c r="N758" i="2"/>
  <c r="O758" i="2" s="1"/>
  <c r="D758" i="2"/>
  <c r="R758" i="2" l="1"/>
  <c r="I758" i="2"/>
  <c r="J758" i="2"/>
  <c r="K758" i="2"/>
  <c r="S758" i="2"/>
  <c r="L758" i="2"/>
  <c r="P758" i="2" s="1"/>
  <c r="M758" i="2"/>
  <c r="Q758" i="2" s="1"/>
  <c r="U758" i="2" l="1"/>
  <c r="T758" i="2"/>
  <c r="V758" i="2"/>
  <c r="X758" i="2"/>
  <c r="F759" i="2" s="1"/>
  <c r="Y758" i="2"/>
  <c r="G759" i="2" s="1"/>
  <c r="W758" i="2"/>
  <c r="E759" i="2" s="1"/>
  <c r="D759" i="2" l="1"/>
  <c r="H759" i="2"/>
  <c r="B759" i="2"/>
  <c r="M759" i="2"/>
  <c r="C759" i="2"/>
  <c r="J759" i="2" l="1"/>
  <c r="I759" i="2"/>
  <c r="K759" i="2"/>
  <c r="S759" i="2"/>
  <c r="L759" i="2"/>
  <c r="N759" i="2"/>
  <c r="O759" i="2" s="1"/>
  <c r="R759" i="2" l="1"/>
  <c r="Q759" i="2"/>
  <c r="U759" i="2" s="1"/>
  <c r="X759" i="2" s="1"/>
  <c r="F760" i="2" s="1"/>
  <c r="P759" i="2"/>
  <c r="T759" i="2" s="1"/>
  <c r="W759" i="2" s="1"/>
  <c r="E760" i="2" s="1"/>
  <c r="V759" i="2"/>
  <c r="Y759" i="2" s="1"/>
  <c r="G760" i="2" s="1"/>
  <c r="C760" i="2" l="1"/>
  <c r="D760" i="2"/>
  <c r="H760" i="2"/>
  <c r="L760" i="2" s="1"/>
  <c r="B760" i="2"/>
  <c r="K760" i="2" l="1"/>
  <c r="I760" i="2"/>
  <c r="J760" i="2"/>
  <c r="S760" i="2"/>
  <c r="N760" i="2"/>
  <c r="O760" i="2" s="1"/>
  <c r="M760" i="2"/>
  <c r="R760" i="2" l="1"/>
  <c r="V760" i="2" s="1"/>
  <c r="Y760" i="2" s="1"/>
  <c r="G761" i="2" s="1"/>
  <c r="Q760" i="2"/>
  <c r="P760" i="2"/>
  <c r="T760" i="2" s="1"/>
  <c r="W760" i="2" s="1"/>
  <c r="E761" i="2" s="1"/>
  <c r="U760" i="2"/>
  <c r="X760" i="2"/>
  <c r="F761" i="2" s="1"/>
  <c r="H761" i="2" l="1"/>
  <c r="L761" i="2"/>
  <c r="B761" i="2"/>
  <c r="M761" i="2"/>
  <c r="C761" i="2"/>
  <c r="N761" i="2"/>
  <c r="O761" i="2" s="1"/>
  <c r="D761" i="2"/>
  <c r="R761" i="2" l="1"/>
  <c r="Q761" i="2"/>
  <c r="P761" i="2"/>
  <c r="K761" i="2"/>
  <c r="J761" i="2"/>
  <c r="I761" i="2"/>
  <c r="S761" i="2"/>
  <c r="U761" i="2" l="1"/>
  <c r="X761" i="2" s="1"/>
  <c r="F762" i="2" s="1"/>
  <c r="T761" i="2"/>
  <c r="W761" i="2" s="1"/>
  <c r="E762" i="2" s="1"/>
  <c r="V761" i="2"/>
  <c r="Y761" i="2" s="1"/>
  <c r="G762" i="2" s="1"/>
  <c r="H762" i="2" l="1"/>
  <c r="L762" i="2" s="1"/>
  <c r="B762" i="2"/>
  <c r="M762" i="2"/>
  <c r="C762" i="2"/>
  <c r="N762" i="2"/>
  <c r="O762" i="2" s="1"/>
  <c r="D762" i="2"/>
  <c r="R762" i="2" l="1"/>
  <c r="Q762" i="2"/>
  <c r="P762" i="2"/>
  <c r="J762" i="2"/>
  <c r="I762" i="2"/>
  <c r="S762" i="2"/>
  <c r="K762" i="2"/>
  <c r="U762" i="2" l="1"/>
  <c r="T762" i="2"/>
  <c r="W762" i="2" s="1"/>
  <c r="E763" i="2" s="1"/>
  <c r="V762" i="2"/>
  <c r="Y762" i="2" s="1"/>
  <c r="G763" i="2" s="1"/>
  <c r="X762" i="2"/>
  <c r="F763" i="2" s="1"/>
  <c r="H763" i="2" l="1"/>
  <c r="L763" i="2"/>
  <c r="B763" i="2"/>
  <c r="M763" i="2"/>
  <c r="C763" i="2"/>
  <c r="N763" i="2"/>
  <c r="O763" i="2" s="1"/>
  <c r="D763" i="2"/>
  <c r="R763" i="2" l="1"/>
  <c r="Q763" i="2"/>
  <c r="P763" i="2"/>
  <c r="I763" i="2"/>
  <c r="J763" i="2"/>
  <c r="K763" i="2"/>
  <c r="S763" i="2"/>
  <c r="U763" i="2" l="1"/>
  <c r="X763" i="2" s="1"/>
  <c r="F764" i="2" s="1"/>
  <c r="T763" i="2"/>
  <c r="W763" i="2" s="1"/>
  <c r="E764" i="2" s="1"/>
  <c r="V763" i="2"/>
  <c r="Y763" i="2" s="1"/>
  <c r="G764" i="2" s="1"/>
  <c r="H764" i="2" l="1"/>
  <c r="L764" i="2" s="1"/>
  <c r="B764" i="2"/>
  <c r="M764" i="2"/>
  <c r="C764" i="2"/>
  <c r="N764" i="2"/>
  <c r="O764" i="2" s="1"/>
  <c r="D764" i="2"/>
  <c r="R764" i="2" l="1"/>
  <c r="Q764" i="2"/>
  <c r="P764" i="2"/>
  <c r="K764" i="2"/>
  <c r="I764" i="2"/>
  <c r="J764" i="2"/>
  <c r="S764" i="2"/>
  <c r="U764" i="2" l="1"/>
  <c r="X764" i="2" s="1"/>
  <c r="F765" i="2" s="1"/>
  <c r="T764" i="2"/>
  <c r="W764" i="2" s="1"/>
  <c r="E765" i="2" s="1"/>
  <c r="V764" i="2"/>
  <c r="Y764" i="2" s="1"/>
  <c r="G765" i="2" s="1"/>
  <c r="H765" i="2" l="1"/>
  <c r="L765" i="2" s="1"/>
  <c r="B765" i="2"/>
  <c r="M765" i="2"/>
  <c r="C765" i="2"/>
  <c r="N765" i="2"/>
  <c r="O765" i="2" s="1"/>
  <c r="D765" i="2"/>
  <c r="R765" i="2" l="1"/>
  <c r="Q765" i="2"/>
  <c r="P765" i="2"/>
  <c r="I765" i="2"/>
  <c r="J765" i="2"/>
  <c r="S765" i="2"/>
  <c r="K765" i="2"/>
  <c r="U765" i="2" l="1"/>
  <c r="X765" i="2" s="1"/>
  <c r="F766" i="2" s="1"/>
  <c r="T765" i="2"/>
  <c r="V765" i="2"/>
  <c r="Y765" i="2" s="1"/>
  <c r="G766" i="2" s="1"/>
  <c r="W765" i="2"/>
  <c r="E766" i="2" s="1"/>
  <c r="D766" i="2" l="1"/>
  <c r="H766" i="2"/>
  <c r="M766" i="2" s="1"/>
  <c r="B766" i="2"/>
  <c r="C766" i="2"/>
  <c r="I766" i="2" l="1"/>
  <c r="K766" i="2"/>
  <c r="J766" i="2"/>
  <c r="S766" i="2"/>
  <c r="L766" i="2"/>
  <c r="N766" i="2"/>
  <c r="O766" i="2" s="1"/>
  <c r="R766" i="2" l="1"/>
  <c r="Q766" i="2"/>
  <c r="P766" i="2"/>
  <c r="T766" i="2" s="1"/>
  <c r="W766" i="2" s="1"/>
  <c r="E767" i="2" s="1"/>
  <c r="U766" i="2"/>
  <c r="X766" i="2" s="1"/>
  <c r="F767" i="2" s="1"/>
  <c r="V766" i="2"/>
  <c r="Y766" i="2"/>
  <c r="G767" i="2" s="1"/>
  <c r="D767" i="2" l="1"/>
  <c r="H767" i="2"/>
  <c r="L767" i="2" s="1"/>
  <c r="B767" i="2"/>
  <c r="M767" i="2"/>
  <c r="C767" i="2"/>
  <c r="I767" i="2" l="1"/>
  <c r="K767" i="2"/>
  <c r="J767" i="2"/>
  <c r="S767" i="2"/>
  <c r="N767" i="2"/>
  <c r="O767" i="2" s="1"/>
  <c r="R767" i="2" l="1"/>
  <c r="V767" i="2" s="1"/>
  <c r="Y767" i="2" s="1"/>
  <c r="G768" i="2" s="1"/>
  <c r="Q767" i="2"/>
  <c r="U767" i="2" s="1"/>
  <c r="X767" i="2" s="1"/>
  <c r="F768" i="2" s="1"/>
  <c r="P767" i="2"/>
  <c r="T767" i="2" s="1"/>
  <c r="W767" i="2" s="1"/>
  <c r="E768" i="2" s="1"/>
  <c r="C768" i="2" l="1"/>
  <c r="H768" i="2"/>
  <c r="L768" i="2" s="1"/>
  <c r="B768" i="2"/>
  <c r="N768" i="2"/>
  <c r="O768" i="2" s="1"/>
  <c r="D768" i="2"/>
  <c r="R768" i="2" l="1"/>
  <c r="P768" i="2"/>
  <c r="S768" i="2"/>
  <c r="J768" i="2"/>
  <c r="I768" i="2"/>
  <c r="K768" i="2"/>
  <c r="M768" i="2"/>
  <c r="Q768" i="2" s="1"/>
  <c r="U768" i="2" l="1"/>
  <c r="X768" i="2" s="1"/>
  <c r="F769" i="2" s="1"/>
  <c r="T768" i="2"/>
  <c r="W768" i="2" s="1"/>
  <c r="E769" i="2" s="1"/>
  <c r="V768" i="2"/>
  <c r="Y768" i="2" s="1"/>
  <c r="G769" i="2" s="1"/>
  <c r="H769" i="2" l="1"/>
  <c r="L769" i="2"/>
  <c r="B769" i="2"/>
  <c r="N769" i="2"/>
  <c r="O769" i="2" s="1"/>
  <c r="D769" i="2"/>
  <c r="M769" i="2"/>
  <c r="C769" i="2"/>
  <c r="R769" i="2" l="1"/>
  <c r="Q769" i="2"/>
  <c r="P769" i="2"/>
  <c r="J769" i="2"/>
  <c r="I769" i="2"/>
  <c r="K769" i="2"/>
  <c r="S769" i="2"/>
  <c r="V769" i="2" l="1"/>
  <c r="U769" i="2"/>
  <c r="T769" i="2"/>
  <c r="W769" i="2"/>
  <c r="E770" i="2" s="1"/>
  <c r="Y769" i="2"/>
  <c r="G770" i="2" s="1"/>
  <c r="X769" i="2"/>
  <c r="F770" i="2" s="1"/>
  <c r="D770" i="2" l="1"/>
  <c r="C770" i="2"/>
  <c r="H770" i="2"/>
  <c r="B770" i="2"/>
  <c r="J770" i="2" l="1"/>
  <c r="K770" i="2"/>
  <c r="I770" i="2"/>
  <c r="S770" i="2"/>
  <c r="M770" i="2"/>
  <c r="L770" i="2"/>
  <c r="N770" i="2"/>
  <c r="O770" i="2" s="1"/>
  <c r="R770" i="2" l="1"/>
  <c r="V770" i="2" s="1"/>
  <c r="Y770" i="2" s="1"/>
  <c r="G771" i="2" s="1"/>
  <c r="Q770" i="2"/>
  <c r="U770" i="2" s="1"/>
  <c r="X770" i="2" s="1"/>
  <c r="F771" i="2" s="1"/>
  <c r="P770" i="2"/>
  <c r="T770" i="2"/>
  <c r="W770" i="2"/>
  <c r="E771" i="2" s="1"/>
  <c r="D771" i="2" l="1"/>
  <c r="C771" i="2"/>
  <c r="H771" i="2"/>
  <c r="L771" i="2" s="1"/>
  <c r="B771" i="2"/>
  <c r="I771" i="2" l="1"/>
  <c r="K771" i="2"/>
  <c r="S771" i="2"/>
  <c r="J771" i="2"/>
  <c r="M771" i="2"/>
  <c r="N771" i="2"/>
  <c r="O771" i="2" s="1"/>
  <c r="R771" i="2" l="1"/>
  <c r="V771" i="2" s="1"/>
  <c r="Y771" i="2" s="1"/>
  <c r="G772" i="2" s="1"/>
  <c r="Q771" i="2"/>
  <c r="U771" i="2" s="1"/>
  <c r="X771" i="2" s="1"/>
  <c r="F772" i="2" s="1"/>
  <c r="P771" i="2"/>
  <c r="T771" i="2" s="1"/>
  <c r="W771" i="2" s="1"/>
  <c r="E772" i="2" s="1"/>
  <c r="H772" i="2" l="1"/>
  <c r="L772" i="2"/>
  <c r="B772" i="2"/>
  <c r="M772" i="2"/>
  <c r="C772" i="2"/>
  <c r="N772" i="2"/>
  <c r="O772" i="2" s="1"/>
  <c r="D772" i="2"/>
  <c r="R772" i="2" l="1"/>
  <c r="Q772" i="2"/>
  <c r="P772" i="2"/>
  <c r="J772" i="2"/>
  <c r="K772" i="2"/>
  <c r="I772" i="2"/>
  <c r="S772" i="2"/>
  <c r="V772" i="2" l="1"/>
  <c r="U772" i="2"/>
  <c r="T772" i="2"/>
  <c r="W772" i="2"/>
  <c r="E773" i="2" s="1"/>
  <c r="Y772" i="2"/>
  <c r="G773" i="2" s="1"/>
  <c r="X772" i="2"/>
  <c r="F773" i="2" s="1"/>
  <c r="D773" i="2" l="1"/>
  <c r="C773" i="2"/>
  <c r="H773" i="2"/>
  <c r="B773" i="2"/>
  <c r="J773" i="2" l="1"/>
  <c r="K773" i="2"/>
  <c r="I773" i="2"/>
  <c r="S773" i="2"/>
  <c r="L773" i="2"/>
  <c r="M773" i="2"/>
  <c r="N773" i="2"/>
  <c r="O773" i="2" s="1"/>
  <c r="R773" i="2" l="1"/>
  <c r="Q773" i="2"/>
  <c r="U773" i="2" s="1"/>
  <c r="X773" i="2" s="1"/>
  <c r="F774" i="2" s="1"/>
  <c r="P773" i="2"/>
  <c r="T773" i="2" s="1"/>
  <c r="W773" i="2" s="1"/>
  <c r="E774" i="2" s="1"/>
  <c r="V773" i="2"/>
  <c r="Y773" i="2" s="1"/>
  <c r="G774" i="2" s="1"/>
  <c r="D774" i="2" l="1"/>
  <c r="C774" i="2"/>
  <c r="H774" i="2"/>
  <c r="M774" i="2" s="1"/>
  <c r="B774" i="2"/>
  <c r="I774" i="2" l="1"/>
  <c r="K774" i="2"/>
  <c r="S774" i="2"/>
  <c r="J774" i="2"/>
  <c r="L774" i="2"/>
  <c r="N774" i="2"/>
  <c r="O774" i="2" s="1"/>
  <c r="R774" i="2" l="1"/>
  <c r="Q774" i="2"/>
  <c r="P774" i="2"/>
  <c r="T774" i="2"/>
  <c r="W774" i="2" s="1"/>
  <c r="E775" i="2" s="1"/>
  <c r="U774" i="2"/>
  <c r="X774" i="2" s="1"/>
  <c r="F775" i="2" s="1"/>
  <c r="V774" i="2"/>
  <c r="Y774" i="2" s="1"/>
  <c r="G775" i="2" s="1"/>
  <c r="D775" i="2" l="1"/>
  <c r="C775" i="2"/>
  <c r="H775" i="2"/>
  <c r="L775" i="2" s="1"/>
  <c r="B775" i="2"/>
  <c r="I775" i="2" l="1"/>
  <c r="K775" i="2"/>
  <c r="J775" i="2"/>
  <c r="S775" i="2"/>
  <c r="M775" i="2"/>
  <c r="N775" i="2"/>
  <c r="O775" i="2" s="1"/>
  <c r="R775" i="2" l="1"/>
  <c r="Q775" i="2"/>
  <c r="P775" i="2"/>
  <c r="T775" i="2" s="1"/>
  <c r="W775" i="2" s="1"/>
  <c r="E776" i="2" s="1"/>
  <c r="V775" i="2"/>
  <c r="Y775" i="2" s="1"/>
  <c r="G776" i="2" s="1"/>
  <c r="U775" i="2"/>
  <c r="X775" i="2" s="1"/>
  <c r="F776" i="2" s="1"/>
  <c r="D776" i="2" l="1"/>
  <c r="H776" i="2"/>
  <c r="B776" i="2"/>
  <c r="C776" i="2"/>
  <c r="I776" i="2" l="1"/>
  <c r="J776" i="2"/>
  <c r="K776" i="2"/>
  <c r="S776" i="2"/>
  <c r="N776" i="2"/>
  <c r="O776" i="2" s="1"/>
  <c r="M776" i="2"/>
  <c r="L776" i="2"/>
  <c r="R776" i="2" l="1"/>
  <c r="Q776" i="2"/>
  <c r="P776" i="2"/>
  <c r="V776" i="2"/>
  <c r="U776" i="2"/>
  <c r="X776" i="2" s="1"/>
  <c r="F777" i="2" s="1"/>
  <c r="T776" i="2"/>
  <c r="Y776" i="2"/>
  <c r="G777" i="2" s="1"/>
  <c r="W776" i="2"/>
  <c r="E777" i="2" s="1"/>
  <c r="C777" i="2" l="1"/>
  <c r="H777" i="2"/>
  <c r="B777" i="2"/>
  <c r="D777" i="2"/>
  <c r="K777" i="2" l="1"/>
  <c r="J777" i="2"/>
  <c r="S777" i="2"/>
  <c r="I777" i="2"/>
  <c r="N777" i="2"/>
  <c r="O777" i="2" s="1"/>
  <c r="L777" i="2"/>
  <c r="M777" i="2"/>
  <c r="R777" i="2" l="1"/>
  <c r="V777" i="2" s="1"/>
  <c r="Y777" i="2" s="1"/>
  <c r="G778" i="2" s="1"/>
  <c r="Q777" i="2"/>
  <c r="U777" i="2" s="1"/>
  <c r="X777" i="2" s="1"/>
  <c r="F778" i="2" s="1"/>
  <c r="P777" i="2"/>
  <c r="T777" i="2" s="1"/>
  <c r="W777" i="2" s="1"/>
  <c r="E778" i="2" s="1"/>
  <c r="H778" i="2" l="1"/>
  <c r="B778" i="2"/>
  <c r="C778" i="2"/>
  <c r="N778" i="2"/>
  <c r="O778" i="2" s="1"/>
  <c r="D778" i="2"/>
  <c r="K778" i="2" l="1"/>
  <c r="I778" i="2"/>
  <c r="J778" i="2"/>
  <c r="S778" i="2"/>
  <c r="R778" i="2"/>
  <c r="M778" i="2"/>
  <c r="Q778" i="2" s="1"/>
  <c r="L778" i="2"/>
  <c r="P778" i="2" s="1"/>
  <c r="V778" i="2" l="1"/>
  <c r="U778" i="2"/>
  <c r="X778" i="2" s="1"/>
  <c r="F779" i="2" s="1"/>
  <c r="T778" i="2"/>
  <c r="W778" i="2" s="1"/>
  <c r="E779" i="2" s="1"/>
  <c r="Y778" i="2"/>
  <c r="G779" i="2" s="1"/>
  <c r="C779" i="2" l="1"/>
  <c r="D779" i="2"/>
  <c r="H779" i="2"/>
  <c r="B779" i="2"/>
  <c r="I779" i="2" l="1"/>
  <c r="J779" i="2"/>
  <c r="K779" i="2"/>
  <c r="S779" i="2"/>
  <c r="L779" i="2"/>
  <c r="N779" i="2"/>
  <c r="O779" i="2" s="1"/>
  <c r="M779" i="2"/>
  <c r="R779" i="2" l="1"/>
  <c r="Q779" i="2"/>
  <c r="U779" i="2" s="1"/>
  <c r="X779" i="2" s="1"/>
  <c r="F780" i="2" s="1"/>
  <c r="P779" i="2"/>
  <c r="T779" i="2" s="1"/>
  <c r="W779" i="2" s="1"/>
  <c r="E780" i="2" s="1"/>
  <c r="V779" i="2"/>
  <c r="Y779" i="2" s="1"/>
  <c r="G780" i="2" s="1"/>
  <c r="D780" i="2" l="1"/>
  <c r="C780" i="2"/>
  <c r="H780" i="2"/>
  <c r="B780" i="2"/>
  <c r="I780" i="2" l="1"/>
  <c r="K780" i="2"/>
  <c r="J780" i="2"/>
  <c r="S780" i="2"/>
  <c r="M780" i="2"/>
  <c r="L780" i="2"/>
  <c r="N780" i="2"/>
  <c r="O780" i="2" s="1"/>
  <c r="R780" i="2" l="1"/>
  <c r="P780" i="2"/>
  <c r="Q780" i="2"/>
  <c r="U780" i="2" s="1"/>
  <c r="X780" i="2" s="1"/>
  <c r="F781" i="2" s="1"/>
  <c r="V780" i="2"/>
  <c r="Y780" i="2" s="1"/>
  <c r="G781" i="2" s="1"/>
  <c r="T780" i="2"/>
  <c r="W780" i="2" s="1"/>
  <c r="E781" i="2" s="1"/>
  <c r="D781" i="2" l="1"/>
  <c r="C781" i="2"/>
  <c r="H781" i="2"/>
  <c r="L781" i="2" s="1"/>
  <c r="B781" i="2"/>
  <c r="J781" i="2" l="1"/>
  <c r="I781" i="2"/>
  <c r="K781" i="2"/>
  <c r="S781" i="2"/>
  <c r="M781" i="2"/>
  <c r="N781" i="2"/>
  <c r="O781" i="2" s="1"/>
  <c r="R781" i="2" l="1"/>
  <c r="Q781" i="2"/>
  <c r="P781" i="2"/>
  <c r="V781" i="2"/>
  <c r="Y781" i="2" s="1"/>
  <c r="G782" i="2" s="1"/>
  <c r="U781" i="2"/>
  <c r="T781" i="2"/>
  <c r="W781" i="2"/>
  <c r="E782" i="2" s="1"/>
  <c r="X781" i="2"/>
  <c r="F782" i="2" s="1"/>
  <c r="D782" i="2" l="1"/>
  <c r="C782" i="2"/>
  <c r="H782" i="2"/>
  <c r="B782" i="2"/>
  <c r="J782" i="2" l="1"/>
  <c r="I782" i="2"/>
  <c r="K782" i="2"/>
  <c r="S782" i="2"/>
  <c r="M782" i="2"/>
  <c r="L782" i="2"/>
  <c r="N782" i="2"/>
  <c r="O782" i="2" s="1"/>
  <c r="R782" i="2" l="1"/>
  <c r="Q782" i="2"/>
  <c r="U782" i="2" s="1"/>
  <c r="X782" i="2" s="1"/>
  <c r="F783" i="2" s="1"/>
  <c r="P782" i="2"/>
  <c r="T782" i="2" s="1"/>
  <c r="W782" i="2" s="1"/>
  <c r="E783" i="2" s="1"/>
  <c r="V782" i="2"/>
  <c r="Y782" i="2" s="1"/>
  <c r="G783" i="2" s="1"/>
  <c r="H783" i="2" l="1"/>
  <c r="B783" i="2"/>
  <c r="M783" i="2"/>
  <c r="C783" i="2"/>
  <c r="N783" i="2"/>
  <c r="O783" i="2" s="1"/>
  <c r="D783" i="2"/>
  <c r="R783" i="2" l="1"/>
  <c r="Q783" i="2"/>
  <c r="I783" i="2"/>
  <c r="K783" i="2"/>
  <c r="J783" i="2"/>
  <c r="S783" i="2"/>
  <c r="L783" i="2"/>
  <c r="P783" i="2" s="1"/>
  <c r="V783" i="2" l="1"/>
  <c r="Y783" i="2" s="1"/>
  <c r="G784" i="2" s="1"/>
  <c r="U783" i="2"/>
  <c r="X783" i="2" s="1"/>
  <c r="F784" i="2" s="1"/>
  <c r="T783" i="2"/>
  <c r="W783" i="2" s="1"/>
  <c r="E784" i="2" s="1"/>
  <c r="D784" i="2" l="1"/>
  <c r="H784" i="2"/>
  <c r="L784" i="2" s="1"/>
  <c r="B784" i="2"/>
  <c r="M784" i="2"/>
  <c r="C784" i="2"/>
  <c r="I784" i="2" l="1"/>
  <c r="K784" i="2"/>
  <c r="J784" i="2"/>
  <c r="S784" i="2"/>
  <c r="N784" i="2"/>
  <c r="O784" i="2" s="1"/>
  <c r="R784" i="2" l="1"/>
  <c r="V784" i="2" s="1"/>
  <c r="Y784" i="2" s="1"/>
  <c r="G785" i="2" s="1"/>
  <c r="Q784" i="2"/>
  <c r="U784" i="2" s="1"/>
  <c r="X784" i="2" s="1"/>
  <c r="F785" i="2" s="1"/>
  <c r="P784" i="2"/>
  <c r="T784" i="2" s="1"/>
  <c r="W784" i="2" s="1"/>
  <c r="E785" i="2" s="1"/>
  <c r="H785" i="2" l="1"/>
  <c r="L785" i="2"/>
  <c r="B785" i="2"/>
  <c r="M785" i="2"/>
  <c r="C785" i="2"/>
  <c r="N785" i="2"/>
  <c r="O785" i="2" s="1"/>
  <c r="D785" i="2"/>
  <c r="R785" i="2" l="1"/>
  <c r="Q785" i="2"/>
  <c r="P785" i="2"/>
  <c r="K785" i="2"/>
  <c r="S785" i="2"/>
  <c r="J785" i="2"/>
  <c r="I785" i="2"/>
  <c r="V785" i="2" l="1"/>
  <c r="U785" i="2"/>
  <c r="T785" i="2"/>
  <c r="W785" i="2" s="1"/>
  <c r="E786" i="2" s="1"/>
  <c r="X785" i="2"/>
  <c r="F786" i="2" s="1"/>
  <c r="Y785" i="2"/>
  <c r="G786" i="2" s="1"/>
  <c r="H786" i="2" l="1"/>
  <c r="L786" i="2"/>
  <c r="B786" i="2"/>
  <c r="N786" i="2"/>
  <c r="O786" i="2" s="1"/>
  <c r="D786" i="2"/>
  <c r="M786" i="2"/>
  <c r="C786" i="2"/>
  <c r="R786" i="2" l="1"/>
  <c r="Q786" i="2"/>
  <c r="P786" i="2"/>
  <c r="I786" i="2"/>
  <c r="K786" i="2"/>
  <c r="S786" i="2"/>
  <c r="J786" i="2"/>
  <c r="V786" i="2" l="1"/>
  <c r="Y786" i="2" s="1"/>
  <c r="G787" i="2" s="1"/>
  <c r="U786" i="2"/>
  <c r="X786" i="2" s="1"/>
  <c r="F787" i="2" s="1"/>
  <c r="T786" i="2"/>
  <c r="W786" i="2" s="1"/>
  <c r="E787" i="2" s="1"/>
  <c r="C787" i="2" l="1"/>
  <c r="D787" i="2"/>
  <c r="H787" i="2"/>
  <c r="L787" i="2" s="1"/>
  <c r="B787" i="2"/>
  <c r="I787" i="2" l="1"/>
  <c r="K787" i="2"/>
  <c r="J787" i="2"/>
  <c r="S787" i="2"/>
  <c r="N787" i="2"/>
  <c r="O787" i="2" s="1"/>
  <c r="M787" i="2"/>
  <c r="R787" i="2" l="1"/>
  <c r="Q787" i="2"/>
  <c r="P787" i="2"/>
  <c r="T787" i="2" s="1"/>
  <c r="W787" i="2" s="1"/>
  <c r="E788" i="2" s="1"/>
  <c r="V787" i="2"/>
  <c r="U787" i="2"/>
  <c r="X787" i="2" s="1"/>
  <c r="F788" i="2" s="1"/>
  <c r="Y787" i="2"/>
  <c r="G788" i="2" s="1"/>
  <c r="C788" i="2" l="1"/>
  <c r="H788" i="2"/>
  <c r="L788" i="2" s="1"/>
  <c r="B788" i="2"/>
  <c r="D788" i="2"/>
  <c r="N788" i="2" l="1"/>
  <c r="O788" i="2" s="1"/>
  <c r="R788" i="2"/>
  <c r="P788" i="2"/>
  <c r="J788" i="2"/>
  <c r="I788" i="2"/>
  <c r="K788" i="2"/>
  <c r="S788" i="2"/>
  <c r="M788" i="2"/>
  <c r="Q788" i="2" s="1"/>
  <c r="V788" i="2" l="1"/>
  <c r="Y788" i="2" s="1"/>
  <c r="G789" i="2" s="1"/>
  <c r="U788" i="2"/>
  <c r="T788" i="2"/>
  <c r="W788" i="2" s="1"/>
  <c r="E789" i="2" s="1"/>
  <c r="X788" i="2"/>
  <c r="F789" i="2" s="1"/>
  <c r="D789" i="2" l="1"/>
  <c r="C789" i="2"/>
  <c r="H789" i="2"/>
  <c r="L789" i="2" s="1"/>
  <c r="B789" i="2"/>
  <c r="K789" i="2" l="1"/>
  <c r="J789" i="2"/>
  <c r="I789" i="2"/>
  <c r="S789" i="2"/>
  <c r="M789" i="2"/>
  <c r="N789" i="2"/>
  <c r="O789" i="2" s="1"/>
  <c r="R789" i="2" l="1"/>
  <c r="Q789" i="2"/>
  <c r="U789" i="2" s="1"/>
  <c r="X789" i="2" s="1"/>
  <c r="F790" i="2" s="1"/>
  <c r="P789" i="2"/>
  <c r="V789" i="2"/>
  <c r="T789" i="2"/>
  <c r="W789" i="2"/>
  <c r="E790" i="2" s="1"/>
  <c r="Y789" i="2"/>
  <c r="G790" i="2" s="1"/>
  <c r="C790" i="2" l="1"/>
  <c r="D790" i="2"/>
  <c r="H790" i="2"/>
  <c r="B790" i="2"/>
  <c r="K790" i="2" l="1"/>
  <c r="J790" i="2"/>
  <c r="S790" i="2"/>
  <c r="I790" i="2"/>
  <c r="L790" i="2"/>
  <c r="N790" i="2"/>
  <c r="O790" i="2" s="1"/>
  <c r="M790" i="2"/>
  <c r="R790" i="2" l="1"/>
  <c r="V790" i="2" s="1"/>
  <c r="Y790" i="2" s="1"/>
  <c r="G791" i="2" s="1"/>
  <c r="Q790" i="2"/>
  <c r="U790" i="2" s="1"/>
  <c r="X790" i="2" s="1"/>
  <c r="F791" i="2" s="1"/>
  <c r="P790" i="2"/>
  <c r="T790" i="2" s="1"/>
  <c r="W790" i="2" s="1"/>
  <c r="E791" i="2" s="1"/>
  <c r="C791" i="2" l="1"/>
  <c r="H791" i="2"/>
  <c r="L791" i="2" s="1"/>
  <c r="B791" i="2"/>
  <c r="N791" i="2"/>
  <c r="O791" i="2" s="1"/>
  <c r="D791" i="2"/>
  <c r="R791" i="2" l="1"/>
  <c r="P791" i="2"/>
  <c r="J791" i="2"/>
  <c r="K791" i="2"/>
  <c r="I791" i="2"/>
  <c r="S791" i="2"/>
  <c r="M791" i="2"/>
  <c r="Q791" i="2" s="1"/>
  <c r="V791" i="2" l="1"/>
  <c r="Y791" i="2" s="1"/>
  <c r="G792" i="2" s="1"/>
  <c r="U791" i="2"/>
  <c r="T791" i="2"/>
  <c r="W791" i="2"/>
  <c r="E792" i="2" s="1"/>
  <c r="X791" i="2"/>
  <c r="F792" i="2" s="1"/>
  <c r="D792" i="2" l="1"/>
  <c r="C792" i="2"/>
  <c r="H792" i="2"/>
  <c r="B792" i="2"/>
  <c r="I792" i="2" l="1"/>
  <c r="K792" i="2"/>
  <c r="J792" i="2"/>
  <c r="S792" i="2"/>
  <c r="L792" i="2"/>
  <c r="M792" i="2"/>
  <c r="N792" i="2"/>
  <c r="O792" i="2" s="1"/>
  <c r="R792" i="2" l="1"/>
  <c r="Q792" i="2"/>
  <c r="U792" i="2" s="1"/>
  <c r="X792" i="2" s="1"/>
  <c r="F793" i="2" s="1"/>
  <c r="P792" i="2"/>
  <c r="T792" i="2" s="1"/>
  <c r="W792" i="2" s="1"/>
  <c r="E793" i="2" s="1"/>
  <c r="V792" i="2"/>
  <c r="Y792" i="2" s="1"/>
  <c r="G793" i="2" s="1"/>
  <c r="D793" i="2" l="1"/>
  <c r="C793" i="2"/>
  <c r="H793" i="2"/>
  <c r="B793" i="2"/>
  <c r="J793" i="2" l="1"/>
  <c r="I793" i="2"/>
  <c r="K793" i="2"/>
  <c r="S793" i="2"/>
  <c r="L793" i="2"/>
  <c r="M793" i="2"/>
  <c r="N793" i="2"/>
  <c r="O793" i="2" s="1"/>
  <c r="R793" i="2" l="1"/>
  <c r="Q793" i="2"/>
  <c r="P793" i="2"/>
  <c r="T793" i="2" s="1"/>
  <c r="W793" i="2" s="1"/>
  <c r="E794" i="2" s="1"/>
  <c r="V793" i="2"/>
  <c r="U793" i="2"/>
  <c r="Y793" i="2"/>
  <c r="G794" i="2" s="1"/>
  <c r="X793" i="2"/>
  <c r="F794" i="2" s="1"/>
  <c r="H794" i="2" l="1"/>
  <c r="L794" i="2" s="1"/>
  <c r="B794" i="2"/>
  <c r="N794" i="2"/>
  <c r="O794" i="2" s="1"/>
  <c r="D794" i="2"/>
  <c r="M794" i="2"/>
  <c r="C794" i="2"/>
  <c r="R794" i="2" l="1"/>
  <c r="P794" i="2"/>
  <c r="Q794" i="2"/>
  <c r="J794" i="2"/>
  <c r="I794" i="2"/>
  <c r="K794" i="2"/>
  <c r="S794" i="2"/>
  <c r="V794" i="2" l="1"/>
  <c r="U794" i="2"/>
  <c r="T794" i="2"/>
  <c r="W794" i="2"/>
  <c r="E795" i="2" s="1"/>
  <c r="Y794" i="2"/>
  <c r="G795" i="2" s="1"/>
  <c r="X794" i="2"/>
  <c r="F795" i="2" s="1"/>
  <c r="C795" i="2" l="1"/>
  <c r="D795" i="2"/>
  <c r="H795" i="2"/>
  <c r="B795" i="2"/>
  <c r="I795" i="2" l="1"/>
  <c r="K795" i="2"/>
  <c r="J795" i="2"/>
  <c r="S795" i="2"/>
  <c r="L795" i="2"/>
  <c r="N795" i="2"/>
  <c r="O795" i="2" s="1"/>
  <c r="M795" i="2"/>
  <c r="R795" i="2" l="1"/>
  <c r="Q795" i="2"/>
  <c r="P795" i="2"/>
  <c r="V795" i="2"/>
  <c r="Y795" i="2" s="1"/>
  <c r="G796" i="2" s="1"/>
  <c r="U795" i="2"/>
  <c r="X795" i="2" s="1"/>
  <c r="F796" i="2" s="1"/>
  <c r="T795" i="2"/>
  <c r="W795" i="2" s="1"/>
  <c r="E796" i="2" s="1"/>
  <c r="D796" i="2" l="1"/>
  <c r="H796" i="2"/>
  <c r="B796" i="2"/>
  <c r="C796" i="2"/>
  <c r="I796" i="2" l="1"/>
  <c r="K796" i="2"/>
  <c r="J796" i="2"/>
  <c r="S796" i="2"/>
  <c r="M796" i="2"/>
  <c r="L796" i="2"/>
  <c r="N796" i="2"/>
  <c r="O796" i="2" s="1"/>
  <c r="R796" i="2" l="1"/>
  <c r="Q796" i="2"/>
  <c r="U796" i="2" s="1"/>
  <c r="X796" i="2" s="1"/>
  <c r="F797" i="2" s="1"/>
  <c r="P796" i="2"/>
  <c r="T796" i="2" s="1"/>
  <c r="W796" i="2" s="1"/>
  <c r="E797" i="2" s="1"/>
  <c r="V796" i="2"/>
  <c r="Y796" i="2" s="1"/>
  <c r="G797" i="2" s="1"/>
  <c r="D797" i="2" l="1"/>
  <c r="C797" i="2"/>
  <c r="H797" i="2"/>
  <c r="N797" i="2" s="1"/>
  <c r="O797" i="2" s="1"/>
  <c r="B797" i="2"/>
  <c r="L797" i="2" l="1"/>
  <c r="R797" i="2"/>
  <c r="P797" i="2"/>
  <c r="K797" i="2"/>
  <c r="J797" i="2"/>
  <c r="S797" i="2"/>
  <c r="I797" i="2"/>
  <c r="M797" i="2"/>
  <c r="Q797" i="2" s="1"/>
  <c r="V797" i="2" l="1"/>
  <c r="Y797" i="2" s="1"/>
  <c r="G798" i="2" s="1"/>
  <c r="U797" i="2"/>
  <c r="X797" i="2" s="1"/>
  <c r="F798" i="2" s="1"/>
  <c r="T797" i="2"/>
  <c r="W797" i="2" s="1"/>
  <c r="E798" i="2" s="1"/>
  <c r="H798" i="2" l="1"/>
  <c r="L798" i="2" s="1"/>
  <c r="B798" i="2"/>
  <c r="M798" i="2"/>
  <c r="C798" i="2"/>
  <c r="N798" i="2"/>
  <c r="O798" i="2" s="1"/>
  <c r="D798" i="2"/>
  <c r="R798" i="2" l="1"/>
  <c r="Q798" i="2"/>
  <c r="P798" i="2"/>
  <c r="I798" i="2"/>
  <c r="K798" i="2"/>
  <c r="J798" i="2"/>
  <c r="S798" i="2"/>
  <c r="V798" i="2" l="1"/>
  <c r="U798" i="2"/>
  <c r="X798" i="2" s="1"/>
  <c r="F799" i="2" s="1"/>
  <c r="T798" i="2"/>
  <c r="W798" i="2" s="1"/>
  <c r="E799" i="2" s="1"/>
  <c r="Y798" i="2"/>
  <c r="G799" i="2" s="1"/>
  <c r="C799" i="2" l="1"/>
  <c r="D799" i="2"/>
  <c r="H799" i="2"/>
  <c r="L799" i="2" s="1"/>
  <c r="B799" i="2"/>
  <c r="I799" i="2" l="1"/>
  <c r="K799" i="2"/>
  <c r="J799" i="2"/>
  <c r="S799" i="2"/>
  <c r="N799" i="2"/>
  <c r="O799" i="2" s="1"/>
  <c r="M799" i="2"/>
  <c r="R799" i="2" l="1"/>
  <c r="V799" i="2" s="1"/>
  <c r="Y799" i="2" s="1"/>
  <c r="G800" i="2" s="1"/>
  <c r="Q799" i="2"/>
  <c r="U799" i="2" s="1"/>
  <c r="X799" i="2" s="1"/>
  <c r="F800" i="2" s="1"/>
  <c r="P799" i="2"/>
  <c r="T799" i="2" s="1"/>
  <c r="W799" i="2" s="1"/>
  <c r="E800" i="2" s="1"/>
  <c r="C800" i="2" l="1"/>
  <c r="H800" i="2"/>
  <c r="L800" i="2" s="1"/>
  <c r="B800" i="2"/>
  <c r="D800" i="2"/>
  <c r="N800" i="2" l="1"/>
  <c r="O800" i="2" s="1"/>
  <c r="R800" i="2"/>
  <c r="P800" i="2"/>
  <c r="J800" i="2"/>
  <c r="I800" i="2"/>
  <c r="S800" i="2"/>
  <c r="K800" i="2"/>
  <c r="M800" i="2"/>
  <c r="Q800" i="2" s="1"/>
  <c r="V800" i="2" l="1"/>
  <c r="U800" i="2"/>
  <c r="T800" i="2"/>
  <c r="X800" i="2"/>
  <c r="F801" i="2" s="1"/>
  <c r="Y800" i="2"/>
  <c r="G801" i="2" s="1"/>
  <c r="W800" i="2"/>
  <c r="E801" i="2" s="1"/>
  <c r="D801" i="2" l="1"/>
  <c r="H801" i="2"/>
  <c r="B801" i="2"/>
  <c r="M801" i="2"/>
  <c r="C801" i="2"/>
  <c r="K801" i="2" l="1"/>
  <c r="J801" i="2"/>
  <c r="I801" i="2"/>
  <c r="S801" i="2"/>
  <c r="L801" i="2"/>
  <c r="N801" i="2"/>
  <c r="O801" i="2" s="1"/>
  <c r="R801" i="2" l="1"/>
  <c r="Q801" i="2"/>
  <c r="P801" i="2"/>
  <c r="T801" i="2" s="1"/>
  <c r="W801" i="2" s="1"/>
  <c r="E802" i="2" s="1"/>
  <c r="V801" i="2"/>
  <c r="U801" i="2"/>
  <c r="X801" i="2" s="1"/>
  <c r="F802" i="2" s="1"/>
  <c r="Y801" i="2"/>
  <c r="G802" i="2" s="1"/>
  <c r="C802" i="2" l="1"/>
  <c r="H802" i="2"/>
  <c r="B802" i="2"/>
  <c r="N802" i="2"/>
  <c r="O802" i="2" s="1"/>
  <c r="D802" i="2"/>
  <c r="K802" i="2" l="1"/>
  <c r="J802" i="2"/>
  <c r="S802" i="2"/>
  <c r="I802" i="2"/>
  <c r="R802" i="2"/>
  <c r="L802" i="2"/>
  <c r="P802" i="2" s="1"/>
  <c r="M802" i="2"/>
  <c r="Q802" i="2" s="1"/>
  <c r="V802" i="2" l="1"/>
  <c r="Y802" i="2" s="1"/>
  <c r="G803" i="2" s="1"/>
  <c r="U802" i="2"/>
  <c r="T802" i="2"/>
  <c r="W802" i="2" s="1"/>
  <c r="E803" i="2" s="1"/>
  <c r="X802" i="2"/>
  <c r="F803" i="2" s="1"/>
  <c r="H803" i="2" l="1"/>
  <c r="L803" i="2"/>
  <c r="B803" i="2"/>
  <c r="N803" i="2"/>
  <c r="O803" i="2" s="1"/>
  <c r="D803" i="2"/>
  <c r="M803" i="2"/>
  <c r="C803" i="2"/>
  <c r="R803" i="2" l="1"/>
  <c r="Q803" i="2"/>
  <c r="P803" i="2"/>
  <c r="J803" i="2"/>
  <c r="K803" i="2"/>
  <c r="I803" i="2"/>
  <c r="S803" i="2"/>
  <c r="V803" i="2" l="1"/>
  <c r="Y803" i="2" s="1"/>
  <c r="G804" i="2" s="1"/>
  <c r="U803" i="2"/>
  <c r="T803" i="2"/>
  <c r="W803" i="2" s="1"/>
  <c r="E804" i="2" s="1"/>
  <c r="X803" i="2"/>
  <c r="F804" i="2" s="1"/>
  <c r="H804" i="2" l="1"/>
  <c r="L804" i="2"/>
  <c r="B804" i="2"/>
  <c r="N804" i="2"/>
  <c r="O804" i="2" s="1"/>
  <c r="D804" i="2"/>
  <c r="M804" i="2"/>
  <c r="C804" i="2"/>
  <c r="R804" i="2" l="1"/>
  <c r="Q804" i="2"/>
  <c r="P804" i="2"/>
  <c r="I804" i="2"/>
  <c r="K804" i="2"/>
  <c r="J804" i="2"/>
  <c r="S804" i="2"/>
  <c r="V804" i="2" l="1"/>
  <c r="U804" i="2"/>
  <c r="T804" i="2"/>
  <c r="W804" i="2" s="1"/>
  <c r="E805" i="2" s="1"/>
  <c r="X804" i="2"/>
  <c r="F805" i="2" s="1"/>
  <c r="Y804" i="2"/>
  <c r="G805" i="2" s="1"/>
  <c r="H805" i="2" l="1"/>
  <c r="L805" i="2" s="1"/>
  <c r="B805" i="2"/>
  <c r="N805" i="2"/>
  <c r="O805" i="2" s="1"/>
  <c r="D805" i="2"/>
  <c r="M805" i="2"/>
  <c r="C805" i="2"/>
  <c r="R805" i="2" l="1"/>
  <c r="Q805" i="2"/>
  <c r="P805" i="2"/>
  <c r="J805" i="2"/>
  <c r="I805" i="2"/>
  <c r="K805" i="2"/>
  <c r="S805" i="2"/>
  <c r="V805" i="2" l="1"/>
  <c r="Y805" i="2" s="1"/>
  <c r="G806" i="2" s="1"/>
  <c r="U805" i="2"/>
  <c r="T805" i="2"/>
  <c r="W805" i="2" s="1"/>
  <c r="E806" i="2" s="1"/>
  <c r="X805" i="2"/>
  <c r="F806" i="2" s="1"/>
  <c r="H806" i="2" l="1"/>
  <c r="L806" i="2" s="1"/>
  <c r="B806" i="2"/>
  <c r="N806" i="2"/>
  <c r="O806" i="2" s="1"/>
  <c r="D806" i="2"/>
  <c r="M806" i="2"/>
  <c r="C806" i="2"/>
  <c r="R806" i="2" l="1"/>
  <c r="Q806" i="2"/>
  <c r="P806" i="2"/>
  <c r="J806" i="2"/>
  <c r="I806" i="2"/>
  <c r="K806" i="2"/>
  <c r="S806" i="2"/>
  <c r="V806" i="2" l="1"/>
  <c r="Y806" i="2" s="1"/>
  <c r="G807" i="2" s="1"/>
  <c r="U806" i="2"/>
  <c r="X806" i="2" s="1"/>
  <c r="F807" i="2" s="1"/>
  <c r="T806" i="2"/>
  <c r="W806" i="2"/>
  <c r="E807" i="2" s="1"/>
  <c r="D807" i="2" l="1"/>
  <c r="H807" i="2"/>
  <c r="B807" i="2"/>
  <c r="M807" i="2"/>
  <c r="C807" i="2"/>
  <c r="I807" i="2" l="1"/>
  <c r="K807" i="2"/>
  <c r="J807" i="2"/>
  <c r="S807" i="2"/>
  <c r="L807" i="2"/>
  <c r="N807" i="2"/>
  <c r="O807" i="2" s="1"/>
  <c r="R807" i="2" l="1"/>
  <c r="V807" i="2" s="1"/>
  <c r="Y807" i="2" s="1"/>
  <c r="G808" i="2" s="1"/>
  <c r="Q807" i="2"/>
  <c r="U807" i="2" s="1"/>
  <c r="X807" i="2" s="1"/>
  <c r="F808" i="2" s="1"/>
  <c r="P807" i="2"/>
  <c r="T807" i="2" s="1"/>
  <c r="W807" i="2" s="1"/>
  <c r="E808" i="2" s="1"/>
  <c r="H808" i="2" l="1"/>
  <c r="L808" i="2" s="1"/>
  <c r="B808" i="2"/>
  <c r="C808" i="2"/>
  <c r="D808" i="2"/>
  <c r="N808" i="2" l="1"/>
  <c r="O808" i="2" s="1"/>
  <c r="M808" i="2"/>
  <c r="R808" i="2"/>
  <c r="Q808" i="2"/>
  <c r="P808" i="2"/>
  <c r="I808" i="2"/>
  <c r="K808" i="2"/>
  <c r="J808" i="2"/>
  <c r="S808" i="2"/>
  <c r="V808" i="2" l="1"/>
  <c r="Y808" i="2" s="1"/>
  <c r="G809" i="2" s="1"/>
  <c r="U808" i="2"/>
  <c r="X808" i="2" s="1"/>
  <c r="F809" i="2" s="1"/>
  <c r="T808" i="2"/>
  <c r="W808" i="2" s="1"/>
  <c r="E809" i="2" s="1"/>
  <c r="C809" i="2" l="1"/>
  <c r="D809" i="2"/>
  <c r="H809" i="2"/>
  <c r="B809" i="2"/>
  <c r="K809" i="2" l="1"/>
  <c r="J809" i="2"/>
  <c r="I809" i="2"/>
  <c r="S809" i="2"/>
  <c r="L809" i="2"/>
  <c r="N809" i="2"/>
  <c r="O809" i="2" s="1"/>
  <c r="M809" i="2"/>
  <c r="R809" i="2" l="1"/>
  <c r="Q809" i="2"/>
  <c r="P809" i="2"/>
  <c r="V809" i="2"/>
  <c r="U809" i="2"/>
  <c r="X809" i="2" s="1"/>
  <c r="F810" i="2" s="1"/>
  <c r="T809" i="2"/>
  <c r="W809" i="2" s="1"/>
  <c r="E810" i="2" s="1"/>
  <c r="Y809" i="2"/>
  <c r="G810" i="2" s="1"/>
  <c r="H810" i="2" l="1"/>
  <c r="L810" i="2"/>
  <c r="B810" i="2"/>
  <c r="M810" i="2"/>
  <c r="C810" i="2"/>
  <c r="N810" i="2"/>
  <c r="O810" i="2" s="1"/>
  <c r="D810" i="2"/>
  <c r="R810" i="2" l="1"/>
  <c r="Q810" i="2"/>
  <c r="P810" i="2"/>
  <c r="I810" i="2"/>
  <c r="K810" i="2"/>
  <c r="J810" i="2"/>
  <c r="S810" i="2"/>
  <c r="V810" i="2" l="1"/>
  <c r="Y810" i="2" s="1"/>
  <c r="G811" i="2" s="1"/>
  <c r="U810" i="2"/>
  <c r="T810" i="2"/>
  <c r="W810" i="2" s="1"/>
  <c r="E811" i="2" s="1"/>
  <c r="X810" i="2"/>
  <c r="F811" i="2" s="1"/>
  <c r="D811" i="2" l="1"/>
  <c r="C811" i="2"/>
  <c r="H811" i="2"/>
  <c r="B811" i="2"/>
  <c r="I811" i="2" l="1"/>
  <c r="K811" i="2"/>
  <c r="J811" i="2"/>
  <c r="S811" i="2"/>
  <c r="L811" i="2"/>
  <c r="M811" i="2"/>
  <c r="N811" i="2"/>
  <c r="O811" i="2" s="1"/>
  <c r="R811" i="2" l="1"/>
  <c r="Q811" i="2"/>
  <c r="U811" i="2" s="1"/>
  <c r="X811" i="2" s="1"/>
  <c r="F812" i="2" s="1"/>
  <c r="P811" i="2"/>
  <c r="T811" i="2" s="1"/>
  <c r="W811" i="2" s="1"/>
  <c r="E812" i="2" s="1"/>
  <c r="V811" i="2"/>
  <c r="Y811" i="2" s="1"/>
  <c r="G812" i="2" s="1"/>
  <c r="H812" i="2" l="1"/>
  <c r="L812" i="2"/>
  <c r="B812" i="2"/>
  <c r="N812" i="2"/>
  <c r="O812" i="2" s="1"/>
  <c r="D812" i="2"/>
  <c r="M812" i="2"/>
  <c r="C812" i="2"/>
  <c r="R812" i="2" l="1"/>
  <c r="Q812" i="2"/>
  <c r="P812" i="2"/>
  <c r="J812" i="2"/>
  <c r="I812" i="2"/>
  <c r="K812" i="2"/>
  <c r="S812" i="2"/>
  <c r="V812" i="2" l="1"/>
  <c r="U812" i="2"/>
  <c r="X812" i="2" s="1"/>
  <c r="F813" i="2" s="1"/>
  <c r="T812" i="2"/>
  <c r="Y812" i="2"/>
  <c r="G813" i="2" s="1"/>
  <c r="W812" i="2"/>
  <c r="E813" i="2" s="1"/>
  <c r="C813" i="2" l="1"/>
  <c r="H813" i="2"/>
  <c r="N813" i="2" s="1"/>
  <c r="O813" i="2" s="1"/>
  <c r="B813" i="2"/>
  <c r="D813" i="2"/>
  <c r="K813" i="2" l="1"/>
  <c r="J813" i="2"/>
  <c r="I813" i="2"/>
  <c r="S813" i="2"/>
  <c r="R813" i="2"/>
  <c r="L813" i="2"/>
  <c r="P813" i="2" s="1"/>
  <c r="M813" i="2"/>
  <c r="Q813" i="2" s="1"/>
  <c r="V813" i="2" l="1"/>
  <c r="U813" i="2"/>
  <c r="T813" i="2"/>
  <c r="X813" i="2"/>
  <c r="F814" i="2" s="1"/>
  <c r="W813" i="2"/>
  <c r="E814" i="2" s="1"/>
  <c r="Y813" i="2"/>
  <c r="G814" i="2" s="1"/>
  <c r="H814" i="2" l="1"/>
  <c r="L814" i="2"/>
  <c r="B814" i="2"/>
  <c r="N814" i="2"/>
  <c r="O814" i="2" s="1"/>
  <c r="D814" i="2"/>
  <c r="M814" i="2"/>
  <c r="C814" i="2"/>
  <c r="R814" i="2" l="1"/>
  <c r="Q814" i="2"/>
  <c r="P814" i="2"/>
  <c r="K814" i="2"/>
  <c r="J814" i="2"/>
  <c r="S814" i="2"/>
  <c r="I814" i="2"/>
  <c r="V814" i="2" l="1"/>
  <c r="U814" i="2"/>
  <c r="T814" i="2"/>
  <c r="W814" i="2" s="1"/>
  <c r="E815" i="2" s="1"/>
  <c r="Y814" i="2"/>
  <c r="G815" i="2" s="1"/>
  <c r="X814" i="2"/>
  <c r="F815" i="2" s="1"/>
  <c r="H815" i="2" l="1"/>
  <c r="L815" i="2" s="1"/>
  <c r="B815" i="2"/>
  <c r="C815" i="2"/>
  <c r="D815" i="2"/>
  <c r="M815" i="2" l="1"/>
  <c r="N815" i="2"/>
  <c r="O815" i="2" s="1"/>
  <c r="R815" i="2" s="1"/>
  <c r="P815" i="2"/>
  <c r="J815" i="2"/>
  <c r="K815" i="2"/>
  <c r="I815" i="2"/>
  <c r="S815" i="2"/>
  <c r="Q815" i="2" l="1"/>
  <c r="V815" i="2"/>
  <c r="U815" i="2"/>
  <c r="T815" i="2"/>
  <c r="Y815" i="2"/>
  <c r="G816" i="2" s="1"/>
  <c r="W815" i="2"/>
  <c r="E816" i="2" s="1"/>
  <c r="X815" i="2"/>
  <c r="F816" i="2" s="1"/>
  <c r="H816" i="2" l="1"/>
  <c r="L816" i="2"/>
  <c r="B816" i="2"/>
  <c r="M816" i="2"/>
  <c r="C816" i="2"/>
  <c r="N816" i="2"/>
  <c r="O816" i="2" s="1"/>
  <c r="D816" i="2"/>
  <c r="R816" i="2" l="1"/>
  <c r="Q816" i="2"/>
  <c r="P816" i="2"/>
  <c r="I816" i="2"/>
  <c r="K816" i="2"/>
  <c r="S816" i="2"/>
  <c r="J816" i="2"/>
  <c r="V816" i="2" l="1"/>
  <c r="U816" i="2"/>
  <c r="X816" i="2" s="1"/>
  <c r="F817" i="2" s="1"/>
  <c r="T816" i="2"/>
  <c r="Y816" i="2"/>
  <c r="G817" i="2" s="1"/>
  <c r="W816" i="2"/>
  <c r="E817" i="2" s="1"/>
  <c r="C817" i="2" l="1"/>
  <c r="H817" i="2"/>
  <c r="B817" i="2"/>
  <c r="N817" i="2"/>
  <c r="O817" i="2" s="1"/>
  <c r="D817" i="2"/>
  <c r="R817" i="2" l="1"/>
  <c r="J817" i="2"/>
  <c r="I817" i="2"/>
  <c r="K817" i="2"/>
  <c r="S817" i="2"/>
  <c r="L817" i="2"/>
  <c r="P817" i="2" s="1"/>
  <c r="M817" i="2"/>
  <c r="Q817" i="2" s="1"/>
  <c r="V817" i="2" l="1"/>
  <c r="U817" i="2"/>
  <c r="T817" i="2"/>
  <c r="W817" i="2" s="1"/>
  <c r="E818" i="2" s="1"/>
  <c r="Y817" i="2"/>
  <c r="G818" i="2" s="1"/>
  <c r="X817" i="2"/>
  <c r="F818" i="2" s="1"/>
  <c r="H818" i="2" l="1"/>
  <c r="L818" i="2" s="1"/>
  <c r="B818" i="2"/>
  <c r="C818" i="2"/>
  <c r="D818" i="2"/>
  <c r="N818" i="2" l="1"/>
  <c r="O818" i="2" s="1"/>
  <c r="M818" i="2"/>
  <c r="R818" i="2"/>
  <c r="Q818" i="2"/>
  <c r="P818" i="2"/>
  <c r="J818" i="2"/>
  <c r="I818" i="2"/>
  <c r="K818" i="2"/>
  <c r="S818" i="2"/>
  <c r="V818" i="2" l="1"/>
  <c r="Y818" i="2" s="1"/>
  <c r="G819" i="2" s="1"/>
  <c r="U818" i="2"/>
  <c r="X818" i="2" s="1"/>
  <c r="F819" i="2" s="1"/>
  <c r="T818" i="2"/>
  <c r="W818" i="2" s="1"/>
  <c r="E819" i="2" s="1"/>
  <c r="C819" i="2" l="1"/>
  <c r="H819" i="2"/>
  <c r="N819" i="2" s="1"/>
  <c r="O819" i="2" s="1"/>
  <c r="B819" i="2"/>
  <c r="D819" i="2"/>
  <c r="I819" i="2" l="1"/>
  <c r="K819" i="2"/>
  <c r="J819" i="2"/>
  <c r="S819" i="2"/>
  <c r="R819" i="2"/>
  <c r="L819" i="2"/>
  <c r="P819" i="2" s="1"/>
  <c r="M819" i="2"/>
  <c r="Q819" i="2" s="1"/>
  <c r="V819" i="2" l="1"/>
  <c r="Y819" i="2" s="1"/>
  <c r="G820" i="2" s="1"/>
  <c r="U819" i="2"/>
  <c r="T819" i="2"/>
  <c r="W819" i="2"/>
  <c r="E820" i="2" s="1"/>
  <c r="X819" i="2"/>
  <c r="F820" i="2" s="1"/>
  <c r="C820" i="2" l="1"/>
  <c r="D820" i="2"/>
  <c r="H820" i="2"/>
  <c r="L820" i="2" s="1"/>
  <c r="B820" i="2"/>
  <c r="I820" i="2" l="1"/>
  <c r="K820" i="2"/>
  <c r="J820" i="2"/>
  <c r="S820" i="2"/>
  <c r="N820" i="2"/>
  <c r="O820" i="2" s="1"/>
  <c r="M820" i="2"/>
  <c r="R820" i="2" l="1"/>
  <c r="Q820" i="2"/>
  <c r="P820" i="2"/>
  <c r="V820" i="2"/>
  <c r="Y820" i="2" s="1"/>
  <c r="G821" i="2" s="1"/>
  <c r="U820" i="2"/>
  <c r="X820" i="2" s="1"/>
  <c r="F821" i="2" s="1"/>
  <c r="T820" i="2"/>
  <c r="W820" i="2" s="1"/>
  <c r="E821" i="2" s="1"/>
  <c r="D821" i="2" l="1"/>
  <c r="C821" i="2"/>
  <c r="H821" i="2"/>
  <c r="M821" i="2" s="1"/>
  <c r="B821" i="2"/>
  <c r="L821" i="2" l="1"/>
  <c r="K821" i="2"/>
  <c r="I821" i="2"/>
  <c r="S821" i="2"/>
  <c r="J821" i="2"/>
  <c r="N821" i="2"/>
  <c r="O821" i="2" s="1"/>
  <c r="R821" i="2" l="1"/>
  <c r="Q821" i="2"/>
  <c r="P821" i="2"/>
  <c r="V821" i="2"/>
  <c r="U821" i="2"/>
  <c r="X821" i="2" s="1"/>
  <c r="F822" i="2" s="1"/>
  <c r="T821" i="2"/>
  <c r="W821" i="2" s="1"/>
  <c r="E822" i="2" s="1"/>
  <c r="Y821" i="2"/>
  <c r="G822" i="2" s="1"/>
  <c r="H822" i="2" l="1"/>
  <c r="L822" i="2"/>
  <c r="B822" i="2"/>
  <c r="M822" i="2"/>
  <c r="C822" i="2"/>
  <c r="N822" i="2"/>
  <c r="O822" i="2" s="1"/>
  <c r="D822" i="2"/>
  <c r="R822" i="2" l="1"/>
  <c r="Q822" i="2"/>
  <c r="P822" i="2"/>
  <c r="I822" i="2"/>
  <c r="K822" i="2"/>
  <c r="S822" i="2"/>
  <c r="J822" i="2"/>
  <c r="V822" i="2" l="1"/>
  <c r="Y822" i="2" s="1"/>
  <c r="G823" i="2" s="1"/>
  <c r="U822" i="2"/>
  <c r="X822" i="2" s="1"/>
  <c r="F823" i="2" s="1"/>
  <c r="T822" i="2"/>
  <c r="W822" i="2" s="1"/>
  <c r="E823" i="2" s="1"/>
  <c r="C823" i="2" l="1"/>
  <c r="H823" i="2"/>
  <c r="B823" i="2"/>
  <c r="N823" i="2"/>
  <c r="O823" i="2" s="1"/>
  <c r="D823" i="2"/>
  <c r="R823" i="2" l="1"/>
  <c r="I823" i="2"/>
  <c r="K823" i="2"/>
  <c r="J823" i="2"/>
  <c r="S823" i="2"/>
  <c r="L823" i="2"/>
  <c r="P823" i="2" s="1"/>
  <c r="M823" i="2"/>
  <c r="Q823" i="2" s="1"/>
  <c r="V823" i="2" l="1"/>
  <c r="Y823" i="2" s="1"/>
  <c r="G824" i="2" s="1"/>
  <c r="U823" i="2"/>
  <c r="X823" i="2" s="1"/>
  <c r="F824" i="2" s="1"/>
  <c r="T823" i="2"/>
  <c r="W823" i="2"/>
  <c r="E824" i="2" s="1"/>
  <c r="D824" i="2" l="1"/>
  <c r="H824" i="2"/>
  <c r="B824" i="2"/>
  <c r="C824" i="2"/>
  <c r="J824" i="2" l="1"/>
  <c r="I824" i="2"/>
  <c r="K824" i="2"/>
  <c r="S824" i="2"/>
  <c r="M824" i="2"/>
  <c r="L824" i="2"/>
  <c r="N824" i="2"/>
  <c r="O824" i="2" s="1"/>
  <c r="R824" i="2" l="1"/>
  <c r="Q824" i="2"/>
  <c r="U824" i="2" s="1"/>
  <c r="X824" i="2" s="1"/>
  <c r="F825" i="2" s="1"/>
  <c r="P824" i="2"/>
  <c r="T824" i="2" s="1"/>
  <c r="W824" i="2" s="1"/>
  <c r="E825" i="2" s="1"/>
  <c r="V824" i="2"/>
  <c r="Y824" i="2" s="1"/>
  <c r="G825" i="2" s="1"/>
  <c r="H825" i="2" l="1"/>
  <c r="L825" i="2"/>
  <c r="B825" i="2"/>
  <c r="M825" i="2"/>
  <c r="C825" i="2"/>
  <c r="N825" i="2"/>
  <c r="O825" i="2" s="1"/>
  <c r="D825" i="2"/>
  <c r="R825" i="2" l="1"/>
  <c r="Q825" i="2"/>
  <c r="P825" i="2"/>
  <c r="K825" i="2"/>
  <c r="J825" i="2"/>
  <c r="I825" i="2"/>
  <c r="S825" i="2"/>
  <c r="V825" i="2" l="1"/>
  <c r="U825" i="2"/>
  <c r="T825" i="2"/>
  <c r="X825" i="2"/>
  <c r="F826" i="2" s="1"/>
  <c r="W825" i="2"/>
  <c r="E826" i="2" s="1"/>
  <c r="Y825" i="2"/>
  <c r="G826" i="2" s="1"/>
  <c r="H826" i="2" l="1"/>
  <c r="L826" i="2"/>
  <c r="B826" i="2"/>
  <c r="N826" i="2"/>
  <c r="O826" i="2" s="1"/>
  <c r="D826" i="2"/>
  <c r="M826" i="2"/>
  <c r="C826" i="2"/>
  <c r="R826" i="2" l="1"/>
  <c r="Q826" i="2"/>
  <c r="P826" i="2"/>
  <c r="K826" i="2"/>
  <c r="J826" i="2"/>
  <c r="I826" i="2"/>
  <c r="S826" i="2"/>
  <c r="V826" i="2" l="1"/>
  <c r="U826" i="2"/>
  <c r="X826" i="2" s="1"/>
  <c r="F827" i="2" s="1"/>
  <c r="T826" i="2"/>
  <c r="W826" i="2" s="1"/>
  <c r="E827" i="2" s="1"/>
  <c r="Y826" i="2"/>
  <c r="G827" i="2" s="1"/>
  <c r="H827" i="2" l="1"/>
  <c r="L827" i="2" s="1"/>
  <c r="B827" i="2"/>
  <c r="M827" i="2"/>
  <c r="C827" i="2"/>
  <c r="N827" i="2"/>
  <c r="O827" i="2" s="1"/>
  <c r="D827" i="2"/>
  <c r="R827" i="2" l="1"/>
  <c r="Q827" i="2"/>
  <c r="P827" i="2"/>
  <c r="J827" i="2"/>
  <c r="K827" i="2"/>
  <c r="I827" i="2"/>
  <c r="S827" i="2"/>
  <c r="V827" i="2" l="1"/>
  <c r="Y827" i="2" s="1"/>
  <c r="G828" i="2" s="1"/>
  <c r="U827" i="2"/>
  <c r="T827" i="2"/>
  <c r="W827" i="2" s="1"/>
  <c r="E828" i="2" s="1"/>
  <c r="X827" i="2"/>
  <c r="F828" i="2" s="1"/>
  <c r="H828" i="2" l="1"/>
  <c r="L828" i="2"/>
  <c r="B828" i="2"/>
  <c r="N828" i="2"/>
  <c r="O828" i="2" s="1"/>
  <c r="D828" i="2"/>
  <c r="M828" i="2"/>
  <c r="C828" i="2"/>
  <c r="R828" i="2" l="1"/>
  <c r="Q828" i="2"/>
  <c r="P828" i="2"/>
  <c r="I828" i="2"/>
  <c r="K828" i="2"/>
  <c r="J828" i="2"/>
  <c r="S828" i="2"/>
  <c r="V828" i="2" l="1"/>
  <c r="U828" i="2"/>
  <c r="T828" i="2"/>
  <c r="X828" i="2"/>
  <c r="F829" i="2" s="1"/>
  <c r="Y828" i="2"/>
  <c r="G829" i="2" s="1"/>
  <c r="W828" i="2"/>
  <c r="E829" i="2" s="1"/>
  <c r="H829" i="2" l="1"/>
  <c r="L829" i="2"/>
  <c r="B829" i="2"/>
  <c r="N829" i="2"/>
  <c r="O829" i="2" s="1"/>
  <c r="D829" i="2"/>
  <c r="M829" i="2"/>
  <c r="C829" i="2"/>
  <c r="R829" i="2" l="1"/>
  <c r="Q829" i="2"/>
  <c r="P829" i="2"/>
  <c r="J829" i="2"/>
  <c r="I829" i="2"/>
  <c r="K829" i="2"/>
  <c r="S829" i="2"/>
  <c r="V829" i="2" l="1"/>
  <c r="Y829" i="2" s="1"/>
  <c r="G830" i="2" s="1"/>
  <c r="U829" i="2"/>
  <c r="T829" i="2"/>
  <c r="W829" i="2" s="1"/>
  <c r="E830" i="2" s="1"/>
  <c r="X829" i="2"/>
  <c r="F830" i="2" s="1"/>
  <c r="H830" i="2" l="1"/>
  <c r="B830" i="2"/>
  <c r="N830" i="2"/>
  <c r="O830" i="2" s="1"/>
  <c r="D830" i="2"/>
  <c r="M830" i="2"/>
  <c r="C830" i="2"/>
  <c r="R830" i="2" l="1"/>
  <c r="Q830" i="2"/>
  <c r="J830" i="2"/>
  <c r="K830" i="2"/>
  <c r="I830" i="2"/>
  <c r="S830" i="2"/>
  <c r="L830" i="2"/>
  <c r="P830" i="2" s="1"/>
  <c r="V830" i="2" l="1"/>
  <c r="U830" i="2"/>
  <c r="T830" i="2"/>
  <c r="W830" i="2" s="1"/>
  <c r="E831" i="2" s="1"/>
  <c r="Y830" i="2"/>
  <c r="G831" i="2" s="1"/>
  <c r="X830" i="2"/>
  <c r="F831" i="2" s="1"/>
  <c r="H831" i="2" l="1"/>
  <c r="B831" i="2"/>
  <c r="M831" i="2"/>
  <c r="C831" i="2"/>
  <c r="N831" i="2"/>
  <c r="O831" i="2" s="1"/>
  <c r="D831" i="2"/>
  <c r="R831" i="2" l="1"/>
  <c r="Q831" i="2"/>
  <c r="J831" i="2"/>
  <c r="I831" i="2"/>
  <c r="S831" i="2"/>
  <c r="K831" i="2"/>
  <c r="L831" i="2"/>
  <c r="P831" i="2" s="1"/>
  <c r="V831" i="2" l="1"/>
  <c r="U831" i="2"/>
  <c r="T831" i="2"/>
  <c r="Y831" i="2"/>
  <c r="G832" i="2" s="1"/>
  <c r="W831" i="2"/>
  <c r="E832" i="2" s="1"/>
  <c r="X831" i="2"/>
  <c r="F832" i="2" s="1"/>
  <c r="H832" i="2" l="1"/>
  <c r="L832" i="2"/>
  <c r="B832" i="2"/>
  <c r="M832" i="2"/>
  <c r="C832" i="2"/>
  <c r="N832" i="2"/>
  <c r="O832" i="2" s="1"/>
  <c r="D832" i="2"/>
  <c r="R832" i="2" l="1"/>
  <c r="Q832" i="2"/>
  <c r="P832" i="2"/>
  <c r="J832" i="2"/>
  <c r="K832" i="2"/>
  <c r="I832" i="2"/>
  <c r="S832" i="2"/>
  <c r="V832" i="2" l="1"/>
  <c r="U832" i="2"/>
  <c r="X832" i="2" s="1"/>
  <c r="F833" i="2" s="1"/>
  <c r="T832" i="2"/>
  <c r="Y832" i="2"/>
  <c r="G833" i="2" s="1"/>
  <c r="W832" i="2"/>
  <c r="E833" i="2" s="1"/>
  <c r="C833" i="2" l="1"/>
  <c r="D833" i="2"/>
  <c r="H833" i="2"/>
  <c r="B833" i="2"/>
  <c r="J833" i="2" l="1"/>
  <c r="K833" i="2"/>
  <c r="I833" i="2"/>
  <c r="S833" i="2"/>
  <c r="N833" i="2"/>
  <c r="O833" i="2" s="1"/>
  <c r="L833" i="2"/>
  <c r="M833" i="2"/>
  <c r="R833" i="2" l="1"/>
  <c r="V833" i="2" s="1"/>
  <c r="Y833" i="2" s="1"/>
  <c r="G834" i="2" s="1"/>
  <c r="Q833" i="2"/>
  <c r="U833" i="2" s="1"/>
  <c r="X833" i="2" s="1"/>
  <c r="F834" i="2" s="1"/>
  <c r="P833" i="2"/>
  <c r="T833" i="2" s="1"/>
  <c r="W833" i="2" s="1"/>
  <c r="E834" i="2" s="1"/>
  <c r="C834" i="2" l="1"/>
  <c r="H834" i="2"/>
  <c r="N834" i="2" s="1"/>
  <c r="O834" i="2" s="1"/>
  <c r="B834" i="2"/>
  <c r="D834" i="2"/>
  <c r="R834" i="2" l="1"/>
  <c r="K834" i="2"/>
  <c r="I834" i="2"/>
  <c r="S834" i="2"/>
  <c r="J834" i="2"/>
  <c r="L834" i="2"/>
  <c r="P834" i="2" s="1"/>
  <c r="M834" i="2"/>
  <c r="Q834" i="2" s="1"/>
  <c r="V834" i="2" l="1"/>
  <c r="Y834" i="2" s="1"/>
  <c r="G835" i="2" s="1"/>
  <c r="U834" i="2"/>
  <c r="X834" i="2" s="1"/>
  <c r="F835" i="2" s="1"/>
  <c r="T834" i="2"/>
  <c r="W834" i="2" s="1"/>
  <c r="E835" i="2" s="1"/>
  <c r="C835" i="2" l="1"/>
  <c r="D835" i="2"/>
  <c r="H835" i="2"/>
  <c r="L835" i="2" s="1"/>
  <c r="B835" i="2"/>
  <c r="J835" i="2" l="1"/>
  <c r="I835" i="2"/>
  <c r="K835" i="2"/>
  <c r="S835" i="2"/>
  <c r="N835" i="2"/>
  <c r="O835" i="2" s="1"/>
  <c r="M835" i="2"/>
  <c r="R835" i="2" l="1"/>
  <c r="V835" i="2" s="1"/>
  <c r="Y835" i="2" s="1"/>
  <c r="G836" i="2" s="1"/>
  <c r="Q835" i="2"/>
  <c r="U835" i="2" s="1"/>
  <c r="X835" i="2" s="1"/>
  <c r="F836" i="2" s="1"/>
  <c r="P835" i="2"/>
  <c r="T835" i="2" s="1"/>
  <c r="W835" i="2" s="1"/>
  <c r="E836" i="2" s="1"/>
  <c r="C836" i="2" l="1"/>
  <c r="H836" i="2"/>
  <c r="L836" i="2" s="1"/>
  <c r="B836" i="2"/>
  <c r="D836" i="2"/>
  <c r="N836" i="2" l="1"/>
  <c r="O836" i="2" s="1"/>
  <c r="R836" i="2"/>
  <c r="P836" i="2"/>
  <c r="J836" i="2"/>
  <c r="K836" i="2"/>
  <c r="I836" i="2"/>
  <c r="S836" i="2"/>
  <c r="M836" i="2"/>
  <c r="Q836" i="2" s="1"/>
  <c r="V836" i="2" l="1"/>
  <c r="U836" i="2"/>
  <c r="X836" i="2" s="1"/>
  <c r="F837" i="2" s="1"/>
  <c r="T836" i="2"/>
  <c r="W836" i="2" s="1"/>
  <c r="E837" i="2" s="1"/>
  <c r="Y836" i="2"/>
  <c r="G837" i="2" s="1"/>
  <c r="H837" i="2" l="1"/>
  <c r="B837" i="2"/>
  <c r="M837" i="2"/>
  <c r="C837" i="2"/>
  <c r="N837" i="2"/>
  <c r="O837" i="2" s="1"/>
  <c r="D837" i="2"/>
  <c r="R837" i="2" l="1"/>
  <c r="Q837" i="2"/>
  <c r="K837" i="2"/>
  <c r="I837" i="2"/>
  <c r="J837" i="2"/>
  <c r="S837" i="2"/>
  <c r="L837" i="2"/>
  <c r="P837" i="2" s="1"/>
  <c r="V837" i="2" l="1"/>
  <c r="Y837" i="2" s="1"/>
  <c r="G838" i="2" s="1"/>
  <c r="U837" i="2"/>
  <c r="X837" i="2" s="1"/>
  <c r="F838" i="2" s="1"/>
  <c r="T837" i="2"/>
  <c r="W837" i="2" s="1"/>
  <c r="E838" i="2" s="1"/>
  <c r="C838" i="2" l="1"/>
  <c r="H838" i="2"/>
  <c r="N838" i="2" s="1"/>
  <c r="O838" i="2" s="1"/>
  <c r="B838" i="2"/>
  <c r="D838" i="2"/>
  <c r="I838" i="2" l="1"/>
  <c r="K838" i="2"/>
  <c r="J838" i="2"/>
  <c r="S838" i="2"/>
  <c r="R838" i="2"/>
  <c r="L838" i="2"/>
  <c r="P838" i="2" s="1"/>
  <c r="M838" i="2"/>
  <c r="Q838" i="2" s="1"/>
  <c r="V838" i="2" l="1"/>
  <c r="U838" i="2"/>
  <c r="T838" i="2"/>
  <c r="W838" i="2"/>
  <c r="E839" i="2" s="1"/>
  <c r="X838" i="2"/>
  <c r="F839" i="2" s="1"/>
  <c r="Y838" i="2"/>
  <c r="G839" i="2" s="1"/>
  <c r="C839" i="2" l="1"/>
  <c r="D839" i="2"/>
  <c r="H839" i="2"/>
  <c r="N839" i="2" s="1"/>
  <c r="O839" i="2" s="1"/>
  <c r="B839" i="2"/>
  <c r="R839" i="2" l="1"/>
  <c r="L839" i="2"/>
  <c r="P839" i="2" s="1"/>
  <c r="K839" i="2"/>
  <c r="I839" i="2"/>
  <c r="J839" i="2"/>
  <c r="S839" i="2"/>
  <c r="M839" i="2"/>
  <c r="Q839" i="2" s="1"/>
  <c r="V839" i="2" l="1"/>
  <c r="Y839" i="2" s="1"/>
  <c r="G840" i="2" s="1"/>
  <c r="U839" i="2"/>
  <c r="X839" i="2" s="1"/>
  <c r="F840" i="2" s="1"/>
  <c r="T839" i="2"/>
  <c r="W839" i="2"/>
  <c r="E840" i="2" s="1"/>
  <c r="C840" i="2" l="1"/>
  <c r="H840" i="2"/>
  <c r="N840" i="2" s="1"/>
  <c r="O840" i="2" s="1"/>
  <c r="B840" i="2"/>
  <c r="D840" i="2"/>
  <c r="R840" i="2" l="1"/>
  <c r="I840" i="2"/>
  <c r="K840" i="2"/>
  <c r="S840" i="2"/>
  <c r="J840" i="2"/>
  <c r="L840" i="2"/>
  <c r="P840" i="2" s="1"/>
  <c r="M840" i="2"/>
  <c r="Q840" i="2" s="1"/>
  <c r="V840" i="2" l="1"/>
  <c r="U840" i="2"/>
  <c r="X840" i="2" s="1"/>
  <c r="F841" i="2" s="1"/>
  <c r="T840" i="2"/>
  <c r="W840" i="2" s="1"/>
  <c r="E841" i="2" s="1"/>
  <c r="Y840" i="2"/>
  <c r="G841" i="2" s="1"/>
  <c r="C841" i="2" l="1"/>
  <c r="D841" i="2"/>
  <c r="H841" i="2"/>
  <c r="B841" i="2"/>
  <c r="I841" i="2" l="1"/>
  <c r="J841" i="2"/>
  <c r="S841" i="2"/>
  <c r="K841" i="2"/>
  <c r="L841" i="2"/>
  <c r="N841" i="2"/>
  <c r="O841" i="2" s="1"/>
  <c r="M841" i="2"/>
  <c r="R841" i="2" l="1"/>
  <c r="V841" i="2" s="1"/>
  <c r="Y841" i="2" s="1"/>
  <c r="G842" i="2" s="1"/>
  <c r="Q841" i="2"/>
  <c r="U841" i="2" s="1"/>
  <c r="X841" i="2" s="1"/>
  <c r="F842" i="2" s="1"/>
  <c r="P841" i="2"/>
  <c r="T841" i="2" s="1"/>
  <c r="W841" i="2" s="1"/>
  <c r="E842" i="2" s="1"/>
  <c r="C842" i="2" l="1"/>
  <c r="H842" i="2"/>
  <c r="N842" i="2" s="1"/>
  <c r="O842" i="2" s="1"/>
  <c r="B842" i="2"/>
  <c r="D842" i="2"/>
  <c r="R842" i="2" l="1"/>
  <c r="K842" i="2"/>
  <c r="J842" i="2"/>
  <c r="I842" i="2"/>
  <c r="S842" i="2"/>
  <c r="L842" i="2"/>
  <c r="P842" i="2" s="1"/>
  <c r="M842" i="2"/>
  <c r="Q842" i="2" s="1"/>
  <c r="V842" i="2" l="1"/>
  <c r="Y842" i="2" s="1"/>
  <c r="G843" i="2" s="1"/>
  <c r="U842" i="2"/>
  <c r="T842" i="2"/>
  <c r="W842" i="2"/>
  <c r="E843" i="2" s="1"/>
  <c r="X842" i="2"/>
  <c r="F843" i="2" s="1"/>
  <c r="H843" i="2" l="1"/>
  <c r="B843" i="2"/>
  <c r="M843" i="2"/>
  <c r="C843" i="2"/>
  <c r="N843" i="2"/>
  <c r="O843" i="2" s="1"/>
  <c r="D843" i="2"/>
  <c r="R843" i="2" l="1"/>
  <c r="Q843" i="2"/>
  <c r="I843" i="2"/>
  <c r="J843" i="2"/>
  <c r="K843" i="2"/>
  <c r="S843" i="2"/>
  <c r="L843" i="2"/>
  <c r="P843" i="2" s="1"/>
  <c r="V843" i="2" l="1"/>
  <c r="Y843" i="2" s="1"/>
  <c r="G844" i="2" s="1"/>
  <c r="U843" i="2"/>
  <c r="X843" i="2" s="1"/>
  <c r="F844" i="2" s="1"/>
  <c r="T843" i="2"/>
  <c r="W843" i="2" s="1"/>
  <c r="E844" i="2" s="1"/>
  <c r="C844" i="2" l="1"/>
  <c r="D844" i="2"/>
  <c r="H844" i="2"/>
  <c r="N844" i="2" s="1"/>
  <c r="O844" i="2" s="1"/>
  <c r="L844" i="2"/>
  <c r="B844" i="2"/>
  <c r="R844" i="2" l="1"/>
  <c r="P844" i="2"/>
  <c r="J844" i="2"/>
  <c r="I844" i="2"/>
  <c r="K844" i="2"/>
  <c r="S844" i="2"/>
  <c r="M844" i="2"/>
  <c r="Q844" i="2" s="1"/>
  <c r="V844" i="2" l="1"/>
  <c r="Y844" i="2" s="1"/>
  <c r="G845" i="2" s="1"/>
  <c r="U844" i="2"/>
  <c r="T844" i="2"/>
  <c r="W844" i="2" s="1"/>
  <c r="E845" i="2" s="1"/>
  <c r="X844" i="2"/>
  <c r="F845" i="2" s="1"/>
  <c r="H845" i="2" l="1"/>
  <c r="L845" i="2" s="1"/>
  <c r="B845" i="2"/>
  <c r="D845" i="2"/>
  <c r="C845" i="2"/>
  <c r="M845" i="2" l="1"/>
  <c r="N845" i="2"/>
  <c r="O845" i="2" s="1"/>
  <c r="R845" i="2"/>
  <c r="Q845" i="2"/>
  <c r="P845" i="2"/>
  <c r="J845" i="2"/>
  <c r="I845" i="2"/>
  <c r="K845" i="2"/>
  <c r="S845" i="2"/>
  <c r="V845" i="2" l="1"/>
  <c r="Y845" i="2" s="1"/>
  <c r="G846" i="2" s="1"/>
  <c r="U845" i="2"/>
  <c r="T845" i="2"/>
  <c r="X845" i="2"/>
  <c r="F846" i="2" s="1"/>
  <c r="W845" i="2"/>
  <c r="E846" i="2" s="1"/>
  <c r="D846" i="2" l="1"/>
  <c r="H846" i="2"/>
  <c r="M846" i="2" s="1"/>
  <c r="B846" i="2"/>
  <c r="C846" i="2"/>
  <c r="K846" i="2" l="1"/>
  <c r="I846" i="2"/>
  <c r="J846" i="2"/>
  <c r="S846" i="2"/>
  <c r="L846" i="2"/>
  <c r="N846" i="2"/>
  <c r="O846" i="2" s="1"/>
  <c r="R846" i="2" l="1"/>
  <c r="V846" i="2" s="1"/>
  <c r="Y846" i="2" s="1"/>
  <c r="G847" i="2" s="1"/>
  <c r="Q846" i="2"/>
  <c r="U846" i="2" s="1"/>
  <c r="X846" i="2" s="1"/>
  <c r="F847" i="2" s="1"/>
  <c r="P846" i="2"/>
  <c r="T846" i="2" s="1"/>
  <c r="W846" i="2" s="1"/>
  <c r="E847" i="2" s="1"/>
  <c r="H847" i="2" l="1"/>
  <c r="B847" i="2"/>
  <c r="N847" i="2"/>
  <c r="O847" i="2" s="1"/>
  <c r="D847" i="2"/>
  <c r="M847" i="2"/>
  <c r="C847" i="2"/>
  <c r="Q847" i="2" l="1"/>
  <c r="R847" i="2"/>
  <c r="J847" i="2"/>
  <c r="I847" i="2"/>
  <c r="K847" i="2"/>
  <c r="S847" i="2"/>
  <c r="L847" i="2"/>
  <c r="P847" i="2" s="1"/>
  <c r="V847" i="2" l="1"/>
  <c r="Y847" i="2" s="1"/>
  <c r="G848" i="2" s="1"/>
  <c r="U847" i="2"/>
  <c r="T847" i="2"/>
  <c r="W847" i="2" s="1"/>
  <c r="E848" i="2" s="1"/>
  <c r="X847" i="2"/>
  <c r="F848" i="2" s="1"/>
  <c r="H848" i="2" l="1"/>
  <c r="B848" i="2"/>
  <c r="N848" i="2"/>
  <c r="O848" i="2" s="1"/>
  <c r="D848" i="2"/>
  <c r="M848" i="2"/>
  <c r="C848" i="2"/>
  <c r="R848" i="2" l="1"/>
  <c r="Q848" i="2"/>
  <c r="J848" i="2"/>
  <c r="I848" i="2"/>
  <c r="K848" i="2"/>
  <c r="S848" i="2"/>
  <c r="L848" i="2"/>
  <c r="P848" i="2" s="1"/>
  <c r="V848" i="2" l="1"/>
  <c r="U848" i="2"/>
  <c r="T848" i="2"/>
  <c r="W848" i="2" s="1"/>
  <c r="E849" i="2" s="1"/>
  <c r="Y848" i="2"/>
  <c r="G849" i="2" s="1"/>
  <c r="X848" i="2"/>
  <c r="F849" i="2" s="1"/>
  <c r="H849" i="2" l="1"/>
  <c r="B849" i="2"/>
  <c r="M849" i="2"/>
  <c r="C849" i="2"/>
  <c r="N849" i="2"/>
  <c r="O849" i="2" s="1"/>
  <c r="D849" i="2"/>
  <c r="R849" i="2" l="1"/>
  <c r="Q849" i="2"/>
  <c r="I849" i="2"/>
  <c r="K849" i="2"/>
  <c r="J849" i="2"/>
  <c r="S849" i="2"/>
  <c r="L849" i="2"/>
  <c r="P849" i="2" s="1"/>
  <c r="V849" i="2" l="1"/>
  <c r="Y849" i="2" s="1"/>
  <c r="G850" i="2" s="1"/>
  <c r="U849" i="2"/>
  <c r="T849" i="2"/>
  <c r="W849" i="2"/>
  <c r="E850" i="2" s="1"/>
  <c r="X849" i="2"/>
  <c r="F850" i="2" s="1"/>
  <c r="D850" i="2" l="1"/>
  <c r="C850" i="2"/>
  <c r="H850" i="2"/>
  <c r="B850" i="2"/>
  <c r="K850" i="2" l="1"/>
  <c r="J850" i="2"/>
  <c r="I850" i="2"/>
  <c r="S850" i="2"/>
  <c r="M850" i="2"/>
  <c r="N850" i="2"/>
  <c r="O850" i="2" s="1"/>
  <c r="L850" i="2"/>
  <c r="R850" i="2" l="1"/>
  <c r="V850" i="2" s="1"/>
  <c r="Y850" i="2" s="1"/>
  <c r="G851" i="2" s="1"/>
  <c r="Q850" i="2"/>
  <c r="P850" i="2"/>
  <c r="U850" i="2"/>
  <c r="X850" i="2" s="1"/>
  <c r="F851" i="2" s="1"/>
  <c r="T850" i="2"/>
  <c r="W850" i="2" s="1"/>
  <c r="E851" i="2" s="1"/>
  <c r="C851" i="2" l="1"/>
  <c r="H851" i="2"/>
  <c r="B851" i="2"/>
  <c r="N851" i="2"/>
  <c r="O851" i="2" s="1"/>
  <c r="D851" i="2"/>
  <c r="R851" i="2" l="1"/>
  <c r="K851" i="2"/>
  <c r="I851" i="2"/>
  <c r="S851" i="2"/>
  <c r="J851" i="2"/>
  <c r="L851" i="2"/>
  <c r="P851" i="2" s="1"/>
  <c r="M851" i="2"/>
  <c r="Q851" i="2" s="1"/>
  <c r="V851" i="2" l="1"/>
  <c r="U851" i="2"/>
  <c r="T851" i="2"/>
  <c r="W851" i="2" s="1"/>
  <c r="E852" i="2" s="1"/>
  <c r="X851" i="2"/>
  <c r="F852" i="2" s="1"/>
  <c r="Y851" i="2"/>
  <c r="G852" i="2" s="1"/>
  <c r="H852" i="2" l="1"/>
  <c r="N852" i="2" s="1"/>
  <c r="O852" i="2" s="1"/>
  <c r="B852" i="2"/>
  <c r="D852" i="2"/>
  <c r="M852" i="2"/>
  <c r="C852" i="2"/>
  <c r="R852" i="2" l="1"/>
  <c r="Q852" i="2"/>
  <c r="K852" i="2"/>
  <c r="I852" i="2"/>
  <c r="J852" i="2"/>
  <c r="S852" i="2"/>
  <c r="L852" i="2"/>
  <c r="P852" i="2" s="1"/>
  <c r="V852" i="2" l="1"/>
  <c r="U852" i="2"/>
  <c r="T852" i="2"/>
  <c r="W852" i="2" s="1"/>
  <c r="E853" i="2" s="1"/>
  <c r="X852" i="2"/>
  <c r="F853" i="2" s="1"/>
  <c r="Y852" i="2"/>
  <c r="G853" i="2" s="1"/>
  <c r="H853" i="2" l="1"/>
  <c r="B853" i="2"/>
  <c r="N853" i="2"/>
  <c r="O853" i="2" s="1"/>
  <c r="D853" i="2"/>
  <c r="M853" i="2"/>
  <c r="C853" i="2"/>
  <c r="R853" i="2" l="1"/>
  <c r="Q853" i="2"/>
  <c r="J853" i="2"/>
  <c r="I853" i="2"/>
  <c r="S853" i="2"/>
  <c r="K853" i="2"/>
  <c r="L853" i="2"/>
  <c r="P853" i="2" s="1"/>
  <c r="V853" i="2" l="1"/>
  <c r="Y853" i="2" s="1"/>
  <c r="G854" i="2" s="1"/>
  <c r="U853" i="2"/>
  <c r="T853" i="2"/>
  <c r="W853" i="2"/>
  <c r="E854" i="2" s="1"/>
  <c r="X853" i="2"/>
  <c r="F854" i="2" s="1"/>
  <c r="D854" i="2" l="1"/>
  <c r="C854" i="2"/>
  <c r="H854" i="2"/>
  <c r="B854" i="2"/>
  <c r="J854" i="2" l="1"/>
  <c r="K854" i="2"/>
  <c r="I854" i="2"/>
  <c r="S854" i="2"/>
  <c r="L854" i="2"/>
  <c r="M854" i="2"/>
  <c r="N854" i="2"/>
  <c r="O854" i="2" s="1"/>
  <c r="R854" i="2" l="1"/>
  <c r="Q854" i="2"/>
  <c r="U854" i="2" s="1"/>
  <c r="X854" i="2" s="1"/>
  <c r="F855" i="2" s="1"/>
  <c r="P854" i="2"/>
  <c r="T854" i="2" s="1"/>
  <c r="W854" i="2" s="1"/>
  <c r="E855" i="2" s="1"/>
  <c r="V854" i="2"/>
  <c r="Y854" i="2" s="1"/>
  <c r="G855" i="2" s="1"/>
  <c r="C855" i="2" l="1"/>
  <c r="H855" i="2"/>
  <c r="L855" i="2" s="1"/>
  <c r="B855" i="2"/>
  <c r="D855" i="2"/>
  <c r="N855" i="2" l="1"/>
  <c r="O855" i="2" s="1"/>
  <c r="P855" i="2" s="1"/>
  <c r="K855" i="2"/>
  <c r="J855" i="2"/>
  <c r="I855" i="2"/>
  <c r="S855" i="2"/>
  <c r="M855" i="2"/>
  <c r="Q855" i="2" l="1"/>
  <c r="R855" i="2"/>
  <c r="V855" i="2" s="1"/>
  <c r="Y855" i="2" s="1"/>
  <c r="G856" i="2" s="1"/>
  <c r="U855" i="2"/>
  <c r="T855" i="2"/>
  <c r="W855" i="2" s="1"/>
  <c r="E856" i="2" s="1"/>
  <c r="X855" i="2"/>
  <c r="F856" i="2" s="1"/>
  <c r="C856" i="2" l="1"/>
  <c r="D856" i="2"/>
  <c r="H856" i="2"/>
  <c r="N856" i="2" s="1"/>
  <c r="O856" i="2" s="1"/>
  <c r="B856" i="2"/>
  <c r="R856" i="2" l="1"/>
  <c r="J856" i="2"/>
  <c r="I856" i="2"/>
  <c r="K856" i="2"/>
  <c r="S856" i="2"/>
  <c r="L856" i="2"/>
  <c r="P856" i="2" s="1"/>
  <c r="M856" i="2"/>
  <c r="Q856" i="2" s="1"/>
  <c r="V856" i="2" l="1"/>
  <c r="U856" i="2"/>
  <c r="T856" i="2"/>
  <c r="X856" i="2"/>
  <c r="F857" i="2" s="1"/>
  <c r="Y856" i="2"/>
  <c r="G857" i="2" s="1"/>
  <c r="W856" i="2"/>
  <c r="E857" i="2" s="1"/>
  <c r="C857" i="2" l="1"/>
  <c r="H857" i="2"/>
  <c r="N857" i="2" s="1"/>
  <c r="O857" i="2" s="1"/>
  <c r="B857" i="2"/>
  <c r="D857" i="2"/>
  <c r="K857" i="2" l="1"/>
  <c r="J857" i="2"/>
  <c r="I857" i="2"/>
  <c r="S857" i="2"/>
  <c r="L857" i="2"/>
  <c r="P857" i="2" s="1"/>
  <c r="R857" i="2"/>
  <c r="M857" i="2"/>
  <c r="Q857" i="2" s="1"/>
  <c r="V857" i="2" l="1"/>
  <c r="Y857" i="2" s="1"/>
  <c r="G858" i="2" s="1"/>
  <c r="U857" i="2"/>
  <c r="T857" i="2"/>
  <c r="W857" i="2"/>
  <c r="E858" i="2" s="1"/>
  <c r="X857" i="2"/>
  <c r="F858" i="2" s="1"/>
  <c r="D858" i="2" l="1"/>
  <c r="C858" i="2"/>
  <c r="H858" i="2"/>
  <c r="B858" i="2"/>
  <c r="K858" i="2" l="1"/>
  <c r="I858" i="2"/>
  <c r="J858" i="2"/>
  <c r="S858" i="2"/>
  <c r="L858" i="2"/>
  <c r="M858" i="2"/>
  <c r="N858" i="2"/>
  <c r="O858" i="2" s="1"/>
  <c r="R858" i="2" l="1"/>
  <c r="Q858" i="2"/>
  <c r="P858" i="2"/>
  <c r="V858" i="2"/>
  <c r="U858" i="2"/>
  <c r="T858" i="2"/>
  <c r="W858" i="2" s="1"/>
  <c r="E859" i="2" s="1"/>
  <c r="X858" i="2"/>
  <c r="F859" i="2" s="1"/>
  <c r="Y858" i="2"/>
  <c r="G859" i="2" s="1"/>
  <c r="H859" i="2" l="1"/>
  <c r="B859" i="2"/>
  <c r="M859" i="2"/>
  <c r="C859" i="2"/>
  <c r="N859" i="2"/>
  <c r="O859" i="2" s="1"/>
  <c r="D859" i="2"/>
  <c r="R859" i="2" l="1"/>
  <c r="Q859" i="2"/>
  <c r="J859" i="2"/>
  <c r="I859" i="2"/>
  <c r="K859" i="2"/>
  <c r="S859" i="2"/>
  <c r="L859" i="2"/>
  <c r="P859" i="2" s="1"/>
  <c r="V859" i="2" l="1"/>
  <c r="Y859" i="2" s="1"/>
  <c r="G860" i="2" s="1"/>
  <c r="U859" i="2"/>
  <c r="X859" i="2" s="1"/>
  <c r="F860" i="2" s="1"/>
  <c r="T859" i="2"/>
  <c r="W859" i="2" s="1"/>
  <c r="E860" i="2" s="1"/>
  <c r="D860" i="2" l="1"/>
  <c r="H860" i="2"/>
  <c r="L860" i="2" s="1"/>
  <c r="B860" i="2"/>
  <c r="M860" i="2"/>
  <c r="C860" i="2"/>
  <c r="J860" i="2" l="1"/>
  <c r="I860" i="2"/>
  <c r="K860" i="2"/>
  <c r="S860" i="2"/>
  <c r="N860" i="2"/>
  <c r="O860" i="2" s="1"/>
  <c r="R860" i="2" l="1"/>
  <c r="Q860" i="2"/>
  <c r="P860" i="2"/>
  <c r="V860" i="2"/>
  <c r="T860" i="2"/>
  <c r="W860" i="2" s="1"/>
  <c r="E861" i="2" s="1"/>
  <c r="U860" i="2"/>
  <c r="Y860" i="2"/>
  <c r="G861" i="2" s="1"/>
  <c r="X860" i="2"/>
  <c r="F861" i="2" s="1"/>
  <c r="H861" i="2" l="1"/>
  <c r="B861" i="2"/>
  <c r="N861" i="2"/>
  <c r="O861" i="2" s="1"/>
  <c r="D861" i="2"/>
  <c r="M861" i="2"/>
  <c r="C861" i="2"/>
  <c r="K861" i="2" l="1"/>
  <c r="J861" i="2"/>
  <c r="S861" i="2"/>
  <c r="I861" i="2"/>
  <c r="R861" i="2"/>
  <c r="Q861" i="2"/>
  <c r="L861" i="2"/>
  <c r="P861" i="2" s="1"/>
  <c r="V861" i="2" l="1"/>
  <c r="Y861" i="2" s="1"/>
  <c r="G862" i="2" s="1"/>
  <c r="U861" i="2"/>
  <c r="T861" i="2"/>
  <c r="W861" i="2" s="1"/>
  <c r="E862" i="2" s="1"/>
  <c r="X861" i="2"/>
  <c r="F862" i="2" s="1"/>
  <c r="H862" i="2" l="1"/>
  <c r="B862" i="2"/>
  <c r="N862" i="2"/>
  <c r="O862" i="2" s="1"/>
  <c r="D862" i="2"/>
  <c r="M862" i="2"/>
  <c r="C862" i="2"/>
  <c r="R862" i="2" l="1"/>
  <c r="Q862" i="2"/>
  <c r="K862" i="2"/>
  <c r="I862" i="2"/>
  <c r="J862" i="2"/>
  <c r="S862" i="2"/>
  <c r="L862" i="2"/>
  <c r="P862" i="2" s="1"/>
  <c r="V862" i="2" l="1"/>
  <c r="U862" i="2"/>
  <c r="T862" i="2"/>
  <c r="W862" i="2"/>
  <c r="E863" i="2" s="1"/>
  <c r="X862" i="2"/>
  <c r="F863" i="2" s="1"/>
  <c r="Y862" i="2"/>
  <c r="G863" i="2" s="1"/>
  <c r="C863" i="2" l="1"/>
  <c r="D863" i="2"/>
  <c r="H863" i="2"/>
  <c r="N863" i="2" s="1"/>
  <c r="O863" i="2" s="1"/>
  <c r="B863" i="2"/>
  <c r="R863" i="2" l="1"/>
  <c r="I863" i="2"/>
  <c r="K863" i="2"/>
  <c r="J863" i="2"/>
  <c r="S863" i="2"/>
  <c r="L863" i="2"/>
  <c r="P863" i="2" s="1"/>
  <c r="M863" i="2"/>
  <c r="Q863" i="2" s="1"/>
  <c r="V863" i="2" l="1"/>
  <c r="U863" i="2"/>
  <c r="T863" i="2"/>
  <c r="X863" i="2"/>
  <c r="F864" i="2" s="1"/>
  <c r="W863" i="2"/>
  <c r="E864" i="2" s="1"/>
  <c r="Y863" i="2"/>
  <c r="G864" i="2" s="1"/>
  <c r="H864" i="2" l="1"/>
  <c r="B864" i="2"/>
  <c r="N864" i="2"/>
  <c r="O864" i="2" s="1"/>
  <c r="D864" i="2"/>
  <c r="M864" i="2"/>
  <c r="C864" i="2"/>
  <c r="R864" i="2" l="1"/>
  <c r="Q864" i="2"/>
  <c r="I864" i="2"/>
  <c r="K864" i="2"/>
  <c r="J864" i="2"/>
  <c r="S864" i="2"/>
  <c r="L864" i="2"/>
  <c r="P864" i="2" s="1"/>
  <c r="V864" i="2" l="1"/>
  <c r="Y864" i="2" s="1"/>
  <c r="G865" i="2" s="1"/>
  <c r="U864" i="2"/>
  <c r="T864" i="2"/>
  <c r="X864" i="2"/>
  <c r="F865" i="2" s="1"/>
  <c r="W864" i="2"/>
  <c r="E865" i="2" s="1"/>
  <c r="D865" i="2" l="1"/>
  <c r="H865" i="2"/>
  <c r="L865" i="2" s="1"/>
  <c r="B865" i="2"/>
  <c r="M865" i="2"/>
  <c r="C865" i="2"/>
  <c r="I865" i="2" l="1"/>
  <c r="J865" i="2"/>
  <c r="K865" i="2"/>
  <c r="S865" i="2"/>
  <c r="N865" i="2"/>
  <c r="O865" i="2" s="1"/>
  <c r="Q865" i="2" l="1"/>
  <c r="P865" i="2"/>
  <c r="R865" i="2"/>
  <c r="V865" i="2" s="1"/>
  <c r="Y865" i="2" s="1"/>
  <c r="G866" i="2" s="1"/>
  <c r="U865" i="2"/>
  <c r="X865" i="2" s="1"/>
  <c r="F866" i="2" s="1"/>
  <c r="T865" i="2"/>
  <c r="W865" i="2"/>
  <c r="E866" i="2" s="1"/>
  <c r="H866" i="2" l="1"/>
  <c r="B866" i="2"/>
  <c r="N866" i="2"/>
  <c r="O866" i="2" s="1"/>
  <c r="D866" i="2"/>
  <c r="M866" i="2"/>
  <c r="C866" i="2"/>
  <c r="Q866" i="2" l="1"/>
  <c r="R866" i="2"/>
  <c r="I866" i="2"/>
  <c r="J866" i="2"/>
  <c r="K866" i="2"/>
  <c r="S866" i="2"/>
  <c r="L866" i="2"/>
  <c r="P866" i="2" s="1"/>
  <c r="V866" i="2" l="1"/>
  <c r="Y866" i="2" s="1"/>
  <c r="G867" i="2" s="1"/>
  <c r="U866" i="2"/>
  <c r="X866" i="2" s="1"/>
  <c r="F867" i="2" s="1"/>
  <c r="T866" i="2"/>
  <c r="W866" i="2" s="1"/>
  <c r="E867" i="2" s="1"/>
  <c r="C867" i="2" l="1"/>
  <c r="H867" i="2"/>
  <c r="B867" i="2"/>
  <c r="N867" i="2"/>
  <c r="O867" i="2" s="1"/>
  <c r="D867" i="2"/>
  <c r="R867" i="2" l="1"/>
  <c r="J867" i="2"/>
  <c r="K867" i="2"/>
  <c r="I867" i="2"/>
  <c r="S867" i="2"/>
  <c r="L867" i="2"/>
  <c r="P867" i="2" s="1"/>
  <c r="M867" i="2"/>
  <c r="Q867" i="2" s="1"/>
  <c r="V867" i="2" l="1"/>
  <c r="U867" i="2"/>
  <c r="X867" i="2" s="1"/>
  <c r="F868" i="2" s="1"/>
  <c r="T867" i="2"/>
  <c r="W867" i="2" s="1"/>
  <c r="E868" i="2" s="1"/>
  <c r="Y867" i="2"/>
  <c r="G868" i="2" s="1"/>
  <c r="H868" i="2" l="1"/>
  <c r="B868" i="2"/>
  <c r="M868" i="2"/>
  <c r="C868" i="2"/>
  <c r="N868" i="2"/>
  <c r="O868" i="2" s="1"/>
  <c r="D868" i="2"/>
  <c r="Q868" i="2" l="1"/>
  <c r="R868" i="2"/>
  <c r="I868" i="2"/>
  <c r="J868" i="2"/>
  <c r="K868" i="2"/>
  <c r="S868" i="2"/>
  <c r="L868" i="2"/>
  <c r="P868" i="2" s="1"/>
  <c r="V868" i="2" l="1"/>
  <c r="Y868" i="2" s="1"/>
  <c r="G869" i="2" s="1"/>
  <c r="U868" i="2"/>
  <c r="X868" i="2" s="1"/>
  <c r="F869" i="2" s="1"/>
  <c r="T868" i="2"/>
  <c r="W868" i="2" s="1"/>
  <c r="E869" i="2" s="1"/>
  <c r="C869" i="2" l="1"/>
  <c r="H869" i="2"/>
  <c r="B869" i="2"/>
  <c r="N869" i="2"/>
  <c r="O869" i="2" s="1"/>
  <c r="D869" i="2"/>
  <c r="I869" i="2" l="1"/>
  <c r="J869" i="2"/>
  <c r="K869" i="2"/>
  <c r="S869" i="2"/>
  <c r="L869" i="2"/>
  <c r="P869" i="2" s="1"/>
  <c r="R869" i="2"/>
  <c r="M869" i="2"/>
  <c r="Q869" i="2" s="1"/>
  <c r="V869" i="2" l="1"/>
  <c r="U869" i="2"/>
  <c r="T869" i="2"/>
  <c r="W869" i="2"/>
  <c r="E870" i="2" s="1"/>
  <c r="Y869" i="2"/>
  <c r="G870" i="2" s="1"/>
  <c r="X869" i="2"/>
  <c r="F870" i="2" s="1"/>
  <c r="D870" i="2" l="1"/>
  <c r="C870" i="2"/>
  <c r="H870" i="2"/>
  <c r="B870" i="2"/>
  <c r="K870" i="2" l="1"/>
  <c r="I870" i="2"/>
  <c r="J870" i="2"/>
  <c r="S870" i="2"/>
  <c r="L870" i="2"/>
  <c r="M870" i="2"/>
  <c r="N870" i="2"/>
  <c r="O870" i="2" s="1"/>
  <c r="Q870" i="2" l="1"/>
  <c r="P870" i="2"/>
  <c r="R870" i="2"/>
  <c r="V870" i="2" s="1"/>
  <c r="Y870" i="2" s="1"/>
  <c r="G871" i="2" s="1"/>
  <c r="U870" i="2"/>
  <c r="T870" i="2"/>
  <c r="W870" i="2" s="1"/>
  <c r="E871" i="2" s="1"/>
  <c r="X870" i="2"/>
  <c r="F871" i="2" s="1"/>
  <c r="H871" i="2" l="1"/>
  <c r="B871" i="2"/>
  <c r="N871" i="2"/>
  <c r="O871" i="2" s="1"/>
  <c r="D871" i="2"/>
  <c r="M871" i="2"/>
  <c r="C871" i="2"/>
  <c r="Q871" i="2" l="1"/>
  <c r="R871" i="2"/>
  <c r="J871" i="2"/>
  <c r="K871" i="2"/>
  <c r="I871" i="2"/>
  <c r="S871" i="2"/>
  <c r="L871" i="2"/>
  <c r="P871" i="2" s="1"/>
  <c r="V871" i="2" l="1"/>
  <c r="U871" i="2"/>
  <c r="X871" i="2" s="1"/>
  <c r="F872" i="2" s="1"/>
  <c r="T871" i="2"/>
  <c r="W871" i="2" s="1"/>
  <c r="E872" i="2" s="1"/>
  <c r="Y871" i="2"/>
  <c r="G872" i="2" s="1"/>
  <c r="H872" i="2" l="1"/>
  <c r="B872" i="2"/>
  <c r="M872" i="2"/>
  <c r="C872" i="2"/>
  <c r="N872" i="2"/>
  <c r="O872" i="2" s="1"/>
  <c r="D872" i="2"/>
  <c r="Q872" i="2" l="1"/>
  <c r="R872" i="2"/>
  <c r="J872" i="2"/>
  <c r="I872" i="2"/>
  <c r="K872" i="2"/>
  <c r="S872" i="2"/>
  <c r="L872" i="2"/>
  <c r="P872" i="2" s="1"/>
  <c r="V872" i="2" l="1"/>
  <c r="Y872" i="2" s="1"/>
  <c r="G873" i="2" s="1"/>
  <c r="U872" i="2"/>
  <c r="T872" i="2"/>
  <c r="W872" i="2"/>
  <c r="E873" i="2" s="1"/>
  <c r="X872" i="2"/>
  <c r="F873" i="2" s="1"/>
  <c r="D873" i="2" l="1"/>
  <c r="C873" i="2"/>
  <c r="H873" i="2"/>
  <c r="B873" i="2"/>
  <c r="K873" i="2" l="1"/>
  <c r="J873" i="2"/>
  <c r="I873" i="2"/>
  <c r="S873" i="2"/>
  <c r="L873" i="2"/>
  <c r="M873" i="2"/>
  <c r="N873" i="2"/>
  <c r="O873" i="2" s="1"/>
  <c r="Q873" i="2" l="1"/>
  <c r="P873" i="2"/>
  <c r="R873" i="2"/>
  <c r="V873" i="2" s="1"/>
  <c r="Y873" i="2" s="1"/>
  <c r="G874" i="2" s="1"/>
  <c r="U873" i="2"/>
  <c r="X873" i="2" s="1"/>
  <c r="F874" i="2" s="1"/>
  <c r="T873" i="2"/>
  <c r="W873" i="2" s="1"/>
  <c r="E874" i="2" s="1"/>
  <c r="H874" i="2" l="1"/>
  <c r="B874" i="2"/>
  <c r="M874" i="2"/>
  <c r="C874" i="2"/>
  <c r="N874" i="2"/>
  <c r="O874" i="2" s="1"/>
  <c r="D874" i="2"/>
  <c r="Q874" i="2" l="1"/>
  <c r="R874" i="2"/>
  <c r="K874" i="2"/>
  <c r="I874" i="2"/>
  <c r="J874" i="2"/>
  <c r="S874" i="2"/>
  <c r="L874" i="2"/>
  <c r="P874" i="2" s="1"/>
  <c r="V874" i="2" l="1"/>
  <c r="U874" i="2"/>
  <c r="X874" i="2" s="1"/>
  <c r="F875" i="2" s="1"/>
  <c r="T874" i="2"/>
  <c r="W874" i="2" s="1"/>
  <c r="E875" i="2" s="1"/>
  <c r="Y874" i="2"/>
  <c r="G875" i="2" s="1"/>
  <c r="C875" i="2" l="1"/>
  <c r="D875" i="2"/>
  <c r="H875" i="2"/>
  <c r="B875" i="2"/>
  <c r="I875" i="2" l="1"/>
  <c r="K875" i="2"/>
  <c r="J875" i="2"/>
  <c r="S875" i="2"/>
  <c r="L875" i="2"/>
  <c r="N875" i="2"/>
  <c r="O875" i="2" s="1"/>
  <c r="M875" i="2"/>
  <c r="Q875" i="2" l="1"/>
  <c r="P875" i="2"/>
  <c r="R875" i="2"/>
  <c r="V875" i="2" s="1"/>
  <c r="Y875" i="2" s="1"/>
  <c r="G876" i="2" s="1"/>
  <c r="U875" i="2"/>
  <c r="X875" i="2" s="1"/>
  <c r="F876" i="2" s="1"/>
  <c r="T875" i="2"/>
  <c r="W875" i="2" s="1"/>
  <c r="E876" i="2" s="1"/>
  <c r="D876" i="2" l="1"/>
  <c r="H876" i="2"/>
  <c r="B876" i="2"/>
  <c r="M876" i="2"/>
  <c r="C876" i="2"/>
  <c r="I876" i="2" l="1"/>
  <c r="K876" i="2"/>
  <c r="J876" i="2"/>
  <c r="S876" i="2"/>
  <c r="L876" i="2"/>
  <c r="N876" i="2"/>
  <c r="O876" i="2" s="1"/>
  <c r="Q876" i="2" l="1"/>
  <c r="P876" i="2"/>
  <c r="R876" i="2"/>
  <c r="V876" i="2"/>
  <c r="U876" i="2"/>
  <c r="X876" i="2" s="1"/>
  <c r="F877" i="2" s="1"/>
  <c r="T876" i="2"/>
  <c r="Y876" i="2"/>
  <c r="G877" i="2" s="1"/>
  <c r="W876" i="2"/>
  <c r="E877" i="2" s="1"/>
  <c r="D877" i="2" l="1"/>
  <c r="H877" i="2"/>
  <c r="M877" i="2" s="1"/>
  <c r="B877" i="2"/>
  <c r="C877" i="2"/>
  <c r="I877" i="2" l="1"/>
  <c r="J877" i="2"/>
  <c r="K877" i="2"/>
  <c r="S877" i="2"/>
  <c r="L877" i="2"/>
  <c r="N877" i="2"/>
  <c r="O877" i="2" s="1"/>
  <c r="Q877" i="2" l="1"/>
  <c r="P877" i="2"/>
  <c r="R877" i="2"/>
  <c r="V877" i="2"/>
  <c r="Y877" i="2" s="1"/>
  <c r="G878" i="2" s="1"/>
  <c r="U877" i="2"/>
  <c r="X877" i="2" s="1"/>
  <c r="F878" i="2" s="1"/>
  <c r="T877" i="2"/>
  <c r="W877" i="2" s="1"/>
  <c r="E878" i="2" s="1"/>
  <c r="C878" i="2" l="1"/>
  <c r="D878" i="2"/>
  <c r="H878" i="2"/>
  <c r="B878" i="2"/>
  <c r="I878" i="2" l="1"/>
  <c r="J878" i="2"/>
  <c r="K878" i="2"/>
  <c r="S878" i="2"/>
  <c r="L878" i="2"/>
  <c r="N878" i="2"/>
  <c r="O878" i="2" s="1"/>
  <c r="M878" i="2"/>
  <c r="Q878" i="2" l="1"/>
  <c r="U878" i="2" s="1"/>
  <c r="X878" i="2" s="1"/>
  <c r="F879" i="2" s="1"/>
  <c r="P878" i="2"/>
  <c r="R878" i="2"/>
  <c r="V878" i="2"/>
  <c r="Y878" i="2" s="1"/>
  <c r="G879" i="2" s="1"/>
  <c r="T878" i="2"/>
  <c r="W878" i="2" s="1"/>
  <c r="E879" i="2" s="1"/>
  <c r="D879" i="2" l="1"/>
  <c r="C879" i="2"/>
  <c r="H879" i="2"/>
  <c r="M879" i="2" s="1"/>
  <c r="B879" i="2"/>
  <c r="J879" i="2" l="1"/>
  <c r="K879" i="2"/>
  <c r="S879" i="2"/>
  <c r="I879" i="2"/>
  <c r="L879" i="2"/>
  <c r="N879" i="2"/>
  <c r="O879" i="2" s="1"/>
  <c r="Q879" i="2" l="1"/>
  <c r="P879" i="2"/>
  <c r="R879" i="2"/>
  <c r="V879" i="2" s="1"/>
  <c r="Y879" i="2" s="1"/>
  <c r="G880" i="2" s="1"/>
  <c r="U879" i="2"/>
  <c r="T879" i="2"/>
  <c r="W879" i="2" s="1"/>
  <c r="E880" i="2" s="1"/>
  <c r="X879" i="2"/>
  <c r="F880" i="2" s="1"/>
  <c r="H880" i="2" l="1"/>
  <c r="M880" i="2" s="1"/>
  <c r="B880" i="2"/>
  <c r="D880" i="2"/>
  <c r="C880" i="2"/>
  <c r="I880" i="2" l="1"/>
  <c r="J880" i="2"/>
  <c r="K880" i="2"/>
  <c r="S880" i="2"/>
  <c r="N880" i="2"/>
  <c r="O880" i="2" s="1"/>
  <c r="L880" i="2"/>
  <c r="Q880" i="2" l="1"/>
  <c r="P880" i="2"/>
  <c r="T880" i="2" s="1"/>
  <c r="W880" i="2" s="1"/>
  <c r="E881" i="2" s="1"/>
  <c r="R880" i="2"/>
  <c r="V880" i="2" s="1"/>
  <c r="Y880" i="2" s="1"/>
  <c r="G881" i="2" s="1"/>
  <c r="U880" i="2"/>
  <c r="X880" i="2" s="1"/>
  <c r="F881" i="2" s="1"/>
  <c r="C881" i="2" l="1"/>
  <c r="H881" i="2"/>
  <c r="L881" i="2" s="1"/>
  <c r="B881" i="2"/>
  <c r="D881" i="2"/>
  <c r="N881" i="2" l="1"/>
  <c r="O881" i="2" s="1"/>
  <c r="P881" i="2"/>
  <c r="R881" i="2"/>
  <c r="I881" i="2"/>
  <c r="J881" i="2"/>
  <c r="K881" i="2"/>
  <c r="S881" i="2"/>
  <c r="M881" i="2"/>
  <c r="Q881" i="2" s="1"/>
  <c r="V881" i="2" l="1"/>
  <c r="U881" i="2"/>
  <c r="X881" i="2" s="1"/>
  <c r="F882" i="2" s="1"/>
  <c r="T881" i="2"/>
  <c r="Y881" i="2"/>
  <c r="G882" i="2" s="1"/>
  <c r="W881" i="2"/>
  <c r="E882" i="2" s="1"/>
  <c r="C882" i="2" l="1"/>
  <c r="H882" i="2"/>
  <c r="B882" i="2"/>
  <c r="D882" i="2"/>
  <c r="K882" i="2" l="1"/>
  <c r="I882" i="2"/>
  <c r="S882" i="2"/>
  <c r="J882" i="2"/>
  <c r="L882" i="2"/>
  <c r="N882" i="2"/>
  <c r="O882" i="2" s="1"/>
  <c r="M882" i="2"/>
  <c r="Q882" i="2" l="1"/>
  <c r="P882" i="2"/>
  <c r="R882" i="2"/>
  <c r="V882" i="2"/>
  <c r="U882" i="2"/>
  <c r="X882" i="2" s="1"/>
  <c r="F883" i="2" s="1"/>
  <c r="T882" i="2"/>
  <c r="W882" i="2" s="1"/>
  <c r="E883" i="2" s="1"/>
  <c r="Y882" i="2"/>
  <c r="G883" i="2" s="1"/>
  <c r="H883" i="2" l="1"/>
  <c r="B883" i="2"/>
  <c r="M883" i="2"/>
  <c r="C883" i="2"/>
  <c r="N883" i="2"/>
  <c r="O883" i="2" s="1"/>
  <c r="D883" i="2"/>
  <c r="Q883" i="2" l="1"/>
  <c r="R883" i="2"/>
  <c r="J883" i="2"/>
  <c r="K883" i="2"/>
  <c r="I883" i="2"/>
  <c r="S883" i="2"/>
  <c r="L883" i="2"/>
  <c r="P883" i="2" s="1"/>
  <c r="V883" i="2" l="1"/>
  <c r="U883" i="2"/>
  <c r="T883" i="2"/>
  <c r="W883" i="2" s="1"/>
  <c r="E884" i="2" s="1"/>
  <c r="Y883" i="2"/>
  <c r="G884" i="2" s="1"/>
  <c r="X883" i="2"/>
  <c r="F884" i="2" s="1"/>
  <c r="H884" i="2" l="1"/>
  <c r="B884" i="2"/>
  <c r="M884" i="2"/>
  <c r="C884" i="2"/>
  <c r="N884" i="2"/>
  <c r="O884" i="2" s="1"/>
  <c r="D884" i="2"/>
  <c r="J884" i="2" l="1"/>
  <c r="I884" i="2"/>
  <c r="K884" i="2"/>
  <c r="S884" i="2"/>
  <c r="Q884" i="2"/>
  <c r="R884" i="2"/>
  <c r="L884" i="2"/>
  <c r="P884" i="2" s="1"/>
  <c r="V884" i="2" l="1"/>
  <c r="U884" i="2"/>
  <c r="X884" i="2" s="1"/>
  <c r="F885" i="2" s="1"/>
  <c r="T884" i="2"/>
  <c r="Y884" i="2"/>
  <c r="G885" i="2" s="1"/>
  <c r="W884" i="2"/>
  <c r="E885" i="2" s="1"/>
  <c r="C885" i="2" l="1"/>
  <c r="H885" i="2"/>
  <c r="N885" i="2" s="1"/>
  <c r="O885" i="2" s="1"/>
  <c r="B885" i="2"/>
  <c r="D885" i="2"/>
  <c r="R885" i="2" l="1"/>
  <c r="K885" i="2"/>
  <c r="J885" i="2"/>
  <c r="S885" i="2"/>
  <c r="I885" i="2"/>
  <c r="L885" i="2"/>
  <c r="P885" i="2" s="1"/>
  <c r="M885" i="2"/>
  <c r="Q885" i="2" s="1"/>
  <c r="V885" i="2" l="1"/>
  <c r="Y885" i="2" s="1"/>
  <c r="G886" i="2" s="1"/>
  <c r="U885" i="2"/>
  <c r="T885" i="2"/>
  <c r="W885" i="2" s="1"/>
  <c r="E886" i="2" s="1"/>
  <c r="X885" i="2"/>
  <c r="F886" i="2" s="1"/>
  <c r="H886" i="2" l="1"/>
  <c r="B886" i="2"/>
  <c r="N886" i="2"/>
  <c r="O886" i="2" s="1"/>
  <c r="D886" i="2"/>
  <c r="M886" i="2"/>
  <c r="C886" i="2"/>
  <c r="Q886" i="2" l="1"/>
  <c r="R886" i="2"/>
  <c r="K886" i="2"/>
  <c r="I886" i="2"/>
  <c r="J886" i="2"/>
  <c r="S886" i="2"/>
  <c r="L886" i="2"/>
  <c r="P886" i="2" s="1"/>
  <c r="V886" i="2" l="1"/>
  <c r="U886" i="2"/>
  <c r="T886" i="2"/>
  <c r="W886" i="2"/>
  <c r="E887" i="2" s="1"/>
  <c r="X886" i="2"/>
  <c r="F887" i="2" s="1"/>
  <c r="Y886" i="2"/>
  <c r="G887" i="2" s="1"/>
  <c r="C887" i="2" l="1"/>
  <c r="D887" i="2"/>
  <c r="H887" i="2"/>
  <c r="N887" i="2" s="1"/>
  <c r="O887" i="2" s="1"/>
  <c r="B887" i="2"/>
  <c r="R887" i="2" l="1"/>
  <c r="I887" i="2"/>
  <c r="K887" i="2"/>
  <c r="J887" i="2"/>
  <c r="S887" i="2"/>
  <c r="L887" i="2"/>
  <c r="P887" i="2" s="1"/>
  <c r="M887" i="2"/>
  <c r="Q887" i="2" s="1"/>
  <c r="V887" i="2" l="1"/>
  <c r="U887" i="2"/>
  <c r="X887" i="2" s="1"/>
  <c r="F888" i="2" s="1"/>
  <c r="T887" i="2"/>
  <c r="W887" i="2" s="1"/>
  <c r="E888" i="2" s="1"/>
  <c r="Y887" i="2"/>
  <c r="G888" i="2" s="1"/>
  <c r="H888" i="2" l="1"/>
  <c r="M888" i="2" s="1"/>
  <c r="B888" i="2"/>
  <c r="C888" i="2"/>
  <c r="N888" i="2"/>
  <c r="O888" i="2" s="1"/>
  <c r="D888" i="2"/>
  <c r="Q888" i="2" l="1"/>
  <c r="R888" i="2"/>
  <c r="I888" i="2"/>
  <c r="K888" i="2"/>
  <c r="S888" i="2"/>
  <c r="J888" i="2"/>
  <c r="L888" i="2"/>
  <c r="P888" i="2" s="1"/>
  <c r="V888" i="2" l="1"/>
  <c r="Y888" i="2" s="1"/>
  <c r="G889" i="2" s="1"/>
  <c r="U888" i="2"/>
  <c r="X888" i="2" s="1"/>
  <c r="F889" i="2" s="1"/>
  <c r="T888" i="2"/>
  <c r="W888" i="2" s="1"/>
  <c r="E889" i="2" s="1"/>
  <c r="C889" i="2" l="1"/>
  <c r="D889" i="2"/>
  <c r="H889" i="2"/>
  <c r="B889" i="2"/>
  <c r="I889" i="2" l="1"/>
  <c r="J889" i="2"/>
  <c r="K889" i="2"/>
  <c r="S889" i="2"/>
  <c r="L889" i="2"/>
  <c r="N889" i="2"/>
  <c r="O889" i="2" s="1"/>
  <c r="M889" i="2"/>
  <c r="Q889" i="2" l="1"/>
  <c r="P889" i="2"/>
  <c r="T889" i="2" s="1"/>
  <c r="W889" i="2" s="1"/>
  <c r="E890" i="2" s="1"/>
  <c r="R889" i="2"/>
  <c r="V889" i="2" s="1"/>
  <c r="Y889" i="2" s="1"/>
  <c r="G890" i="2" s="1"/>
  <c r="U889" i="2"/>
  <c r="X889" i="2" s="1"/>
  <c r="F890" i="2" s="1"/>
  <c r="C890" i="2" l="1"/>
  <c r="H890" i="2"/>
  <c r="L890" i="2" s="1"/>
  <c r="B890" i="2"/>
  <c r="N890" i="2"/>
  <c r="O890" i="2" s="1"/>
  <c r="D890" i="2"/>
  <c r="P890" i="2" l="1"/>
  <c r="R890" i="2"/>
  <c r="I890" i="2"/>
  <c r="J890" i="2"/>
  <c r="K890" i="2"/>
  <c r="S890" i="2"/>
  <c r="M890" i="2"/>
  <c r="Q890" i="2" s="1"/>
  <c r="V890" i="2" l="1"/>
  <c r="U890" i="2"/>
  <c r="T890" i="2"/>
  <c r="X890" i="2"/>
  <c r="F891" i="2" s="1"/>
  <c r="Y890" i="2"/>
  <c r="G891" i="2" s="1"/>
  <c r="W890" i="2"/>
  <c r="E891" i="2" s="1"/>
  <c r="D891" i="2" l="1"/>
  <c r="H891" i="2"/>
  <c r="B891" i="2"/>
  <c r="M891" i="2"/>
  <c r="C891" i="2"/>
  <c r="J891" i="2" l="1"/>
  <c r="K891" i="2"/>
  <c r="I891" i="2"/>
  <c r="S891" i="2"/>
  <c r="L891" i="2"/>
  <c r="N891" i="2"/>
  <c r="O891" i="2" s="1"/>
  <c r="Q891" i="2" l="1"/>
  <c r="P891" i="2"/>
  <c r="R891" i="2"/>
  <c r="V891" i="2" s="1"/>
  <c r="Y891" i="2" s="1"/>
  <c r="G892" i="2" s="1"/>
  <c r="U891" i="2"/>
  <c r="T891" i="2"/>
  <c r="W891" i="2"/>
  <c r="E892" i="2" s="1"/>
  <c r="X891" i="2"/>
  <c r="F892" i="2" s="1"/>
  <c r="D892" i="2" l="1"/>
  <c r="H892" i="2"/>
  <c r="M892" i="2" s="1"/>
  <c r="B892" i="2"/>
  <c r="C892" i="2"/>
  <c r="I892" i="2" l="1"/>
  <c r="J892" i="2"/>
  <c r="K892" i="2"/>
  <c r="S892" i="2"/>
  <c r="L892" i="2"/>
  <c r="N892" i="2"/>
  <c r="O892" i="2" s="1"/>
  <c r="Q892" i="2" l="1"/>
  <c r="P892" i="2"/>
  <c r="R892" i="2"/>
  <c r="V892" i="2" s="1"/>
  <c r="Y892" i="2" s="1"/>
  <c r="G893" i="2" s="1"/>
  <c r="U892" i="2"/>
  <c r="X892" i="2" s="1"/>
  <c r="F893" i="2" s="1"/>
  <c r="T892" i="2"/>
  <c r="W892" i="2" s="1"/>
  <c r="E893" i="2" s="1"/>
  <c r="C893" i="2" l="1"/>
  <c r="D893" i="2"/>
  <c r="H893" i="2"/>
  <c r="N893" i="2" s="1"/>
  <c r="O893" i="2" s="1"/>
  <c r="B893" i="2"/>
  <c r="R893" i="2" l="1"/>
  <c r="I893" i="2"/>
  <c r="J893" i="2"/>
  <c r="K893" i="2"/>
  <c r="S893" i="2"/>
  <c r="L893" i="2"/>
  <c r="P893" i="2" s="1"/>
  <c r="M893" i="2"/>
  <c r="Q893" i="2" s="1"/>
  <c r="V893" i="2" l="1"/>
  <c r="U893" i="2"/>
  <c r="X893" i="2" s="1"/>
  <c r="F894" i="2" s="1"/>
  <c r="T893" i="2"/>
  <c r="Y893" i="2"/>
  <c r="G894" i="2" s="1"/>
  <c r="W893" i="2"/>
  <c r="E894" i="2" s="1"/>
  <c r="C894" i="2" l="1"/>
  <c r="H894" i="2"/>
  <c r="N894" i="2" s="1"/>
  <c r="O894" i="2" s="1"/>
  <c r="B894" i="2"/>
  <c r="D894" i="2"/>
  <c r="K894" i="2" l="1"/>
  <c r="I894" i="2"/>
  <c r="S894" i="2"/>
  <c r="J894" i="2"/>
  <c r="L894" i="2"/>
  <c r="P894" i="2" s="1"/>
  <c r="R894" i="2"/>
  <c r="M894" i="2"/>
  <c r="Q894" i="2" s="1"/>
  <c r="V894" i="2" l="1"/>
  <c r="U894" i="2"/>
  <c r="X894" i="2" s="1"/>
  <c r="F895" i="2" s="1"/>
  <c r="T894" i="2"/>
  <c r="W894" i="2" s="1"/>
  <c r="E895" i="2" s="1"/>
  <c r="Y894" i="2"/>
  <c r="G895" i="2" s="1"/>
  <c r="H895" i="2" l="1"/>
  <c r="B895" i="2"/>
  <c r="M895" i="2"/>
  <c r="C895" i="2"/>
  <c r="N895" i="2"/>
  <c r="O895" i="2" s="1"/>
  <c r="D895" i="2"/>
  <c r="Q895" i="2" l="1"/>
  <c r="R895" i="2"/>
  <c r="J895" i="2"/>
  <c r="K895" i="2"/>
  <c r="I895" i="2"/>
  <c r="S895" i="2"/>
  <c r="L895" i="2"/>
  <c r="P895" i="2" s="1"/>
  <c r="V895" i="2" l="1"/>
  <c r="U895" i="2"/>
  <c r="X895" i="2" s="1"/>
  <c r="F896" i="2" s="1"/>
  <c r="T895" i="2"/>
  <c r="W895" i="2" s="1"/>
  <c r="E896" i="2" s="1"/>
  <c r="Y895" i="2"/>
  <c r="G896" i="2" s="1"/>
  <c r="C896" i="2" l="1"/>
  <c r="D896" i="2"/>
  <c r="H896" i="2"/>
  <c r="N896" i="2" s="1"/>
  <c r="O896" i="2" s="1"/>
  <c r="B896" i="2"/>
  <c r="R896" i="2" l="1"/>
  <c r="J896" i="2"/>
  <c r="S896" i="2"/>
  <c r="I896" i="2"/>
  <c r="K896" i="2"/>
  <c r="L896" i="2"/>
  <c r="P896" i="2" s="1"/>
  <c r="M896" i="2"/>
  <c r="Q896" i="2" s="1"/>
  <c r="V896" i="2" l="1"/>
  <c r="Y896" i="2" s="1"/>
  <c r="G897" i="2" s="1"/>
  <c r="U896" i="2"/>
  <c r="X896" i="2" s="1"/>
  <c r="F897" i="2" s="1"/>
  <c r="T896" i="2"/>
  <c r="W896" i="2" s="1"/>
  <c r="E897" i="2" s="1"/>
  <c r="H897" i="2" l="1"/>
  <c r="B897" i="2"/>
  <c r="M897" i="2"/>
  <c r="C897" i="2"/>
  <c r="N897" i="2"/>
  <c r="O897" i="2" s="1"/>
  <c r="D897" i="2"/>
  <c r="Q897" i="2" l="1"/>
  <c r="R897" i="2"/>
  <c r="K897" i="2"/>
  <c r="J897" i="2"/>
  <c r="S897" i="2"/>
  <c r="I897" i="2"/>
  <c r="L897" i="2"/>
  <c r="P897" i="2" s="1"/>
  <c r="V897" i="2" l="1"/>
  <c r="U897" i="2"/>
  <c r="X897" i="2" s="1"/>
  <c r="F898" i="2" s="1"/>
  <c r="T897" i="2"/>
  <c r="W897" i="2" s="1"/>
  <c r="E898" i="2" s="1"/>
  <c r="Y897" i="2"/>
  <c r="G898" i="2" s="1"/>
  <c r="H898" i="2" l="1"/>
  <c r="B898" i="2"/>
  <c r="M898" i="2"/>
  <c r="C898" i="2"/>
  <c r="N898" i="2"/>
  <c r="O898" i="2" s="1"/>
  <c r="D898" i="2"/>
  <c r="Q898" i="2" l="1"/>
  <c r="R898" i="2"/>
  <c r="K898" i="2"/>
  <c r="I898" i="2"/>
  <c r="J898" i="2"/>
  <c r="S898" i="2"/>
  <c r="L898" i="2"/>
  <c r="P898" i="2" s="1"/>
  <c r="V898" i="2" l="1"/>
  <c r="U898" i="2"/>
  <c r="T898" i="2"/>
  <c r="Y898" i="2"/>
  <c r="G899" i="2" s="1"/>
  <c r="X898" i="2"/>
  <c r="F899" i="2" s="1"/>
  <c r="W898" i="2"/>
  <c r="E899" i="2" s="1"/>
  <c r="D899" i="2" l="1"/>
  <c r="H899" i="2"/>
  <c r="M899" i="2" s="1"/>
  <c r="B899" i="2"/>
  <c r="C899" i="2"/>
  <c r="I899" i="2" l="1"/>
  <c r="K899" i="2"/>
  <c r="S899" i="2"/>
  <c r="J899" i="2"/>
  <c r="L899" i="2"/>
  <c r="N899" i="2"/>
  <c r="O899" i="2" s="1"/>
  <c r="Q899" i="2" l="1"/>
  <c r="P899" i="2"/>
  <c r="R899" i="2"/>
  <c r="V899" i="2" s="1"/>
  <c r="Y899" i="2" s="1"/>
  <c r="G900" i="2" s="1"/>
  <c r="U899" i="2"/>
  <c r="X899" i="2" s="1"/>
  <c r="F900" i="2" s="1"/>
  <c r="T899" i="2"/>
  <c r="W899" i="2"/>
  <c r="E900" i="2" s="1"/>
  <c r="C900" i="2" l="1"/>
  <c r="D900" i="2"/>
  <c r="H900" i="2"/>
  <c r="N900" i="2" s="1"/>
  <c r="O900" i="2" s="1"/>
  <c r="B900" i="2"/>
  <c r="R900" i="2" l="1"/>
  <c r="I900" i="2"/>
  <c r="K900" i="2"/>
  <c r="S900" i="2"/>
  <c r="J900" i="2"/>
  <c r="L900" i="2"/>
  <c r="P900" i="2" s="1"/>
  <c r="M900" i="2"/>
  <c r="Q900" i="2" s="1"/>
  <c r="V900" i="2" l="1"/>
  <c r="Y900" i="2" s="1"/>
  <c r="G901" i="2" s="1"/>
  <c r="U900" i="2"/>
  <c r="X900" i="2" s="1"/>
  <c r="F901" i="2" s="1"/>
  <c r="T900" i="2"/>
  <c r="W900" i="2" s="1"/>
  <c r="E901" i="2" s="1"/>
  <c r="C901" i="2" l="1"/>
  <c r="H901" i="2"/>
  <c r="L901" i="2" s="1"/>
  <c r="B901" i="2"/>
  <c r="N901" i="2"/>
  <c r="O901" i="2" s="1"/>
  <c r="D901" i="2"/>
  <c r="P901" i="2" l="1"/>
  <c r="R901" i="2"/>
  <c r="I901" i="2"/>
  <c r="J901" i="2"/>
  <c r="K901" i="2"/>
  <c r="S901" i="2"/>
  <c r="M901" i="2"/>
  <c r="Q901" i="2" s="1"/>
  <c r="V901" i="2" l="1"/>
  <c r="U901" i="2"/>
  <c r="T901" i="2"/>
  <c r="Y901" i="2"/>
  <c r="G902" i="2" s="1"/>
  <c r="X901" i="2"/>
  <c r="F902" i="2" s="1"/>
  <c r="W901" i="2"/>
  <c r="E902" i="2" s="1"/>
  <c r="C902" i="2" l="1"/>
  <c r="H902" i="2"/>
  <c r="L902" i="2" s="1"/>
  <c r="B902" i="2"/>
  <c r="D902" i="2"/>
  <c r="N902" i="2" l="1"/>
  <c r="O902" i="2" s="1"/>
  <c r="P902" i="2"/>
  <c r="R902" i="2"/>
  <c r="I902" i="2"/>
  <c r="J902" i="2"/>
  <c r="K902" i="2"/>
  <c r="S902" i="2"/>
  <c r="M902" i="2"/>
  <c r="Q902" i="2" s="1"/>
  <c r="V902" i="2" l="1"/>
  <c r="Y902" i="2" s="1"/>
  <c r="G903" i="2" s="1"/>
  <c r="U902" i="2"/>
  <c r="T902" i="2"/>
  <c r="X902" i="2"/>
  <c r="F903" i="2" s="1"/>
  <c r="W902" i="2"/>
  <c r="E903" i="2" s="1"/>
  <c r="D903" i="2" l="1"/>
  <c r="H903" i="2"/>
  <c r="M903" i="2" s="1"/>
  <c r="B903" i="2"/>
  <c r="C903" i="2"/>
  <c r="J903" i="2" l="1"/>
  <c r="K903" i="2"/>
  <c r="I903" i="2"/>
  <c r="S903" i="2"/>
  <c r="L903" i="2"/>
  <c r="N903" i="2"/>
  <c r="O903" i="2" s="1"/>
  <c r="Q903" i="2" l="1"/>
  <c r="P903" i="2"/>
  <c r="R903" i="2"/>
  <c r="V903" i="2" s="1"/>
  <c r="Y903" i="2" s="1"/>
  <c r="G904" i="2" s="1"/>
  <c r="U903" i="2"/>
  <c r="T903" i="2"/>
  <c r="W903" i="2"/>
  <c r="E904" i="2" s="1"/>
  <c r="X903" i="2"/>
  <c r="F904" i="2" s="1"/>
  <c r="D904" i="2" l="1"/>
  <c r="H904" i="2"/>
  <c r="M904" i="2" s="1"/>
  <c r="B904" i="2"/>
  <c r="C904" i="2"/>
  <c r="I904" i="2" l="1"/>
  <c r="J904" i="2"/>
  <c r="K904" i="2"/>
  <c r="S904" i="2"/>
  <c r="L904" i="2"/>
  <c r="N904" i="2"/>
  <c r="O904" i="2" s="1"/>
  <c r="Q904" i="2" l="1"/>
  <c r="P904" i="2"/>
  <c r="R904" i="2"/>
  <c r="V904" i="2" s="1"/>
  <c r="Y904" i="2" s="1"/>
  <c r="G905" i="2" s="1"/>
  <c r="U904" i="2"/>
  <c r="X904" i="2" s="1"/>
  <c r="F905" i="2" s="1"/>
  <c r="T904" i="2"/>
  <c r="W904" i="2"/>
  <c r="E905" i="2" s="1"/>
  <c r="C905" i="2" l="1"/>
  <c r="H905" i="2"/>
  <c r="N905" i="2" s="1"/>
  <c r="O905" i="2" s="1"/>
  <c r="B905" i="2"/>
  <c r="D905" i="2"/>
  <c r="R905" i="2" l="1"/>
  <c r="I905" i="2"/>
  <c r="J905" i="2"/>
  <c r="K905" i="2"/>
  <c r="S905" i="2"/>
  <c r="L905" i="2"/>
  <c r="P905" i="2" s="1"/>
  <c r="M905" i="2"/>
  <c r="Q905" i="2" s="1"/>
  <c r="V905" i="2" l="1"/>
  <c r="U905" i="2"/>
  <c r="T905" i="2"/>
  <c r="W905" i="2" s="1"/>
  <c r="E906" i="2" s="1"/>
  <c r="Y905" i="2"/>
  <c r="G906" i="2" s="1"/>
  <c r="X905" i="2"/>
  <c r="F906" i="2" s="1"/>
  <c r="H906" i="2" l="1"/>
  <c r="B906" i="2"/>
  <c r="M906" i="2"/>
  <c r="C906" i="2"/>
  <c r="N906" i="2"/>
  <c r="O906" i="2" s="1"/>
  <c r="D906" i="2"/>
  <c r="Q906" i="2" l="1"/>
  <c r="R906" i="2"/>
  <c r="K906" i="2"/>
  <c r="I906" i="2"/>
  <c r="J906" i="2"/>
  <c r="S906" i="2"/>
  <c r="L906" i="2"/>
  <c r="P906" i="2" s="1"/>
  <c r="V906" i="2" l="1"/>
  <c r="U906" i="2"/>
  <c r="X906" i="2" s="1"/>
  <c r="F907" i="2" s="1"/>
  <c r="T906" i="2"/>
  <c r="Y906" i="2"/>
  <c r="G907" i="2" s="1"/>
  <c r="W906" i="2"/>
  <c r="E907" i="2" s="1"/>
  <c r="C907" i="2" l="1"/>
  <c r="H907" i="2"/>
  <c r="N907" i="2" s="1"/>
  <c r="O907" i="2" s="1"/>
  <c r="B907" i="2"/>
  <c r="D907" i="2"/>
  <c r="R907" i="2" l="1"/>
  <c r="J907" i="2"/>
  <c r="K907" i="2"/>
  <c r="I907" i="2"/>
  <c r="S907" i="2"/>
  <c r="L907" i="2"/>
  <c r="P907" i="2" s="1"/>
  <c r="M907" i="2"/>
  <c r="Q907" i="2" s="1"/>
  <c r="V907" i="2" l="1"/>
  <c r="U907" i="2"/>
  <c r="X907" i="2" s="1"/>
  <c r="F908" i="2" s="1"/>
  <c r="T907" i="2"/>
  <c r="W907" i="2" s="1"/>
  <c r="E908" i="2" s="1"/>
  <c r="Y907" i="2"/>
  <c r="G908" i="2" s="1"/>
  <c r="C908" i="2" l="1"/>
  <c r="D908" i="2"/>
  <c r="H908" i="2"/>
  <c r="B908" i="2"/>
  <c r="J908" i="2" l="1"/>
  <c r="I908" i="2"/>
  <c r="K908" i="2"/>
  <c r="S908" i="2"/>
  <c r="L908" i="2"/>
  <c r="N908" i="2"/>
  <c r="O908" i="2" s="1"/>
  <c r="M908" i="2"/>
  <c r="Q908" i="2" l="1"/>
  <c r="P908" i="2"/>
  <c r="R908" i="2"/>
  <c r="V908" i="2" s="1"/>
  <c r="Y908" i="2" s="1"/>
  <c r="G909" i="2" s="1"/>
  <c r="U908" i="2"/>
  <c r="T908" i="2"/>
  <c r="W908" i="2" s="1"/>
  <c r="E909" i="2" s="1"/>
  <c r="X908" i="2"/>
  <c r="F909" i="2" s="1"/>
  <c r="H909" i="2" l="1"/>
  <c r="B909" i="2"/>
  <c r="N909" i="2"/>
  <c r="O909" i="2" s="1"/>
  <c r="D909" i="2"/>
  <c r="M909" i="2"/>
  <c r="C909" i="2"/>
  <c r="K909" i="2" l="1"/>
  <c r="J909" i="2"/>
  <c r="I909" i="2"/>
  <c r="S909" i="2"/>
  <c r="Q909" i="2"/>
  <c r="R909" i="2"/>
  <c r="L909" i="2"/>
  <c r="P909" i="2" s="1"/>
  <c r="V909" i="2" l="1"/>
  <c r="U909" i="2"/>
  <c r="X909" i="2" s="1"/>
  <c r="F910" i="2" s="1"/>
  <c r="T909" i="2"/>
  <c r="W909" i="2"/>
  <c r="E910" i="2" s="1"/>
  <c r="Y909" i="2"/>
  <c r="G910" i="2" s="1"/>
  <c r="C910" i="2" l="1"/>
  <c r="D910" i="2"/>
  <c r="H910" i="2"/>
  <c r="N910" i="2" s="1"/>
  <c r="O910" i="2" s="1"/>
  <c r="B910" i="2"/>
  <c r="R910" i="2" l="1"/>
  <c r="K910" i="2"/>
  <c r="I910" i="2"/>
  <c r="J910" i="2"/>
  <c r="S910" i="2"/>
  <c r="L910" i="2"/>
  <c r="P910" i="2" s="1"/>
  <c r="M910" i="2"/>
  <c r="Q910" i="2" s="1"/>
  <c r="V910" i="2" l="1"/>
  <c r="U910" i="2"/>
  <c r="T910" i="2"/>
  <c r="W910" i="2" s="1"/>
  <c r="E911" i="2" s="1"/>
  <c r="X910" i="2"/>
  <c r="F911" i="2" s="1"/>
  <c r="Y910" i="2"/>
  <c r="G911" i="2" s="1"/>
  <c r="C911" i="2" l="1"/>
  <c r="D911" i="2"/>
  <c r="H911" i="2"/>
  <c r="N911" i="2" s="1"/>
  <c r="O911" i="2" s="1"/>
  <c r="B911" i="2"/>
  <c r="R911" i="2" l="1"/>
  <c r="I911" i="2"/>
  <c r="K911" i="2"/>
  <c r="S911" i="2"/>
  <c r="J911" i="2"/>
  <c r="L911" i="2"/>
  <c r="P911" i="2" s="1"/>
  <c r="M911" i="2"/>
  <c r="Q911" i="2" s="1"/>
  <c r="V911" i="2" l="1"/>
  <c r="U911" i="2"/>
  <c r="X911" i="2" s="1"/>
  <c r="F912" i="2" s="1"/>
  <c r="T911" i="2"/>
  <c r="W911" i="2" s="1"/>
  <c r="E912" i="2" s="1"/>
  <c r="Y911" i="2"/>
  <c r="G912" i="2" s="1"/>
  <c r="H912" i="2" l="1"/>
  <c r="M912" i="2" s="1"/>
  <c r="B912" i="2"/>
  <c r="C912" i="2"/>
  <c r="N912" i="2"/>
  <c r="O912" i="2" s="1"/>
  <c r="D912" i="2"/>
  <c r="Q912" i="2" l="1"/>
  <c r="R912" i="2"/>
  <c r="I912" i="2"/>
  <c r="K912" i="2"/>
  <c r="S912" i="2"/>
  <c r="J912" i="2"/>
  <c r="L912" i="2"/>
  <c r="P912" i="2" s="1"/>
  <c r="V912" i="2" l="1"/>
  <c r="U912" i="2"/>
  <c r="T912" i="2"/>
  <c r="X912" i="2"/>
  <c r="F913" i="2" s="1"/>
  <c r="W912" i="2"/>
  <c r="E913" i="2" s="1"/>
  <c r="Y912" i="2"/>
  <c r="G913" i="2" s="1"/>
  <c r="H913" i="2" l="1"/>
  <c r="B913" i="2"/>
  <c r="N913" i="2"/>
  <c r="O913" i="2" s="1"/>
  <c r="D913" i="2"/>
  <c r="M913" i="2"/>
  <c r="C913" i="2"/>
  <c r="I913" i="2" l="1"/>
  <c r="J913" i="2"/>
  <c r="K913" i="2"/>
  <c r="S913" i="2"/>
  <c r="Q913" i="2"/>
  <c r="R913" i="2"/>
  <c r="L913" i="2"/>
  <c r="P913" i="2" s="1"/>
  <c r="V913" i="2" l="1"/>
  <c r="U913" i="2"/>
  <c r="T913" i="2"/>
  <c r="W913" i="2"/>
  <c r="E914" i="2" s="1"/>
  <c r="Y913" i="2"/>
  <c r="G914" i="2" s="1"/>
  <c r="X913" i="2"/>
  <c r="F914" i="2" s="1"/>
  <c r="D914" i="2" l="1"/>
  <c r="C914" i="2"/>
  <c r="H914" i="2"/>
  <c r="B914" i="2"/>
  <c r="I914" i="2" l="1"/>
  <c r="J914" i="2"/>
  <c r="K914" i="2"/>
  <c r="S914" i="2"/>
  <c r="L914" i="2"/>
  <c r="M914" i="2"/>
  <c r="N914" i="2"/>
  <c r="O914" i="2" s="1"/>
  <c r="Q914" i="2" l="1"/>
  <c r="P914" i="2"/>
  <c r="R914" i="2"/>
  <c r="V914" i="2" s="1"/>
  <c r="Y914" i="2" s="1"/>
  <c r="G915" i="2" s="1"/>
  <c r="U914" i="2"/>
  <c r="X914" i="2" s="1"/>
  <c r="F915" i="2" s="1"/>
  <c r="T914" i="2"/>
  <c r="W914" i="2"/>
  <c r="E915" i="2" s="1"/>
  <c r="C915" i="2" l="1"/>
  <c r="D915" i="2"/>
  <c r="H915" i="2"/>
  <c r="B915" i="2"/>
  <c r="J915" i="2" l="1"/>
  <c r="K915" i="2"/>
  <c r="I915" i="2"/>
  <c r="S915" i="2"/>
  <c r="L915" i="2"/>
  <c r="N915" i="2"/>
  <c r="O915" i="2" s="1"/>
  <c r="M915" i="2"/>
  <c r="Q915" i="2" l="1"/>
  <c r="P915" i="2"/>
  <c r="R915" i="2"/>
  <c r="V915" i="2" s="1"/>
  <c r="Y915" i="2" s="1"/>
  <c r="G916" i="2" s="1"/>
  <c r="U915" i="2"/>
  <c r="T915" i="2"/>
  <c r="W915" i="2" s="1"/>
  <c r="E916" i="2" s="1"/>
  <c r="X915" i="2"/>
  <c r="F916" i="2" s="1"/>
  <c r="D916" i="2" l="1"/>
  <c r="C916" i="2"/>
  <c r="H916" i="2"/>
  <c r="M916" i="2" s="1"/>
  <c r="B916" i="2"/>
  <c r="I916" i="2" l="1"/>
  <c r="J916" i="2"/>
  <c r="K916" i="2"/>
  <c r="S916" i="2"/>
  <c r="L916" i="2"/>
  <c r="N916" i="2"/>
  <c r="O916" i="2" s="1"/>
  <c r="Q916" i="2" l="1"/>
  <c r="U916" i="2" s="1"/>
  <c r="X916" i="2" s="1"/>
  <c r="F917" i="2" s="1"/>
  <c r="P916" i="2"/>
  <c r="T916" i="2" s="1"/>
  <c r="W916" i="2" s="1"/>
  <c r="E917" i="2" s="1"/>
  <c r="R916" i="2"/>
  <c r="V916" i="2" s="1"/>
  <c r="Y916" i="2" s="1"/>
  <c r="G917" i="2" s="1"/>
  <c r="H917" i="2" l="1"/>
  <c r="B917" i="2"/>
  <c r="N917" i="2"/>
  <c r="O917" i="2" s="1"/>
  <c r="D917" i="2"/>
  <c r="M917" i="2"/>
  <c r="C917" i="2"/>
  <c r="Q917" i="2" l="1"/>
  <c r="R917" i="2"/>
  <c r="I917" i="2"/>
  <c r="J917" i="2"/>
  <c r="K917" i="2"/>
  <c r="S917" i="2"/>
  <c r="L917" i="2"/>
  <c r="P917" i="2" s="1"/>
  <c r="V917" i="2" l="1"/>
  <c r="U917" i="2"/>
  <c r="X917" i="2" s="1"/>
  <c r="F918" i="2" s="1"/>
  <c r="T917" i="2"/>
  <c r="Y917" i="2"/>
  <c r="G918" i="2" s="1"/>
  <c r="W917" i="2"/>
  <c r="E918" i="2" s="1"/>
  <c r="C918" i="2" l="1"/>
  <c r="H918" i="2"/>
  <c r="N918" i="2" s="1"/>
  <c r="O918" i="2" s="1"/>
  <c r="B918" i="2"/>
  <c r="D918" i="2"/>
  <c r="R918" i="2" l="1"/>
  <c r="K918" i="2"/>
  <c r="I918" i="2"/>
  <c r="J918" i="2"/>
  <c r="S918" i="2"/>
  <c r="L918" i="2"/>
  <c r="P918" i="2" s="1"/>
  <c r="M918" i="2"/>
  <c r="Q918" i="2" s="1"/>
  <c r="V918" i="2" l="1"/>
  <c r="U918" i="2"/>
  <c r="T918" i="2"/>
  <c r="Y918" i="2"/>
  <c r="G919" i="2" s="1"/>
  <c r="X918" i="2"/>
  <c r="F919" i="2" s="1"/>
  <c r="W918" i="2"/>
  <c r="E919" i="2" s="1"/>
  <c r="C919" i="2" l="1"/>
  <c r="H919" i="2"/>
  <c r="B919" i="2"/>
  <c r="N919" i="2"/>
  <c r="O919" i="2" s="1"/>
  <c r="D919" i="2"/>
  <c r="J919" i="2" l="1"/>
  <c r="K919" i="2"/>
  <c r="I919" i="2"/>
  <c r="S919" i="2"/>
  <c r="L919" i="2"/>
  <c r="P919" i="2" s="1"/>
  <c r="R919" i="2"/>
  <c r="M919" i="2"/>
  <c r="Q919" i="2" s="1"/>
  <c r="V919" i="2" l="1"/>
  <c r="U919" i="2"/>
  <c r="X919" i="2" s="1"/>
  <c r="F920" i="2" s="1"/>
  <c r="T919" i="2"/>
  <c r="W919" i="2" s="1"/>
  <c r="E920" i="2" s="1"/>
  <c r="Y919" i="2"/>
  <c r="G920" i="2" s="1"/>
  <c r="H920" i="2" l="1"/>
  <c r="M920" i="2" s="1"/>
  <c r="B920" i="2"/>
  <c r="C920" i="2"/>
  <c r="N920" i="2"/>
  <c r="O920" i="2" s="1"/>
  <c r="D920" i="2"/>
  <c r="Q920" i="2" l="1"/>
  <c r="R920" i="2"/>
  <c r="J920" i="2"/>
  <c r="I920" i="2"/>
  <c r="K920" i="2"/>
  <c r="S920" i="2"/>
  <c r="L920" i="2"/>
  <c r="P920" i="2" s="1"/>
  <c r="V920" i="2" l="1"/>
  <c r="Y920" i="2" s="1"/>
  <c r="G921" i="2" s="1"/>
  <c r="U920" i="2"/>
  <c r="X920" i="2" s="1"/>
  <c r="F921" i="2" s="1"/>
  <c r="T920" i="2"/>
  <c r="W920" i="2" s="1"/>
  <c r="E921" i="2" s="1"/>
  <c r="C921" i="2" l="1"/>
  <c r="H921" i="2"/>
  <c r="B921" i="2"/>
  <c r="N921" i="2"/>
  <c r="O921" i="2" s="1"/>
  <c r="D921" i="2"/>
  <c r="R921" i="2" l="1"/>
  <c r="K921" i="2"/>
  <c r="J921" i="2"/>
  <c r="I921" i="2"/>
  <c r="S921" i="2"/>
  <c r="L921" i="2"/>
  <c r="P921" i="2" s="1"/>
  <c r="M921" i="2"/>
  <c r="Q921" i="2" s="1"/>
  <c r="V921" i="2" l="1"/>
  <c r="U921" i="2"/>
  <c r="T921" i="2"/>
  <c r="X921" i="2"/>
  <c r="F922" i="2" s="1"/>
  <c r="W921" i="2"/>
  <c r="E922" i="2" s="1"/>
  <c r="Y921" i="2"/>
  <c r="G922" i="2" s="1"/>
  <c r="C922" i="2" l="1"/>
  <c r="D922" i="2"/>
  <c r="H922" i="2"/>
  <c r="B922" i="2"/>
  <c r="K922" i="2" l="1"/>
  <c r="I922" i="2"/>
  <c r="J922" i="2"/>
  <c r="S922" i="2"/>
  <c r="L922" i="2"/>
  <c r="N922" i="2"/>
  <c r="O922" i="2" s="1"/>
  <c r="M922" i="2"/>
  <c r="Q922" i="2" l="1"/>
  <c r="P922" i="2"/>
  <c r="R922" i="2"/>
  <c r="V922" i="2" s="1"/>
  <c r="Y922" i="2" s="1"/>
  <c r="G923" i="2" s="1"/>
  <c r="U922" i="2"/>
  <c r="T922" i="2"/>
  <c r="W922" i="2" s="1"/>
  <c r="E923" i="2" s="1"/>
  <c r="X922" i="2"/>
  <c r="F923" i="2" s="1"/>
  <c r="D923" i="2" l="1"/>
  <c r="C923" i="2"/>
  <c r="H923" i="2"/>
  <c r="B923" i="2"/>
  <c r="I923" i="2" l="1"/>
  <c r="K923" i="2"/>
  <c r="J923" i="2"/>
  <c r="S923" i="2"/>
  <c r="L923" i="2"/>
  <c r="M923" i="2"/>
  <c r="N923" i="2"/>
  <c r="O923" i="2" s="1"/>
  <c r="Q923" i="2" l="1"/>
  <c r="P923" i="2"/>
  <c r="T923" i="2" s="1"/>
  <c r="W923" i="2" s="1"/>
  <c r="E924" i="2" s="1"/>
  <c r="R923" i="2"/>
  <c r="V923" i="2" s="1"/>
  <c r="Y923" i="2" s="1"/>
  <c r="G924" i="2" s="1"/>
  <c r="U923" i="2"/>
  <c r="X923" i="2" s="1"/>
  <c r="F924" i="2" s="1"/>
  <c r="D924" i="2" l="1"/>
  <c r="H924" i="2"/>
  <c r="M924" i="2" s="1"/>
  <c r="B924" i="2"/>
  <c r="C924" i="2"/>
  <c r="I924" i="2" l="1"/>
  <c r="K924" i="2"/>
  <c r="J924" i="2"/>
  <c r="S924" i="2"/>
  <c r="L924" i="2"/>
  <c r="N924" i="2"/>
  <c r="O924" i="2" s="1"/>
  <c r="Q924" i="2" l="1"/>
  <c r="P924" i="2"/>
  <c r="R924" i="2"/>
  <c r="V924" i="2" s="1"/>
  <c r="Y924" i="2" s="1"/>
  <c r="G925" i="2" s="1"/>
  <c r="U924" i="2"/>
  <c r="X924" i="2" s="1"/>
  <c r="F925" i="2" s="1"/>
  <c r="T924" i="2"/>
  <c r="W924" i="2" s="1"/>
  <c r="E925" i="2" s="1"/>
  <c r="C925" i="2" l="1"/>
  <c r="D925" i="2"/>
  <c r="H925" i="2"/>
  <c r="N925" i="2" s="1"/>
  <c r="O925" i="2" s="1"/>
  <c r="B925" i="2"/>
  <c r="R925" i="2" l="1"/>
  <c r="L925" i="2"/>
  <c r="P925" i="2" s="1"/>
  <c r="I925" i="2"/>
  <c r="J925" i="2"/>
  <c r="K925" i="2"/>
  <c r="S925" i="2"/>
  <c r="M925" i="2"/>
  <c r="Q925" i="2" s="1"/>
  <c r="V925" i="2" l="1"/>
  <c r="Y925" i="2" s="1"/>
  <c r="G926" i="2" s="1"/>
  <c r="U925" i="2"/>
  <c r="T925" i="2"/>
  <c r="W925" i="2" s="1"/>
  <c r="E926" i="2" s="1"/>
  <c r="X925" i="2"/>
  <c r="F926" i="2" s="1"/>
  <c r="H926" i="2" l="1"/>
  <c r="N926" i="2" s="1"/>
  <c r="O926" i="2" s="1"/>
  <c r="B926" i="2"/>
  <c r="D926" i="2"/>
  <c r="C926" i="2"/>
  <c r="M926" i="2" l="1"/>
  <c r="Q926" i="2"/>
  <c r="R926" i="2"/>
  <c r="I926" i="2"/>
  <c r="J926" i="2"/>
  <c r="K926" i="2"/>
  <c r="S926" i="2"/>
  <c r="L926" i="2"/>
  <c r="P926" i="2" s="1"/>
  <c r="V926" i="2" l="1"/>
  <c r="U926" i="2"/>
  <c r="X926" i="2" s="1"/>
  <c r="F927" i="2" s="1"/>
  <c r="T926" i="2"/>
  <c r="W926" i="2" s="1"/>
  <c r="E927" i="2" s="1"/>
  <c r="Y926" i="2"/>
  <c r="G927" i="2" s="1"/>
  <c r="H927" i="2" l="1"/>
  <c r="B927" i="2"/>
  <c r="M927" i="2"/>
  <c r="C927" i="2"/>
  <c r="N927" i="2"/>
  <c r="O927" i="2" s="1"/>
  <c r="D927" i="2"/>
  <c r="Q927" i="2" l="1"/>
  <c r="R927" i="2"/>
  <c r="J927" i="2"/>
  <c r="K927" i="2"/>
  <c r="S927" i="2"/>
  <c r="I927" i="2"/>
  <c r="L927" i="2"/>
  <c r="P927" i="2" s="1"/>
  <c r="V927" i="2" l="1"/>
  <c r="Y927" i="2" s="1"/>
  <c r="G928" i="2" s="1"/>
  <c r="U927" i="2"/>
  <c r="T927" i="2"/>
  <c r="W927" i="2"/>
  <c r="E928" i="2" s="1"/>
  <c r="X927" i="2"/>
  <c r="F928" i="2" s="1"/>
  <c r="D928" i="2" l="1"/>
  <c r="C928" i="2"/>
  <c r="H928" i="2"/>
  <c r="B928" i="2"/>
  <c r="I928" i="2" l="1"/>
  <c r="J928" i="2"/>
  <c r="K928" i="2"/>
  <c r="S928" i="2"/>
  <c r="L928" i="2"/>
  <c r="M928" i="2"/>
  <c r="N928" i="2"/>
  <c r="O928" i="2" s="1"/>
  <c r="Q928" i="2" l="1"/>
  <c r="U928" i="2" s="1"/>
  <c r="X928" i="2" s="1"/>
  <c r="F929" i="2" s="1"/>
  <c r="P928" i="2"/>
  <c r="R928" i="2"/>
  <c r="V928" i="2"/>
  <c r="Y928" i="2" s="1"/>
  <c r="G929" i="2" s="1"/>
  <c r="T928" i="2"/>
  <c r="W928" i="2" s="1"/>
  <c r="E929" i="2" s="1"/>
  <c r="C929" i="2" l="1"/>
  <c r="D929" i="2"/>
  <c r="H929" i="2"/>
  <c r="L929" i="2" s="1"/>
  <c r="B929" i="2"/>
  <c r="I929" i="2" l="1"/>
  <c r="J929" i="2"/>
  <c r="K929" i="2"/>
  <c r="S929" i="2"/>
  <c r="N929" i="2"/>
  <c r="O929" i="2" s="1"/>
  <c r="M929" i="2"/>
  <c r="Q929" i="2" l="1"/>
  <c r="U929" i="2" s="1"/>
  <c r="X929" i="2" s="1"/>
  <c r="F930" i="2" s="1"/>
  <c r="P929" i="2"/>
  <c r="T929" i="2" s="1"/>
  <c r="W929" i="2" s="1"/>
  <c r="E930" i="2" s="1"/>
  <c r="R929" i="2"/>
  <c r="V929" i="2" s="1"/>
  <c r="Y929" i="2" s="1"/>
  <c r="G930" i="2" s="1"/>
  <c r="H930" i="2" l="1"/>
  <c r="B930" i="2"/>
  <c r="D930" i="2"/>
  <c r="M930" i="2"/>
  <c r="C930" i="2"/>
  <c r="K930" i="2" l="1"/>
  <c r="I930" i="2"/>
  <c r="S930" i="2"/>
  <c r="J930" i="2"/>
  <c r="N930" i="2"/>
  <c r="O930" i="2" s="1"/>
  <c r="L930" i="2"/>
  <c r="Q930" i="2" l="1"/>
  <c r="U930" i="2" s="1"/>
  <c r="X930" i="2" s="1"/>
  <c r="F931" i="2" s="1"/>
  <c r="P930" i="2"/>
  <c r="T930" i="2" s="1"/>
  <c r="W930" i="2" s="1"/>
  <c r="E931" i="2" s="1"/>
  <c r="R930" i="2"/>
  <c r="V930" i="2" s="1"/>
  <c r="Y930" i="2" s="1"/>
  <c r="G931" i="2" s="1"/>
  <c r="H931" i="2" l="1"/>
  <c r="M931" i="2" s="1"/>
  <c r="B931" i="2"/>
  <c r="C931" i="2"/>
  <c r="D931" i="2"/>
  <c r="N931" i="2" l="1"/>
  <c r="O931" i="2" s="1"/>
  <c r="Q931" i="2" s="1"/>
  <c r="R931" i="2"/>
  <c r="J931" i="2"/>
  <c r="K931" i="2"/>
  <c r="I931" i="2"/>
  <c r="S931" i="2"/>
  <c r="L931" i="2"/>
  <c r="P931" i="2" s="1"/>
  <c r="V931" i="2" l="1"/>
  <c r="U931" i="2"/>
  <c r="X931" i="2" s="1"/>
  <c r="F932" i="2" s="1"/>
  <c r="T931" i="2"/>
  <c r="W931" i="2" s="1"/>
  <c r="E932" i="2" s="1"/>
  <c r="Y931" i="2"/>
  <c r="G932" i="2" s="1"/>
  <c r="H932" i="2" l="1"/>
  <c r="B932" i="2"/>
  <c r="M932" i="2"/>
  <c r="C932" i="2"/>
  <c r="N932" i="2"/>
  <c r="O932" i="2" s="1"/>
  <c r="D932" i="2"/>
  <c r="Q932" i="2" l="1"/>
  <c r="R932" i="2"/>
  <c r="J932" i="2"/>
  <c r="S932" i="2"/>
  <c r="I932" i="2"/>
  <c r="K932" i="2"/>
  <c r="L932" i="2"/>
  <c r="P932" i="2" s="1"/>
  <c r="V932" i="2" l="1"/>
  <c r="Y932" i="2" s="1"/>
  <c r="G933" i="2" s="1"/>
  <c r="U932" i="2"/>
  <c r="T932" i="2"/>
  <c r="W932" i="2" s="1"/>
  <c r="E933" i="2" s="1"/>
  <c r="X932" i="2"/>
  <c r="F933" i="2" s="1"/>
  <c r="H933" i="2" l="1"/>
  <c r="B933" i="2"/>
  <c r="N933" i="2"/>
  <c r="O933" i="2" s="1"/>
  <c r="D933" i="2"/>
  <c r="M933" i="2"/>
  <c r="C933" i="2"/>
  <c r="Q933" i="2" l="1"/>
  <c r="R933" i="2"/>
  <c r="K933" i="2"/>
  <c r="J933" i="2"/>
  <c r="S933" i="2"/>
  <c r="I933" i="2"/>
  <c r="L933" i="2"/>
  <c r="P933" i="2" s="1"/>
  <c r="V933" i="2" l="1"/>
  <c r="U933" i="2"/>
  <c r="T933" i="2"/>
  <c r="Y933" i="2"/>
  <c r="G934" i="2" s="1"/>
  <c r="W933" i="2"/>
  <c r="E934" i="2" s="1"/>
  <c r="X933" i="2"/>
  <c r="F934" i="2" s="1"/>
  <c r="H934" i="2" l="1"/>
  <c r="B934" i="2"/>
  <c r="M934" i="2"/>
  <c r="C934" i="2"/>
  <c r="N934" i="2"/>
  <c r="O934" i="2" s="1"/>
  <c r="D934" i="2"/>
  <c r="Q934" i="2" l="1"/>
  <c r="R934" i="2"/>
  <c r="K934" i="2"/>
  <c r="I934" i="2"/>
  <c r="J934" i="2"/>
  <c r="S934" i="2"/>
  <c r="L934" i="2"/>
  <c r="P934" i="2" s="1"/>
  <c r="V934" i="2" l="1"/>
  <c r="U934" i="2"/>
  <c r="T934" i="2"/>
  <c r="W934" i="2" s="1"/>
  <c r="E935" i="2" s="1"/>
  <c r="X934" i="2"/>
  <c r="F935" i="2" s="1"/>
  <c r="Y934" i="2"/>
  <c r="G935" i="2" s="1"/>
  <c r="H935" i="2" l="1"/>
  <c r="M935" i="2" s="1"/>
  <c r="B935" i="2"/>
  <c r="C935" i="2"/>
  <c r="D935" i="2"/>
  <c r="N935" i="2" l="1"/>
  <c r="O935" i="2" s="1"/>
  <c r="Q935" i="2"/>
  <c r="R935" i="2"/>
  <c r="I935" i="2"/>
  <c r="K935" i="2"/>
  <c r="S935" i="2"/>
  <c r="J935" i="2"/>
  <c r="L935" i="2"/>
  <c r="P935" i="2" s="1"/>
  <c r="V935" i="2" l="1"/>
  <c r="U935" i="2"/>
  <c r="X935" i="2" s="1"/>
  <c r="F936" i="2" s="1"/>
  <c r="T935" i="2"/>
  <c r="W935" i="2" s="1"/>
  <c r="E936" i="2" s="1"/>
  <c r="Y935" i="2"/>
  <c r="G936" i="2" s="1"/>
  <c r="H936" i="2" l="1"/>
  <c r="B936" i="2"/>
  <c r="M936" i="2"/>
  <c r="C936" i="2"/>
  <c r="N936" i="2"/>
  <c r="O936" i="2" s="1"/>
  <c r="D936" i="2"/>
  <c r="Q936" i="2" l="1"/>
  <c r="R936" i="2"/>
  <c r="I936" i="2"/>
  <c r="K936" i="2"/>
  <c r="S936" i="2"/>
  <c r="J936" i="2"/>
  <c r="L936" i="2"/>
  <c r="P936" i="2" s="1"/>
  <c r="V936" i="2" l="1"/>
  <c r="U936" i="2"/>
  <c r="X936" i="2" s="1"/>
  <c r="F937" i="2" s="1"/>
  <c r="T936" i="2"/>
  <c r="W936" i="2" s="1"/>
  <c r="E937" i="2" s="1"/>
  <c r="Y936" i="2"/>
  <c r="G937" i="2" s="1"/>
  <c r="H937" i="2" l="1"/>
  <c r="N937" i="2" s="1"/>
  <c r="O937" i="2" s="1"/>
  <c r="B937" i="2"/>
  <c r="C937" i="2"/>
  <c r="D937" i="2"/>
  <c r="M937" i="2" l="1"/>
  <c r="Q937" i="2"/>
  <c r="R937" i="2"/>
  <c r="I937" i="2"/>
  <c r="J937" i="2"/>
  <c r="K937" i="2"/>
  <c r="S937" i="2"/>
  <c r="L937" i="2"/>
  <c r="P937" i="2" s="1"/>
  <c r="V937" i="2" l="1"/>
  <c r="U937" i="2"/>
  <c r="T937" i="2"/>
  <c r="X937" i="2"/>
  <c r="F938" i="2" s="1"/>
  <c r="Y937" i="2"/>
  <c r="G938" i="2" s="1"/>
  <c r="W937" i="2"/>
  <c r="E938" i="2" s="1"/>
  <c r="H938" i="2" l="1"/>
  <c r="B938" i="2"/>
  <c r="N938" i="2"/>
  <c r="O938" i="2" s="1"/>
  <c r="D938" i="2"/>
  <c r="M938" i="2"/>
  <c r="C938" i="2"/>
  <c r="I938" i="2" l="1"/>
  <c r="J938" i="2"/>
  <c r="K938" i="2"/>
  <c r="S938" i="2"/>
  <c r="Q938" i="2"/>
  <c r="R938" i="2"/>
  <c r="L938" i="2"/>
  <c r="P938" i="2" s="1"/>
  <c r="V938" i="2" l="1"/>
  <c r="U938" i="2"/>
  <c r="X938" i="2" s="1"/>
  <c r="F939" i="2" s="1"/>
  <c r="T938" i="2"/>
  <c r="Y938" i="2"/>
  <c r="G939" i="2" s="1"/>
  <c r="W938" i="2"/>
  <c r="E939" i="2" s="1"/>
  <c r="C939" i="2" l="1"/>
  <c r="H939" i="2"/>
  <c r="L939" i="2" s="1"/>
  <c r="B939" i="2"/>
  <c r="N939" i="2"/>
  <c r="O939" i="2" s="1"/>
  <c r="D939" i="2"/>
  <c r="P939" i="2" l="1"/>
  <c r="R939" i="2"/>
  <c r="J939" i="2"/>
  <c r="K939" i="2"/>
  <c r="I939" i="2"/>
  <c r="S939" i="2"/>
  <c r="M939" i="2"/>
  <c r="Q939" i="2" s="1"/>
  <c r="V939" i="2" l="1"/>
  <c r="U939" i="2"/>
  <c r="T939" i="2"/>
  <c r="W939" i="2"/>
  <c r="E940" i="2" s="1"/>
  <c r="Y939" i="2"/>
  <c r="G940" i="2" s="1"/>
  <c r="X939" i="2"/>
  <c r="F940" i="2" s="1"/>
  <c r="C940" i="2" l="1"/>
  <c r="D940" i="2"/>
  <c r="H940" i="2"/>
  <c r="B940" i="2"/>
  <c r="I940" i="2" l="1"/>
  <c r="J940" i="2"/>
  <c r="K940" i="2"/>
  <c r="S940" i="2"/>
  <c r="L940" i="2"/>
  <c r="N940" i="2"/>
  <c r="O940" i="2" s="1"/>
  <c r="M940" i="2"/>
  <c r="Q940" i="2" l="1"/>
  <c r="U940" i="2" s="1"/>
  <c r="X940" i="2" s="1"/>
  <c r="F941" i="2" s="1"/>
  <c r="P940" i="2"/>
  <c r="T940" i="2" s="1"/>
  <c r="W940" i="2" s="1"/>
  <c r="E941" i="2" s="1"/>
  <c r="R940" i="2"/>
  <c r="V940" i="2" s="1"/>
  <c r="Y940" i="2" s="1"/>
  <c r="G941" i="2" s="1"/>
  <c r="H941" i="2" l="1"/>
  <c r="B941" i="2"/>
  <c r="N941" i="2"/>
  <c r="O941" i="2" s="1"/>
  <c r="D941" i="2"/>
  <c r="M941" i="2"/>
  <c r="C941" i="2"/>
  <c r="Q941" i="2" l="1"/>
  <c r="R941" i="2"/>
  <c r="I941" i="2"/>
  <c r="J941" i="2"/>
  <c r="K941" i="2"/>
  <c r="S941" i="2"/>
  <c r="L941" i="2"/>
  <c r="P941" i="2" s="1"/>
  <c r="V941" i="2" l="1"/>
  <c r="U941" i="2"/>
  <c r="X941" i="2" s="1"/>
  <c r="F942" i="2" s="1"/>
  <c r="T941" i="2"/>
  <c r="W941" i="2" s="1"/>
  <c r="E942" i="2" s="1"/>
  <c r="Y941" i="2"/>
  <c r="G942" i="2" s="1"/>
  <c r="C942" i="2" l="1"/>
  <c r="H942" i="2"/>
  <c r="B942" i="2"/>
  <c r="N942" i="2"/>
  <c r="O942" i="2" s="1"/>
  <c r="D942" i="2"/>
  <c r="R942" i="2" l="1"/>
  <c r="K942" i="2"/>
  <c r="I942" i="2"/>
  <c r="S942" i="2"/>
  <c r="J942" i="2"/>
  <c r="L942" i="2"/>
  <c r="P942" i="2" s="1"/>
  <c r="M942" i="2"/>
  <c r="Q942" i="2" s="1"/>
  <c r="V942" i="2" l="1"/>
  <c r="U942" i="2"/>
  <c r="X942" i="2" s="1"/>
  <c r="F943" i="2" s="1"/>
  <c r="T942" i="2"/>
  <c r="W942" i="2" s="1"/>
  <c r="E943" i="2" s="1"/>
  <c r="Y942" i="2"/>
  <c r="G943" i="2" s="1"/>
  <c r="H943" i="2" l="1"/>
  <c r="B943" i="2"/>
  <c r="M943" i="2"/>
  <c r="C943" i="2"/>
  <c r="N943" i="2"/>
  <c r="O943" i="2" s="1"/>
  <c r="D943" i="2"/>
  <c r="Q943" i="2" l="1"/>
  <c r="R943" i="2"/>
  <c r="J943" i="2"/>
  <c r="K943" i="2"/>
  <c r="I943" i="2"/>
  <c r="S943" i="2"/>
  <c r="L943" i="2"/>
  <c r="P943" i="2" s="1"/>
  <c r="V943" i="2" l="1"/>
  <c r="U943" i="2"/>
  <c r="T943" i="2"/>
  <c r="Y943" i="2"/>
  <c r="G944" i="2" s="1"/>
  <c r="W943" i="2"/>
  <c r="E944" i="2" s="1"/>
  <c r="X943" i="2"/>
  <c r="F944" i="2" s="1"/>
  <c r="H944" i="2" l="1"/>
  <c r="B944" i="2"/>
  <c r="M944" i="2"/>
  <c r="C944" i="2"/>
  <c r="N944" i="2"/>
  <c r="O944" i="2" s="1"/>
  <c r="D944" i="2"/>
  <c r="Q944" i="2" l="1"/>
  <c r="R944" i="2"/>
  <c r="J944" i="2"/>
  <c r="S944" i="2"/>
  <c r="I944" i="2"/>
  <c r="K944" i="2"/>
  <c r="L944" i="2"/>
  <c r="P944" i="2" s="1"/>
  <c r="V944" i="2" l="1"/>
  <c r="Y944" i="2" s="1"/>
  <c r="G945" i="2" s="1"/>
  <c r="U944" i="2"/>
  <c r="T944" i="2"/>
  <c r="W944" i="2"/>
  <c r="E945" i="2" s="1"/>
  <c r="X944" i="2"/>
  <c r="F945" i="2" s="1"/>
  <c r="D945" i="2" l="1"/>
  <c r="C945" i="2"/>
  <c r="H945" i="2"/>
  <c r="B945" i="2"/>
  <c r="J945" i="2" l="1"/>
  <c r="S945" i="2"/>
  <c r="K945" i="2"/>
  <c r="I945" i="2"/>
  <c r="L945" i="2"/>
  <c r="M945" i="2"/>
  <c r="N945" i="2"/>
  <c r="O945" i="2" s="1"/>
  <c r="P945" i="2" l="1"/>
  <c r="T945" i="2" s="1"/>
  <c r="W945" i="2" s="1"/>
  <c r="E946" i="2" s="1"/>
  <c r="R945" i="2"/>
  <c r="V945" i="2" s="1"/>
  <c r="Y945" i="2" s="1"/>
  <c r="G946" i="2" s="1"/>
  <c r="Q945" i="2"/>
  <c r="U945" i="2" s="1"/>
  <c r="X945" i="2" s="1"/>
  <c r="F946" i="2" s="1"/>
  <c r="D946" i="2" l="1"/>
  <c r="C946" i="2"/>
  <c r="H946" i="2"/>
  <c r="B946" i="2"/>
  <c r="K946" i="2" l="1"/>
  <c r="I946" i="2"/>
  <c r="J946" i="2"/>
  <c r="S946" i="2"/>
  <c r="L946" i="2"/>
  <c r="M946" i="2"/>
  <c r="N946" i="2"/>
  <c r="O946" i="2" s="1"/>
  <c r="R946" i="2" l="1"/>
  <c r="Q946" i="2"/>
  <c r="U946" i="2" s="1"/>
  <c r="X946" i="2" s="1"/>
  <c r="F947" i="2" s="1"/>
  <c r="P946" i="2"/>
  <c r="T946" i="2" s="1"/>
  <c r="W946" i="2" s="1"/>
  <c r="E947" i="2" s="1"/>
  <c r="V946" i="2"/>
  <c r="Y946" i="2"/>
  <c r="G947" i="2" s="1"/>
  <c r="H947" i="2" l="1"/>
  <c r="L947" i="2" s="1"/>
  <c r="B947" i="2"/>
  <c r="M947" i="2"/>
  <c r="C947" i="2"/>
  <c r="N947" i="2"/>
  <c r="O947" i="2" s="1"/>
  <c r="D947" i="2"/>
  <c r="R947" i="2" l="1"/>
  <c r="Q947" i="2"/>
  <c r="P947" i="2"/>
  <c r="K947" i="2"/>
  <c r="I947" i="2"/>
  <c r="J947" i="2"/>
  <c r="S947" i="2"/>
  <c r="U947" i="2" l="1"/>
  <c r="T947" i="2"/>
  <c r="V947" i="2"/>
  <c r="Y947" i="2"/>
  <c r="G948" i="2" s="1"/>
  <c r="X947" i="2"/>
  <c r="F948" i="2" s="1"/>
  <c r="W947" i="2"/>
  <c r="E948" i="2" s="1"/>
  <c r="C948" i="2" l="1"/>
  <c r="H948" i="2"/>
  <c r="N948" i="2" s="1"/>
  <c r="O948" i="2" s="1"/>
  <c r="B948" i="2"/>
  <c r="D948" i="2"/>
  <c r="R948" i="2" l="1"/>
  <c r="J948" i="2"/>
  <c r="K948" i="2"/>
  <c r="S948" i="2"/>
  <c r="I948" i="2"/>
  <c r="L948" i="2"/>
  <c r="P948" i="2" s="1"/>
  <c r="M948" i="2"/>
  <c r="Q948" i="2" s="1"/>
  <c r="V948" i="2" l="1"/>
  <c r="U948" i="2"/>
  <c r="X948" i="2" s="1"/>
  <c r="F949" i="2" s="1"/>
  <c r="T948" i="2"/>
  <c r="W948" i="2" s="1"/>
  <c r="E949" i="2" s="1"/>
  <c r="Y948" i="2"/>
  <c r="G949" i="2" s="1"/>
  <c r="H949" i="2" l="1"/>
  <c r="L949" i="2" s="1"/>
  <c r="B949" i="2"/>
  <c r="M949" i="2"/>
  <c r="C949" i="2"/>
  <c r="N949" i="2"/>
  <c r="O949" i="2" s="1"/>
  <c r="D949" i="2"/>
  <c r="R949" i="2" l="1"/>
  <c r="Q949" i="2"/>
  <c r="P949" i="2"/>
  <c r="J949" i="2"/>
  <c r="I949" i="2"/>
  <c r="K949" i="2"/>
  <c r="S949" i="2"/>
  <c r="V949" i="2" l="1"/>
  <c r="U949" i="2"/>
  <c r="T949" i="2"/>
  <c r="W949" i="2" s="1"/>
  <c r="E950" i="2" s="1"/>
  <c r="Y949" i="2"/>
  <c r="G950" i="2" s="1"/>
  <c r="X949" i="2"/>
  <c r="F950" i="2" s="1"/>
  <c r="H950" i="2" l="1"/>
  <c r="L950" i="2"/>
  <c r="B950" i="2"/>
  <c r="M950" i="2"/>
  <c r="C950" i="2"/>
  <c r="N950" i="2"/>
  <c r="O950" i="2" s="1"/>
  <c r="D950" i="2"/>
  <c r="R950" i="2" l="1"/>
  <c r="Q950" i="2"/>
  <c r="P950" i="2"/>
  <c r="J950" i="2"/>
  <c r="K950" i="2"/>
  <c r="I950" i="2"/>
  <c r="S950" i="2"/>
  <c r="V950" i="2" l="1"/>
  <c r="Y950" i="2" s="1"/>
  <c r="G951" i="2" s="1"/>
  <c r="U950" i="2"/>
  <c r="T950" i="2"/>
  <c r="W950" i="2"/>
  <c r="E951" i="2" s="1"/>
  <c r="X950" i="2"/>
  <c r="F951" i="2" s="1"/>
  <c r="D951" i="2" l="1"/>
  <c r="C951" i="2"/>
  <c r="H951" i="2"/>
  <c r="B951" i="2"/>
  <c r="I951" i="2" l="1"/>
  <c r="K951" i="2"/>
  <c r="J951" i="2"/>
  <c r="S951" i="2"/>
  <c r="M951" i="2"/>
  <c r="L951" i="2"/>
  <c r="N951" i="2"/>
  <c r="O951" i="2" s="1"/>
  <c r="R951" i="2" l="1"/>
  <c r="Q951" i="2"/>
  <c r="P951" i="2"/>
  <c r="V951" i="2"/>
  <c r="U951" i="2"/>
  <c r="X951" i="2" s="1"/>
  <c r="F952" i="2" s="1"/>
  <c r="T951" i="2"/>
  <c r="Y951" i="2"/>
  <c r="G952" i="2" s="1"/>
  <c r="W951" i="2"/>
  <c r="E952" i="2" s="1"/>
  <c r="C952" i="2" l="1"/>
  <c r="D952" i="2"/>
  <c r="H952" i="2"/>
  <c r="L952" i="2" s="1"/>
  <c r="B952" i="2"/>
  <c r="I952" i="2" l="1"/>
  <c r="K952" i="2"/>
  <c r="S952" i="2"/>
  <c r="J952" i="2"/>
  <c r="N952" i="2"/>
  <c r="O952" i="2" s="1"/>
  <c r="M952" i="2"/>
  <c r="R952" i="2" l="1"/>
  <c r="V952" i="2" s="1"/>
  <c r="Y952" i="2" s="1"/>
  <c r="G953" i="2" s="1"/>
  <c r="Q952" i="2"/>
  <c r="P952" i="2"/>
  <c r="T952" i="2" s="1"/>
  <c r="W952" i="2" s="1"/>
  <c r="E953" i="2" s="1"/>
  <c r="U952" i="2"/>
  <c r="X952" i="2" s="1"/>
  <c r="F953" i="2" s="1"/>
  <c r="C953" i="2" l="1"/>
  <c r="D953" i="2"/>
  <c r="H953" i="2"/>
  <c r="B953" i="2"/>
  <c r="J953" i="2" l="1"/>
  <c r="I953" i="2"/>
  <c r="K953" i="2"/>
  <c r="S953" i="2"/>
  <c r="L953" i="2"/>
  <c r="N953" i="2"/>
  <c r="O953" i="2" s="1"/>
  <c r="M953" i="2"/>
  <c r="R953" i="2" l="1"/>
  <c r="Q953" i="2"/>
  <c r="U953" i="2" s="1"/>
  <c r="X953" i="2" s="1"/>
  <c r="F954" i="2" s="1"/>
  <c r="P953" i="2"/>
  <c r="T953" i="2" s="1"/>
  <c r="W953" i="2" s="1"/>
  <c r="E954" i="2" s="1"/>
  <c r="V953" i="2"/>
  <c r="Y953" i="2"/>
  <c r="G954" i="2" s="1"/>
  <c r="H954" i="2" l="1"/>
  <c r="L954" i="2"/>
  <c r="B954" i="2"/>
  <c r="M954" i="2"/>
  <c r="C954" i="2"/>
  <c r="N954" i="2"/>
  <c r="O954" i="2" s="1"/>
  <c r="D954" i="2"/>
  <c r="R954" i="2" l="1"/>
  <c r="Q954" i="2"/>
  <c r="P954" i="2"/>
  <c r="J954" i="2"/>
  <c r="K954" i="2"/>
  <c r="I954" i="2"/>
  <c r="S954" i="2"/>
  <c r="V954" i="2" l="1"/>
  <c r="Y954" i="2" s="1"/>
  <c r="G955" i="2" s="1"/>
  <c r="U954" i="2"/>
  <c r="T954" i="2"/>
  <c r="W954" i="2"/>
  <c r="E955" i="2" s="1"/>
  <c r="X954" i="2"/>
  <c r="F955" i="2" s="1"/>
  <c r="D955" i="2" l="1"/>
  <c r="C955" i="2"/>
  <c r="H955" i="2"/>
  <c r="L955" i="2" s="1"/>
  <c r="B955" i="2"/>
  <c r="J955" i="2" l="1"/>
  <c r="I955" i="2"/>
  <c r="K955" i="2"/>
  <c r="S955" i="2"/>
  <c r="M955" i="2"/>
  <c r="N955" i="2"/>
  <c r="O955" i="2" s="1"/>
  <c r="R955" i="2" l="1"/>
  <c r="Q955" i="2"/>
  <c r="P955" i="2"/>
  <c r="T955" i="2" s="1"/>
  <c r="W955" i="2" s="1"/>
  <c r="E956" i="2" s="1"/>
  <c r="V955" i="2"/>
  <c r="Y955" i="2" s="1"/>
  <c r="G956" i="2" s="1"/>
  <c r="U955" i="2"/>
  <c r="X955" i="2" s="1"/>
  <c r="F956" i="2" s="1"/>
  <c r="D956" i="2" l="1"/>
  <c r="H956" i="2"/>
  <c r="L956" i="2" s="1"/>
  <c r="B956" i="2"/>
  <c r="C956" i="2"/>
  <c r="M956" i="2" l="1"/>
  <c r="J956" i="2"/>
  <c r="I956" i="2"/>
  <c r="K956" i="2"/>
  <c r="S956" i="2"/>
  <c r="N956" i="2"/>
  <c r="O956" i="2" s="1"/>
  <c r="R956" i="2" l="1"/>
  <c r="V956" i="2" s="1"/>
  <c r="Y956" i="2" s="1"/>
  <c r="G957" i="2" s="1"/>
  <c r="Q956" i="2"/>
  <c r="P956" i="2"/>
  <c r="T956" i="2" s="1"/>
  <c r="W956" i="2" s="1"/>
  <c r="E957" i="2" s="1"/>
  <c r="U956" i="2"/>
  <c r="X956" i="2" s="1"/>
  <c r="F957" i="2" s="1"/>
  <c r="H957" i="2" l="1"/>
  <c r="B957" i="2"/>
  <c r="N957" i="2"/>
  <c r="O957" i="2" s="1"/>
  <c r="D957" i="2"/>
  <c r="M957" i="2"/>
  <c r="C957" i="2"/>
  <c r="R957" i="2" l="1"/>
  <c r="Q957" i="2"/>
  <c r="K957" i="2"/>
  <c r="J957" i="2"/>
  <c r="S957" i="2"/>
  <c r="I957" i="2"/>
  <c r="L957" i="2"/>
  <c r="P957" i="2" s="1"/>
  <c r="V957" i="2" l="1"/>
  <c r="U957" i="2"/>
  <c r="X957" i="2" s="1"/>
  <c r="F958" i="2" s="1"/>
  <c r="T957" i="2"/>
  <c r="W957" i="2" s="1"/>
  <c r="E958" i="2" s="1"/>
  <c r="Y957" i="2"/>
  <c r="G958" i="2" s="1"/>
  <c r="H958" i="2" l="1"/>
  <c r="L958" i="2"/>
  <c r="B958" i="2"/>
  <c r="M958" i="2"/>
  <c r="C958" i="2"/>
  <c r="N958" i="2"/>
  <c r="O958" i="2" s="1"/>
  <c r="D958" i="2"/>
  <c r="R958" i="2" l="1"/>
  <c r="Q958" i="2"/>
  <c r="P958" i="2"/>
  <c r="K958" i="2"/>
  <c r="I958" i="2"/>
  <c r="J958" i="2"/>
  <c r="S958" i="2"/>
  <c r="V958" i="2" l="1"/>
  <c r="U958" i="2"/>
  <c r="X958" i="2" s="1"/>
  <c r="F959" i="2" s="1"/>
  <c r="T958" i="2"/>
  <c r="W958" i="2" s="1"/>
  <c r="E959" i="2" s="1"/>
  <c r="Y958" i="2"/>
  <c r="G959" i="2" s="1"/>
  <c r="H959" i="2" l="1"/>
  <c r="B959" i="2"/>
  <c r="M959" i="2"/>
  <c r="C959" i="2"/>
  <c r="N959" i="2"/>
  <c r="O959" i="2" s="1"/>
  <c r="D959" i="2"/>
  <c r="R959" i="2" l="1"/>
  <c r="Q959" i="2"/>
  <c r="I959" i="2"/>
  <c r="J959" i="2"/>
  <c r="S959" i="2"/>
  <c r="K959" i="2"/>
  <c r="L959" i="2"/>
  <c r="P959" i="2" s="1"/>
  <c r="V959" i="2" l="1"/>
  <c r="U959" i="2"/>
  <c r="T959" i="2"/>
  <c r="W959" i="2" s="1"/>
  <c r="E960" i="2" s="1"/>
  <c r="Y959" i="2"/>
  <c r="G960" i="2" s="1"/>
  <c r="X959" i="2"/>
  <c r="F960" i="2" s="1"/>
  <c r="H960" i="2" l="1"/>
  <c r="L960" i="2"/>
  <c r="B960" i="2"/>
  <c r="M960" i="2"/>
  <c r="C960" i="2"/>
  <c r="N960" i="2"/>
  <c r="O960" i="2" s="1"/>
  <c r="D960" i="2"/>
  <c r="R960" i="2" l="1"/>
  <c r="Q960" i="2"/>
  <c r="P960" i="2"/>
  <c r="I960" i="2"/>
  <c r="J960" i="2"/>
  <c r="K960" i="2"/>
  <c r="S960" i="2"/>
  <c r="V960" i="2" l="1"/>
  <c r="Y960" i="2" s="1"/>
  <c r="G961" i="2" s="1"/>
  <c r="U960" i="2"/>
  <c r="T960" i="2"/>
  <c r="W960" i="2" s="1"/>
  <c r="E961" i="2" s="1"/>
  <c r="X960" i="2"/>
  <c r="F961" i="2" s="1"/>
  <c r="H961" i="2" l="1"/>
  <c r="L961" i="2" s="1"/>
  <c r="B961" i="2"/>
  <c r="N961" i="2"/>
  <c r="O961" i="2" s="1"/>
  <c r="D961" i="2"/>
  <c r="M961" i="2"/>
  <c r="C961" i="2"/>
  <c r="R961" i="2" l="1"/>
  <c r="Q961" i="2"/>
  <c r="P961" i="2"/>
  <c r="I961" i="2"/>
  <c r="K961" i="2"/>
  <c r="J961" i="2"/>
  <c r="S961" i="2"/>
  <c r="V961" i="2" l="1"/>
  <c r="U961" i="2"/>
  <c r="X961" i="2" s="1"/>
  <c r="F962" i="2" s="1"/>
  <c r="T961" i="2"/>
  <c r="W961" i="2" s="1"/>
  <c r="E962" i="2" s="1"/>
  <c r="Y961" i="2"/>
  <c r="G962" i="2" s="1"/>
  <c r="C962" i="2" l="1"/>
  <c r="D962" i="2"/>
  <c r="H962" i="2"/>
  <c r="L962" i="2" s="1"/>
  <c r="B962" i="2"/>
  <c r="I962" i="2" l="1"/>
  <c r="K962" i="2"/>
  <c r="J962" i="2"/>
  <c r="S962" i="2"/>
  <c r="N962" i="2"/>
  <c r="O962" i="2" s="1"/>
  <c r="M962" i="2"/>
  <c r="R962" i="2" l="1"/>
  <c r="Q962" i="2"/>
  <c r="P962" i="2"/>
  <c r="T962" i="2" s="1"/>
  <c r="W962" i="2" s="1"/>
  <c r="E963" i="2" s="1"/>
  <c r="V962" i="2"/>
  <c r="U962" i="2"/>
  <c r="X962" i="2" s="1"/>
  <c r="F963" i="2" s="1"/>
  <c r="Y962" i="2"/>
  <c r="G963" i="2" s="1"/>
  <c r="C963" i="2" l="1"/>
  <c r="H963" i="2"/>
  <c r="B963" i="2"/>
  <c r="N963" i="2"/>
  <c r="O963" i="2" s="1"/>
  <c r="D963" i="2"/>
  <c r="K963" i="2" l="1"/>
  <c r="I963" i="2"/>
  <c r="J963" i="2"/>
  <c r="S963" i="2"/>
  <c r="L963" i="2"/>
  <c r="R963" i="2"/>
  <c r="P963" i="2"/>
  <c r="M963" i="2"/>
  <c r="Q963" i="2" s="1"/>
  <c r="V963" i="2" l="1"/>
  <c r="U963" i="2"/>
  <c r="T963" i="2"/>
  <c r="W963" i="2" s="1"/>
  <c r="E964" i="2" s="1"/>
  <c r="X963" i="2"/>
  <c r="F964" i="2" s="1"/>
  <c r="Y963" i="2"/>
  <c r="G964" i="2" s="1"/>
  <c r="H964" i="2" l="1"/>
  <c r="L964" i="2" s="1"/>
  <c r="B964" i="2"/>
  <c r="N964" i="2"/>
  <c r="O964" i="2" s="1"/>
  <c r="D964" i="2"/>
  <c r="M964" i="2"/>
  <c r="C964" i="2"/>
  <c r="R964" i="2" l="1"/>
  <c r="Q964" i="2"/>
  <c r="P964" i="2"/>
  <c r="I964" i="2"/>
  <c r="K964" i="2"/>
  <c r="J964" i="2"/>
  <c r="S964" i="2"/>
  <c r="V964" i="2" l="1"/>
  <c r="U964" i="2"/>
  <c r="T964" i="2"/>
  <c r="Y964" i="2"/>
  <c r="G965" i="2" s="1"/>
  <c r="X964" i="2"/>
  <c r="F965" i="2" s="1"/>
  <c r="W964" i="2"/>
  <c r="E965" i="2" s="1"/>
  <c r="C965" i="2" l="1"/>
  <c r="H965" i="2"/>
  <c r="L965" i="2" s="1"/>
  <c r="B965" i="2"/>
  <c r="D965" i="2"/>
  <c r="N965" i="2" l="1"/>
  <c r="O965" i="2" s="1"/>
  <c r="R965" i="2"/>
  <c r="P965" i="2"/>
  <c r="J965" i="2"/>
  <c r="I965" i="2"/>
  <c r="K965" i="2"/>
  <c r="S965" i="2"/>
  <c r="M965" i="2"/>
  <c r="Q965" i="2" s="1"/>
  <c r="V965" i="2" l="1"/>
  <c r="U965" i="2"/>
  <c r="T965" i="2"/>
  <c r="W965" i="2" s="1"/>
  <c r="E966" i="2" s="1"/>
  <c r="Y965" i="2"/>
  <c r="G966" i="2" s="1"/>
  <c r="X965" i="2"/>
  <c r="F966" i="2" s="1"/>
  <c r="H966" i="2" l="1"/>
  <c r="L966" i="2"/>
  <c r="B966" i="2"/>
  <c r="M966" i="2"/>
  <c r="C966" i="2"/>
  <c r="N966" i="2"/>
  <c r="O966" i="2" s="1"/>
  <c r="D966" i="2"/>
  <c r="R966" i="2" l="1"/>
  <c r="Q966" i="2"/>
  <c r="P966" i="2"/>
  <c r="I966" i="2"/>
  <c r="K966" i="2"/>
  <c r="J966" i="2"/>
  <c r="S966" i="2"/>
  <c r="V966" i="2" l="1"/>
  <c r="U966" i="2"/>
  <c r="X966" i="2" s="1"/>
  <c r="F967" i="2" s="1"/>
  <c r="T966" i="2"/>
  <c r="W966" i="2" s="1"/>
  <c r="E967" i="2" s="1"/>
  <c r="Y966" i="2"/>
  <c r="G967" i="2" s="1"/>
  <c r="C967" i="2" l="1"/>
  <c r="D967" i="2"/>
  <c r="H967" i="2"/>
  <c r="L967" i="2" s="1"/>
  <c r="B967" i="2"/>
  <c r="J967" i="2" l="1"/>
  <c r="K967" i="2"/>
  <c r="I967" i="2"/>
  <c r="S967" i="2"/>
  <c r="N967" i="2"/>
  <c r="O967" i="2" s="1"/>
  <c r="M967" i="2"/>
  <c r="R967" i="2" l="1"/>
  <c r="V967" i="2" s="1"/>
  <c r="Y967" i="2" s="1"/>
  <c r="G968" i="2" s="1"/>
  <c r="P967" i="2"/>
  <c r="T967" i="2" s="1"/>
  <c r="W967" i="2" s="1"/>
  <c r="E968" i="2" s="1"/>
  <c r="Q967" i="2"/>
  <c r="U967" i="2" s="1"/>
  <c r="X967" i="2" s="1"/>
  <c r="F968" i="2" s="1"/>
  <c r="C968" i="2" l="1"/>
  <c r="H968" i="2"/>
  <c r="L968" i="2" s="1"/>
  <c r="B968" i="2"/>
  <c r="D968" i="2"/>
  <c r="N968" i="2" l="1"/>
  <c r="O968" i="2" s="1"/>
  <c r="I968" i="2"/>
  <c r="J968" i="2"/>
  <c r="K968" i="2"/>
  <c r="S968" i="2"/>
  <c r="M968" i="2"/>
  <c r="R968" i="2" l="1"/>
  <c r="V968" i="2" s="1"/>
  <c r="Y968" i="2" s="1"/>
  <c r="G969" i="2" s="1"/>
  <c r="P968" i="2"/>
  <c r="T968" i="2" s="1"/>
  <c r="W968" i="2" s="1"/>
  <c r="E969" i="2" s="1"/>
  <c r="Q968" i="2"/>
  <c r="U968" i="2" s="1"/>
  <c r="X968" i="2" s="1"/>
  <c r="F969" i="2" s="1"/>
  <c r="C969" i="2" l="1"/>
  <c r="H969" i="2"/>
  <c r="L969" i="2" s="1"/>
  <c r="B969" i="2"/>
  <c r="N969" i="2"/>
  <c r="O969" i="2" s="1"/>
  <c r="D969" i="2"/>
  <c r="R969" i="2" l="1"/>
  <c r="P969" i="2"/>
  <c r="I969" i="2"/>
  <c r="J969" i="2"/>
  <c r="S969" i="2"/>
  <c r="K969" i="2"/>
  <c r="M969" i="2"/>
  <c r="Q969" i="2" s="1"/>
  <c r="V969" i="2" l="1"/>
  <c r="U969" i="2"/>
  <c r="T969" i="2"/>
  <c r="Y969" i="2"/>
  <c r="G970" i="2" s="1"/>
  <c r="X969" i="2"/>
  <c r="F970" i="2" s="1"/>
  <c r="W969" i="2"/>
  <c r="E970" i="2" s="1"/>
  <c r="H970" i="2" l="1"/>
  <c r="B970" i="2"/>
  <c r="C970" i="2"/>
  <c r="N970" i="2"/>
  <c r="O970" i="2" s="1"/>
  <c r="D970" i="2"/>
  <c r="R970" i="2" l="1"/>
  <c r="J970" i="2"/>
  <c r="I970" i="2"/>
  <c r="K970" i="2"/>
  <c r="S970" i="2"/>
  <c r="M970" i="2"/>
  <c r="Q970" i="2" s="1"/>
  <c r="L970" i="2"/>
  <c r="P970" i="2" s="1"/>
  <c r="T970" i="2" l="1"/>
  <c r="W970" i="2" s="1"/>
  <c r="E971" i="2" s="1"/>
  <c r="V970" i="2"/>
  <c r="Y970" i="2" s="1"/>
  <c r="G971" i="2" s="1"/>
  <c r="U970" i="2"/>
  <c r="X970" i="2" s="1"/>
  <c r="F971" i="2" s="1"/>
  <c r="D971" i="2" l="1"/>
  <c r="H971" i="2"/>
  <c r="B971" i="2"/>
  <c r="M971" i="2"/>
  <c r="C971" i="2"/>
  <c r="I971" i="2" l="1"/>
  <c r="J971" i="2"/>
  <c r="K971" i="2"/>
  <c r="S971" i="2"/>
  <c r="L971" i="2"/>
  <c r="N971" i="2"/>
  <c r="O971" i="2" s="1"/>
  <c r="R971" i="2" l="1"/>
  <c r="P971" i="2"/>
  <c r="Q971" i="2"/>
  <c r="V971" i="2"/>
  <c r="U971" i="2"/>
  <c r="T971" i="2"/>
  <c r="W971" i="2" s="1"/>
  <c r="E972" i="2" s="1"/>
  <c r="Y971" i="2"/>
  <c r="G972" i="2" s="1"/>
  <c r="X971" i="2"/>
  <c r="F972" i="2" s="1"/>
  <c r="C972" i="2" l="1"/>
  <c r="H972" i="2"/>
  <c r="B972" i="2"/>
  <c r="N972" i="2"/>
  <c r="O972" i="2" s="1"/>
  <c r="D972" i="2"/>
  <c r="R972" i="2" l="1"/>
  <c r="I972" i="2"/>
  <c r="J972" i="2"/>
  <c r="S972" i="2"/>
  <c r="K972" i="2"/>
  <c r="M972" i="2"/>
  <c r="Q972" i="2" s="1"/>
  <c r="L972" i="2"/>
  <c r="P972" i="2" s="1"/>
  <c r="V972" i="2" l="1"/>
  <c r="Y972" i="2" s="1"/>
  <c r="G973" i="2" s="1"/>
  <c r="U972" i="2"/>
  <c r="X972" i="2" s="1"/>
  <c r="F973" i="2" s="1"/>
  <c r="T972" i="2"/>
  <c r="W972" i="2" s="1"/>
  <c r="E973" i="2" s="1"/>
  <c r="C973" i="2" l="1"/>
  <c r="D973" i="2"/>
  <c r="H973" i="2"/>
  <c r="B973" i="2"/>
  <c r="J973" i="2" l="1"/>
  <c r="I973" i="2"/>
  <c r="K973" i="2"/>
  <c r="S973" i="2"/>
  <c r="N973" i="2"/>
  <c r="O973" i="2" s="1"/>
  <c r="M973" i="2"/>
  <c r="L973" i="2"/>
  <c r="R973" i="2" l="1"/>
  <c r="P973" i="2"/>
  <c r="Q973" i="2"/>
  <c r="U973" i="2" s="1"/>
  <c r="X973" i="2" s="1"/>
  <c r="F974" i="2" s="1"/>
  <c r="T973" i="2"/>
  <c r="W973" i="2" s="1"/>
  <c r="E974" i="2" s="1"/>
  <c r="V973" i="2"/>
  <c r="Y973" i="2" s="1"/>
  <c r="G974" i="2" s="1"/>
  <c r="H974" i="2" l="1"/>
  <c r="M974" i="2" s="1"/>
  <c r="B974" i="2"/>
  <c r="C974" i="2"/>
  <c r="N974" i="2"/>
  <c r="O974" i="2" s="1"/>
  <c r="D974" i="2"/>
  <c r="R974" i="2" l="1"/>
  <c r="Q974" i="2"/>
  <c r="J974" i="2"/>
  <c r="I974" i="2"/>
  <c r="K974" i="2"/>
  <c r="S974" i="2"/>
  <c r="L974" i="2"/>
  <c r="P974" i="2" s="1"/>
  <c r="V974" i="2" l="1"/>
  <c r="Y974" i="2" s="1"/>
  <c r="G975" i="2" s="1"/>
  <c r="U974" i="2"/>
  <c r="T974" i="2"/>
  <c r="W974" i="2" s="1"/>
  <c r="E975" i="2" s="1"/>
  <c r="X974" i="2"/>
  <c r="F975" i="2" s="1"/>
  <c r="H975" i="2" l="1"/>
  <c r="L975" i="2"/>
  <c r="B975" i="2"/>
  <c r="N975" i="2"/>
  <c r="O975" i="2" s="1"/>
  <c r="D975" i="2"/>
  <c r="M975" i="2"/>
  <c r="C975" i="2"/>
  <c r="R975" i="2" l="1"/>
  <c r="P975" i="2"/>
  <c r="Q975" i="2"/>
  <c r="K975" i="2"/>
  <c r="J975" i="2"/>
  <c r="I975" i="2"/>
  <c r="S975" i="2"/>
  <c r="V975" i="2" l="1"/>
  <c r="U975" i="2"/>
  <c r="X975" i="2" s="1"/>
  <c r="F976" i="2" s="1"/>
  <c r="T975" i="2"/>
  <c r="W975" i="2" s="1"/>
  <c r="E976" i="2" s="1"/>
  <c r="Y975" i="2"/>
  <c r="G976" i="2" s="1"/>
  <c r="H976" i="2" l="1"/>
  <c r="L976" i="2"/>
  <c r="B976" i="2"/>
  <c r="M976" i="2"/>
  <c r="C976" i="2"/>
  <c r="N976" i="2"/>
  <c r="O976" i="2" s="1"/>
  <c r="D976" i="2"/>
  <c r="R976" i="2" l="1"/>
  <c r="Q976" i="2"/>
  <c r="P976" i="2"/>
  <c r="J976" i="2"/>
  <c r="I976" i="2"/>
  <c r="S976" i="2"/>
  <c r="K976" i="2"/>
  <c r="V976" i="2" l="1"/>
  <c r="Y976" i="2" s="1"/>
  <c r="G977" i="2" s="1"/>
  <c r="T976" i="2"/>
  <c r="U976" i="2"/>
  <c r="X976" i="2" s="1"/>
  <c r="F977" i="2" s="1"/>
  <c r="W976" i="2"/>
  <c r="E977" i="2" s="1"/>
  <c r="C977" i="2" l="1"/>
  <c r="D977" i="2"/>
  <c r="H977" i="2"/>
  <c r="N977" i="2" s="1"/>
  <c r="O977" i="2" s="1"/>
  <c r="B977" i="2"/>
  <c r="R977" i="2" l="1"/>
  <c r="K977" i="2"/>
  <c r="I977" i="2"/>
  <c r="S977" i="2"/>
  <c r="J977" i="2"/>
  <c r="L977" i="2"/>
  <c r="P977" i="2" s="1"/>
  <c r="M977" i="2"/>
  <c r="Q977" i="2" s="1"/>
  <c r="V977" i="2" l="1"/>
  <c r="Y977" i="2" s="1"/>
  <c r="G978" i="2" s="1"/>
  <c r="U977" i="2"/>
  <c r="X977" i="2" s="1"/>
  <c r="F978" i="2" s="1"/>
  <c r="T977" i="2"/>
  <c r="W977" i="2" s="1"/>
  <c r="E978" i="2" s="1"/>
  <c r="C978" i="2" l="1"/>
  <c r="H978" i="2"/>
  <c r="N978" i="2" s="1"/>
  <c r="O978" i="2" s="1"/>
  <c r="B978" i="2"/>
  <c r="D978" i="2"/>
  <c r="R978" i="2" l="1"/>
  <c r="I978" i="2"/>
  <c r="J978" i="2"/>
  <c r="K978" i="2"/>
  <c r="S978" i="2"/>
  <c r="L978" i="2"/>
  <c r="P978" i="2" s="1"/>
  <c r="M978" i="2"/>
  <c r="Q978" i="2" s="1"/>
  <c r="U978" i="2" l="1"/>
  <c r="X978" i="2" s="1"/>
  <c r="F979" i="2" s="1"/>
  <c r="T978" i="2"/>
  <c r="V978" i="2"/>
  <c r="Y978" i="2" s="1"/>
  <c r="G979" i="2" s="1"/>
  <c r="W978" i="2"/>
  <c r="E979" i="2" s="1"/>
  <c r="C979" i="2" l="1"/>
  <c r="H979" i="2"/>
  <c r="N979" i="2" s="1"/>
  <c r="O979" i="2" s="1"/>
  <c r="B979" i="2"/>
  <c r="D979" i="2"/>
  <c r="R979" i="2" l="1"/>
  <c r="J979" i="2"/>
  <c r="K979" i="2"/>
  <c r="I979" i="2"/>
  <c r="S979" i="2"/>
  <c r="L979" i="2"/>
  <c r="P979" i="2" s="1"/>
  <c r="M979" i="2"/>
  <c r="Q979" i="2" s="1"/>
  <c r="V979" i="2" l="1"/>
  <c r="U979" i="2"/>
  <c r="T979" i="2"/>
  <c r="Y979" i="2"/>
  <c r="G980" i="2" s="1"/>
  <c r="W979" i="2"/>
  <c r="E980" i="2" s="1"/>
  <c r="X979" i="2"/>
  <c r="F980" i="2" s="1"/>
  <c r="H980" i="2" l="1"/>
  <c r="B980" i="2"/>
  <c r="M980" i="2"/>
  <c r="C980" i="2"/>
  <c r="N980" i="2"/>
  <c r="O980" i="2" s="1"/>
  <c r="D980" i="2"/>
  <c r="R980" i="2" l="1"/>
  <c r="Q980" i="2"/>
  <c r="K980" i="2"/>
  <c r="I980" i="2"/>
  <c r="S980" i="2"/>
  <c r="J980" i="2"/>
  <c r="L980" i="2"/>
  <c r="P980" i="2" s="1"/>
  <c r="V980" i="2" l="1"/>
  <c r="U980" i="2"/>
  <c r="T980" i="2"/>
  <c r="X980" i="2"/>
  <c r="F981" i="2" s="1"/>
  <c r="W980" i="2"/>
  <c r="E981" i="2" s="1"/>
  <c r="Y980" i="2"/>
  <c r="G981" i="2" s="1"/>
  <c r="H981" i="2" l="1"/>
  <c r="L981" i="2"/>
  <c r="B981" i="2"/>
  <c r="N981" i="2"/>
  <c r="O981" i="2" s="1"/>
  <c r="D981" i="2"/>
  <c r="M981" i="2"/>
  <c r="C981" i="2"/>
  <c r="R981" i="2" l="1"/>
  <c r="Q981" i="2"/>
  <c r="P981" i="2"/>
  <c r="K981" i="2"/>
  <c r="J981" i="2"/>
  <c r="I981" i="2"/>
  <c r="S981" i="2"/>
  <c r="V981" i="2" l="1"/>
  <c r="U981" i="2"/>
  <c r="X981" i="2" s="1"/>
  <c r="F982" i="2" s="1"/>
  <c r="T981" i="2"/>
  <c r="W981" i="2" s="1"/>
  <c r="E982" i="2" s="1"/>
  <c r="Y981" i="2"/>
  <c r="G982" i="2" s="1"/>
  <c r="H982" i="2" l="1"/>
  <c r="B982" i="2"/>
  <c r="C982" i="2"/>
  <c r="N982" i="2"/>
  <c r="O982" i="2" s="1"/>
  <c r="D982" i="2"/>
  <c r="R982" i="2" l="1"/>
  <c r="J982" i="2"/>
  <c r="I982" i="2"/>
  <c r="K982" i="2"/>
  <c r="S982" i="2"/>
  <c r="M982" i="2"/>
  <c r="Q982" i="2" s="1"/>
  <c r="L982" i="2"/>
  <c r="P982" i="2" s="1"/>
  <c r="V982" i="2" l="1"/>
  <c r="T982" i="2"/>
  <c r="U982" i="2"/>
  <c r="W982" i="2"/>
  <c r="E983" i="2" s="1"/>
  <c r="Y982" i="2"/>
  <c r="G983" i="2" s="1"/>
  <c r="X982" i="2"/>
  <c r="F983" i="2" s="1"/>
  <c r="H983" i="2" l="1"/>
  <c r="L983" i="2" s="1"/>
  <c r="B983" i="2"/>
  <c r="M983" i="2"/>
  <c r="C983" i="2"/>
  <c r="N983" i="2"/>
  <c r="O983" i="2" s="1"/>
  <c r="D983" i="2"/>
  <c r="R983" i="2" l="1"/>
  <c r="Q983" i="2"/>
  <c r="P983" i="2"/>
  <c r="J983" i="2"/>
  <c r="K983" i="2"/>
  <c r="S983" i="2"/>
  <c r="I983" i="2"/>
  <c r="V983" i="2" l="1"/>
  <c r="Y983" i="2" s="1"/>
  <c r="G984" i="2" s="1"/>
  <c r="U983" i="2"/>
  <c r="X983" i="2" s="1"/>
  <c r="F984" i="2" s="1"/>
  <c r="T983" i="2"/>
  <c r="W983" i="2" s="1"/>
  <c r="E984" i="2" s="1"/>
  <c r="C984" i="2" l="1"/>
  <c r="H984" i="2"/>
  <c r="B984" i="2"/>
  <c r="N984" i="2"/>
  <c r="O984" i="2" s="1"/>
  <c r="D984" i="2"/>
  <c r="R984" i="2" l="1"/>
  <c r="I984" i="2"/>
  <c r="K984" i="2"/>
  <c r="J984" i="2"/>
  <c r="S984" i="2"/>
  <c r="L984" i="2"/>
  <c r="P984" i="2" s="1"/>
  <c r="M984" i="2"/>
  <c r="Q984" i="2" s="1"/>
  <c r="U984" i="2" l="1"/>
  <c r="T984" i="2"/>
  <c r="V984" i="2"/>
  <c r="Y984" i="2" s="1"/>
  <c r="G985" i="2" s="1"/>
  <c r="X984" i="2"/>
  <c r="F985" i="2" s="1"/>
  <c r="W984" i="2"/>
  <c r="E985" i="2" s="1"/>
  <c r="D985" i="2" l="1"/>
  <c r="H985" i="2"/>
  <c r="M985" i="2" s="1"/>
  <c r="B985" i="2"/>
  <c r="C985" i="2"/>
  <c r="K985" i="2" l="1"/>
  <c r="I985" i="2"/>
  <c r="J985" i="2"/>
  <c r="S985" i="2"/>
  <c r="N985" i="2"/>
  <c r="O985" i="2" s="1"/>
  <c r="L985" i="2"/>
  <c r="R985" i="2" l="1"/>
  <c r="Q985" i="2"/>
  <c r="P985" i="2"/>
  <c r="T985" i="2" s="1"/>
  <c r="W985" i="2" s="1"/>
  <c r="E986" i="2" s="1"/>
  <c r="V985" i="2"/>
  <c r="U985" i="2"/>
  <c r="X985" i="2" s="1"/>
  <c r="F986" i="2" s="1"/>
  <c r="Y985" i="2"/>
  <c r="G986" i="2" s="1"/>
  <c r="H986" i="2" l="1"/>
  <c r="B986" i="2"/>
  <c r="M986" i="2"/>
  <c r="C986" i="2"/>
  <c r="N986" i="2"/>
  <c r="O986" i="2" s="1"/>
  <c r="D986" i="2"/>
  <c r="R986" i="2" l="1"/>
  <c r="Q986" i="2"/>
  <c r="K986" i="2"/>
  <c r="J986" i="2"/>
  <c r="I986" i="2"/>
  <c r="S986" i="2"/>
  <c r="L986" i="2"/>
  <c r="P986" i="2" s="1"/>
  <c r="V986" i="2" l="1"/>
  <c r="U986" i="2"/>
  <c r="T986" i="2"/>
  <c r="W986" i="2" s="1"/>
  <c r="E987" i="2" s="1"/>
  <c r="Y986" i="2"/>
  <c r="G987" i="2" s="1"/>
  <c r="X986" i="2"/>
  <c r="F987" i="2" s="1"/>
  <c r="H987" i="2" l="1"/>
  <c r="L987" i="2"/>
  <c r="B987" i="2"/>
  <c r="M987" i="2"/>
  <c r="C987" i="2"/>
  <c r="N987" i="2"/>
  <c r="O987" i="2" s="1"/>
  <c r="D987" i="2"/>
  <c r="R987" i="2" l="1"/>
  <c r="Q987" i="2"/>
  <c r="P987" i="2"/>
  <c r="K987" i="2"/>
  <c r="J987" i="2"/>
  <c r="I987" i="2"/>
  <c r="S987" i="2"/>
  <c r="V987" i="2" l="1"/>
  <c r="U987" i="2"/>
  <c r="X987" i="2" s="1"/>
  <c r="F988" i="2" s="1"/>
  <c r="T987" i="2"/>
  <c r="W987" i="2" s="1"/>
  <c r="E988" i="2" s="1"/>
  <c r="Y987" i="2"/>
  <c r="G988" i="2" s="1"/>
  <c r="C988" i="2" l="1"/>
  <c r="D988" i="2"/>
  <c r="H988" i="2"/>
  <c r="M988" i="2" s="1"/>
  <c r="B988" i="2"/>
  <c r="L988" i="2" l="1"/>
  <c r="N988" i="2"/>
  <c r="O988" i="2" s="1"/>
  <c r="J988" i="2"/>
  <c r="I988" i="2"/>
  <c r="K988" i="2"/>
  <c r="S988" i="2"/>
  <c r="R988" i="2" l="1"/>
  <c r="V988" i="2" s="1"/>
  <c r="Y988" i="2" s="1"/>
  <c r="G989" i="2" s="1"/>
  <c r="Q988" i="2"/>
  <c r="U988" i="2" s="1"/>
  <c r="X988" i="2" s="1"/>
  <c r="F989" i="2" s="1"/>
  <c r="P988" i="2"/>
  <c r="T988" i="2" s="1"/>
  <c r="W988" i="2" s="1"/>
  <c r="E989" i="2" s="1"/>
  <c r="C989" i="2" l="1"/>
  <c r="H989" i="2"/>
  <c r="B989" i="2"/>
  <c r="D989" i="2"/>
  <c r="J989" i="2" l="1"/>
  <c r="I989" i="2"/>
  <c r="K989" i="2"/>
  <c r="S989" i="2"/>
  <c r="L989" i="2"/>
  <c r="M989" i="2"/>
  <c r="N989" i="2"/>
  <c r="O989" i="2" s="1"/>
  <c r="R989" i="2" l="1"/>
  <c r="V989" i="2" s="1"/>
  <c r="Y989" i="2" s="1"/>
  <c r="G990" i="2" s="1"/>
  <c r="Q989" i="2"/>
  <c r="U989" i="2" s="1"/>
  <c r="X989" i="2" s="1"/>
  <c r="F990" i="2" s="1"/>
  <c r="P989" i="2"/>
  <c r="T989" i="2" s="1"/>
  <c r="W989" i="2" s="1"/>
  <c r="E990" i="2" s="1"/>
  <c r="C990" i="2" l="1"/>
  <c r="H990" i="2"/>
  <c r="B990" i="2"/>
  <c r="N990" i="2"/>
  <c r="O990" i="2" s="1"/>
  <c r="D990" i="2"/>
  <c r="I990" i="2" l="1"/>
  <c r="K990" i="2"/>
  <c r="J990" i="2"/>
  <c r="S990" i="2"/>
  <c r="R990" i="2"/>
  <c r="L990" i="2"/>
  <c r="P990" i="2" s="1"/>
  <c r="M990" i="2"/>
  <c r="Q990" i="2" s="1"/>
  <c r="U990" i="2" l="1"/>
  <c r="T990" i="2"/>
  <c r="V990" i="2"/>
  <c r="Y990" i="2" s="1"/>
  <c r="G991" i="2" s="1"/>
  <c r="X990" i="2"/>
  <c r="F991" i="2" s="1"/>
  <c r="W990" i="2"/>
  <c r="E991" i="2" s="1"/>
  <c r="D991" i="2" l="1"/>
  <c r="H991" i="2"/>
  <c r="B991" i="2"/>
  <c r="M991" i="2"/>
  <c r="C991" i="2"/>
  <c r="J991" i="2" l="1"/>
  <c r="K991" i="2"/>
  <c r="I991" i="2"/>
  <c r="S991" i="2"/>
  <c r="L991" i="2"/>
  <c r="N991" i="2"/>
  <c r="O991" i="2" s="1"/>
  <c r="R991" i="2" l="1"/>
  <c r="Q991" i="2"/>
  <c r="U991" i="2" s="1"/>
  <c r="X991" i="2" s="1"/>
  <c r="F992" i="2" s="1"/>
  <c r="P991" i="2"/>
  <c r="T991" i="2" s="1"/>
  <c r="W991" i="2" s="1"/>
  <c r="E992" i="2" s="1"/>
  <c r="V991" i="2"/>
  <c r="Y991" i="2" s="1"/>
  <c r="G992" i="2" s="1"/>
  <c r="C992" i="2" l="1"/>
  <c r="H992" i="2"/>
  <c r="N992" i="2" s="1"/>
  <c r="O992" i="2" s="1"/>
  <c r="B992" i="2"/>
  <c r="D992" i="2"/>
  <c r="R992" i="2" l="1"/>
  <c r="K992" i="2"/>
  <c r="J992" i="2"/>
  <c r="I992" i="2"/>
  <c r="S992" i="2"/>
  <c r="L992" i="2"/>
  <c r="P992" i="2" s="1"/>
  <c r="M992" i="2"/>
  <c r="Q992" i="2" s="1"/>
  <c r="V992" i="2" l="1"/>
  <c r="U992" i="2"/>
  <c r="T992" i="2"/>
  <c r="X992" i="2"/>
  <c r="F993" i="2" s="1"/>
  <c r="W992" i="2"/>
  <c r="E993" i="2" s="1"/>
  <c r="Y992" i="2"/>
  <c r="G993" i="2" s="1"/>
  <c r="H993" i="2" l="1"/>
  <c r="B993" i="2"/>
  <c r="N993" i="2"/>
  <c r="O993" i="2" s="1"/>
  <c r="D993" i="2"/>
  <c r="M993" i="2"/>
  <c r="C993" i="2"/>
  <c r="R993" i="2" l="1"/>
  <c r="Q993" i="2"/>
  <c r="J993" i="2"/>
  <c r="I993" i="2"/>
  <c r="S993" i="2"/>
  <c r="K993" i="2"/>
  <c r="L993" i="2"/>
  <c r="P993" i="2" s="1"/>
  <c r="V993" i="2" l="1"/>
  <c r="Y993" i="2" s="1"/>
  <c r="G994" i="2" s="1"/>
  <c r="U993" i="2"/>
  <c r="T993" i="2"/>
  <c r="W993" i="2" s="1"/>
  <c r="E994" i="2" s="1"/>
  <c r="X993" i="2"/>
  <c r="F994" i="2" s="1"/>
  <c r="H994" i="2" l="1"/>
  <c r="L994" i="2" s="1"/>
  <c r="B994" i="2"/>
  <c r="N994" i="2"/>
  <c r="O994" i="2" s="1"/>
  <c r="D994" i="2"/>
  <c r="M994" i="2"/>
  <c r="C994" i="2"/>
  <c r="R994" i="2" l="1"/>
  <c r="Q994" i="2"/>
  <c r="P994" i="2"/>
  <c r="I994" i="2"/>
  <c r="K994" i="2"/>
  <c r="J994" i="2"/>
  <c r="S994" i="2"/>
  <c r="V994" i="2" l="1"/>
  <c r="T994" i="2"/>
  <c r="U994" i="2"/>
  <c r="X994" i="2"/>
  <c r="F995" i="2" s="1"/>
  <c r="W994" i="2"/>
  <c r="E995" i="2" s="1"/>
  <c r="Y994" i="2"/>
  <c r="G995" i="2" s="1"/>
  <c r="H995" i="2" l="1"/>
  <c r="L995" i="2" s="1"/>
  <c r="B995" i="2"/>
  <c r="N995" i="2"/>
  <c r="O995" i="2" s="1"/>
  <c r="D995" i="2"/>
  <c r="M995" i="2"/>
  <c r="C995" i="2"/>
  <c r="R995" i="2" l="1"/>
  <c r="Q995" i="2"/>
  <c r="P995" i="2"/>
  <c r="K995" i="2"/>
  <c r="I995" i="2"/>
  <c r="J995" i="2"/>
  <c r="S995" i="2"/>
  <c r="V995" i="2" l="1"/>
  <c r="Y995" i="2" s="1"/>
  <c r="G996" i="2" s="1"/>
  <c r="U995" i="2"/>
  <c r="X995" i="2" s="1"/>
  <c r="F996" i="2" s="1"/>
  <c r="T995" i="2"/>
  <c r="W995" i="2"/>
  <c r="E996" i="2" s="1"/>
  <c r="H996" i="2" l="1"/>
  <c r="L996" i="2" s="1"/>
  <c r="B996" i="2"/>
  <c r="N996" i="2"/>
  <c r="O996" i="2" s="1"/>
  <c r="D996" i="2"/>
  <c r="M996" i="2"/>
  <c r="C996" i="2"/>
  <c r="R996" i="2" l="1"/>
  <c r="Q996" i="2"/>
  <c r="P996" i="2"/>
  <c r="I996" i="2"/>
  <c r="K996" i="2"/>
  <c r="S996" i="2"/>
  <c r="J996" i="2"/>
  <c r="U996" i="2" l="1"/>
  <c r="T996" i="2"/>
  <c r="V996" i="2"/>
  <c r="X996" i="2"/>
  <c r="F997" i="2" s="1"/>
  <c r="Y996" i="2"/>
  <c r="G997" i="2" s="1"/>
  <c r="W996" i="2"/>
  <c r="E997" i="2" s="1"/>
  <c r="D997" i="2" l="1"/>
  <c r="H997" i="2"/>
  <c r="M997" i="2" s="1"/>
  <c r="B997" i="2"/>
  <c r="C997" i="2"/>
  <c r="K997" i="2" l="1"/>
  <c r="J997" i="2"/>
  <c r="I997" i="2"/>
  <c r="S997" i="2"/>
  <c r="N997" i="2"/>
  <c r="O997" i="2" s="1"/>
  <c r="L997" i="2"/>
  <c r="R997" i="2" l="1"/>
  <c r="Q997" i="2"/>
  <c r="P997" i="2"/>
  <c r="V997" i="2"/>
  <c r="U997" i="2"/>
  <c r="X997" i="2" s="1"/>
  <c r="F998" i="2" s="1"/>
  <c r="T997" i="2"/>
  <c r="W997" i="2" s="1"/>
  <c r="E998" i="2" s="1"/>
  <c r="Y997" i="2"/>
  <c r="G998" i="2" s="1"/>
  <c r="C998" i="2" l="1"/>
  <c r="H998" i="2"/>
  <c r="N998" i="2" s="1"/>
  <c r="O998" i="2" s="1"/>
  <c r="B998" i="2"/>
  <c r="D998" i="2"/>
  <c r="R998" i="2" l="1"/>
  <c r="J998" i="2"/>
  <c r="I998" i="2"/>
  <c r="K998" i="2"/>
  <c r="S998" i="2"/>
  <c r="L998" i="2"/>
  <c r="P998" i="2" s="1"/>
  <c r="M998" i="2"/>
  <c r="Q998" i="2" s="1"/>
  <c r="V998" i="2" l="1"/>
  <c r="Y998" i="2" s="1"/>
  <c r="G999" i="2" s="1"/>
  <c r="U998" i="2"/>
  <c r="X998" i="2" s="1"/>
  <c r="F999" i="2" s="1"/>
  <c r="T998" i="2"/>
  <c r="W998" i="2" s="1"/>
  <c r="E999" i="2" s="1"/>
  <c r="C999" i="2" l="1"/>
  <c r="D999" i="2"/>
  <c r="H999" i="2"/>
  <c r="B999" i="2"/>
  <c r="K999" i="2" l="1"/>
  <c r="J999" i="2"/>
  <c r="I999" i="2"/>
  <c r="S999" i="2"/>
  <c r="L999" i="2"/>
  <c r="N999" i="2"/>
  <c r="O999" i="2" s="1"/>
  <c r="M999" i="2"/>
  <c r="R999" i="2" l="1"/>
  <c r="Q999" i="2"/>
  <c r="U999" i="2" s="1"/>
  <c r="X999" i="2" s="1"/>
  <c r="F1000" i="2" s="1"/>
  <c r="P999" i="2"/>
  <c r="T999" i="2" s="1"/>
  <c r="W999" i="2" s="1"/>
  <c r="E1000" i="2" s="1"/>
  <c r="V999" i="2"/>
  <c r="Y999" i="2" s="1"/>
  <c r="G1000" i="2" s="1"/>
  <c r="C1000" i="2" l="1"/>
  <c r="H1000" i="2"/>
  <c r="N1000" i="2" s="1"/>
  <c r="O1000" i="2" s="1"/>
  <c r="B1000" i="2"/>
  <c r="D1000" i="2"/>
  <c r="R1000" i="2" l="1"/>
  <c r="J1000" i="2"/>
  <c r="K1000" i="2"/>
  <c r="I1000" i="2"/>
  <c r="S1000" i="2"/>
  <c r="M1000" i="2"/>
  <c r="Q1000" i="2" s="1"/>
  <c r="L1000" i="2"/>
  <c r="P1000" i="2" s="1"/>
  <c r="V1000" i="2" l="1"/>
  <c r="T1000" i="2"/>
  <c r="U1000" i="2"/>
  <c r="X1000" i="2"/>
  <c r="F1001" i="2" s="1"/>
  <c r="W1000" i="2"/>
  <c r="E1001" i="2" s="1"/>
  <c r="Y1000" i="2"/>
  <c r="G1001" i="2" s="1"/>
  <c r="C1001" i="2" l="1"/>
  <c r="D1001" i="2"/>
  <c r="H1001" i="2"/>
  <c r="N1001" i="2" s="1"/>
  <c r="O1001" i="2" s="1"/>
  <c r="B1001" i="2"/>
  <c r="R1001" i="2" l="1"/>
  <c r="K1001" i="2"/>
  <c r="J1001" i="2"/>
  <c r="I1001" i="2"/>
  <c r="S1001" i="2"/>
  <c r="L1001" i="2"/>
  <c r="P1001" i="2" s="1"/>
  <c r="M1001" i="2"/>
  <c r="Q1001" i="2" s="1"/>
  <c r="V1001" i="2" l="1"/>
  <c r="U1001" i="2"/>
  <c r="X1001" i="2" s="1"/>
  <c r="F1002" i="2" s="1"/>
  <c r="T1001" i="2"/>
  <c r="W1001" i="2" s="1"/>
  <c r="E1002" i="2" s="1"/>
  <c r="Y1001" i="2"/>
  <c r="G1002" i="2" s="1"/>
  <c r="H1002" i="2" l="1"/>
  <c r="B1002" i="2"/>
  <c r="M1002" i="2"/>
  <c r="C1002" i="2"/>
  <c r="N1002" i="2"/>
  <c r="O1002" i="2" s="1"/>
  <c r="D1002" i="2"/>
  <c r="R1002" i="2" l="1"/>
  <c r="Q1002" i="2"/>
  <c r="K1002" i="2"/>
  <c r="J1002" i="2"/>
  <c r="I1002" i="2"/>
  <c r="S1002" i="2"/>
  <c r="L1002" i="2"/>
  <c r="P1002" i="2" s="1"/>
  <c r="U1002" i="2" l="1"/>
  <c r="T1002" i="2"/>
  <c r="V1002" i="2"/>
  <c r="X1002" i="2"/>
  <c r="F1003" i="2" s="1"/>
  <c r="W1002" i="2"/>
  <c r="E1003" i="2" s="1"/>
  <c r="Y1002" i="2"/>
  <c r="G1003" i="2" s="1"/>
  <c r="H1003" i="2" l="1"/>
  <c r="N1003" i="2" s="1"/>
  <c r="O1003" i="2" s="1"/>
  <c r="B1003" i="2"/>
  <c r="D1003" i="2"/>
  <c r="M1003" i="2"/>
  <c r="C1003" i="2"/>
  <c r="R1003" i="2" l="1"/>
  <c r="Q1003" i="2"/>
  <c r="K1003" i="2"/>
  <c r="I1003" i="2"/>
  <c r="J1003" i="2"/>
  <c r="S1003" i="2"/>
  <c r="L1003" i="2"/>
  <c r="P1003" i="2" s="1"/>
  <c r="V1003" i="2" l="1"/>
  <c r="U1003" i="2"/>
  <c r="X1003" i="2" s="1"/>
  <c r="F1004" i="2" s="1"/>
  <c r="T1003" i="2"/>
  <c r="Y1003" i="2"/>
  <c r="G1004" i="2" s="1"/>
  <c r="W1003" i="2"/>
  <c r="E1004" i="2" s="1"/>
  <c r="C1004" i="2" l="1"/>
  <c r="H1004" i="2"/>
  <c r="B1004" i="2"/>
  <c r="N1004" i="2"/>
  <c r="O1004" i="2" s="1"/>
  <c r="D1004" i="2"/>
  <c r="R1004" i="2" l="1"/>
  <c r="J1004" i="2"/>
  <c r="I1004" i="2"/>
  <c r="K1004" i="2"/>
  <c r="S1004" i="2"/>
  <c r="L1004" i="2"/>
  <c r="P1004" i="2" s="1"/>
  <c r="M1004" i="2"/>
  <c r="Q1004" i="2" s="1"/>
  <c r="V1004" i="2" l="1"/>
  <c r="U1004" i="2"/>
  <c r="T1004" i="2"/>
  <c r="W1004" i="2"/>
  <c r="E1005" i="2" s="1"/>
  <c r="Y1004" i="2"/>
  <c r="G1005" i="2" s="1"/>
  <c r="X1004" i="2"/>
  <c r="F1005" i="2" s="1"/>
  <c r="D1005" i="2" l="1"/>
  <c r="C1005" i="2"/>
  <c r="H1005" i="2"/>
  <c r="L1005" i="2" s="1"/>
  <c r="B1005" i="2"/>
  <c r="K1005" i="2" l="1"/>
  <c r="S1005" i="2"/>
  <c r="I1005" i="2"/>
  <c r="J1005" i="2"/>
  <c r="M1005" i="2"/>
  <c r="N1005" i="2"/>
  <c r="O1005" i="2" s="1"/>
  <c r="R1005" i="2" l="1"/>
  <c r="Q1005" i="2"/>
  <c r="U1005" i="2" s="1"/>
  <c r="X1005" i="2" s="1"/>
  <c r="F1006" i="2" s="1"/>
  <c r="P1005" i="2"/>
  <c r="T1005" i="2" s="1"/>
  <c r="W1005" i="2" s="1"/>
  <c r="E1006" i="2" s="1"/>
  <c r="V1005" i="2"/>
  <c r="Y1005" i="2"/>
  <c r="G1006" i="2" s="1"/>
  <c r="C1006" i="2" l="1"/>
  <c r="D1006" i="2"/>
  <c r="H1006" i="2"/>
  <c r="B1006" i="2"/>
  <c r="J1006" i="2" l="1"/>
  <c r="K1006" i="2"/>
  <c r="I1006" i="2"/>
  <c r="S1006" i="2"/>
  <c r="N1006" i="2"/>
  <c r="O1006" i="2" s="1"/>
  <c r="M1006" i="2"/>
  <c r="L1006" i="2"/>
  <c r="R1006" i="2" l="1"/>
  <c r="Q1006" i="2"/>
  <c r="P1006" i="2"/>
  <c r="T1006" i="2" s="1"/>
  <c r="W1006" i="2" s="1"/>
  <c r="E1007" i="2" s="1"/>
  <c r="V1006" i="2"/>
  <c r="Y1006" i="2" s="1"/>
  <c r="G1007" i="2" s="1"/>
  <c r="U1006" i="2"/>
  <c r="X1006" i="2" s="1"/>
  <c r="F1007" i="2" s="1"/>
  <c r="D1007" i="2" l="1"/>
  <c r="C1007" i="2"/>
  <c r="H1007" i="2"/>
  <c r="N1007" i="2" s="1"/>
  <c r="O1007" i="2" s="1"/>
  <c r="B1007" i="2"/>
  <c r="R1007" i="2" l="1"/>
  <c r="I1007" i="2"/>
  <c r="J1007" i="2"/>
  <c r="S1007" i="2"/>
  <c r="K1007" i="2"/>
  <c r="L1007" i="2"/>
  <c r="P1007" i="2" s="1"/>
  <c r="M1007" i="2"/>
  <c r="Q1007" i="2" s="1"/>
  <c r="V1007" i="2" l="1"/>
  <c r="U1007" i="2"/>
  <c r="T1007" i="2"/>
  <c r="W1007" i="2"/>
  <c r="E1008" i="2" s="1"/>
  <c r="Y1007" i="2"/>
  <c r="G1008" i="2" s="1"/>
  <c r="X1007" i="2"/>
  <c r="F1008" i="2" s="1"/>
  <c r="D1008" i="2" l="1"/>
  <c r="C1008" i="2"/>
  <c r="H1008" i="2"/>
  <c r="B1008" i="2"/>
  <c r="J1008" i="2" l="1"/>
  <c r="I1008" i="2"/>
  <c r="K1008" i="2"/>
  <c r="S1008" i="2"/>
  <c r="L1008" i="2"/>
  <c r="M1008" i="2"/>
  <c r="N1008" i="2"/>
  <c r="O1008" i="2" s="1"/>
  <c r="R1008" i="2" l="1"/>
  <c r="V1008" i="2" s="1"/>
  <c r="Y1008" i="2" s="1"/>
  <c r="G1009" i="2" s="1"/>
  <c r="Q1008" i="2"/>
  <c r="U1008" i="2" s="1"/>
  <c r="X1008" i="2" s="1"/>
  <c r="F1009" i="2" s="1"/>
  <c r="P1008" i="2"/>
  <c r="T1008" i="2" s="1"/>
  <c r="W1008" i="2" s="1"/>
  <c r="E1009" i="2" s="1"/>
  <c r="H1009" i="2" l="1"/>
  <c r="B1009" i="2"/>
  <c r="M1009" i="2"/>
  <c r="C1009" i="2"/>
  <c r="N1009" i="2"/>
  <c r="O1009" i="2" s="1"/>
  <c r="D1009" i="2"/>
  <c r="R1009" i="2" l="1"/>
  <c r="Q1009" i="2"/>
  <c r="I1009" i="2"/>
  <c r="K1009" i="2"/>
  <c r="S1009" i="2"/>
  <c r="J1009" i="2"/>
  <c r="L1009" i="2"/>
  <c r="P1009" i="2" s="1"/>
  <c r="V1009" i="2" l="1"/>
  <c r="Y1009" i="2" s="1"/>
  <c r="G1010" i="2" s="1"/>
  <c r="U1009" i="2"/>
  <c r="X1009" i="2" s="1"/>
  <c r="F1010" i="2" s="1"/>
  <c r="T1009" i="2"/>
  <c r="W1009" i="2" s="1"/>
  <c r="E1010" i="2" s="1"/>
  <c r="C1010" i="2" l="1"/>
  <c r="D1010" i="2"/>
  <c r="H1010" i="2"/>
  <c r="B1010" i="2"/>
  <c r="J1010" i="2" l="1"/>
  <c r="I1010" i="2"/>
  <c r="K1010" i="2"/>
  <c r="S1010" i="2"/>
  <c r="L1010" i="2"/>
  <c r="N1010" i="2"/>
  <c r="O1010" i="2" s="1"/>
  <c r="M1010" i="2"/>
  <c r="R1010" i="2" l="1"/>
  <c r="V1010" i="2" s="1"/>
  <c r="Y1010" i="2" s="1"/>
  <c r="G1011" i="2" s="1"/>
  <c r="Q1010" i="2"/>
  <c r="U1010" i="2" s="1"/>
  <c r="X1010" i="2" s="1"/>
  <c r="F1011" i="2" s="1"/>
  <c r="P1010" i="2"/>
  <c r="T1010" i="2" s="1"/>
  <c r="W1010" i="2" s="1"/>
  <c r="E1011" i="2" s="1"/>
  <c r="H1011" i="2" l="1"/>
  <c r="B1011" i="2"/>
  <c r="M1011" i="2"/>
  <c r="C1011" i="2"/>
  <c r="N1011" i="2"/>
  <c r="O1011" i="2" s="1"/>
  <c r="D1011" i="2"/>
  <c r="R1011" i="2" l="1"/>
  <c r="Q1011" i="2"/>
  <c r="J1011" i="2"/>
  <c r="I1011" i="2"/>
  <c r="K1011" i="2"/>
  <c r="S1011" i="2"/>
  <c r="L1011" i="2"/>
  <c r="P1011" i="2" s="1"/>
  <c r="V1011" i="2" l="1"/>
  <c r="U1011" i="2"/>
  <c r="T1011" i="2"/>
  <c r="W1011" i="2"/>
  <c r="E1012" i="2" s="1"/>
  <c r="Y1011" i="2"/>
  <c r="G1012" i="2" s="1"/>
  <c r="X1011" i="2"/>
  <c r="F1012" i="2" s="1"/>
  <c r="D1012" i="2" l="1"/>
  <c r="C1012" i="2"/>
  <c r="H1012" i="2"/>
  <c r="B1012" i="2"/>
  <c r="K1012" i="2" l="1"/>
  <c r="I1012" i="2"/>
  <c r="J1012" i="2"/>
  <c r="S1012" i="2"/>
  <c r="L1012" i="2"/>
  <c r="M1012" i="2"/>
  <c r="N1012" i="2"/>
  <c r="O1012" i="2" s="1"/>
  <c r="R1012" i="2" l="1"/>
  <c r="Q1012" i="2"/>
  <c r="P1012" i="2"/>
  <c r="V1012" i="2"/>
  <c r="U1012" i="2"/>
  <c r="X1012" i="2" s="1"/>
  <c r="F1013" i="2" s="1"/>
  <c r="T1012" i="2"/>
  <c r="W1012" i="2" s="1"/>
  <c r="E1013" i="2" s="1"/>
  <c r="Y1012" i="2"/>
  <c r="G1013" i="2" s="1"/>
  <c r="H1013" i="2" l="1"/>
  <c r="L1013" i="2" s="1"/>
  <c r="B1013" i="2"/>
  <c r="M1013" i="2"/>
  <c r="C1013" i="2"/>
  <c r="N1013" i="2"/>
  <c r="O1013" i="2" s="1"/>
  <c r="D1013" i="2"/>
  <c r="R1013" i="2" l="1"/>
  <c r="Q1013" i="2"/>
  <c r="P1013" i="2"/>
  <c r="K1013" i="2"/>
  <c r="J1013" i="2"/>
  <c r="I1013" i="2"/>
  <c r="S1013" i="2"/>
  <c r="V1013" i="2" l="1"/>
  <c r="U1013" i="2"/>
  <c r="X1013" i="2" s="1"/>
  <c r="F1014" i="2" s="1"/>
  <c r="T1013" i="2"/>
  <c r="W1013" i="2" s="1"/>
  <c r="E1014" i="2" s="1"/>
  <c r="Y1013" i="2"/>
  <c r="G1014" i="2" s="1"/>
  <c r="H1014" i="2" l="1"/>
  <c r="B1014" i="2"/>
  <c r="M1014" i="2"/>
  <c r="C1014" i="2"/>
  <c r="N1014" i="2"/>
  <c r="O1014" i="2" s="1"/>
  <c r="D1014" i="2"/>
  <c r="R1014" i="2" l="1"/>
  <c r="Q1014" i="2"/>
  <c r="I1014" i="2"/>
  <c r="K1014" i="2"/>
  <c r="S1014" i="2"/>
  <c r="J1014" i="2"/>
  <c r="L1014" i="2"/>
  <c r="P1014" i="2" s="1"/>
  <c r="V1014" i="2" l="1"/>
  <c r="Y1014" i="2" s="1"/>
  <c r="G1015" i="2" s="1"/>
  <c r="U1014" i="2"/>
  <c r="X1014" i="2" s="1"/>
  <c r="F1015" i="2" s="1"/>
  <c r="T1014" i="2"/>
  <c r="W1014" i="2" s="1"/>
  <c r="E1015" i="2" s="1"/>
  <c r="D1015" i="2" l="1"/>
  <c r="H1015" i="2"/>
  <c r="M1015" i="2" s="1"/>
  <c r="B1015" i="2"/>
  <c r="C1015" i="2"/>
  <c r="I1015" i="2" l="1"/>
  <c r="K1015" i="2"/>
  <c r="S1015" i="2"/>
  <c r="J1015" i="2"/>
  <c r="L1015" i="2"/>
  <c r="N1015" i="2"/>
  <c r="O1015" i="2" s="1"/>
  <c r="R1015" i="2" l="1"/>
  <c r="Q1015" i="2"/>
  <c r="P1015" i="2"/>
  <c r="V1015" i="2"/>
  <c r="Y1015" i="2" s="1"/>
  <c r="G1016" i="2" s="1"/>
  <c r="U1015" i="2"/>
  <c r="X1015" i="2" s="1"/>
  <c r="F1016" i="2" s="1"/>
  <c r="T1015" i="2"/>
  <c r="W1015" i="2" s="1"/>
  <c r="E1016" i="2" s="1"/>
  <c r="C1016" i="2" l="1"/>
  <c r="H1016" i="2"/>
  <c r="N1016" i="2" s="1"/>
  <c r="O1016" i="2" s="1"/>
  <c r="B1016" i="2"/>
  <c r="D1016" i="2"/>
  <c r="R1016" i="2" l="1"/>
  <c r="J1016" i="2"/>
  <c r="I1016" i="2"/>
  <c r="K1016" i="2"/>
  <c r="S1016" i="2"/>
  <c r="L1016" i="2"/>
  <c r="P1016" i="2" s="1"/>
  <c r="M1016" i="2"/>
  <c r="Q1016" i="2" s="1"/>
  <c r="V1016" i="2" l="1"/>
  <c r="Y1016" i="2" s="1"/>
  <c r="G1017" i="2" s="1"/>
  <c r="U1016" i="2"/>
  <c r="T1016" i="2"/>
  <c r="W1016" i="2" s="1"/>
  <c r="E1017" i="2" s="1"/>
  <c r="X1016" i="2"/>
  <c r="F1017" i="2" s="1"/>
  <c r="D1017" i="2" l="1"/>
  <c r="C1017" i="2"/>
  <c r="H1017" i="2"/>
  <c r="B1017" i="2"/>
  <c r="K1017" i="2" l="1"/>
  <c r="J1017" i="2"/>
  <c r="I1017" i="2"/>
  <c r="S1017" i="2"/>
  <c r="L1017" i="2"/>
  <c r="M1017" i="2"/>
  <c r="N1017" i="2"/>
  <c r="O1017" i="2" s="1"/>
  <c r="R1017" i="2" l="1"/>
  <c r="V1017" i="2" s="1"/>
  <c r="Y1017" i="2" s="1"/>
  <c r="G1018" i="2" s="1"/>
  <c r="Q1017" i="2"/>
  <c r="U1017" i="2" s="1"/>
  <c r="X1017" i="2" s="1"/>
  <c r="F1018" i="2" s="1"/>
  <c r="P1017" i="2"/>
  <c r="T1017" i="2" s="1"/>
  <c r="W1017" i="2" s="1"/>
  <c r="E1018" i="2" s="1"/>
  <c r="H1018" i="2" l="1"/>
  <c r="B1018" i="2"/>
  <c r="M1018" i="2"/>
  <c r="C1018" i="2"/>
  <c r="N1018" i="2"/>
  <c r="O1018" i="2" s="1"/>
  <c r="D1018" i="2"/>
  <c r="R1018" i="2" l="1"/>
  <c r="Q1018" i="2"/>
  <c r="J1018" i="2"/>
  <c r="K1018" i="2"/>
  <c r="I1018" i="2"/>
  <c r="S1018" i="2"/>
  <c r="L1018" i="2"/>
  <c r="P1018" i="2" s="1"/>
  <c r="V1018" i="2" l="1"/>
  <c r="U1018" i="2"/>
  <c r="T1018" i="2"/>
  <c r="Y1018" i="2"/>
  <c r="G1019" i="2" s="1"/>
  <c r="W1018" i="2"/>
  <c r="E1019" i="2" s="1"/>
  <c r="X1018" i="2"/>
  <c r="F1019" i="2" s="1"/>
  <c r="H1019" i="2" l="1"/>
  <c r="B1019" i="2"/>
  <c r="M1019" i="2"/>
  <c r="C1019" i="2"/>
  <c r="N1019" i="2"/>
  <c r="O1019" i="2" s="1"/>
  <c r="D1019" i="2"/>
  <c r="R1019" i="2" l="1"/>
  <c r="Q1019" i="2"/>
  <c r="K1019" i="2"/>
  <c r="J1019" i="2"/>
  <c r="S1019" i="2"/>
  <c r="I1019" i="2"/>
  <c r="L1019" i="2"/>
  <c r="P1019" i="2" s="1"/>
  <c r="V1019" i="2" l="1"/>
  <c r="U1019" i="2"/>
  <c r="X1019" i="2" s="1"/>
  <c r="F1020" i="2" s="1"/>
  <c r="T1019" i="2"/>
  <c r="W1019" i="2" s="1"/>
  <c r="E1020" i="2" s="1"/>
  <c r="Y1019" i="2"/>
  <c r="G1020" i="2" s="1"/>
  <c r="H1020" i="2" l="1"/>
  <c r="B1020" i="2"/>
  <c r="M1020" i="2"/>
  <c r="C1020" i="2"/>
  <c r="N1020" i="2"/>
  <c r="O1020" i="2" s="1"/>
  <c r="D1020" i="2"/>
  <c r="R1020" i="2" l="1"/>
  <c r="Q1020" i="2"/>
  <c r="J1020" i="2"/>
  <c r="K1020" i="2"/>
  <c r="I1020" i="2"/>
  <c r="S1020" i="2"/>
  <c r="L1020" i="2"/>
  <c r="P1020" i="2" s="1"/>
  <c r="V1020" i="2" l="1"/>
  <c r="Y1020" i="2" s="1"/>
  <c r="G1021" i="2" s="1"/>
  <c r="U1020" i="2"/>
  <c r="T1020" i="2"/>
  <c r="W1020" i="2"/>
  <c r="E1021" i="2" s="1"/>
  <c r="X1020" i="2"/>
  <c r="F1021" i="2" s="1"/>
  <c r="D1021" i="2" l="1"/>
  <c r="C1021" i="2"/>
  <c r="H1021" i="2"/>
  <c r="B1021" i="2"/>
  <c r="I1021" i="2" l="1"/>
  <c r="J1021" i="2"/>
  <c r="K1021" i="2"/>
  <c r="S1021" i="2"/>
  <c r="L1021" i="2"/>
  <c r="M1021" i="2"/>
  <c r="N1021" i="2"/>
  <c r="O1021" i="2" s="1"/>
  <c r="R1021" i="2" l="1"/>
  <c r="V1021" i="2" s="1"/>
  <c r="Y1021" i="2" s="1"/>
  <c r="G1022" i="2" s="1"/>
  <c r="Q1021" i="2"/>
  <c r="U1021" i="2" s="1"/>
  <c r="X1021" i="2" s="1"/>
  <c r="F1022" i="2" s="1"/>
  <c r="P1021" i="2"/>
  <c r="T1021" i="2" s="1"/>
  <c r="W1021" i="2" s="1"/>
  <c r="E1022" i="2" s="1"/>
  <c r="H1022" i="2" l="1"/>
  <c r="B1022" i="2"/>
  <c r="M1022" i="2"/>
  <c r="C1022" i="2"/>
  <c r="N1022" i="2"/>
  <c r="O1022" i="2" s="1"/>
  <c r="D1022" i="2"/>
  <c r="R1022" i="2" l="1"/>
  <c r="Q1022" i="2"/>
  <c r="J1022" i="2"/>
  <c r="I1022" i="2"/>
  <c r="K1022" i="2"/>
  <c r="S1022" i="2"/>
  <c r="L1022" i="2"/>
  <c r="P1022" i="2" s="1"/>
  <c r="V1022" i="2" l="1"/>
  <c r="U1022" i="2"/>
  <c r="T1022" i="2"/>
  <c r="W1022" i="2" s="1"/>
  <c r="E1023" i="2" s="1"/>
  <c r="Y1022" i="2"/>
  <c r="G1023" i="2" s="1"/>
  <c r="X1022" i="2"/>
  <c r="F1023" i="2" s="1"/>
  <c r="H1023" i="2" l="1"/>
  <c r="L1023" i="2" s="1"/>
  <c r="B1023" i="2"/>
  <c r="M1023" i="2"/>
  <c r="C1023" i="2"/>
  <c r="N1023" i="2"/>
  <c r="O1023" i="2" s="1"/>
  <c r="D1023" i="2"/>
  <c r="R1023" i="2" l="1"/>
  <c r="Q1023" i="2"/>
  <c r="P1023" i="2"/>
  <c r="J1023" i="2"/>
  <c r="K1023" i="2"/>
  <c r="I1023" i="2"/>
  <c r="S1023" i="2"/>
  <c r="V1023" i="2" l="1"/>
  <c r="U1023" i="2"/>
  <c r="T1023" i="2"/>
  <c r="W1023" i="2" s="1"/>
  <c r="E1024" i="2" s="1"/>
  <c r="X1023" i="2"/>
  <c r="F1024" i="2" s="1"/>
  <c r="Y1023" i="2"/>
  <c r="G1024" i="2" s="1"/>
  <c r="H1024" i="2" l="1"/>
  <c r="B1024" i="2"/>
  <c r="N1024" i="2"/>
  <c r="O1024" i="2" s="1"/>
  <c r="D1024" i="2"/>
  <c r="M1024" i="2"/>
  <c r="C1024" i="2"/>
  <c r="D38" i="3" l="1"/>
  <c r="G38" i="3" s="1"/>
  <c r="D36" i="3"/>
  <c r="D34" i="3"/>
  <c r="D32" i="3"/>
  <c r="F32" i="3" s="1"/>
  <c r="D30" i="3"/>
  <c r="C38" i="3"/>
  <c r="C36" i="3"/>
  <c r="C34" i="3"/>
  <c r="C32" i="3"/>
  <c r="C30" i="3"/>
  <c r="C28" i="3"/>
  <c r="C26" i="3"/>
  <c r="C24" i="3"/>
  <c r="C22" i="3"/>
  <c r="C20" i="3"/>
  <c r="C18" i="3"/>
  <c r="C16" i="3"/>
  <c r="C14" i="3"/>
  <c r="C12" i="3"/>
  <c r="C10" i="3"/>
  <c r="C8" i="3"/>
  <c r="C6" i="3"/>
  <c r="C4" i="3"/>
  <c r="C2" i="3"/>
  <c r="B38" i="3"/>
  <c r="B36" i="3"/>
  <c r="B34" i="3"/>
  <c r="B32" i="3"/>
  <c r="B30" i="3"/>
  <c r="B28" i="3"/>
  <c r="B26" i="3"/>
  <c r="B24" i="3"/>
  <c r="B22" i="3"/>
  <c r="B20" i="3"/>
  <c r="B18" i="3"/>
  <c r="B16" i="3"/>
  <c r="B14" i="3"/>
  <c r="B12" i="3"/>
  <c r="B10" i="3"/>
  <c r="B8" i="3"/>
  <c r="B6" i="3"/>
  <c r="B4" i="3"/>
  <c r="B2" i="3"/>
  <c r="D37" i="3"/>
  <c r="D35" i="3"/>
  <c r="G35" i="3" s="1"/>
  <c r="D33" i="3"/>
  <c r="D31" i="3"/>
  <c r="D29" i="3"/>
  <c r="E29" i="3" s="1"/>
  <c r="D27" i="3"/>
  <c r="D25" i="3"/>
  <c r="D23" i="3"/>
  <c r="E23" i="3" s="1"/>
  <c r="D21" i="3"/>
  <c r="D19" i="3"/>
  <c r="D17" i="3"/>
  <c r="E17" i="3" s="1"/>
  <c r="D15" i="3"/>
  <c r="D13" i="3"/>
  <c r="D11" i="3"/>
  <c r="D9" i="3"/>
  <c r="D7" i="3"/>
  <c r="D5" i="3"/>
  <c r="D3" i="3"/>
  <c r="C37" i="3"/>
  <c r="C35" i="3"/>
  <c r="C33" i="3"/>
  <c r="C31" i="3"/>
  <c r="C29" i="3"/>
  <c r="C27" i="3"/>
  <c r="C25" i="3"/>
  <c r="C23" i="3"/>
  <c r="C21" i="3"/>
  <c r="C19" i="3"/>
  <c r="C17" i="3"/>
  <c r="C15" i="3"/>
  <c r="C13" i="3"/>
  <c r="C11" i="3"/>
  <c r="C9" i="3"/>
  <c r="C7" i="3"/>
  <c r="C5" i="3"/>
  <c r="C3" i="3"/>
  <c r="B37" i="3"/>
  <c r="B35" i="3"/>
  <c r="B33" i="3"/>
  <c r="B31" i="3"/>
  <c r="B29" i="3"/>
  <c r="B27" i="3"/>
  <c r="B25" i="3"/>
  <c r="B23" i="3"/>
  <c r="B21" i="3"/>
  <c r="B19" i="3"/>
  <c r="B17" i="3"/>
  <c r="B15" i="3"/>
  <c r="B13" i="3"/>
  <c r="B11" i="3"/>
  <c r="B9" i="3"/>
  <c r="B7" i="3"/>
  <c r="B5" i="3"/>
  <c r="B3" i="3"/>
  <c r="D8" i="3"/>
  <c r="D18" i="3"/>
  <c r="D28" i="3"/>
  <c r="D4" i="3"/>
  <c r="D24" i="3"/>
  <c r="D10" i="3"/>
  <c r="D20" i="3"/>
  <c r="E20" i="3" s="1"/>
  <c r="D16" i="3"/>
  <c r="D12" i="3"/>
  <c r="D26" i="3"/>
  <c r="E26" i="3" s="1"/>
  <c r="D22" i="3"/>
  <c r="D14" i="3"/>
  <c r="E14" i="3" s="1"/>
  <c r="D6" i="3"/>
  <c r="D2" i="3"/>
  <c r="R1024" i="2"/>
  <c r="Q1024" i="2"/>
  <c r="K1024" i="2"/>
  <c r="I1024" i="2"/>
  <c r="J1024" i="2"/>
  <c r="S1024" i="2"/>
  <c r="L1024" i="2"/>
  <c r="P1024" i="2" s="1"/>
  <c r="V1024" i="2" l="1"/>
  <c r="Y1024" i="2" s="1"/>
  <c r="G1025" i="2" s="1"/>
  <c r="U1024" i="2"/>
  <c r="X1024" i="2" s="1"/>
  <c r="F1025" i="2" s="1"/>
  <c r="T1024" i="2"/>
  <c r="W1024" i="2" s="1"/>
  <c r="E1025" i="2" s="1"/>
  <c r="D1025" i="2" l="1"/>
  <c r="H1025" i="2"/>
  <c r="N1025" i="2" s="1"/>
  <c r="O1025" i="2" s="1"/>
  <c r="B1025" i="2"/>
  <c r="C1025" i="2"/>
  <c r="M1025" i="2" l="1"/>
  <c r="R1025" i="2"/>
  <c r="Q1025" i="2"/>
  <c r="L1025" i="2"/>
  <c r="P1025" i="2" s="1"/>
  <c r="J1025" i="2"/>
  <c r="K1025" i="2"/>
  <c r="I1025" i="2"/>
  <c r="S1025" i="2"/>
  <c r="V1025" i="2" l="1"/>
  <c r="U1025" i="2"/>
  <c r="X1025" i="2" s="1"/>
  <c r="F1026" i="2" s="1"/>
  <c r="T1025" i="2"/>
  <c r="W1025" i="2" s="1"/>
  <c r="E1026" i="2" s="1"/>
  <c r="Y1025" i="2"/>
  <c r="G1026" i="2" s="1"/>
  <c r="H1026" i="2" l="1"/>
  <c r="B1026" i="2"/>
  <c r="M1026" i="2"/>
  <c r="C1026" i="2"/>
  <c r="N1026" i="2"/>
  <c r="O1026" i="2" s="1"/>
  <c r="D1026" i="2"/>
  <c r="R1026" i="2" l="1"/>
  <c r="Q1026" i="2"/>
  <c r="I1026" i="2"/>
  <c r="K1026" i="2"/>
  <c r="J1026" i="2"/>
  <c r="S1026" i="2"/>
  <c r="L1026" i="2"/>
  <c r="P1026" i="2" s="1"/>
  <c r="V1026" i="2" l="1"/>
  <c r="U1026" i="2"/>
  <c r="T1026" i="2"/>
  <c r="Y1026" i="2"/>
  <c r="G1027" i="2" s="1"/>
  <c r="X1026" i="2"/>
  <c r="F1027" i="2" s="1"/>
  <c r="W1026" i="2"/>
  <c r="E1027" i="2" s="1"/>
  <c r="D1027" i="2" l="1"/>
  <c r="H1027" i="2"/>
  <c r="B1027" i="2"/>
  <c r="C1027" i="2"/>
  <c r="I1027" i="2" l="1"/>
  <c r="K1027" i="2"/>
  <c r="J1027" i="2"/>
  <c r="S1027" i="2"/>
  <c r="L1027" i="2"/>
  <c r="M1027" i="2"/>
  <c r="N1027" i="2"/>
  <c r="O1027" i="2" s="1"/>
  <c r="R1027" i="2" l="1"/>
  <c r="V1027" i="2" s="1"/>
  <c r="Y1027" i="2" s="1"/>
  <c r="G1028" i="2" s="1"/>
  <c r="Q1027" i="2"/>
  <c r="U1027" i="2" s="1"/>
  <c r="X1027" i="2" s="1"/>
  <c r="F1028" i="2" s="1"/>
  <c r="P1027" i="2"/>
  <c r="T1027" i="2" s="1"/>
  <c r="W1027" i="2" s="1"/>
  <c r="E1028" i="2" s="1"/>
  <c r="C1028" i="2" l="1"/>
  <c r="H1028" i="2"/>
  <c r="B1028" i="2"/>
  <c r="D1028" i="2"/>
  <c r="J1028" i="2" l="1"/>
  <c r="K1028" i="2"/>
  <c r="I1028" i="2"/>
  <c r="S1028" i="2"/>
  <c r="N1028" i="2"/>
  <c r="O1028" i="2" s="1"/>
  <c r="L1028" i="2"/>
  <c r="M1028" i="2"/>
  <c r="R1028" i="2" l="1"/>
  <c r="Q1028" i="2"/>
  <c r="P1028" i="2"/>
  <c r="T1028" i="2" s="1"/>
  <c r="W1028" i="2" s="1"/>
  <c r="E1029" i="2" s="1"/>
  <c r="V1028" i="2"/>
  <c r="Y1028" i="2" s="1"/>
  <c r="G1029" i="2" s="1"/>
  <c r="U1028" i="2"/>
  <c r="X1028" i="2" s="1"/>
  <c r="F1029" i="2" s="1"/>
  <c r="H1029" i="2" l="1"/>
  <c r="B1029" i="2"/>
  <c r="N1029" i="2"/>
  <c r="O1029" i="2" s="1"/>
  <c r="D1029" i="2"/>
  <c r="M1029" i="2"/>
  <c r="C1029" i="2"/>
  <c r="R1029" i="2" l="1"/>
  <c r="Q1029" i="2"/>
  <c r="J1029" i="2"/>
  <c r="K1029" i="2"/>
  <c r="I1029" i="2"/>
  <c r="S1029" i="2"/>
  <c r="L1029" i="2"/>
  <c r="P1029" i="2" s="1"/>
  <c r="V1029" i="2" l="1"/>
  <c r="U1029" i="2"/>
  <c r="T1029" i="2"/>
  <c r="W1029" i="2" s="1"/>
  <c r="E1030" i="2" s="1"/>
  <c r="Y1029" i="2"/>
  <c r="G1030" i="2" s="1"/>
  <c r="X1029" i="2"/>
  <c r="F1030" i="2" s="1"/>
  <c r="H1030" i="2" l="1"/>
  <c r="B1030" i="2"/>
  <c r="M1030" i="2"/>
  <c r="C1030" i="2"/>
  <c r="N1030" i="2"/>
  <c r="O1030" i="2" s="1"/>
  <c r="D1030" i="2"/>
  <c r="R1030" i="2" l="1"/>
  <c r="Q1030" i="2"/>
  <c r="J1030" i="2"/>
  <c r="K1030" i="2"/>
  <c r="I1030" i="2"/>
  <c r="S1030" i="2"/>
  <c r="L1030" i="2"/>
  <c r="P1030" i="2" s="1"/>
  <c r="V1030" i="2" l="1"/>
  <c r="Y1030" i="2" s="1"/>
  <c r="G1031" i="2" s="1"/>
  <c r="U1030" i="2"/>
  <c r="T1030" i="2"/>
  <c r="W1030" i="2" s="1"/>
  <c r="E1031" i="2" s="1"/>
  <c r="X1030" i="2"/>
  <c r="F1031" i="2" s="1"/>
  <c r="H1031" i="2" l="1"/>
  <c r="B1031" i="2"/>
  <c r="N1031" i="2"/>
  <c r="O1031" i="2" s="1"/>
  <c r="D1031" i="2"/>
  <c r="M1031" i="2"/>
  <c r="C1031" i="2"/>
  <c r="R1031" i="2" l="1"/>
  <c r="Q1031" i="2"/>
  <c r="J1031" i="2"/>
  <c r="I1031" i="2"/>
  <c r="S1031" i="2"/>
  <c r="K1031" i="2"/>
  <c r="L1031" i="2"/>
  <c r="P1031" i="2" s="1"/>
  <c r="V1031" i="2" l="1"/>
  <c r="Y1031" i="2" s="1"/>
  <c r="G1032" i="2" s="1"/>
  <c r="U1031" i="2"/>
  <c r="T1031" i="2"/>
  <c r="W1031" i="2" s="1"/>
  <c r="E1032" i="2" s="1"/>
  <c r="X1031" i="2"/>
  <c r="F1032" i="2" s="1"/>
  <c r="H1032" i="2" l="1"/>
  <c r="B1032" i="2"/>
  <c r="N1032" i="2"/>
  <c r="O1032" i="2" s="1"/>
  <c r="D1032" i="2"/>
  <c r="M1032" i="2"/>
  <c r="C1032" i="2"/>
  <c r="R1032" i="2" l="1"/>
  <c r="Q1032" i="2"/>
  <c r="K1032" i="2"/>
  <c r="J1032" i="2"/>
  <c r="I1032" i="2"/>
  <c r="S1032" i="2"/>
  <c r="L1032" i="2"/>
  <c r="P1032" i="2" s="1"/>
  <c r="V1032" i="2" l="1"/>
  <c r="U1032" i="2"/>
  <c r="T1032" i="2"/>
  <c r="W1032" i="2"/>
  <c r="E1033" i="2" s="1"/>
  <c r="X1032" i="2"/>
  <c r="F1033" i="2" s="1"/>
  <c r="Y1032" i="2"/>
  <c r="G1033" i="2" s="1"/>
  <c r="C1033" i="2" l="1"/>
  <c r="D1033" i="2"/>
  <c r="H1033" i="2"/>
  <c r="B1033" i="2"/>
  <c r="I1033" i="2" l="1"/>
  <c r="K1033" i="2"/>
  <c r="J1033" i="2"/>
  <c r="S1033" i="2"/>
  <c r="L1033" i="2"/>
  <c r="N1033" i="2"/>
  <c r="O1033" i="2" s="1"/>
  <c r="M1033" i="2"/>
  <c r="R1033" i="2" l="1"/>
  <c r="Q1033" i="2"/>
  <c r="P1033" i="2"/>
  <c r="V1033" i="2"/>
  <c r="Y1033" i="2" s="1"/>
  <c r="G1034" i="2" s="1"/>
  <c r="U1033" i="2"/>
  <c r="T1033" i="2"/>
  <c r="X1033" i="2"/>
  <c r="F1034" i="2" s="1"/>
  <c r="W1033" i="2"/>
  <c r="E1034" i="2" s="1"/>
  <c r="D1034" i="2" l="1"/>
  <c r="C1034" i="2"/>
  <c r="H1034" i="2"/>
  <c r="B1034" i="2"/>
  <c r="J1034" i="2" l="1"/>
  <c r="I1034" i="2"/>
  <c r="K1034" i="2"/>
  <c r="S1034" i="2"/>
  <c r="M1034" i="2"/>
  <c r="L1034" i="2"/>
  <c r="N1034" i="2"/>
  <c r="O1034" i="2" s="1"/>
  <c r="R1034" i="2" l="1"/>
  <c r="Q1034" i="2"/>
  <c r="U1034" i="2" s="1"/>
  <c r="X1034" i="2" s="1"/>
  <c r="F1035" i="2" s="1"/>
  <c r="P1034" i="2"/>
  <c r="T1034" i="2" s="1"/>
  <c r="W1034" i="2" s="1"/>
  <c r="E1035" i="2" s="1"/>
  <c r="V1034" i="2"/>
  <c r="Y1034" i="2"/>
  <c r="G1035" i="2" s="1"/>
  <c r="H1035" i="2" l="1"/>
  <c r="L1035" i="2" s="1"/>
  <c r="B1035" i="2"/>
  <c r="N1035" i="2"/>
  <c r="O1035" i="2" s="1"/>
  <c r="D1035" i="2"/>
  <c r="M1035" i="2"/>
  <c r="C1035" i="2"/>
  <c r="R1035" i="2" l="1"/>
  <c r="Q1035" i="2"/>
  <c r="P1035" i="2"/>
  <c r="J1035" i="2"/>
  <c r="I1035" i="2"/>
  <c r="K1035" i="2"/>
  <c r="S1035" i="2"/>
  <c r="V1035" i="2" l="1"/>
  <c r="Y1035" i="2" s="1"/>
  <c r="G1036" i="2" s="1"/>
  <c r="U1035" i="2"/>
  <c r="T1035" i="2"/>
  <c r="W1035" i="2" s="1"/>
  <c r="E1036" i="2" s="1"/>
  <c r="X1035" i="2"/>
  <c r="F1036" i="2" s="1"/>
  <c r="H1036" i="2" l="1"/>
  <c r="B1036" i="2"/>
  <c r="N1036" i="2"/>
  <c r="O1036" i="2" s="1"/>
  <c r="D1036" i="2"/>
  <c r="M1036" i="2"/>
  <c r="C1036" i="2"/>
  <c r="R1036" i="2" l="1"/>
  <c r="Q1036" i="2"/>
  <c r="I1036" i="2"/>
  <c r="K1036" i="2"/>
  <c r="J1036" i="2"/>
  <c r="S1036" i="2"/>
  <c r="L1036" i="2"/>
  <c r="P1036" i="2" s="1"/>
  <c r="V1036" i="2" l="1"/>
  <c r="Y1036" i="2" s="1"/>
  <c r="G1037" i="2" s="1"/>
  <c r="U1036" i="2"/>
  <c r="X1036" i="2" s="1"/>
  <c r="F1037" i="2" s="1"/>
  <c r="T1036" i="2"/>
  <c r="W1036" i="2" s="1"/>
  <c r="E1037" i="2" s="1"/>
  <c r="D1037" i="2" l="1"/>
  <c r="C1037" i="2"/>
  <c r="H1037" i="2"/>
  <c r="M1037" i="2" s="1"/>
  <c r="B1037" i="2"/>
  <c r="K1037" i="2" l="1"/>
  <c r="J1037" i="2"/>
  <c r="S1037" i="2"/>
  <c r="I1037" i="2"/>
  <c r="L1037" i="2"/>
  <c r="N1037" i="2"/>
  <c r="O1037" i="2" s="1"/>
  <c r="R1037" i="2" l="1"/>
  <c r="Q1037" i="2"/>
  <c r="U1037" i="2" s="1"/>
  <c r="X1037" i="2" s="1"/>
  <c r="F1038" i="2" s="1"/>
  <c r="P1037" i="2"/>
  <c r="V1037" i="2"/>
  <c r="T1037" i="2"/>
  <c r="W1037" i="2" s="1"/>
  <c r="E1038" i="2" s="1"/>
  <c r="Y1037" i="2"/>
  <c r="G1038" i="2" s="1"/>
  <c r="H1038" i="2" l="1"/>
  <c r="B1038" i="2"/>
  <c r="M1038" i="2"/>
  <c r="C1038" i="2"/>
  <c r="N1038" i="2"/>
  <c r="O1038" i="2" s="1"/>
  <c r="D1038" i="2"/>
  <c r="R1038" i="2" l="1"/>
  <c r="Q1038" i="2"/>
  <c r="I1038" i="2"/>
  <c r="K1038" i="2"/>
  <c r="J1038" i="2"/>
  <c r="S1038" i="2"/>
  <c r="L1038" i="2"/>
  <c r="P1038" i="2" s="1"/>
  <c r="V1038" i="2" l="1"/>
  <c r="U1038" i="2"/>
  <c r="X1038" i="2" s="1"/>
  <c r="F1039" i="2" s="1"/>
  <c r="T1038" i="2"/>
  <c r="Y1038" i="2"/>
  <c r="G1039" i="2" s="1"/>
  <c r="W1038" i="2"/>
  <c r="E1039" i="2" s="1"/>
  <c r="C1039" i="2" l="1"/>
  <c r="H1039" i="2"/>
  <c r="N1039" i="2" s="1"/>
  <c r="O1039" i="2" s="1"/>
  <c r="B1039" i="2"/>
  <c r="D1039" i="2"/>
  <c r="I1039" i="2" l="1"/>
  <c r="K1039" i="2"/>
  <c r="J1039" i="2"/>
  <c r="S1039" i="2"/>
  <c r="L1039" i="2"/>
  <c r="M1039" i="2"/>
  <c r="Q1039" i="2" s="1"/>
  <c r="R1039" i="2"/>
  <c r="P1039" i="2"/>
  <c r="V1039" i="2" l="1"/>
  <c r="U1039" i="2"/>
  <c r="T1039" i="2"/>
  <c r="W1039" i="2"/>
  <c r="E1040" i="2" s="1"/>
  <c r="X1039" i="2"/>
  <c r="F1040" i="2" s="1"/>
  <c r="Y1039" i="2"/>
  <c r="G1040" i="2" s="1"/>
  <c r="H1040" i="2" l="1"/>
  <c r="L1040" i="2" s="1"/>
  <c r="B1040" i="2"/>
  <c r="N1040" i="2"/>
  <c r="O1040" i="2" s="1"/>
  <c r="D1040" i="2"/>
  <c r="M1040" i="2"/>
  <c r="C1040" i="2"/>
  <c r="R1040" i="2" l="1"/>
  <c r="Q1040" i="2"/>
  <c r="P1040" i="2"/>
  <c r="K1040" i="2"/>
  <c r="J1040" i="2"/>
  <c r="I1040" i="2"/>
  <c r="S1040" i="2"/>
  <c r="V1040" i="2" l="1"/>
  <c r="U1040" i="2"/>
  <c r="T1040" i="2"/>
  <c r="W1040" i="2"/>
  <c r="E1041" i="2" s="1"/>
  <c r="Y1040" i="2"/>
  <c r="G1041" i="2" s="1"/>
  <c r="X1040" i="2"/>
  <c r="F1041" i="2" s="1"/>
  <c r="D1041" i="2" l="1"/>
  <c r="C1041" i="2"/>
  <c r="H1041" i="2"/>
  <c r="M1041" i="2" s="1"/>
  <c r="B1041" i="2"/>
  <c r="K1041" i="2" l="1"/>
  <c r="J1041" i="2"/>
  <c r="I1041" i="2"/>
  <c r="S1041" i="2"/>
  <c r="L1041" i="2"/>
  <c r="N1041" i="2"/>
  <c r="O1041" i="2" s="1"/>
  <c r="R1041" i="2" l="1"/>
  <c r="V1041" i="2" s="1"/>
  <c r="Y1041" i="2" s="1"/>
  <c r="G1042" i="2" s="1"/>
  <c r="Q1041" i="2"/>
  <c r="U1041" i="2" s="1"/>
  <c r="X1041" i="2" s="1"/>
  <c r="F1042" i="2" s="1"/>
  <c r="P1041" i="2"/>
  <c r="T1041" i="2" s="1"/>
  <c r="W1041" i="2" s="1"/>
  <c r="E1042" i="2" s="1"/>
  <c r="C1042" i="2" l="1"/>
  <c r="H1042" i="2"/>
  <c r="L1042" i="2" s="1"/>
  <c r="B1042" i="2"/>
  <c r="D1042" i="2"/>
  <c r="N1042" i="2" l="1"/>
  <c r="O1042" i="2" s="1"/>
  <c r="R1042" i="2"/>
  <c r="P1042" i="2"/>
  <c r="K1042" i="2"/>
  <c r="J1042" i="2"/>
  <c r="I1042" i="2"/>
  <c r="S1042" i="2"/>
  <c r="M1042" i="2"/>
  <c r="Q1042" i="2" s="1"/>
  <c r="V1042" i="2" l="1"/>
  <c r="U1042" i="2"/>
  <c r="T1042" i="2"/>
  <c r="X1042" i="2"/>
  <c r="F1043" i="2" s="1"/>
  <c r="W1042" i="2"/>
  <c r="E1043" i="2" s="1"/>
  <c r="Y1042" i="2"/>
  <c r="G1043" i="2" s="1"/>
  <c r="H1043" i="2" l="1"/>
  <c r="L1043" i="2" s="1"/>
  <c r="B1043" i="2"/>
  <c r="N1043" i="2"/>
  <c r="O1043" i="2" s="1"/>
  <c r="D1043" i="2"/>
  <c r="M1043" i="2"/>
  <c r="C1043" i="2"/>
  <c r="R1043" i="2" l="1"/>
  <c r="Q1043" i="2"/>
  <c r="P1043" i="2"/>
  <c r="J1043" i="2"/>
  <c r="K1043" i="2"/>
  <c r="S1043" i="2"/>
  <c r="I1043" i="2"/>
  <c r="V1043" i="2" l="1"/>
  <c r="U1043" i="2"/>
  <c r="T1043" i="2"/>
  <c r="W1043" i="2" s="1"/>
  <c r="E1044" i="2" s="1"/>
  <c r="Y1043" i="2"/>
  <c r="G1044" i="2" s="1"/>
  <c r="X1043" i="2"/>
  <c r="F1044" i="2" s="1"/>
  <c r="H1044" i="2" l="1"/>
  <c r="L1044" i="2" s="1"/>
  <c r="B1044" i="2"/>
  <c r="M1044" i="2"/>
  <c r="C1044" i="2"/>
  <c r="N1044" i="2"/>
  <c r="O1044" i="2" s="1"/>
  <c r="D1044" i="2"/>
  <c r="R1044" i="2" l="1"/>
  <c r="Q1044" i="2"/>
  <c r="P1044" i="2"/>
  <c r="J1044" i="2"/>
  <c r="I1044" i="2"/>
  <c r="S1044" i="2"/>
  <c r="K1044" i="2"/>
  <c r="V1044" i="2" l="1"/>
  <c r="U1044" i="2"/>
  <c r="T1044" i="2"/>
  <c r="W1044" i="2"/>
  <c r="E1045" i="2" s="1"/>
  <c r="Y1044" i="2"/>
  <c r="G1045" i="2" s="1"/>
  <c r="X1044" i="2"/>
  <c r="F1045" i="2" s="1"/>
  <c r="H1045" i="2" l="1"/>
  <c r="B1045" i="2"/>
  <c r="M1045" i="2"/>
  <c r="C1045" i="2"/>
  <c r="N1045" i="2"/>
  <c r="O1045" i="2" s="1"/>
  <c r="D1045" i="2"/>
  <c r="R1045" i="2" l="1"/>
  <c r="Q1045" i="2"/>
  <c r="I1045" i="2"/>
  <c r="J1045" i="2"/>
  <c r="S1045" i="2"/>
  <c r="K1045" i="2"/>
  <c r="L1045" i="2"/>
  <c r="P1045" i="2" s="1"/>
  <c r="V1045" i="2" l="1"/>
  <c r="Y1045" i="2" s="1"/>
  <c r="G1046" i="2" s="1"/>
  <c r="U1045" i="2"/>
  <c r="X1045" i="2" s="1"/>
  <c r="F1046" i="2" s="1"/>
  <c r="T1045" i="2"/>
  <c r="W1045" i="2" s="1"/>
  <c r="E1046" i="2" s="1"/>
  <c r="C1046" i="2" l="1"/>
  <c r="H1046" i="2"/>
  <c r="L1046" i="2" s="1"/>
  <c r="B1046" i="2"/>
  <c r="D1046" i="2"/>
  <c r="N1046" i="2" l="1"/>
  <c r="O1046" i="2" s="1"/>
  <c r="R1046" i="2"/>
  <c r="P1046" i="2"/>
  <c r="J1046" i="2"/>
  <c r="K1046" i="2"/>
  <c r="I1046" i="2"/>
  <c r="S1046" i="2"/>
  <c r="M1046" i="2"/>
  <c r="Q1046" i="2" s="1"/>
  <c r="V1046" i="2" l="1"/>
  <c r="U1046" i="2"/>
  <c r="X1046" i="2" s="1"/>
  <c r="F1047" i="2" s="1"/>
  <c r="T1046" i="2"/>
  <c r="W1046" i="2" s="1"/>
  <c r="E1047" i="2" s="1"/>
  <c r="Y1046" i="2"/>
  <c r="G1047" i="2" s="1"/>
  <c r="H1047" i="2" l="1"/>
  <c r="B1047" i="2"/>
  <c r="M1047" i="2"/>
  <c r="C1047" i="2"/>
  <c r="N1047" i="2"/>
  <c r="O1047" i="2" s="1"/>
  <c r="D1047" i="2"/>
  <c r="R1047" i="2" l="1"/>
  <c r="Q1047" i="2"/>
  <c r="J1047" i="2"/>
  <c r="I1047" i="2"/>
  <c r="K1047" i="2"/>
  <c r="S1047" i="2"/>
  <c r="L1047" i="2"/>
  <c r="P1047" i="2" s="1"/>
  <c r="V1047" i="2" l="1"/>
  <c r="U1047" i="2"/>
  <c r="T1047" i="2"/>
  <c r="W1047" i="2"/>
  <c r="E1048" i="2" s="1"/>
  <c r="Y1047" i="2"/>
  <c r="G1048" i="2" s="1"/>
  <c r="X1047" i="2"/>
  <c r="F1048" i="2" s="1"/>
  <c r="D1048" i="2" l="1"/>
  <c r="C1048" i="2"/>
  <c r="H1048" i="2"/>
  <c r="M1048" i="2" s="1"/>
  <c r="B1048" i="2"/>
  <c r="L1048" i="2" l="1"/>
  <c r="K1048" i="2"/>
  <c r="I1048" i="2"/>
  <c r="J1048" i="2"/>
  <c r="S1048" i="2"/>
  <c r="N1048" i="2"/>
  <c r="O1048" i="2" s="1"/>
  <c r="R1048" i="2" l="1"/>
  <c r="Q1048" i="2"/>
  <c r="P1048" i="2"/>
  <c r="V1048" i="2"/>
  <c r="U1048" i="2"/>
  <c r="T1048" i="2"/>
  <c r="W1048" i="2" s="1"/>
  <c r="E1049" i="2" s="1"/>
  <c r="X1048" i="2"/>
  <c r="F1049" i="2" s="1"/>
  <c r="Y1048" i="2"/>
  <c r="G1049" i="2" s="1"/>
  <c r="H1049" i="2" l="1"/>
  <c r="B1049" i="2"/>
  <c r="M1049" i="2"/>
  <c r="C1049" i="2"/>
  <c r="N1049" i="2"/>
  <c r="O1049" i="2" s="1"/>
  <c r="D1049" i="2"/>
  <c r="R1049" i="2" l="1"/>
  <c r="Q1049" i="2"/>
  <c r="K1049" i="2"/>
  <c r="J1049" i="2"/>
  <c r="I1049" i="2"/>
  <c r="S1049" i="2"/>
  <c r="L1049" i="2"/>
  <c r="P1049" i="2" s="1"/>
  <c r="V1049" i="2" l="1"/>
  <c r="U1049" i="2"/>
  <c r="X1049" i="2" s="1"/>
  <c r="F1050" i="2" s="1"/>
  <c r="T1049" i="2"/>
  <c r="W1049" i="2" s="1"/>
  <c r="E1050" i="2" s="1"/>
  <c r="Y1049" i="2"/>
  <c r="G1050" i="2" s="1"/>
  <c r="H1050" i="2" l="1"/>
  <c r="M1050" i="2" s="1"/>
  <c r="B1050" i="2"/>
  <c r="C1050" i="2"/>
  <c r="D1050" i="2"/>
  <c r="N1050" i="2" l="1"/>
  <c r="O1050" i="2" s="1"/>
  <c r="R1050" i="2"/>
  <c r="Q1050" i="2"/>
  <c r="I1050" i="2"/>
  <c r="K1050" i="2"/>
  <c r="J1050" i="2"/>
  <c r="S1050" i="2"/>
  <c r="L1050" i="2"/>
  <c r="P1050" i="2" s="1"/>
  <c r="V1050" i="2" l="1"/>
  <c r="Y1050" i="2" s="1"/>
  <c r="G1051" i="2" s="1"/>
  <c r="U1050" i="2"/>
  <c r="X1050" i="2" s="1"/>
  <c r="F1051" i="2" s="1"/>
  <c r="T1050" i="2"/>
  <c r="W1050" i="2" s="1"/>
  <c r="E1051" i="2" s="1"/>
  <c r="C1051" i="2" l="1"/>
  <c r="D1051" i="2"/>
  <c r="H1051" i="2"/>
  <c r="B1051" i="2"/>
  <c r="I1051" i="2" l="1"/>
  <c r="K1051" i="2"/>
  <c r="J1051" i="2"/>
  <c r="S1051" i="2"/>
  <c r="M1051" i="2"/>
  <c r="L1051" i="2"/>
  <c r="N1051" i="2"/>
  <c r="O1051" i="2" s="1"/>
  <c r="R1051" i="2" l="1"/>
  <c r="Q1051" i="2"/>
  <c r="P1051" i="2"/>
  <c r="V1051" i="2"/>
  <c r="Y1051" i="2" s="1"/>
  <c r="G1052" i="2" s="1"/>
  <c r="U1051" i="2"/>
  <c r="T1051" i="2"/>
  <c r="X1051" i="2"/>
  <c r="F1052" i="2" s="1"/>
  <c r="W1051" i="2"/>
  <c r="E1052" i="2" s="1"/>
  <c r="D1052" i="2" l="1"/>
  <c r="C1052" i="2"/>
  <c r="H1052" i="2"/>
  <c r="B1052" i="2"/>
  <c r="J1052" i="2" l="1"/>
  <c r="I1052" i="2"/>
  <c r="K1052" i="2"/>
  <c r="S1052" i="2"/>
  <c r="L1052" i="2"/>
  <c r="M1052" i="2"/>
  <c r="N1052" i="2"/>
  <c r="O1052" i="2" s="1"/>
  <c r="R1052" i="2" l="1"/>
  <c r="Q1052" i="2"/>
  <c r="U1052" i="2" s="1"/>
  <c r="X1052" i="2" s="1"/>
  <c r="F1053" i="2" s="1"/>
  <c r="P1052" i="2"/>
  <c r="T1052" i="2" s="1"/>
  <c r="W1052" i="2" s="1"/>
  <c r="E1053" i="2" s="1"/>
  <c r="V1052" i="2"/>
  <c r="Y1052" i="2" s="1"/>
  <c r="G1053" i="2" s="1"/>
  <c r="H1053" i="2" l="1"/>
  <c r="B1053" i="2"/>
  <c r="M1053" i="2"/>
  <c r="C1053" i="2"/>
  <c r="N1053" i="2"/>
  <c r="O1053" i="2" s="1"/>
  <c r="D1053" i="2"/>
  <c r="R1053" i="2" l="1"/>
  <c r="Q1053" i="2"/>
  <c r="J1053" i="2"/>
  <c r="K1053" i="2"/>
  <c r="I1053" i="2"/>
  <c r="S1053" i="2"/>
  <c r="L1053" i="2"/>
  <c r="P1053" i="2" s="1"/>
  <c r="V1053" i="2" l="1"/>
  <c r="U1053" i="2"/>
  <c r="T1053" i="2"/>
  <c r="Y1053" i="2"/>
  <c r="G1054" i="2" s="1"/>
  <c r="W1053" i="2"/>
  <c r="E1054" i="2" s="1"/>
  <c r="X1053" i="2"/>
  <c r="F1054" i="2" s="1"/>
  <c r="H1054" i="2" l="1"/>
  <c r="B1054" i="2"/>
  <c r="M1054" i="2"/>
  <c r="C1054" i="2"/>
  <c r="N1054" i="2"/>
  <c r="O1054" i="2" s="1"/>
  <c r="D1054" i="2"/>
  <c r="R1054" i="2" l="1"/>
  <c r="Q1054" i="2"/>
  <c r="J1054" i="2"/>
  <c r="K1054" i="2"/>
  <c r="I1054" i="2"/>
  <c r="S1054" i="2"/>
  <c r="L1054" i="2"/>
  <c r="P1054" i="2" s="1"/>
  <c r="V1054" i="2" l="1"/>
  <c r="U1054" i="2"/>
  <c r="T1054" i="2"/>
  <c r="W1054" i="2" s="1"/>
  <c r="E1055" i="2" s="1"/>
  <c r="Y1054" i="2"/>
  <c r="G1055" i="2" s="1"/>
  <c r="X1054" i="2"/>
  <c r="F1055" i="2" s="1"/>
  <c r="H1055" i="2" l="1"/>
  <c r="N1055" i="2" s="1"/>
  <c r="O1055" i="2" s="1"/>
  <c r="B1055" i="2"/>
  <c r="D1055" i="2"/>
  <c r="C1055" i="2"/>
  <c r="M1055" i="2" l="1"/>
  <c r="R1055" i="2"/>
  <c r="Q1055" i="2"/>
  <c r="K1055" i="2"/>
  <c r="J1055" i="2"/>
  <c r="S1055" i="2"/>
  <c r="I1055" i="2"/>
  <c r="L1055" i="2"/>
  <c r="P1055" i="2" s="1"/>
  <c r="V1055" i="2" l="1"/>
  <c r="U1055" i="2"/>
  <c r="X1055" i="2" s="1"/>
  <c r="F1056" i="2" s="1"/>
  <c r="T1055" i="2"/>
  <c r="W1055" i="2"/>
  <c r="E1056" i="2" s="1"/>
  <c r="Y1055" i="2"/>
  <c r="G1056" i="2" s="1"/>
  <c r="D1056" i="2" l="1"/>
  <c r="H1056" i="2"/>
  <c r="M1056" i="2" s="1"/>
  <c r="B1056" i="2"/>
  <c r="C1056" i="2"/>
  <c r="J1056" i="2" l="1"/>
  <c r="K1056" i="2"/>
  <c r="I1056" i="2"/>
  <c r="S1056" i="2"/>
  <c r="L1056" i="2"/>
  <c r="N1056" i="2"/>
  <c r="O1056" i="2" s="1"/>
  <c r="R1056" i="2" l="1"/>
  <c r="Q1056" i="2"/>
  <c r="P1056" i="2"/>
  <c r="V1056" i="2"/>
  <c r="Y1056" i="2" s="1"/>
  <c r="G1057" i="2" s="1"/>
  <c r="U1056" i="2"/>
  <c r="T1056" i="2"/>
  <c r="W1056" i="2" s="1"/>
  <c r="E1057" i="2" s="1"/>
  <c r="X1056" i="2"/>
  <c r="F1057" i="2" s="1"/>
  <c r="D1057" i="2" l="1"/>
  <c r="C1057" i="2"/>
  <c r="H1057" i="2"/>
  <c r="B1057" i="2"/>
  <c r="I1057" i="2" l="1"/>
  <c r="K1057" i="2"/>
  <c r="J1057" i="2"/>
  <c r="S1057" i="2"/>
  <c r="L1057" i="2"/>
  <c r="M1057" i="2"/>
  <c r="N1057" i="2"/>
  <c r="O1057" i="2" s="1"/>
  <c r="R1057" i="2" l="1"/>
  <c r="Q1057" i="2"/>
  <c r="P1057" i="2"/>
  <c r="V1057" i="2"/>
  <c r="Y1057" i="2" s="1"/>
  <c r="G1058" i="2" s="1"/>
  <c r="U1057" i="2"/>
  <c r="T1057" i="2"/>
  <c r="X1057" i="2"/>
  <c r="F1058" i="2" s="1"/>
  <c r="W1057" i="2"/>
  <c r="E1058" i="2" s="1"/>
  <c r="D1058" i="2" l="1"/>
  <c r="H1058" i="2"/>
  <c r="M1058" i="2" s="1"/>
  <c r="B1058" i="2"/>
  <c r="C1058" i="2"/>
  <c r="K1058" i="2" l="1"/>
  <c r="J1058" i="2"/>
  <c r="I1058" i="2"/>
  <c r="S1058" i="2"/>
  <c r="L1058" i="2"/>
  <c r="N1058" i="2"/>
  <c r="O1058" i="2" s="1"/>
  <c r="R1058" i="2" l="1"/>
  <c r="Q1058" i="2"/>
  <c r="U1058" i="2" s="1"/>
  <c r="X1058" i="2" s="1"/>
  <c r="F1059" i="2" s="1"/>
  <c r="P1058" i="2"/>
  <c r="V1058" i="2"/>
  <c r="T1058" i="2"/>
  <c r="W1058" i="2" s="1"/>
  <c r="E1059" i="2" s="1"/>
  <c r="Y1058" i="2"/>
  <c r="G1059" i="2" s="1"/>
  <c r="H1059" i="2" l="1"/>
  <c r="B1059" i="2"/>
  <c r="M1059" i="2"/>
  <c r="C1059" i="2"/>
  <c r="N1059" i="2"/>
  <c r="O1059" i="2" s="1"/>
  <c r="D1059" i="2"/>
  <c r="R1059" i="2" l="1"/>
  <c r="Q1059" i="2"/>
  <c r="J1059" i="2"/>
  <c r="K1059" i="2"/>
  <c r="I1059" i="2"/>
  <c r="S1059" i="2"/>
  <c r="L1059" i="2"/>
  <c r="P1059" i="2" s="1"/>
  <c r="V1059" i="2" l="1"/>
  <c r="U1059" i="2"/>
  <c r="T1059" i="2"/>
  <c r="W1059" i="2"/>
  <c r="E1060" i="2" s="1"/>
  <c r="Y1059" i="2"/>
  <c r="G1060" i="2" s="1"/>
  <c r="X1059" i="2"/>
  <c r="F1060" i="2" s="1"/>
  <c r="D1060" i="2" l="1"/>
  <c r="C1060" i="2"/>
  <c r="H1060" i="2"/>
  <c r="B1060" i="2"/>
  <c r="I1060" i="2" l="1"/>
  <c r="J1060" i="2"/>
  <c r="S1060" i="2"/>
  <c r="K1060" i="2"/>
  <c r="L1060" i="2"/>
  <c r="M1060" i="2"/>
  <c r="N1060" i="2"/>
  <c r="O1060" i="2" s="1"/>
  <c r="R1060" i="2" l="1"/>
  <c r="Q1060" i="2"/>
  <c r="P1060" i="2"/>
  <c r="V1060" i="2"/>
  <c r="Y1060" i="2" s="1"/>
  <c r="G1061" i="2" s="1"/>
  <c r="U1060" i="2"/>
  <c r="X1060" i="2" s="1"/>
  <c r="F1061" i="2" s="1"/>
  <c r="T1060" i="2"/>
  <c r="W1060" i="2" s="1"/>
  <c r="E1061" i="2" s="1"/>
  <c r="D1061" i="2" l="1"/>
  <c r="H1061" i="2"/>
  <c r="B1061" i="2"/>
  <c r="C1061" i="2"/>
  <c r="J1061" i="2" l="1"/>
  <c r="K1061" i="2"/>
  <c r="I1061" i="2"/>
  <c r="S1061" i="2"/>
  <c r="M1061" i="2"/>
  <c r="L1061" i="2"/>
  <c r="N1061" i="2"/>
  <c r="O1061" i="2" s="1"/>
  <c r="R1061" i="2" l="1"/>
  <c r="Q1061" i="2"/>
  <c r="U1061" i="2" s="1"/>
  <c r="X1061" i="2" s="1"/>
  <c r="F1062" i="2" s="1"/>
  <c r="P1061" i="2"/>
  <c r="T1061" i="2" s="1"/>
  <c r="W1061" i="2" s="1"/>
  <c r="E1062" i="2" s="1"/>
  <c r="V1061" i="2"/>
  <c r="Y1061" i="2" s="1"/>
  <c r="G1062" i="2" s="1"/>
  <c r="D1062" i="2" l="1"/>
  <c r="C1062" i="2"/>
  <c r="H1062" i="2"/>
  <c r="B1062" i="2"/>
  <c r="I1062" i="2" l="1"/>
  <c r="K1062" i="2"/>
  <c r="S1062" i="2"/>
  <c r="J1062" i="2"/>
  <c r="L1062" i="2"/>
  <c r="M1062" i="2"/>
  <c r="N1062" i="2"/>
  <c r="O1062" i="2" s="1"/>
  <c r="R1062" i="2" l="1"/>
  <c r="Q1062" i="2"/>
  <c r="P1062" i="2"/>
  <c r="V1062" i="2"/>
  <c r="Y1062" i="2" s="1"/>
  <c r="G1063" i="2" s="1"/>
  <c r="U1062" i="2"/>
  <c r="X1062" i="2" s="1"/>
  <c r="F1063" i="2" s="1"/>
  <c r="T1062" i="2"/>
  <c r="W1062" i="2" s="1"/>
  <c r="E1063" i="2" s="1"/>
  <c r="C1063" i="2" l="1"/>
  <c r="D1063" i="2"/>
  <c r="H1063" i="2"/>
  <c r="L1063" i="2" s="1"/>
  <c r="B1063" i="2"/>
  <c r="I1063" i="2" l="1"/>
  <c r="S1063" i="2"/>
  <c r="J1063" i="2"/>
  <c r="K1063" i="2"/>
  <c r="N1063" i="2"/>
  <c r="O1063" i="2" s="1"/>
  <c r="M1063" i="2"/>
  <c r="R1063" i="2" l="1"/>
  <c r="Q1063" i="2"/>
  <c r="P1063" i="2"/>
  <c r="T1063" i="2" s="1"/>
  <c r="W1063" i="2" s="1"/>
  <c r="E1064" i="2" s="1"/>
  <c r="V1063" i="2"/>
  <c r="Y1063" i="2" s="1"/>
  <c r="G1064" i="2" s="1"/>
  <c r="U1063" i="2"/>
  <c r="X1063" i="2" s="1"/>
  <c r="F1064" i="2" s="1"/>
  <c r="H1064" i="2" l="1"/>
  <c r="B1064" i="2"/>
  <c r="N1064" i="2"/>
  <c r="O1064" i="2" s="1"/>
  <c r="D1064" i="2"/>
  <c r="M1064" i="2"/>
  <c r="C1064" i="2"/>
  <c r="R1064" i="2" l="1"/>
  <c r="Q1064" i="2"/>
  <c r="J1064" i="2"/>
  <c r="K1064" i="2"/>
  <c r="I1064" i="2"/>
  <c r="S1064" i="2"/>
  <c r="L1064" i="2"/>
  <c r="P1064" i="2" s="1"/>
  <c r="V1064" i="2" l="1"/>
  <c r="U1064" i="2"/>
  <c r="T1064" i="2"/>
  <c r="W1064" i="2"/>
  <c r="E1065" i="2" s="1"/>
  <c r="Y1064" i="2"/>
  <c r="G1065" i="2" s="1"/>
  <c r="X1064" i="2"/>
  <c r="F1065" i="2" s="1"/>
  <c r="D1065" i="2" l="1"/>
  <c r="C1065" i="2"/>
  <c r="H1065" i="2"/>
  <c r="B1065" i="2"/>
  <c r="K1065" i="2" l="1"/>
  <c r="J1065" i="2"/>
  <c r="I1065" i="2"/>
  <c r="S1065" i="2"/>
  <c r="L1065" i="2"/>
  <c r="M1065" i="2"/>
  <c r="N1065" i="2"/>
  <c r="O1065" i="2" s="1"/>
  <c r="R1065" i="2" l="1"/>
  <c r="Q1065" i="2"/>
  <c r="P1065" i="2"/>
  <c r="V1065" i="2"/>
  <c r="U1065" i="2"/>
  <c r="X1065" i="2" s="1"/>
  <c r="F1066" i="2" s="1"/>
  <c r="T1065" i="2"/>
  <c r="W1065" i="2" s="1"/>
  <c r="E1066" i="2" s="1"/>
  <c r="Y1065" i="2"/>
  <c r="G1066" i="2" s="1"/>
  <c r="C1066" i="2" l="1"/>
  <c r="D1066" i="2"/>
  <c r="H1066" i="2"/>
  <c r="B1066" i="2"/>
  <c r="J1066" i="2" l="1"/>
  <c r="K1066" i="2"/>
  <c r="I1066" i="2"/>
  <c r="S1066" i="2"/>
  <c r="L1066" i="2"/>
  <c r="N1066" i="2"/>
  <c r="O1066" i="2" s="1"/>
  <c r="M1066" i="2"/>
  <c r="R1066" i="2" l="1"/>
  <c r="V1066" i="2" s="1"/>
  <c r="Y1066" i="2" s="1"/>
  <c r="G1067" i="2" s="1"/>
  <c r="Q1066" i="2"/>
  <c r="U1066" i="2" s="1"/>
  <c r="X1066" i="2" s="1"/>
  <c r="F1067" i="2" s="1"/>
  <c r="P1066" i="2"/>
  <c r="T1066" i="2" s="1"/>
  <c r="W1066" i="2" s="1"/>
  <c r="E1067" i="2" s="1"/>
  <c r="H1067" i="2" l="1"/>
  <c r="M1067" i="2" s="1"/>
  <c r="B1067" i="2"/>
  <c r="C1067" i="2"/>
  <c r="N1067" i="2"/>
  <c r="O1067" i="2" s="1"/>
  <c r="D1067" i="2"/>
  <c r="R1067" i="2" l="1"/>
  <c r="Q1067" i="2"/>
  <c r="J1067" i="2"/>
  <c r="K1067" i="2"/>
  <c r="S1067" i="2"/>
  <c r="I1067" i="2"/>
  <c r="L1067" i="2"/>
  <c r="P1067" i="2" s="1"/>
  <c r="V1067" i="2" l="1"/>
  <c r="U1067" i="2"/>
  <c r="T1067" i="2"/>
  <c r="W1067" i="2" s="1"/>
  <c r="E1068" i="2" s="1"/>
  <c r="X1067" i="2"/>
  <c r="F1068" i="2" s="1"/>
  <c r="Y1067" i="2"/>
  <c r="G1068" i="2" s="1"/>
  <c r="D1068" i="2" l="1"/>
  <c r="H1068" i="2"/>
  <c r="B1068" i="2"/>
  <c r="M1068" i="2"/>
  <c r="C1068" i="2"/>
  <c r="J1068" i="2" l="1"/>
  <c r="I1068" i="2"/>
  <c r="K1068" i="2"/>
  <c r="S1068" i="2"/>
  <c r="L1068" i="2"/>
  <c r="N1068" i="2"/>
  <c r="O1068" i="2" s="1"/>
  <c r="R1068" i="2" l="1"/>
  <c r="Q1068" i="2"/>
  <c r="U1068" i="2" s="1"/>
  <c r="X1068" i="2" s="1"/>
  <c r="F1069" i="2" s="1"/>
  <c r="P1068" i="2"/>
  <c r="T1068" i="2" s="1"/>
  <c r="W1068" i="2" s="1"/>
  <c r="E1069" i="2" s="1"/>
  <c r="V1068" i="2"/>
  <c r="Y1068" i="2"/>
  <c r="G1069" i="2" s="1"/>
  <c r="C1069" i="2" l="1"/>
  <c r="D1069" i="2"/>
  <c r="H1069" i="2"/>
  <c r="M1069" i="2" s="1"/>
  <c r="B1069" i="2"/>
  <c r="N1069" i="2" l="1"/>
  <c r="O1069" i="2" s="1"/>
  <c r="I1069" i="2"/>
  <c r="K1069" i="2"/>
  <c r="J1069" i="2"/>
  <c r="S1069" i="2"/>
  <c r="L1069" i="2"/>
  <c r="R1069" i="2" l="1"/>
  <c r="V1069" i="2" s="1"/>
  <c r="Y1069" i="2" s="1"/>
  <c r="G1070" i="2" s="1"/>
  <c r="Q1069" i="2"/>
  <c r="U1069" i="2" s="1"/>
  <c r="X1069" i="2" s="1"/>
  <c r="F1070" i="2" s="1"/>
  <c r="P1069" i="2"/>
  <c r="T1069" i="2" s="1"/>
  <c r="W1069" i="2" s="1"/>
  <c r="E1070" i="2" s="1"/>
  <c r="C1070" i="2" l="1"/>
  <c r="H1070" i="2"/>
  <c r="N1070" i="2" s="1"/>
  <c r="O1070" i="2" s="1"/>
  <c r="B1070" i="2"/>
  <c r="D1070" i="2"/>
  <c r="R1070" i="2" l="1"/>
  <c r="J1070" i="2"/>
  <c r="I1070" i="2"/>
  <c r="K1070" i="2"/>
  <c r="S1070" i="2"/>
  <c r="L1070" i="2"/>
  <c r="P1070" i="2" s="1"/>
  <c r="M1070" i="2"/>
  <c r="Q1070" i="2" s="1"/>
  <c r="V1070" i="2" l="1"/>
  <c r="U1070" i="2"/>
  <c r="T1070" i="2"/>
  <c r="Y1070" i="2"/>
  <c r="G1071" i="2" s="1"/>
  <c r="W1070" i="2"/>
  <c r="E1071" i="2" s="1"/>
  <c r="X1070" i="2"/>
  <c r="F1071" i="2" s="1"/>
  <c r="H1071" i="2" l="1"/>
  <c r="L1071" i="2" s="1"/>
  <c r="B1071" i="2"/>
  <c r="M1071" i="2"/>
  <c r="C1071" i="2"/>
  <c r="N1071" i="2"/>
  <c r="O1071" i="2" s="1"/>
  <c r="D1071" i="2"/>
  <c r="Q1071" i="2" l="1"/>
  <c r="R1071" i="2"/>
  <c r="P1071" i="2"/>
  <c r="J1071" i="2"/>
  <c r="I1071" i="2"/>
  <c r="S1071" i="2"/>
  <c r="K1071" i="2"/>
  <c r="U1071" i="2" l="1"/>
  <c r="T1071" i="2"/>
  <c r="W1071" i="2" s="1"/>
  <c r="E1072" i="2" s="1"/>
  <c r="V1071" i="2"/>
  <c r="Y1071" i="2" s="1"/>
  <c r="G1072" i="2" s="1"/>
  <c r="X1071" i="2"/>
  <c r="F1072" i="2" s="1"/>
  <c r="D1072" i="2" l="1"/>
  <c r="H1072" i="2"/>
  <c r="B1072" i="2"/>
  <c r="M1072" i="2"/>
  <c r="C1072" i="2"/>
  <c r="I1072" i="2" l="1"/>
  <c r="K1072" i="2"/>
  <c r="S1072" i="2"/>
  <c r="J1072" i="2"/>
  <c r="L1072" i="2"/>
  <c r="N1072" i="2"/>
  <c r="O1072" i="2" s="1"/>
  <c r="Q1072" i="2" l="1"/>
  <c r="R1072" i="2"/>
  <c r="V1072" i="2" s="1"/>
  <c r="Y1072" i="2" s="1"/>
  <c r="G1073" i="2" s="1"/>
  <c r="P1072" i="2"/>
  <c r="T1072" i="2" s="1"/>
  <c r="W1072" i="2" s="1"/>
  <c r="E1073" i="2" s="1"/>
  <c r="U1072" i="2"/>
  <c r="X1072" i="2" s="1"/>
  <c r="F1073" i="2" s="1"/>
  <c r="C1073" i="2" l="1"/>
  <c r="H1073" i="2"/>
  <c r="B1073" i="2"/>
  <c r="D1073" i="2"/>
  <c r="K1073" i="2" l="1"/>
  <c r="I1073" i="2"/>
  <c r="S1073" i="2"/>
  <c r="J1073" i="2"/>
  <c r="L1073" i="2"/>
  <c r="M1073" i="2"/>
  <c r="N1073" i="2"/>
  <c r="O1073" i="2" s="1"/>
  <c r="Q1073" i="2" l="1"/>
  <c r="P1073" i="2"/>
  <c r="R1073" i="2"/>
  <c r="V1073" i="2" s="1"/>
  <c r="Y1073" i="2" s="1"/>
  <c r="G1074" i="2" s="1"/>
  <c r="T1073" i="2"/>
  <c r="W1073" i="2" s="1"/>
  <c r="E1074" i="2" s="1"/>
  <c r="U1073" i="2"/>
  <c r="X1073" i="2" s="1"/>
  <c r="F1074" i="2" s="1"/>
  <c r="C1074" i="2" l="1"/>
  <c r="H1074" i="2"/>
  <c r="L1074" i="2" s="1"/>
  <c r="B1074" i="2"/>
  <c r="D1074" i="2"/>
  <c r="N1074" i="2" l="1"/>
  <c r="O1074" i="2" s="1"/>
  <c r="R1074" i="2"/>
  <c r="P1074" i="2"/>
  <c r="I1074" i="2"/>
  <c r="J1074" i="2"/>
  <c r="K1074" i="2"/>
  <c r="S1074" i="2"/>
  <c r="M1074" i="2"/>
  <c r="Q1074" i="2" l="1"/>
  <c r="U1074" i="2"/>
  <c r="T1074" i="2"/>
  <c r="V1074" i="2"/>
  <c r="X1074" i="2"/>
  <c r="F1075" i="2" s="1"/>
  <c r="Y1074" i="2"/>
  <c r="G1075" i="2" s="1"/>
  <c r="W1074" i="2"/>
  <c r="E1075" i="2" s="1"/>
  <c r="C1075" i="2" l="1"/>
  <c r="H1075" i="2"/>
  <c r="N1075" i="2" s="1"/>
  <c r="O1075" i="2" s="1"/>
  <c r="B1075" i="2"/>
  <c r="D1075" i="2"/>
  <c r="J1075" i="2" l="1"/>
  <c r="K1075" i="2"/>
  <c r="S1075" i="2"/>
  <c r="I1075" i="2"/>
  <c r="M1075" i="2"/>
  <c r="Q1075" i="2" s="1"/>
  <c r="R1075" i="2"/>
  <c r="L1075" i="2"/>
  <c r="P1075" i="2" s="1"/>
  <c r="V1075" i="2" l="1"/>
  <c r="U1075" i="2"/>
  <c r="X1075" i="2" s="1"/>
  <c r="F1076" i="2" s="1"/>
  <c r="T1075" i="2"/>
  <c r="W1075" i="2" s="1"/>
  <c r="E1076" i="2" s="1"/>
  <c r="Y1075" i="2"/>
  <c r="G1076" i="2" s="1"/>
  <c r="H1076" i="2" l="1"/>
  <c r="B1076" i="2"/>
  <c r="M1076" i="2"/>
  <c r="C1076" i="2"/>
  <c r="N1076" i="2"/>
  <c r="O1076" i="2" s="1"/>
  <c r="D1076" i="2"/>
  <c r="Q1076" i="2" l="1"/>
  <c r="R1076" i="2"/>
  <c r="K1076" i="2"/>
  <c r="J1076" i="2"/>
  <c r="S1076" i="2"/>
  <c r="I1076" i="2"/>
  <c r="L1076" i="2"/>
  <c r="P1076" i="2" s="1"/>
  <c r="V1076" i="2" l="1"/>
  <c r="T1076" i="2"/>
  <c r="W1076" i="2" s="1"/>
  <c r="E1077" i="2" s="1"/>
  <c r="U1076" i="2"/>
  <c r="X1076" i="2" s="1"/>
  <c r="F1077" i="2" s="1"/>
  <c r="Y1076" i="2"/>
  <c r="G1077" i="2" s="1"/>
  <c r="C1077" i="2" l="1"/>
  <c r="H1077" i="2"/>
  <c r="B1077" i="2"/>
  <c r="N1077" i="2"/>
  <c r="O1077" i="2" s="1"/>
  <c r="D1077" i="2"/>
  <c r="R1077" i="2" l="1"/>
  <c r="K1077" i="2"/>
  <c r="J1077" i="2"/>
  <c r="I1077" i="2"/>
  <c r="S1077" i="2"/>
  <c r="L1077" i="2"/>
  <c r="P1077" i="2" s="1"/>
  <c r="M1077" i="2"/>
  <c r="Q1077" i="2" s="1"/>
  <c r="U1077" i="2" l="1"/>
  <c r="T1077" i="2"/>
  <c r="V1077" i="2"/>
  <c r="X1077" i="2"/>
  <c r="F1078" i="2" s="1"/>
  <c r="W1077" i="2"/>
  <c r="E1078" i="2" s="1"/>
  <c r="Y1077" i="2"/>
  <c r="G1078" i="2" s="1"/>
  <c r="H1078" i="2" l="1"/>
  <c r="L1078" i="2" s="1"/>
  <c r="B1078" i="2"/>
  <c r="N1078" i="2"/>
  <c r="O1078" i="2" s="1"/>
  <c r="D1078" i="2"/>
  <c r="M1078" i="2"/>
  <c r="C1078" i="2"/>
  <c r="Q1078" i="2" l="1"/>
  <c r="R1078" i="2"/>
  <c r="P1078" i="2"/>
  <c r="J1078" i="2"/>
  <c r="I1078" i="2"/>
  <c r="K1078" i="2"/>
  <c r="S1078" i="2"/>
  <c r="V1078" i="2" l="1"/>
  <c r="Y1078" i="2" s="1"/>
  <c r="G1079" i="2" s="1"/>
  <c r="U1078" i="2"/>
  <c r="X1078" i="2" s="1"/>
  <c r="F1079" i="2" s="1"/>
  <c r="T1078" i="2"/>
  <c r="W1078" i="2" s="1"/>
  <c r="E1079" i="2" s="1"/>
  <c r="C1079" i="2" l="1"/>
  <c r="D1079" i="2"/>
  <c r="H1079" i="2"/>
  <c r="M1079" i="2" s="1"/>
  <c r="B1079" i="2"/>
  <c r="N1079" i="2" l="1"/>
  <c r="O1079" i="2" s="1"/>
  <c r="J1079" i="2"/>
  <c r="I1079" i="2"/>
  <c r="K1079" i="2"/>
  <c r="S1079" i="2"/>
  <c r="L1079" i="2"/>
  <c r="Q1079" i="2" l="1"/>
  <c r="U1079" i="2" s="1"/>
  <c r="X1079" i="2" s="1"/>
  <c r="F1080" i="2" s="1"/>
  <c r="P1079" i="2"/>
  <c r="T1079" i="2" s="1"/>
  <c r="W1079" i="2" s="1"/>
  <c r="E1080" i="2" s="1"/>
  <c r="R1079" i="2"/>
  <c r="V1079" i="2" s="1"/>
  <c r="Y1079" i="2" s="1"/>
  <c r="G1080" i="2" s="1"/>
  <c r="H1080" i="2" l="1"/>
  <c r="B1080" i="2"/>
  <c r="N1080" i="2"/>
  <c r="O1080" i="2" s="1"/>
  <c r="D1080" i="2"/>
  <c r="M1080" i="2"/>
  <c r="C1080" i="2"/>
  <c r="Q1080" i="2" l="1"/>
  <c r="R1080" i="2"/>
  <c r="I1080" i="2"/>
  <c r="K1080" i="2"/>
  <c r="J1080" i="2"/>
  <c r="S1080" i="2"/>
  <c r="L1080" i="2"/>
  <c r="P1080" i="2" s="1"/>
  <c r="U1080" i="2" l="1"/>
  <c r="T1080" i="2"/>
  <c r="V1080" i="2"/>
  <c r="Y1080" i="2" s="1"/>
  <c r="G1081" i="2" s="1"/>
  <c r="X1080" i="2"/>
  <c r="F1081" i="2" s="1"/>
  <c r="W1080" i="2"/>
  <c r="E1081" i="2" s="1"/>
  <c r="D1081" i="2" l="1"/>
  <c r="H1081" i="2"/>
  <c r="B1081" i="2"/>
  <c r="M1081" i="2"/>
  <c r="C1081" i="2"/>
  <c r="I1081" i="2" l="1"/>
  <c r="J1081" i="2"/>
  <c r="K1081" i="2"/>
  <c r="S1081" i="2"/>
  <c r="L1081" i="2"/>
  <c r="N1081" i="2"/>
  <c r="O1081" i="2" s="1"/>
  <c r="Q1081" i="2" l="1"/>
  <c r="R1081" i="2"/>
  <c r="V1081" i="2" s="1"/>
  <c r="Y1081" i="2" s="1"/>
  <c r="G1082" i="2" s="1"/>
  <c r="P1081" i="2"/>
  <c r="T1081" i="2" s="1"/>
  <c r="W1081" i="2" s="1"/>
  <c r="E1082" i="2" s="1"/>
  <c r="U1081" i="2"/>
  <c r="X1081" i="2" s="1"/>
  <c r="F1082" i="2" s="1"/>
  <c r="C1082" i="2" l="1"/>
  <c r="D1082" i="2"/>
  <c r="H1082" i="2"/>
  <c r="B1082" i="2"/>
  <c r="I1082" i="2" l="1"/>
  <c r="K1082" i="2"/>
  <c r="J1082" i="2"/>
  <c r="S1082" i="2"/>
  <c r="L1082" i="2"/>
  <c r="N1082" i="2"/>
  <c r="O1082" i="2" s="1"/>
  <c r="M1082" i="2"/>
  <c r="Q1082" i="2" l="1"/>
  <c r="P1082" i="2"/>
  <c r="T1082" i="2" s="1"/>
  <c r="W1082" i="2" s="1"/>
  <c r="E1083" i="2" s="1"/>
  <c r="R1082" i="2"/>
  <c r="V1082" i="2" s="1"/>
  <c r="Y1082" i="2" s="1"/>
  <c r="G1083" i="2" s="1"/>
  <c r="U1082" i="2"/>
  <c r="X1082" i="2" s="1"/>
  <c r="F1083" i="2" s="1"/>
  <c r="D1083" i="2" l="1"/>
  <c r="H1083" i="2"/>
  <c r="M1083" i="2" s="1"/>
  <c r="B1083" i="2"/>
  <c r="C1083" i="2"/>
  <c r="I1083" i="2" l="1"/>
  <c r="K1083" i="2"/>
  <c r="J1083" i="2"/>
  <c r="S1083" i="2"/>
  <c r="L1083" i="2"/>
  <c r="N1083" i="2"/>
  <c r="O1083" i="2" s="1"/>
  <c r="Q1083" i="2" l="1"/>
  <c r="U1083" i="2" s="1"/>
  <c r="X1083" i="2" s="1"/>
  <c r="F1084" i="2" s="1"/>
  <c r="R1083" i="2"/>
  <c r="V1083" i="2" s="1"/>
  <c r="Y1083" i="2" s="1"/>
  <c r="G1084" i="2" s="1"/>
  <c r="P1083" i="2"/>
  <c r="T1083" i="2" s="1"/>
  <c r="W1083" i="2" s="1"/>
  <c r="E1084" i="2" s="1"/>
  <c r="D1084" i="2" l="1"/>
  <c r="H1084" i="2"/>
  <c r="B1084" i="2"/>
  <c r="M1084" i="2"/>
  <c r="C1084" i="2"/>
  <c r="K1084" i="2" l="1"/>
  <c r="J1084" i="2"/>
  <c r="I1084" i="2"/>
  <c r="S1084" i="2"/>
  <c r="L1084" i="2"/>
  <c r="N1084" i="2"/>
  <c r="O1084" i="2" s="1"/>
  <c r="Q1084" i="2" l="1"/>
  <c r="R1084" i="2"/>
  <c r="P1084" i="2"/>
  <c r="V1084" i="2"/>
  <c r="U1084" i="2"/>
  <c r="X1084" i="2" s="1"/>
  <c r="F1085" i="2" s="1"/>
  <c r="T1084" i="2"/>
  <c r="W1084" i="2" s="1"/>
  <c r="E1085" i="2" s="1"/>
  <c r="Y1084" i="2"/>
  <c r="G1085" i="2" s="1"/>
  <c r="C1085" i="2" l="1"/>
  <c r="H1085" i="2"/>
  <c r="B1085" i="2"/>
  <c r="D1085" i="2"/>
  <c r="J1085" i="2" l="1"/>
  <c r="I1085" i="2"/>
  <c r="K1085" i="2"/>
  <c r="S1085" i="2"/>
  <c r="M1085" i="2"/>
  <c r="N1085" i="2"/>
  <c r="O1085" i="2" s="1"/>
  <c r="L1085" i="2"/>
  <c r="Q1085" i="2" l="1"/>
  <c r="P1085" i="2"/>
  <c r="T1085" i="2" s="1"/>
  <c r="W1085" i="2" s="1"/>
  <c r="E1086" i="2" s="1"/>
  <c r="R1085" i="2"/>
  <c r="V1085" i="2" s="1"/>
  <c r="Y1085" i="2" s="1"/>
  <c r="G1086" i="2" s="1"/>
  <c r="U1085" i="2"/>
  <c r="X1085" i="2"/>
  <c r="F1086" i="2" s="1"/>
  <c r="H1086" i="2" l="1"/>
  <c r="L1086" i="2" s="1"/>
  <c r="B1086" i="2"/>
  <c r="N1086" i="2"/>
  <c r="O1086" i="2" s="1"/>
  <c r="D1086" i="2"/>
  <c r="M1086" i="2"/>
  <c r="C1086" i="2"/>
  <c r="Q1086" i="2" l="1"/>
  <c r="R1086" i="2"/>
  <c r="P1086" i="2"/>
  <c r="J1086" i="2"/>
  <c r="I1086" i="2"/>
  <c r="S1086" i="2"/>
  <c r="K1086" i="2"/>
  <c r="V1086" i="2" l="1"/>
  <c r="U1086" i="2"/>
  <c r="T1086" i="2"/>
  <c r="Y1086" i="2"/>
  <c r="G1087" i="2" s="1"/>
  <c r="W1086" i="2"/>
  <c r="E1087" i="2" s="1"/>
  <c r="X1086" i="2"/>
  <c r="F1087" i="2" s="1"/>
  <c r="D1087" i="2" l="1"/>
  <c r="C1087" i="2"/>
  <c r="H1087" i="2"/>
  <c r="M1087" i="2" s="1"/>
  <c r="B1087" i="2"/>
  <c r="K1087" i="2" l="1"/>
  <c r="J1087" i="2"/>
  <c r="S1087" i="2"/>
  <c r="I1087" i="2"/>
  <c r="L1087" i="2"/>
  <c r="N1087" i="2"/>
  <c r="O1087" i="2" s="1"/>
  <c r="Q1087" i="2" l="1"/>
  <c r="R1087" i="2"/>
  <c r="P1087" i="2"/>
  <c r="U1087" i="2"/>
  <c r="X1087" i="2" s="1"/>
  <c r="F1088" i="2" s="1"/>
  <c r="T1087" i="2"/>
  <c r="W1087" i="2" s="1"/>
  <c r="E1088" i="2" s="1"/>
  <c r="V1087" i="2"/>
  <c r="Y1087" i="2"/>
  <c r="G1088" i="2" s="1"/>
  <c r="H1088" i="2" l="1"/>
  <c r="B1088" i="2"/>
  <c r="M1088" i="2"/>
  <c r="C1088" i="2"/>
  <c r="N1088" i="2"/>
  <c r="O1088" i="2" s="1"/>
  <c r="D1088" i="2"/>
  <c r="Q1088" i="2" l="1"/>
  <c r="R1088" i="2"/>
  <c r="J1088" i="2"/>
  <c r="K1088" i="2"/>
  <c r="I1088" i="2"/>
  <c r="S1088" i="2"/>
  <c r="L1088" i="2"/>
  <c r="P1088" i="2" s="1"/>
  <c r="V1088" i="2" l="1"/>
  <c r="U1088" i="2"/>
  <c r="T1088" i="2"/>
  <c r="W1088" i="2" s="1"/>
  <c r="E1089" i="2" s="1"/>
  <c r="X1088" i="2"/>
  <c r="F1089" i="2" s="1"/>
  <c r="Y1088" i="2"/>
  <c r="G1089" i="2" s="1"/>
  <c r="H1089" i="2" l="1"/>
  <c r="L1089" i="2" s="1"/>
  <c r="B1089" i="2"/>
  <c r="M1089" i="2"/>
  <c r="C1089" i="2"/>
  <c r="N1089" i="2"/>
  <c r="O1089" i="2" s="1"/>
  <c r="D1089" i="2"/>
  <c r="Q1089" i="2" l="1"/>
  <c r="R1089" i="2"/>
  <c r="P1089" i="2"/>
  <c r="K1089" i="2"/>
  <c r="I1089" i="2"/>
  <c r="J1089" i="2"/>
  <c r="S1089" i="2"/>
  <c r="V1089" i="2" l="1"/>
  <c r="U1089" i="2"/>
  <c r="T1089" i="2"/>
  <c r="W1089" i="2"/>
  <c r="E1090" i="2" s="1"/>
  <c r="X1089" i="2"/>
  <c r="F1090" i="2" s="1"/>
  <c r="Y1089" i="2"/>
  <c r="G1090" i="2" s="1"/>
  <c r="C1090" i="2" l="1"/>
  <c r="D1090" i="2"/>
  <c r="H1090" i="2"/>
  <c r="N1090" i="2" s="1"/>
  <c r="O1090" i="2" s="1"/>
  <c r="B1090" i="2"/>
  <c r="R1090" i="2" l="1"/>
  <c r="J1090" i="2"/>
  <c r="K1090" i="2"/>
  <c r="I1090" i="2"/>
  <c r="S1090" i="2"/>
  <c r="L1090" i="2"/>
  <c r="P1090" i="2" s="1"/>
  <c r="M1090" i="2"/>
  <c r="Q1090" i="2" s="1"/>
  <c r="U1090" i="2" l="1"/>
  <c r="T1090" i="2"/>
  <c r="V1090" i="2"/>
  <c r="Y1090" i="2"/>
  <c r="G1091" i="2" s="1"/>
  <c r="W1090" i="2"/>
  <c r="E1091" i="2" s="1"/>
  <c r="X1090" i="2"/>
  <c r="F1091" i="2" s="1"/>
  <c r="H1091" i="2" l="1"/>
  <c r="B1091" i="2"/>
  <c r="N1091" i="2"/>
  <c r="O1091" i="2" s="1"/>
  <c r="D1091" i="2"/>
  <c r="M1091" i="2"/>
  <c r="C1091" i="2"/>
  <c r="Q1091" i="2" l="1"/>
  <c r="R1091" i="2"/>
  <c r="J1091" i="2"/>
  <c r="K1091" i="2"/>
  <c r="I1091" i="2"/>
  <c r="S1091" i="2"/>
  <c r="L1091" i="2"/>
  <c r="P1091" i="2" s="1"/>
  <c r="V1091" i="2" l="1"/>
  <c r="U1091" i="2"/>
  <c r="X1091" i="2" s="1"/>
  <c r="F1092" i="2" s="1"/>
  <c r="T1091" i="2"/>
  <c r="W1091" i="2" s="1"/>
  <c r="E1092" i="2" s="1"/>
  <c r="Y1091" i="2"/>
  <c r="G1092" i="2" s="1"/>
  <c r="H1092" i="2" l="1"/>
  <c r="B1092" i="2"/>
  <c r="M1092" i="2"/>
  <c r="C1092" i="2"/>
  <c r="N1092" i="2"/>
  <c r="O1092" i="2" s="1"/>
  <c r="D1092" i="2"/>
  <c r="Q1092" i="2" l="1"/>
  <c r="R1092" i="2"/>
  <c r="I1092" i="2"/>
  <c r="K1092" i="2"/>
  <c r="J1092" i="2"/>
  <c r="S1092" i="2"/>
  <c r="L1092" i="2"/>
  <c r="P1092" i="2" s="1"/>
  <c r="V1092" i="2" l="1"/>
  <c r="U1092" i="2"/>
  <c r="T1092" i="2"/>
  <c r="Y1092" i="2"/>
  <c r="G1093" i="2" s="1"/>
  <c r="X1092" i="2"/>
  <c r="F1093" i="2" s="1"/>
  <c r="W1092" i="2"/>
  <c r="E1093" i="2" s="1"/>
  <c r="C1093" i="2" l="1"/>
  <c r="H1093" i="2"/>
  <c r="L1093" i="2" s="1"/>
  <c r="B1093" i="2"/>
  <c r="N1093" i="2"/>
  <c r="O1093" i="2" s="1"/>
  <c r="D1093" i="2"/>
  <c r="R1093" i="2" l="1"/>
  <c r="P1093" i="2"/>
  <c r="J1093" i="2"/>
  <c r="I1093" i="2"/>
  <c r="K1093" i="2"/>
  <c r="S1093" i="2"/>
  <c r="M1093" i="2"/>
  <c r="Q1093" i="2" s="1"/>
  <c r="U1093" i="2" l="1"/>
  <c r="T1093" i="2"/>
  <c r="V1093" i="2"/>
  <c r="W1093" i="2"/>
  <c r="E1094" i="2" s="1"/>
  <c r="Y1093" i="2"/>
  <c r="G1094" i="2" s="1"/>
  <c r="X1093" i="2"/>
  <c r="F1094" i="2" s="1"/>
  <c r="D1094" i="2" l="1"/>
  <c r="C1094" i="2"/>
  <c r="H1094" i="2"/>
  <c r="B1094" i="2"/>
  <c r="K1094" i="2" l="1"/>
  <c r="J1094" i="2"/>
  <c r="I1094" i="2"/>
  <c r="S1094" i="2"/>
  <c r="L1094" i="2"/>
  <c r="M1094" i="2"/>
  <c r="N1094" i="2"/>
  <c r="O1094" i="2" s="1"/>
  <c r="Q1094" i="2" l="1"/>
  <c r="P1094" i="2"/>
  <c r="R1094" i="2"/>
  <c r="V1094" i="2"/>
  <c r="U1094" i="2"/>
  <c r="X1094" i="2" s="1"/>
  <c r="F1095" i="2" s="1"/>
  <c r="T1094" i="2"/>
  <c r="W1094" i="2" s="1"/>
  <c r="E1095" i="2" s="1"/>
  <c r="Y1094" i="2"/>
  <c r="G1095" i="2" s="1"/>
  <c r="H1095" i="2" l="1"/>
  <c r="L1095" i="2" s="1"/>
  <c r="B1095" i="2"/>
  <c r="M1095" i="2"/>
  <c r="C1095" i="2"/>
  <c r="N1095" i="2"/>
  <c r="O1095" i="2" s="1"/>
  <c r="D1095" i="2"/>
  <c r="Q1095" i="2" l="1"/>
  <c r="P1095" i="2"/>
  <c r="R1095" i="2"/>
  <c r="K1095" i="2"/>
  <c r="I1095" i="2"/>
  <c r="J1095" i="2"/>
  <c r="S1095" i="2"/>
  <c r="V1095" i="2" l="1"/>
  <c r="U1095" i="2"/>
  <c r="X1095" i="2" s="1"/>
  <c r="F1096" i="2" s="1"/>
  <c r="T1095" i="2"/>
  <c r="Y1095" i="2"/>
  <c r="G1096" i="2" s="1"/>
  <c r="W1095" i="2"/>
  <c r="E1096" i="2" s="1"/>
  <c r="C1096" i="2" l="1"/>
  <c r="H1096" i="2"/>
  <c r="L1096" i="2" s="1"/>
  <c r="B1096" i="2"/>
  <c r="N1096" i="2"/>
  <c r="O1096" i="2" s="1"/>
  <c r="D1096" i="2"/>
  <c r="P1096" i="2" l="1"/>
  <c r="R1096" i="2"/>
  <c r="I1096" i="2"/>
  <c r="J1096" i="2"/>
  <c r="S1096" i="2"/>
  <c r="K1096" i="2"/>
  <c r="M1096" i="2"/>
  <c r="Q1096" i="2" s="1"/>
  <c r="V1096" i="2" l="1"/>
  <c r="Y1096" i="2" s="1"/>
  <c r="G1097" i="2" s="1"/>
  <c r="T1096" i="2"/>
  <c r="U1096" i="2"/>
  <c r="X1096" i="2" s="1"/>
  <c r="F1097" i="2" s="1"/>
  <c r="W1096" i="2"/>
  <c r="E1097" i="2" s="1"/>
  <c r="C1097" i="2" l="1"/>
  <c r="D1097" i="2"/>
  <c r="H1097" i="2"/>
  <c r="B1097" i="2"/>
  <c r="J1097" i="2" l="1"/>
  <c r="S1097" i="2"/>
  <c r="K1097" i="2"/>
  <c r="I1097" i="2"/>
  <c r="L1097" i="2"/>
  <c r="N1097" i="2"/>
  <c r="O1097" i="2" s="1"/>
  <c r="M1097" i="2"/>
  <c r="Q1097" i="2" l="1"/>
  <c r="U1097" i="2" s="1"/>
  <c r="X1097" i="2" s="1"/>
  <c r="F1098" i="2" s="1"/>
  <c r="P1097" i="2"/>
  <c r="T1097" i="2" s="1"/>
  <c r="W1097" i="2" s="1"/>
  <c r="E1098" i="2" s="1"/>
  <c r="R1097" i="2"/>
  <c r="V1097" i="2" s="1"/>
  <c r="Y1097" i="2" s="1"/>
  <c r="G1098" i="2" s="1"/>
  <c r="H1098" i="2" l="1"/>
  <c r="L1098" i="2" s="1"/>
  <c r="B1098" i="2"/>
  <c r="D1098" i="2"/>
  <c r="M1098" i="2"/>
  <c r="C1098" i="2"/>
  <c r="N1098" i="2" l="1"/>
  <c r="O1098" i="2" s="1"/>
  <c r="Q1098" i="2" s="1"/>
  <c r="P1098" i="2"/>
  <c r="R1098" i="2"/>
  <c r="K1098" i="2"/>
  <c r="I1098" i="2"/>
  <c r="J1098" i="2"/>
  <c r="S1098" i="2"/>
  <c r="V1098" i="2" l="1"/>
  <c r="U1098" i="2"/>
  <c r="X1098" i="2" s="1"/>
  <c r="F1099" i="2" s="1"/>
  <c r="T1098" i="2"/>
  <c r="W1098" i="2" s="1"/>
  <c r="E1099" i="2" s="1"/>
  <c r="Y1098" i="2"/>
  <c r="G1099" i="2" s="1"/>
  <c r="C1099" i="2" l="1"/>
  <c r="D1099" i="2"/>
  <c r="H1099" i="2"/>
  <c r="B1099" i="2"/>
  <c r="J1099" i="2" l="1"/>
  <c r="K1099" i="2"/>
  <c r="I1099" i="2"/>
  <c r="S1099" i="2"/>
  <c r="L1099" i="2"/>
  <c r="N1099" i="2"/>
  <c r="O1099" i="2" s="1"/>
  <c r="M1099" i="2"/>
  <c r="Q1099" i="2" l="1"/>
  <c r="P1099" i="2"/>
  <c r="T1099" i="2" s="1"/>
  <c r="W1099" i="2" s="1"/>
  <c r="E1100" i="2" s="1"/>
  <c r="R1099" i="2"/>
  <c r="V1099" i="2" s="1"/>
  <c r="Y1099" i="2" s="1"/>
  <c r="G1100" i="2" s="1"/>
  <c r="U1099" i="2"/>
  <c r="X1099" i="2"/>
  <c r="F1100" i="2" s="1"/>
  <c r="D1100" i="2" l="1"/>
  <c r="H1100" i="2"/>
  <c r="B1100" i="2"/>
  <c r="M1100" i="2"/>
  <c r="C1100" i="2"/>
  <c r="I1100" i="2" l="1"/>
  <c r="J1100" i="2"/>
  <c r="K1100" i="2"/>
  <c r="S1100" i="2"/>
  <c r="L1100" i="2"/>
  <c r="N1100" i="2"/>
  <c r="O1100" i="2" s="1"/>
  <c r="Q1100" i="2" l="1"/>
  <c r="P1100" i="2"/>
  <c r="R1100" i="2"/>
  <c r="V1100" i="2"/>
  <c r="Y1100" i="2" s="1"/>
  <c r="G1101" i="2" s="1"/>
  <c r="U1100" i="2"/>
  <c r="X1100" i="2" s="1"/>
  <c r="F1101" i="2" s="1"/>
  <c r="T1100" i="2"/>
  <c r="W1100" i="2"/>
  <c r="E1101" i="2" s="1"/>
  <c r="D1101" i="2" l="1"/>
  <c r="H1101" i="2"/>
  <c r="M1101" i="2" s="1"/>
  <c r="B1101" i="2"/>
  <c r="C1101" i="2"/>
  <c r="J1101" i="2" l="1"/>
  <c r="K1101" i="2"/>
  <c r="I1101" i="2"/>
  <c r="S1101" i="2"/>
  <c r="L1101" i="2"/>
  <c r="N1101" i="2"/>
  <c r="O1101" i="2" s="1"/>
  <c r="Q1101" i="2" l="1"/>
  <c r="P1101" i="2"/>
  <c r="R1101" i="2"/>
  <c r="V1101" i="2" s="1"/>
  <c r="Y1101" i="2" s="1"/>
  <c r="G1102" i="2" s="1"/>
  <c r="U1101" i="2"/>
  <c r="X1101" i="2" s="1"/>
  <c r="F1102" i="2" s="1"/>
  <c r="T1101" i="2"/>
  <c r="W1101" i="2" s="1"/>
  <c r="E1102" i="2" s="1"/>
  <c r="H1102" i="2" l="1"/>
  <c r="B1102" i="2"/>
  <c r="M1102" i="2"/>
  <c r="C1102" i="2"/>
  <c r="N1102" i="2"/>
  <c r="O1102" i="2" s="1"/>
  <c r="D1102" i="2"/>
  <c r="Q1102" i="2" l="1"/>
  <c r="R1102" i="2"/>
  <c r="K1102" i="2"/>
  <c r="J1102" i="2"/>
  <c r="I1102" i="2"/>
  <c r="S1102" i="2"/>
  <c r="L1102" i="2"/>
  <c r="P1102" i="2" s="1"/>
  <c r="V1102" i="2" l="1"/>
  <c r="T1102" i="2"/>
  <c r="U1102" i="2"/>
  <c r="Y1102" i="2"/>
  <c r="G1103" i="2" s="1"/>
  <c r="W1102" i="2"/>
  <c r="E1103" i="2" s="1"/>
  <c r="X1102" i="2"/>
  <c r="F1103" i="2" s="1"/>
  <c r="C1103" i="2" l="1"/>
  <c r="H1103" i="2"/>
  <c r="N1103" i="2" s="1"/>
  <c r="O1103" i="2" s="1"/>
  <c r="B1103" i="2"/>
  <c r="D1103" i="2"/>
  <c r="R1103" i="2" l="1"/>
  <c r="J1103" i="2"/>
  <c r="K1103" i="2"/>
  <c r="I1103" i="2"/>
  <c r="S1103" i="2"/>
  <c r="L1103" i="2"/>
  <c r="P1103" i="2" s="1"/>
  <c r="M1103" i="2"/>
  <c r="Q1103" i="2" s="1"/>
  <c r="V1103" i="2" l="1"/>
  <c r="U1103" i="2"/>
  <c r="T1103" i="2"/>
  <c r="Y1103" i="2"/>
  <c r="G1104" i="2" s="1"/>
  <c r="W1103" i="2"/>
  <c r="E1104" i="2" s="1"/>
  <c r="X1103" i="2"/>
  <c r="F1104" i="2" s="1"/>
  <c r="C1104" i="2" l="1"/>
  <c r="H1104" i="2"/>
  <c r="B1104" i="2"/>
  <c r="D1104" i="2"/>
  <c r="J1104" i="2" l="1"/>
  <c r="K1104" i="2"/>
  <c r="I1104" i="2"/>
  <c r="S1104" i="2"/>
  <c r="N1104" i="2"/>
  <c r="O1104" i="2" s="1"/>
  <c r="L1104" i="2"/>
  <c r="M1104" i="2"/>
  <c r="Q1104" i="2" l="1"/>
  <c r="U1104" i="2" s="1"/>
  <c r="X1104" i="2" s="1"/>
  <c r="F1105" i="2" s="1"/>
  <c r="P1104" i="2"/>
  <c r="T1104" i="2" s="1"/>
  <c r="W1104" i="2" s="1"/>
  <c r="E1105" i="2" s="1"/>
  <c r="R1104" i="2"/>
  <c r="V1104" i="2" s="1"/>
  <c r="Y1104" i="2" s="1"/>
  <c r="G1105" i="2" s="1"/>
  <c r="D1105" i="2" l="1"/>
  <c r="H1105" i="2"/>
  <c r="M1105" i="2" s="1"/>
  <c r="B1105" i="2"/>
  <c r="C1105" i="2"/>
  <c r="J1105" i="2" l="1"/>
  <c r="K1105" i="2"/>
  <c r="I1105" i="2"/>
  <c r="S1105" i="2"/>
  <c r="L1105" i="2"/>
  <c r="N1105" i="2"/>
  <c r="O1105" i="2" s="1"/>
  <c r="Q1105" i="2" l="1"/>
  <c r="U1105" i="2" s="1"/>
  <c r="X1105" i="2" s="1"/>
  <c r="F1106" i="2" s="1"/>
  <c r="P1105" i="2"/>
  <c r="T1105" i="2" s="1"/>
  <c r="W1105" i="2" s="1"/>
  <c r="E1106" i="2" s="1"/>
  <c r="R1105" i="2"/>
  <c r="V1105" i="2" s="1"/>
  <c r="Y1105" i="2" s="1"/>
  <c r="G1106" i="2" s="1"/>
  <c r="D1106" i="2" l="1"/>
  <c r="H1106" i="2"/>
  <c r="M1106" i="2" s="1"/>
  <c r="B1106" i="2"/>
  <c r="C1106" i="2"/>
  <c r="I1106" i="2" l="1"/>
  <c r="K1106" i="2"/>
  <c r="J1106" i="2"/>
  <c r="S1106" i="2"/>
  <c r="L1106" i="2"/>
  <c r="N1106" i="2"/>
  <c r="O1106" i="2" s="1"/>
  <c r="Q1106" i="2" l="1"/>
  <c r="U1106" i="2" s="1"/>
  <c r="X1106" i="2" s="1"/>
  <c r="F1107" i="2" s="1"/>
  <c r="P1106" i="2"/>
  <c r="T1106" i="2" s="1"/>
  <c r="W1106" i="2" s="1"/>
  <c r="E1107" i="2" s="1"/>
  <c r="R1106" i="2"/>
  <c r="V1106" i="2" s="1"/>
  <c r="Y1106" i="2" s="1"/>
  <c r="G1107" i="2" s="1"/>
  <c r="D1107" i="2" l="1"/>
  <c r="H1107" i="2"/>
  <c r="L1107" i="2" s="1"/>
  <c r="B1107" i="2"/>
  <c r="C1107" i="2"/>
  <c r="M1107" i="2" l="1"/>
  <c r="I1107" i="2"/>
  <c r="J1107" i="2"/>
  <c r="K1107" i="2"/>
  <c r="S1107" i="2"/>
  <c r="N1107" i="2"/>
  <c r="O1107" i="2" s="1"/>
  <c r="Q1107" i="2" l="1"/>
  <c r="P1107" i="2"/>
  <c r="R1107" i="2"/>
  <c r="V1107" i="2" s="1"/>
  <c r="Y1107" i="2" s="1"/>
  <c r="G1108" i="2" s="1"/>
  <c r="U1107" i="2"/>
  <c r="X1107" i="2" s="1"/>
  <c r="F1108" i="2" s="1"/>
  <c r="T1107" i="2"/>
  <c r="W1107" i="2" s="1"/>
  <c r="E1108" i="2" s="1"/>
  <c r="D1108" i="2" l="1"/>
  <c r="C1108" i="2"/>
  <c r="H1108" i="2"/>
  <c r="B1108" i="2"/>
  <c r="K1108" i="2" l="1"/>
  <c r="I1108" i="2"/>
  <c r="J1108" i="2"/>
  <c r="S1108" i="2"/>
  <c r="L1108" i="2"/>
  <c r="M1108" i="2"/>
  <c r="N1108" i="2"/>
  <c r="O1108" i="2" s="1"/>
  <c r="Q1108" i="2" l="1"/>
  <c r="P1108" i="2"/>
  <c r="R1108" i="2"/>
  <c r="V1108" i="2"/>
  <c r="Y1108" i="2" s="1"/>
  <c r="G1109" i="2" s="1"/>
  <c r="T1108" i="2"/>
  <c r="U1108" i="2"/>
  <c r="X1108" i="2" s="1"/>
  <c r="F1109" i="2" s="1"/>
  <c r="W1108" i="2"/>
  <c r="E1109" i="2" s="1"/>
  <c r="D1109" i="2" l="1"/>
  <c r="H1109" i="2"/>
  <c r="B1109" i="2"/>
  <c r="C1109" i="2"/>
  <c r="K1109" i="2" l="1"/>
  <c r="I1109" i="2"/>
  <c r="J1109" i="2"/>
  <c r="S1109" i="2"/>
  <c r="M1109" i="2"/>
  <c r="L1109" i="2"/>
  <c r="N1109" i="2"/>
  <c r="O1109" i="2" s="1"/>
  <c r="Q1109" i="2" l="1"/>
  <c r="U1109" i="2" s="1"/>
  <c r="X1109" i="2" s="1"/>
  <c r="F1110" i="2" s="1"/>
  <c r="P1109" i="2"/>
  <c r="T1109" i="2" s="1"/>
  <c r="W1109" i="2" s="1"/>
  <c r="E1110" i="2" s="1"/>
  <c r="R1109" i="2"/>
  <c r="V1109" i="2" s="1"/>
  <c r="Y1109" i="2" s="1"/>
  <c r="G1110" i="2" s="1"/>
  <c r="H1110" i="2" l="1"/>
  <c r="B1110" i="2"/>
  <c r="N1110" i="2"/>
  <c r="O1110" i="2" s="1"/>
  <c r="D1110" i="2"/>
  <c r="M1110" i="2"/>
  <c r="C1110" i="2"/>
  <c r="Q1110" i="2" l="1"/>
  <c r="R1110" i="2"/>
  <c r="K1110" i="2"/>
  <c r="I1110" i="2"/>
  <c r="J1110" i="2"/>
  <c r="S1110" i="2"/>
  <c r="L1110" i="2"/>
  <c r="P1110" i="2" s="1"/>
  <c r="V1110" i="2" l="1"/>
  <c r="U1110" i="2"/>
  <c r="T1110" i="2"/>
  <c r="W1110" i="2" s="1"/>
  <c r="E1111" i="2" s="1"/>
  <c r="X1110" i="2"/>
  <c r="F1111" i="2" s="1"/>
  <c r="Y1110" i="2"/>
  <c r="G1111" i="2" s="1"/>
  <c r="D1111" i="2" l="1"/>
  <c r="C1111" i="2"/>
  <c r="H1111" i="2"/>
  <c r="B1111" i="2"/>
  <c r="J1111" i="2" l="1"/>
  <c r="K1111" i="2"/>
  <c r="S1111" i="2"/>
  <c r="I1111" i="2"/>
  <c r="L1111" i="2"/>
  <c r="M1111" i="2"/>
  <c r="N1111" i="2"/>
  <c r="O1111" i="2" s="1"/>
  <c r="Q1111" i="2" l="1"/>
  <c r="P1111" i="2"/>
  <c r="R1111" i="2"/>
  <c r="V1111" i="2" s="1"/>
  <c r="Y1111" i="2" s="1"/>
  <c r="G1112" i="2" s="1"/>
  <c r="U1111" i="2"/>
  <c r="T1111" i="2"/>
  <c r="W1111" i="2" s="1"/>
  <c r="E1112" i="2" s="1"/>
  <c r="X1111" i="2"/>
  <c r="F1112" i="2" s="1"/>
  <c r="H1112" i="2" l="1"/>
  <c r="L1112" i="2" s="1"/>
  <c r="B1112" i="2"/>
  <c r="C1112" i="2"/>
  <c r="D1112" i="2"/>
  <c r="N1112" i="2" l="1"/>
  <c r="O1112" i="2" s="1"/>
  <c r="M1112" i="2"/>
  <c r="Q1112" i="2"/>
  <c r="P1112" i="2"/>
  <c r="R1112" i="2"/>
  <c r="J1112" i="2"/>
  <c r="K1112" i="2"/>
  <c r="S1112" i="2"/>
  <c r="I1112" i="2"/>
  <c r="V1112" i="2" l="1"/>
  <c r="U1112" i="2"/>
  <c r="T1112" i="2"/>
  <c r="W1112" i="2"/>
  <c r="E1113" i="2" s="1"/>
  <c r="Y1112" i="2"/>
  <c r="G1113" i="2" s="1"/>
  <c r="X1112" i="2"/>
  <c r="F1113" i="2" s="1"/>
  <c r="D1113" i="2" l="1"/>
  <c r="C1113" i="2"/>
  <c r="H1113" i="2"/>
  <c r="L1113" i="2" s="1"/>
  <c r="B1113" i="2"/>
  <c r="J1113" i="2" l="1"/>
  <c r="I1113" i="2"/>
  <c r="K1113" i="2"/>
  <c r="S1113" i="2"/>
  <c r="M1113" i="2"/>
  <c r="N1113" i="2"/>
  <c r="O1113" i="2" s="1"/>
  <c r="Q1113" i="2" l="1"/>
  <c r="P1113" i="2"/>
  <c r="R1113" i="2"/>
  <c r="V1113" i="2" s="1"/>
  <c r="Y1113" i="2" s="1"/>
  <c r="G1114" i="2" s="1"/>
  <c r="U1113" i="2"/>
  <c r="T1113" i="2"/>
  <c r="W1113" i="2" s="1"/>
  <c r="E1114" i="2" s="1"/>
  <c r="X1113" i="2"/>
  <c r="F1114" i="2" s="1"/>
  <c r="H1114" i="2" l="1"/>
  <c r="B1114" i="2"/>
  <c r="N1114" i="2"/>
  <c r="O1114" i="2" s="1"/>
  <c r="D1114" i="2"/>
  <c r="M1114" i="2"/>
  <c r="C1114" i="2"/>
  <c r="Q1114" i="2" l="1"/>
  <c r="R1114" i="2"/>
  <c r="J1114" i="2"/>
  <c r="K1114" i="2"/>
  <c r="I1114" i="2"/>
  <c r="S1114" i="2"/>
  <c r="L1114" i="2"/>
  <c r="P1114" i="2" s="1"/>
  <c r="V1114" i="2" l="1"/>
  <c r="T1114" i="2"/>
  <c r="U1114" i="2"/>
  <c r="W1114" i="2"/>
  <c r="E1115" i="2" s="1"/>
  <c r="X1114" i="2"/>
  <c r="F1115" i="2" s="1"/>
  <c r="Y1114" i="2"/>
  <c r="G1115" i="2" s="1"/>
  <c r="C1115" i="2" l="1"/>
  <c r="D1115" i="2"/>
  <c r="H1115" i="2"/>
  <c r="N1115" i="2" s="1"/>
  <c r="O1115" i="2" s="1"/>
  <c r="B1115" i="2"/>
  <c r="R1115" i="2" l="1"/>
  <c r="L1115" i="2"/>
  <c r="P1115" i="2" s="1"/>
  <c r="K1115" i="2"/>
  <c r="I1115" i="2"/>
  <c r="S1115" i="2"/>
  <c r="J1115" i="2"/>
  <c r="M1115" i="2"/>
  <c r="Q1115" i="2" s="1"/>
  <c r="V1115" i="2" l="1"/>
  <c r="Y1115" i="2" s="1"/>
  <c r="G1116" i="2" s="1"/>
  <c r="U1115" i="2"/>
  <c r="T1115" i="2"/>
  <c r="X1115" i="2"/>
  <c r="F1116" i="2" s="1"/>
  <c r="W1115" i="2"/>
  <c r="E1116" i="2" s="1"/>
  <c r="D1116" i="2" l="1"/>
  <c r="C1116" i="2"/>
  <c r="H1116" i="2"/>
  <c r="B1116" i="2"/>
  <c r="J1116" i="2" l="1"/>
  <c r="K1116" i="2"/>
  <c r="I1116" i="2"/>
  <c r="S1116" i="2"/>
  <c r="L1116" i="2"/>
  <c r="M1116" i="2"/>
  <c r="N1116" i="2"/>
  <c r="O1116" i="2" s="1"/>
  <c r="Q1116" i="2" l="1"/>
  <c r="P1116" i="2"/>
  <c r="R1116" i="2"/>
  <c r="V1116" i="2" s="1"/>
  <c r="Y1116" i="2" s="1"/>
  <c r="G1117" i="2" s="1"/>
  <c r="U1116" i="2"/>
  <c r="T1116" i="2"/>
  <c r="W1116" i="2" s="1"/>
  <c r="E1117" i="2" s="1"/>
  <c r="X1116" i="2"/>
  <c r="F1117" i="2" s="1"/>
  <c r="D1117" i="2" l="1"/>
  <c r="H1117" i="2"/>
  <c r="M1117" i="2" s="1"/>
  <c r="B1117" i="2"/>
  <c r="C1117" i="2"/>
  <c r="J1117" i="2" l="1"/>
  <c r="K1117" i="2"/>
  <c r="I1117" i="2"/>
  <c r="S1117" i="2"/>
  <c r="L1117" i="2"/>
  <c r="N1117" i="2"/>
  <c r="O1117" i="2" s="1"/>
  <c r="Q1117" i="2" l="1"/>
  <c r="P1117" i="2"/>
  <c r="R1117" i="2"/>
  <c r="V1117" i="2" s="1"/>
  <c r="Y1117" i="2" s="1"/>
  <c r="G1118" i="2" s="1"/>
  <c r="T1117" i="2"/>
  <c r="W1117" i="2" s="1"/>
  <c r="E1118" i="2" s="1"/>
  <c r="U1117" i="2"/>
  <c r="X1117" i="2" s="1"/>
  <c r="F1118" i="2" s="1"/>
  <c r="C1118" i="2" l="1"/>
  <c r="D1118" i="2"/>
  <c r="H1118" i="2"/>
  <c r="N1118" i="2" s="1"/>
  <c r="O1118" i="2" s="1"/>
  <c r="B1118" i="2"/>
  <c r="R1118" i="2" l="1"/>
  <c r="L1118" i="2"/>
  <c r="P1118" i="2" s="1"/>
  <c r="K1118" i="2"/>
  <c r="I1118" i="2"/>
  <c r="J1118" i="2"/>
  <c r="S1118" i="2"/>
  <c r="M1118" i="2"/>
  <c r="Q1118" i="2" s="1"/>
  <c r="V1118" i="2" l="1"/>
  <c r="U1118" i="2"/>
  <c r="X1118" i="2" s="1"/>
  <c r="F1119" i="2" s="1"/>
  <c r="T1118" i="2"/>
  <c r="W1118" i="2" s="1"/>
  <c r="E1119" i="2" s="1"/>
  <c r="Y1118" i="2"/>
  <c r="G1119" i="2" s="1"/>
  <c r="H1119" i="2" l="1"/>
  <c r="B1119" i="2"/>
  <c r="M1119" i="2"/>
  <c r="C1119" i="2"/>
  <c r="N1119" i="2"/>
  <c r="O1119" i="2" s="1"/>
  <c r="D1119" i="2"/>
  <c r="Q1119" i="2" l="1"/>
  <c r="R1119" i="2"/>
  <c r="I1119" i="2"/>
  <c r="K1119" i="2"/>
  <c r="J1119" i="2"/>
  <c r="S1119" i="2"/>
  <c r="L1119" i="2"/>
  <c r="P1119" i="2" s="1"/>
  <c r="V1119" i="2" l="1"/>
  <c r="Y1119" i="2" s="1"/>
  <c r="G1120" i="2" s="1"/>
  <c r="U1119" i="2"/>
  <c r="X1119" i="2" s="1"/>
  <c r="F1120" i="2" s="1"/>
  <c r="T1119" i="2"/>
  <c r="W1119" i="2"/>
  <c r="E1120" i="2" s="1"/>
  <c r="D1120" i="2" l="1"/>
  <c r="H1120" i="2"/>
  <c r="M1120" i="2" s="1"/>
  <c r="B1120" i="2"/>
  <c r="C1120" i="2"/>
  <c r="K1120" i="2" l="1"/>
  <c r="I1120" i="2"/>
  <c r="S1120" i="2"/>
  <c r="J1120" i="2"/>
  <c r="L1120" i="2"/>
  <c r="N1120" i="2"/>
  <c r="O1120" i="2" s="1"/>
  <c r="Q1120" i="2" l="1"/>
  <c r="P1120" i="2"/>
  <c r="T1120" i="2" s="1"/>
  <c r="W1120" i="2" s="1"/>
  <c r="E1121" i="2" s="1"/>
  <c r="R1120" i="2"/>
  <c r="V1120" i="2"/>
  <c r="U1120" i="2"/>
  <c r="X1120" i="2" s="1"/>
  <c r="F1121" i="2" s="1"/>
  <c r="Y1120" i="2"/>
  <c r="G1121" i="2" s="1"/>
  <c r="C1121" i="2" l="1"/>
  <c r="H1121" i="2"/>
  <c r="N1121" i="2" s="1"/>
  <c r="O1121" i="2" s="1"/>
  <c r="B1121" i="2"/>
  <c r="D1121" i="2"/>
  <c r="R1121" i="2" l="1"/>
  <c r="K1121" i="2"/>
  <c r="I1121" i="2"/>
  <c r="S1121" i="2"/>
  <c r="J1121" i="2"/>
  <c r="L1121" i="2"/>
  <c r="P1121" i="2" s="1"/>
  <c r="M1121" i="2"/>
  <c r="Q1121" i="2" s="1"/>
  <c r="V1121" i="2" l="1"/>
  <c r="U1121" i="2"/>
  <c r="X1121" i="2" s="1"/>
  <c r="F1122" i="2" s="1"/>
  <c r="T1121" i="2"/>
  <c r="W1121" i="2" s="1"/>
  <c r="E1122" i="2" s="1"/>
  <c r="Y1121" i="2"/>
  <c r="G1122" i="2" s="1"/>
  <c r="H1122" i="2" l="1"/>
  <c r="B1122" i="2"/>
  <c r="M1122" i="2"/>
  <c r="C1122" i="2"/>
  <c r="N1122" i="2"/>
  <c r="O1122" i="2" s="1"/>
  <c r="D1122" i="2"/>
  <c r="Q1122" i="2" l="1"/>
  <c r="R1122" i="2"/>
  <c r="K1122" i="2"/>
  <c r="J1122" i="2"/>
  <c r="I1122" i="2"/>
  <c r="S1122" i="2"/>
  <c r="L1122" i="2"/>
  <c r="P1122" i="2" s="1"/>
  <c r="V1122" i="2" l="1"/>
  <c r="U1122" i="2"/>
  <c r="X1122" i="2" s="1"/>
  <c r="F1123" i="2" s="1"/>
  <c r="T1122" i="2"/>
  <c r="W1122" i="2" s="1"/>
  <c r="E1123" i="2" s="1"/>
  <c r="Y1122" i="2"/>
  <c r="G1123" i="2" s="1"/>
  <c r="C1123" i="2" l="1"/>
  <c r="D1123" i="2"/>
  <c r="H1123" i="2"/>
  <c r="N1123" i="2" s="1"/>
  <c r="O1123" i="2" s="1"/>
  <c r="B1123" i="2"/>
  <c r="R1123" i="2" l="1"/>
  <c r="K1123" i="2"/>
  <c r="I1123" i="2"/>
  <c r="J1123" i="2"/>
  <c r="S1123" i="2"/>
  <c r="L1123" i="2"/>
  <c r="P1123" i="2" s="1"/>
  <c r="M1123" i="2"/>
  <c r="Q1123" i="2" s="1"/>
  <c r="V1123" i="2" l="1"/>
  <c r="U1123" i="2"/>
  <c r="T1123" i="2"/>
  <c r="X1123" i="2"/>
  <c r="F1124" i="2" s="1"/>
  <c r="W1123" i="2"/>
  <c r="E1124" i="2" s="1"/>
  <c r="Y1123" i="2"/>
  <c r="G1124" i="2" s="1"/>
  <c r="D1124" i="2" l="1"/>
  <c r="C1124" i="2"/>
  <c r="H1124" i="2"/>
  <c r="L1124" i="2" s="1"/>
  <c r="B1124" i="2"/>
  <c r="J1124" i="2" l="1"/>
  <c r="I1124" i="2"/>
  <c r="K1124" i="2"/>
  <c r="S1124" i="2"/>
  <c r="M1124" i="2"/>
  <c r="N1124" i="2"/>
  <c r="O1124" i="2" s="1"/>
  <c r="Q1124" i="2" l="1"/>
  <c r="P1124" i="2"/>
  <c r="T1124" i="2" s="1"/>
  <c r="W1124" i="2" s="1"/>
  <c r="E1125" i="2" s="1"/>
  <c r="R1124" i="2"/>
  <c r="V1124" i="2" s="1"/>
  <c r="Y1124" i="2" s="1"/>
  <c r="G1125" i="2" s="1"/>
  <c r="U1124" i="2"/>
  <c r="X1124" i="2" s="1"/>
  <c r="F1125" i="2" s="1"/>
  <c r="H1125" i="2" l="1"/>
  <c r="B1125" i="2"/>
  <c r="M1125" i="2"/>
  <c r="C1125" i="2"/>
  <c r="N1125" i="2"/>
  <c r="O1125" i="2" s="1"/>
  <c r="D1125" i="2"/>
  <c r="Q1125" i="2" l="1"/>
  <c r="R1125" i="2"/>
  <c r="I1125" i="2"/>
  <c r="J1125" i="2"/>
  <c r="K1125" i="2"/>
  <c r="S1125" i="2"/>
  <c r="L1125" i="2"/>
  <c r="P1125" i="2" s="1"/>
  <c r="V1125" i="2" l="1"/>
  <c r="U1125" i="2"/>
  <c r="T1125" i="2"/>
  <c r="Y1125" i="2"/>
  <c r="G1126" i="2" s="1"/>
  <c r="X1125" i="2"/>
  <c r="F1126" i="2" s="1"/>
  <c r="W1125" i="2"/>
  <c r="E1126" i="2" s="1"/>
  <c r="C1126" i="2" l="1"/>
  <c r="H1126" i="2"/>
  <c r="N1126" i="2" s="1"/>
  <c r="O1126" i="2" s="1"/>
  <c r="B1126" i="2"/>
  <c r="D1126" i="2"/>
  <c r="R1126" i="2" l="1"/>
  <c r="J1126" i="2"/>
  <c r="K1126" i="2"/>
  <c r="I1126" i="2"/>
  <c r="S1126" i="2"/>
  <c r="L1126" i="2"/>
  <c r="P1126" i="2" s="1"/>
  <c r="M1126" i="2"/>
  <c r="Q1126" i="2" s="1"/>
  <c r="V1126" i="2" l="1"/>
  <c r="U1126" i="2"/>
  <c r="X1126" i="2" s="1"/>
  <c r="F1127" i="2" s="1"/>
  <c r="T1126" i="2"/>
  <c r="W1126" i="2" s="1"/>
  <c r="E1127" i="2" s="1"/>
  <c r="Y1126" i="2"/>
  <c r="G1127" i="2" s="1"/>
  <c r="C1127" i="2" l="1"/>
  <c r="D1127" i="2"/>
  <c r="H1127" i="2"/>
  <c r="B1127" i="2"/>
  <c r="K1127" i="2" l="1"/>
  <c r="J1127" i="2"/>
  <c r="S1127" i="2"/>
  <c r="I1127" i="2"/>
  <c r="L1127" i="2"/>
  <c r="N1127" i="2"/>
  <c r="O1127" i="2" s="1"/>
  <c r="M1127" i="2"/>
  <c r="Q1127" i="2" l="1"/>
  <c r="P1127" i="2"/>
  <c r="R1127" i="2"/>
  <c r="V1127" i="2" s="1"/>
  <c r="Y1127" i="2" s="1"/>
  <c r="G1128" i="2" s="1"/>
  <c r="U1127" i="2"/>
  <c r="X1127" i="2" s="1"/>
  <c r="F1128" i="2" s="1"/>
  <c r="T1127" i="2"/>
  <c r="W1127" i="2" s="1"/>
  <c r="E1128" i="2" s="1"/>
  <c r="H1128" i="2" l="1"/>
  <c r="M1128" i="2" s="1"/>
  <c r="B1128" i="2"/>
  <c r="C1128" i="2"/>
  <c r="N1128" i="2"/>
  <c r="O1128" i="2" s="1"/>
  <c r="D1128" i="2"/>
  <c r="Q1128" i="2" l="1"/>
  <c r="R1128" i="2"/>
  <c r="J1128" i="2"/>
  <c r="K1128" i="2"/>
  <c r="I1128" i="2"/>
  <c r="S1128" i="2"/>
  <c r="L1128" i="2"/>
  <c r="P1128" i="2" s="1"/>
  <c r="V1128" i="2" l="1"/>
  <c r="U1128" i="2"/>
  <c r="T1128" i="2"/>
  <c r="W1128" i="2" s="1"/>
  <c r="E1129" i="2" s="1"/>
  <c r="Y1128" i="2"/>
  <c r="G1129" i="2" s="1"/>
  <c r="X1128" i="2"/>
  <c r="F1129" i="2" s="1"/>
  <c r="H1129" i="2" l="1"/>
  <c r="B1129" i="2"/>
  <c r="M1129" i="2"/>
  <c r="C1129" i="2"/>
  <c r="N1129" i="2"/>
  <c r="O1129" i="2" s="1"/>
  <c r="D1129" i="2"/>
  <c r="Q1129" i="2" l="1"/>
  <c r="R1129" i="2"/>
  <c r="J1129" i="2"/>
  <c r="K1129" i="2"/>
  <c r="I1129" i="2"/>
  <c r="S1129" i="2"/>
  <c r="L1129" i="2"/>
  <c r="P1129" i="2" s="1"/>
  <c r="V1129" i="2" l="1"/>
  <c r="U1129" i="2"/>
  <c r="X1129" i="2" s="1"/>
  <c r="F1130" i="2" s="1"/>
  <c r="T1129" i="2"/>
  <c r="W1129" i="2" s="1"/>
  <c r="E1130" i="2" s="1"/>
  <c r="Y1129" i="2"/>
  <c r="G1130" i="2" s="1"/>
  <c r="H1130" i="2" l="1"/>
  <c r="B1130" i="2"/>
  <c r="M1130" i="2"/>
  <c r="C1130" i="2"/>
  <c r="N1130" i="2"/>
  <c r="O1130" i="2" s="1"/>
  <c r="D1130" i="2"/>
  <c r="Q1130" i="2" l="1"/>
  <c r="R1130" i="2"/>
  <c r="I1130" i="2"/>
  <c r="K1130" i="2"/>
  <c r="J1130" i="2"/>
  <c r="S1130" i="2"/>
  <c r="L1130" i="2"/>
  <c r="P1130" i="2" s="1"/>
  <c r="V1130" i="2" l="1"/>
  <c r="Y1130" i="2" s="1"/>
  <c r="G1131" i="2" s="1"/>
  <c r="U1130" i="2"/>
  <c r="X1130" i="2" s="1"/>
  <c r="F1131" i="2" s="1"/>
  <c r="T1130" i="2"/>
  <c r="W1130" i="2"/>
  <c r="E1131" i="2" s="1"/>
  <c r="C1131" i="2" l="1"/>
  <c r="H1131" i="2"/>
  <c r="L1131" i="2" s="1"/>
  <c r="B1131" i="2"/>
  <c r="N1131" i="2"/>
  <c r="O1131" i="2" s="1"/>
  <c r="D1131" i="2"/>
  <c r="P1131" i="2" l="1"/>
  <c r="R1131" i="2"/>
  <c r="I1131" i="2"/>
  <c r="J1131" i="2"/>
  <c r="K1131" i="2"/>
  <c r="S1131" i="2"/>
  <c r="M1131" i="2"/>
  <c r="Q1131" i="2" s="1"/>
  <c r="V1131" i="2" l="1"/>
  <c r="U1131" i="2"/>
  <c r="T1131" i="2"/>
  <c r="Y1131" i="2"/>
  <c r="G1132" i="2" s="1"/>
  <c r="X1131" i="2"/>
  <c r="F1132" i="2" s="1"/>
  <c r="W1131" i="2"/>
  <c r="E1132" i="2" s="1"/>
  <c r="H1132" i="2" l="1"/>
  <c r="B1132" i="2"/>
  <c r="M1132" i="2"/>
  <c r="C1132" i="2"/>
  <c r="N1132" i="2"/>
  <c r="O1132" i="2" s="1"/>
  <c r="D1132" i="2"/>
  <c r="Q1132" i="2" l="1"/>
  <c r="R1132" i="2"/>
  <c r="I1132" i="2"/>
  <c r="K1132" i="2"/>
  <c r="S1132" i="2"/>
  <c r="J1132" i="2"/>
  <c r="L1132" i="2"/>
  <c r="P1132" i="2" s="1"/>
  <c r="V1132" i="2" l="1"/>
  <c r="U1132" i="2"/>
  <c r="T1132" i="2"/>
  <c r="X1132" i="2"/>
  <c r="F1133" i="2" s="1"/>
  <c r="Y1132" i="2"/>
  <c r="G1133" i="2" s="1"/>
  <c r="W1132" i="2"/>
  <c r="E1133" i="2" s="1"/>
  <c r="D1133" i="2" l="1"/>
  <c r="H1133" i="2"/>
  <c r="B1133" i="2"/>
  <c r="M1133" i="2"/>
  <c r="C1133" i="2"/>
  <c r="K1133" i="2" l="1"/>
  <c r="I1133" i="2"/>
  <c r="S1133" i="2"/>
  <c r="J1133" i="2"/>
  <c r="L1133" i="2"/>
  <c r="N1133" i="2"/>
  <c r="O1133" i="2" s="1"/>
  <c r="Q1133" i="2" l="1"/>
  <c r="U1133" i="2" s="1"/>
  <c r="X1133" i="2" s="1"/>
  <c r="F1134" i="2" s="1"/>
  <c r="P1133" i="2"/>
  <c r="T1133" i="2" s="1"/>
  <c r="W1133" i="2" s="1"/>
  <c r="E1134" i="2" s="1"/>
  <c r="R1133" i="2"/>
  <c r="V1133" i="2" s="1"/>
  <c r="Y1133" i="2" s="1"/>
  <c r="G1134" i="2" s="1"/>
  <c r="H1134" i="2" l="1"/>
  <c r="B1134" i="2"/>
  <c r="N1134" i="2"/>
  <c r="O1134" i="2" s="1"/>
  <c r="D1134" i="2"/>
  <c r="M1134" i="2"/>
  <c r="C1134" i="2"/>
  <c r="Q1134" i="2" l="1"/>
  <c r="R1134" i="2"/>
  <c r="K1134" i="2"/>
  <c r="I1134" i="2"/>
  <c r="J1134" i="2"/>
  <c r="S1134" i="2"/>
  <c r="L1134" i="2"/>
  <c r="P1134" i="2" s="1"/>
  <c r="V1134" i="2" l="1"/>
  <c r="Y1134" i="2" s="1"/>
  <c r="G1135" i="2" s="1"/>
  <c r="U1134" i="2"/>
  <c r="X1134" i="2" s="1"/>
  <c r="F1135" i="2" s="1"/>
  <c r="T1134" i="2"/>
  <c r="W1134" i="2" s="1"/>
  <c r="E1135" i="2" s="1"/>
  <c r="C1135" i="2" l="1"/>
  <c r="D1135" i="2"/>
  <c r="H1135" i="2"/>
  <c r="N1135" i="2" s="1"/>
  <c r="O1135" i="2" s="1"/>
  <c r="B1135" i="2"/>
  <c r="R1135" i="2" l="1"/>
  <c r="J1135" i="2"/>
  <c r="I1135" i="2"/>
  <c r="S1135" i="2"/>
  <c r="K1135" i="2"/>
  <c r="L1135" i="2"/>
  <c r="P1135" i="2" s="1"/>
  <c r="M1135" i="2"/>
  <c r="Q1135" i="2" s="1"/>
  <c r="V1135" i="2" l="1"/>
  <c r="Y1135" i="2" s="1"/>
  <c r="G1136" i="2" s="1"/>
  <c r="U1135" i="2"/>
  <c r="T1135" i="2"/>
  <c r="W1135" i="2" s="1"/>
  <c r="E1136" i="2" s="1"/>
  <c r="X1135" i="2"/>
  <c r="F1136" i="2" s="1"/>
  <c r="H1136" i="2" l="1"/>
  <c r="B1136" i="2"/>
  <c r="N1136" i="2"/>
  <c r="O1136" i="2" s="1"/>
  <c r="D1136" i="2"/>
  <c r="M1136" i="2"/>
  <c r="C1136" i="2"/>
  <c r="Q1136" i="2" l="1"/>
  <c r="R1136" i="2"/>
  <c r="I1136" i="2"/>
  <c r="J1136" i="2"/>
  <c r="K1136" i="2"/>
  <c r="S1136" i="2"/>
  <c r="L1136" i="2"/>
  <c r="P1136" i="2" s="1"/>
  <c r="V1136" i="2" l="1"/>
  <c r="U1136" i="2"/>
  <c r="X1136" i="2" s="1"/>
  <c r="F1137" i="2" s="1"/>
  <c r="T1136" i="2"/>
  <c r="Y1136" i="2"/>
  <c r="G1137" i="2" s="1"/>
  <c r="W1136" i="2"/>
  <c r="E1137" i="2" s="1"/>
  <c r="C1137" i="2" l="1"/>
  <c r="H1137" i="2"/>
  <c r="B1137" i="2"/>
  <c r="D1137" i="2"/>
  <c r="J1137" i="2" l="1"/>
  <c r="K1137" i="2"/>
  <c r="I1137" i="2"/>
  <c r="S1137" i="2"/>
  <c r="N1137" i="2"/>
  <c r="O1137" i="2" s="1"/>
  <c r="L1137" i="2"/>
  <c r="M1137" i="2"/>
  <c r="Q1137" i="2" l="1"/>
  <c r="U1137" i="2" s="1"/>
  <c r="X1137" i="2" s="1"/>
  <c r="F1138" i="2" s="1"/>
  <c r="P1137" i="2"/>
  <c r="T1137" i="2" s="1"/>
  <c r="W1137" i="2" s="1"/>
  <c r="E1138" i="2" s="1"/>
  <c r="R1137" i="2"/>
  <c r="V1137" i="2" s="1"/>
  <c r="Y1137" i="2" s="1"/>
  <c r="G1138" i="2" s="1"/>
  <c r="H1138" i="2" l="1"/>
  <c r="B1138" i="2"/>
  <c r="N1138" i="2"/>
  <c r="O1138" i="2" s="1"/>
  <c r="D1138" i="2"/>
  <c r="M1138" i="2"/>
  <c r="C1138" i="2"/>
  <c r="Q1138" i="2" l="1"/>
  <c r="R1138" i="2"/>
  <c r="J1138" i="2"/>
  <c r="I1138" i="2"/>
  <c r="K1138" i="2"/>
  <c r="S1138" i="2"/>
  <c r="L1138" i="2"/>
  <c r="P1138" i="2" s="1"/>
  <c r="V1138" i="2" l="1"/>
  <c r="U1138" i="2"/>
  <c r="T1138" i="2"/>
  <c r="W1138" i="2" s="1"/>
  <c r="E1139" i="2" s="1"/>
  <c r="Y1138" i="2"/>
  <c r="G1139" i="2" s="1"/>
  <c r="X1138" i="2"/>
  <c r="F1139" i="2" s="1"/>
  <c r="H1139" i="2" l="1"/>
  <c r="B1139" i="2"/>
  <c r="M1139" i="2"/>
  <c r="C1139" i="2"/>
  <c r="N1139" i="2"/>
  <c r="O1139" i="2" s="1"/>
  <c r="D1139" i="2"/>
  <c r="Q1139" i="2" l="1"/>
  <c r="R1139" i="2"/>
  <c r="K1139" i="2"/>
  <c r="J1139" i="2"/>
  <c r="I1139" i="2"/>
  <c r="S1139" i="2"/>
  <c r="L1139" i="2"/>
  <c r="P1139" i="2" s="1"/>
  <c r="V1139" i="2" l="1"/>
  <c r="U1139" i="2"/>
  <c r="X1139" i="2" s="1"/>
  <c r="F1140" i="2" s="1"/>
  <c r="T1139" i="2"/>
  <c r="W1139" i="2" s="1"/>
  <c r="E1140" i="2" s="1"/>
  <c r="Y1139" i="2"/>
  <c r="G1140" i="2" s="1"/>
  <c r="C1140" i="2" l="1"/>
  <c r="D1140" i="2"/>
  <c r="H1140" i="2"/>
  <c r="B1140" i="2"/>
  <c r="K1140" i="2" l="1"/>
  <c r="J1140" i="2"/>
  <c r="I1140" i="2"/>
  <c r="S1140" i="2"/>
  <c r="L1140" i="2"/>
  <c r="N1140" i="2"/>
  <c r="O1140" i="2" s="1"/>
  <c r="M1140" i="2"/>
  <c r="Q1140" i="2" l="1"/>
  <c r="U1140" i="2" s="1"/>
  <c r="X1140" i="2" s="1"/>
  <c r="F1141" i="2" s="1"/>
  <c r="P1140" i="2"/>
  <c r="T1140" i="2" s="1"/>
  <c r="W1140" i="2" s="1"/>
  <c r="E1141" i="2" s="1"/>
  <c r="R1140" i="2"/>
  <c r="V1140" i="2" s="1"/>
  <c r="Y1140" i="2" s="1"/>
  <c r="G1141" i="2" s="1"/>
  <c r="D1141" i="2" l="1"/>
  <c r="H1141" i="2"/>
  <c r="M1141" i="2" s="1"/>
  <c r="B1141" i="2"/>
  <c r="C1141" i="2"/>
  <c r="J1141" i="2" l="1"/>
  <c r="K1141" i="2"/>
  <c r="I1141" i="2"/>
  <c r="S1141" i="2"/>
  <c r="L1141" i="2"/>
  <c r="N1141" i="2"/>
  <c r="O1141" i="2" s="1"/>
  <c r="Q1141" i="2" l="1"/>
  <c r="P1141" i="2"/>
  <c r="R1141" i="2"/>
  <c r="V1141" i="2"/>
  <c r="U1141" i="2"/>
  <c r="T1141" i="2"/>
  <c r="W1141" i="2" s="1"/>
  <c r="E1142" i="2" s="1"/>
  <c r="Y1141" i="2"/>
  <c r="G1142" i="2" s="1"/>
  <c r="X1141" i="2"/>
  <c r="F1142" i="2" s="1"/>
  <c r="H1142" i="2" l="1"/>
  <c r="B1142" i="2"/>
  <c r="N1142" i="2"/>
  <c r="O1142" i="2" s="1"/>
  <c r="D1142" i="2"/>
  <c r="M1142" i="2"/>
  <c r="C1142" i="2"/>
  <c r="Q1142" i="2" l="1"/>
  <c r="R1142" i="2"/>
  <c r="K1142" i="2"/>
  <c r="I1142" i="2"/>
  <c r="J1142" i="2"/>
  <c r="S1142" i="2"/>
  <c r="L1142" i="2"/>
  <c r="P1142" i="2" s="1"/>
  <c r="V1142" i="2" l="1"/>
  <c r="U1142" i="2"/>
  <c r="T1142" i="2"/>
  <c r="X1142" i="2"/>
  <c r="F1143" i="2" s="1"/>
  <c r="Y1142" i="2"/>
  <c r="G1143" i="2" s="1"/>
  <c r="W1142" i="2"/>
  <c r="E1143" i="2" s="1"/>
  <c r="C1143" i="2" l="1"/>
  <c r="H1143" i="2"/>
  <c r="N1143" i="2" s="1"/>
  <c r="O1143" i="2" s="1"/>
  <c r="B1143" i="2"/>
  <c r="D1143" i="2"/>
  <c r="R1143" i="2" l="1"/>
  <c r="K1143" i="2"/>
  <c r="I1143" i="2"/>
  <c r="J1143" i="2"/>
  <c r="S1143" i="2"/>
  <c r="L1143" i="2"/>
  <c r="P1143" i="2" s="1"/>
  <c r="M1143" i="2"/>
  <c r="Q1143" i="2" s="1"/>
  <c r="V1143" i="2" l="1"/>
  <c r="U1143" i="2"/>
  <c r="T1143" i="2"/>
  <c r="W1143" i="2" s="1"/>
  <c r="E1144" i="2" s="1"/>
  <c r="X1143" i="2"/>
  <c r="F1144" i="2" s="1"/>
  <c r="Y1143" i="2"/>
  <c r="G1144" i="2" s="1"/>
  <c r="H1144" i="2" l="1"/>
  <c r="B1144" i="2"/>
  <c r="N1144" i="2"/>
  <c r="O1144" i="2" s="1"/>
  <c r="D1144" i="2"/>
  <c r="M1144" i="2"/>
  <c r="C1144" i="2"/>
  <c r="Q1144" i="2" l="1"/>
  <c r="R1144" i="2"/>
  <c r="I1144" i="2"/>
  <c r="J1144" i="2"/>
  <c r="K1144" i="2"/>
  <c r="S1144" i="2"/>
  <c r="L1144" i="2"/>
  <c r="P1144" i="2" s="1"/>
  <c r="V1144" i="2" l="1"/>
  <c r="U1144" i="2"/>
  <c r="X1144" i="2" s="1"/>
  <c r="F1145" i="2" s="1"/>
  <c r="T1144" i="2"/>
  <c r="W1144" i="2" s="1"/>
  <c r="E1145" i="2" s="1"/>
  <c r="Y1144" i="2"/>
  <c r="G1145" i="2" s="1"/>
  <c r="H1145" i="2" l="1"/>
  <c r="B1145" i="2"/>
  <c r="M1145" i="2"/>
  <c r="C1145" i="2"/>
  <c r="N1145" i="2"/>
  <c r="O1145" i="2" s="1"/>
  <c r="D1145" i="2"/>
  <c r="Q1145" i="2" l="1"/>
  <c r="R1145" i="2"/>
  <c r="K1145" i="2"/>
  <c r="I1145" i="2"/>
  <c r="J1145" i="2"/>
  <c r="S1145" i="2"/>
  <c r="L1145" i="2"/>
  <c r="P1145" i="2" s="1"/>
  <c r="V1145" i="2" l="1"/>
  <c r="U1145" i="2"/>
  <c r="X1145" i="2" s="1"/>
  <c r="F1146" i="2" s="1"/>
  <c r="T1145" i="2"/>
  <c r="Y1145" i="2"/>
  <c r="G1146" i="2" s="1"/>
  <c r="W1145" i="2"/>
  <c r="E1146" i="2" s="1"/>
  <c r="C1146" i="2" l="1"/>
  <c r="H1146" i="2"/>
  <c r="N1146" i="2" s="1"/>
  <c r="O1146" i="2" s="1"/>
  <c r="B1146" i="2"/>
  <c r="D1146" i="2"/>
  <c r="R1146" i="2" l="1"/>
  <c r="J1146" i="2"/>
  <c r="I1146" i="2"/>
  <c r="K1146" i="2"/>
  <c r="S1146" i="2"/>
  <c r="L1146" i="2"/>
  <c r="P1146" i="2" s="1"/>
  <c r="M1146" i="2"/>
  <c r="Q1146" i="2" s="1"/>
  <c r="V1146" i="2" l="1"/>
  <c r="Y1146" i="2" s="1"/>
  <c r="G1147" i="2" s="1"/>
  <c r="U1146" i="2"/>
  <c r="X1146" i="2" s="1"/>
  <c r="F1147" i="2" s="1"/>
  <c r="T1146" i="2"/>
  <c r="W1146" i="2" s="1"/>
  <c r="E1147" i="2" s="1"/>
  <c r="C1147" i="2" l="1"/>
  <c r="D1147" i="2"/>
  <c r="H1147" i="2"/>
  <c r="B1147" i="2"/>
  <c r="K1147" i="2" l="1"/>
  <c r="I1147" i="2"/>
  <c r="J1147" i="2"/>
  <c r="S1147" i="2"/>
  <c r="L1147" i="2"/>
  <c r="N1147" i="2"/>
  <c r="O1147" i="2" s="1"/>
  <c r="M1147" i="2"/>
  <c r="Q1147" i="2" l="1"/>
  <c r="P1147" i="2"/>
  <c r="R1147" i="2"/>
  <c r="V1147" i="2"/>
  <c r="U1147" i="2"/>
  <c r="T1147" i="2"/>
  <c r="W1147" i="2"/>
  <c r="E1148" i="2" s="1"/>
  <c r="X1147" i="2"/>
  <c r="F1148" i="2" s="1"/>
  <c r="Y1147" i="2"/>
  <c r="G1148" i="2" s="1"/>
  <c r="D1148" i="2" l="1"/>
  <c r="C1148" i="2"/>
  <c r="H1148" i="2"/>
  <c r="M1148" i="2" s="1"/>
  <c r="B1148" i="2"/>
  <c r="L1148" i="2" l="1"/>
  <c r="J1148" i="2"/>
  <c r="K1148" i="2"/>
  <c r="I1148" i="2"/>
  <c r="S1148" i="2"/>
  <c r="N1148" i="2"/>
  <c r="O1148" i="2" s="1"/>
  <c r="R1148" i="2" l="1"/>
  <c r="Q1148" i="2"/>
  <c r="U1148" i="2" s="1"/>
  <c r="X1148" i="2" s="1"/>
  <c r="F1149" i="2" s="1"/>
  <c r="P1148" i="2"/>
  <c r="T1148" i="2" s="1"/>
  <c r="W1148" i="2" s="1"/>
  <c r="E1149" i="2" s="1"/>
  <c r="V1148" i="2"/>
  <c r="Y1148" i="2" s="1"/>
  <c r="G1149" i="2" s="1"/>
  <c r="C1149" i="2" l="1"/>
  <c r="D1149" i="2"/>
  <c r="H1149" i="2"/>
  <c r="L1149" i="2" s="1"/>
  <c r="B1149" i="2"/>
  <c r="J1149" i="2" l="1"/>
  <c r="K1149" i="2"/>
  <c r="I1149" i="2"/>
  <c r="S1149" i="2"/>
  <c r="N1149" i="2"/>
  <c r="O1149" i="2" s="1"/>
  <c r="M1149" i="2"/>
  <c r="R1149" i="2" l="1"/>
  <c r="P1149" i="2"/>
  <c r="Q1149" i="2"/>
  <c r="U1149" i="2" s="1"/>
  <c r="X1149" i="2" s="1"/>
  <c r="F1150" i="2" s="1"/>
  <c r="V1149" i="2"/>
  <c r="Y1149" i="2" s="1"/>
  <c r="G1150" i="2" s="1"/>
  <c r="T1149" i="2"/>
  <c r="W1149" i="2" s="1"/>
  <c r="E1150" i="2" s="1"/>
  <c r="D1150" i="2" l="1"/>
  <c r="H1150" i="2"/>
  <c r="B1150" i="2"/>
  <c r="C1150" i="2"/>
  <c r="K1150" i="2" l="1"/>
  <c r="I1150" i="2"/>
  <c r="J1150" i="2"/>
  <c r="S1150" i="2"/>
  <c r="M1150" i="2"/>
  <c r="L1150" i="2"/>
  <c r="N1150" i="2"/>
  <c r="O1150" i="2" s="1"/>
  <c r="P1150" i="2" l="1"/>
  <c r="R1150" i="2"/>
  <c r="V1150" i="2" s="1"/>
  <c r="Y1150" i="2" s="1"/>
  <c r="G1151" i="2" s="1"/>
  <c r="Q1150" i="2"/>
  <c r="U1150" i="2" s="1"/>
  <c r="X1150" i="2" s="1"/>
  <c r="F1151" i="2" s="1"/>
  <c r="T1150" i="2"/>
  <c r="W1150" i="2" s="1"/>
  <c r="E1151" i="2" s="1"/>
  <c r="C1151" i="2" l="1"/>
  <c r="D1151" i="2"/>
  <c r="H1151" i="2"/>
  <c r="N1151" i="2" s="1"/>
  <c r="O1151" i="2" s="1"/>
  <c r="L1151" i="2"/>
  <c r="B1151" i="2"/>
  <c r="R1151" i="2" l="1"/>
  <c r="P1151" i="2"/>
  <c r="J1151" i="2"/>
  <c r="I1151" i="2"/>
  <c r="K1151" i="2"/>
  <c r="S1151" i="2"/>
  <c r="M1151" i="2"/>
  <c r="Q1151" i="2" s="1"/>
  <c r="V1151" i="2" l="1"/>
  <c r="U1151" i="2"/>
  <c r="T1151" i="2"/>
  <c r="W1151" i="2" s="1"/>
  <c r="E1152" i="2" s="1"/>
  <c r="Y1151" i="2"/>
  <c r="G1152" i="2" s="1"/>
  <c r="X1151" i="2"/>
  <c r="F1152" i="2" s="1"/>
  <c r="H1152" i="2" l="1"/>
  <c r="B1152" i="2"/>
  <c r="M1152" i="2"/>
  <c r="C1152" i="2"/>
  <c r="N1152" i="2"/>
  <c r="O1152" i="2" s="1"/>
  <c r="D1152" i="2"/>
  <c r="R1152" i="2" l="1"/>
  <c r="Q1152" i="2"/>
  <c r="J1152" i="2"/>
  <c r="I1152" i="2"/>
  <c r="K1152" i="2"/>
  <c r="S1152" i="2"/>
  <c r="L1152" i="2"/>
  <c r="P1152" i="2" s="1"/>
  <c r="V1152" i="2" l="1"/>
  <c r="U1152" i="2"/>
  <c r="T1152" i="2"/>
  <c r="W1152" i="2"/>
  <c r="E1153" i="2" s="1"/>
  <c r="Y1152" i="2"/>
  <c r="G1153" i="2" s="1"/>
  <c r="X1152" i="2"/>
  <c r="F1153" i="2" s="1"/>
  <c r="C1153" i="2" l="1"/>
  <c r="D1153" i="2"/>
  <c r="H1153" i="2"/>
  <c r="N1153" i="2" s="1"/>
  <c r="O1153" i="2" s="1"/>
  <c r="B1153" i="2"/>
  <c r="R1153" i="2" l="1"/>
  <c r="L1153" i="2"/>
  <c r="P1153" i="2" s="1"/>
  <c r="J1153" i="2"/>
  <c r="K1153" i="2"/>
  <c r="I1153" i="2"/>
  <c r="S1153" i="2"/>
  <c r="M1153" i="2"/>
  <c r="Q1153" i="2" s="1"/>
  <c r="V1153" i="2" l="1"/>
  <c r="U1153" i="2"/>
  <c r="T1153" i="2"/>
  <c r="Y1153" i="2"/>
  <c r="G1154" i="2" s="1"/>
  <c r="W1153" i="2"/>
  <c r="E1154" i="2" s="1"/>
  <c r="X1153" i="2"/>
  <c r="F1154" i="2" s="1"/>
  <c r="H1154" i="2" l="1"/>
  <c r="B1154" i="2"/>
  <c r="M1154" i="2"/>
  <c r="C1154" i="2"/>
  <c r="N1154" i="2"/>
  <c r="O1154" i="2" s="1"/>
  <c r="D1154" i="2"/>
  <c r="R1154" i="2" l="1"/>
  <c r="Q1154" i="2"/>
  <c r="I1154" i="2"/>
  <c r="K1154" i="2"/>
  <c r="J1154" i="2"/>
  <c r="S1154" i="2"/>
  <c r="L1154" i="2"/>
  <c r="P1154" i="2" s="1"/>
  <c r="V1154" i="2" l="1"/>
  <c r="T1154" i="2"/>
  <c r="U1154" i="2"/>
  <c r="Y1154" i="2"/>
  <c r="G1155" i="2" s="1"/>
  <c r="X1154" i="2"/>
  <c r="F1155" i="2" s="1"/>
  <c r="W1154" i="2"/>
  <c r="E1155" i="2" s="1"/>
  <c r="C1155" i="2" l="1"/>
  <c r="H1155" i="2"/>
  <c r="N1155" i="2" s="1"/>
  <c r="O1155" i="2" s="1"/>
  <c r="B1155" i="2"/>
  <c r="D1155" i="2"/>
  <c r="R1155" i="2" l="1"/>
  <c r="I1155" i="2"/>
  <c r="K1155" i="2"/>
  <c r="J1155" i="2"/>
  <c r="S1155" i="2"/>
  <c r="L1155" i="2"/>
  <c r="P1155" i="2" s="1"/>
  <c r="M1155" i="2"/>
  <c r="Q1155" i="2" s="1"/>
  <c r="V1155" i="2" l="1"/>
  <c r="U1155" i="2"/>
  <c r="X1155" i="2" s="1"/>
  <c r="F1156" i="2" s="1"/>
  <c r="T1155" i="2"/>
  <c r="Y1155" i="2"/>
  <c r="G1156" i="2" s="1"/>
  <c r="W1155" i="2"/>
  <c r="E1156" i="2" s="1"/>
  <c r="C1156" i="2" l="1"/>
  <c r="H1156" i="2"/>
  <c r="B1156" i="2"/>
  <c r="N1156" i="2"/>
  <c r="O1156" i="2" s="1"/>
  <c r="D1156" i="2"/>
  <c r="R1156" i="2" l="1"/>
  <c r="I1156" i="2"/>
  <c r="J1156" i="2"/>
  <c r="K1156" i="2"/>
  <c r="S1156" i="2"/>
  <c r="L1156" i="2"/>
  <c r="P1156" i="2" s="1"/>
  <c r="M1156" i="2"/>
  <c r="Q1156" i="2" s="1"/>
  <c r="V1156" i="2" l="1"/>
  <c r="U1156" i="2"/>
  <c r="T1156" i="2"/>
  <c r="X1156" i="2"/>
  <c r="F1157" i="2" s="1"/>
  <c r="Y1156" i="2"/>
  <c r="G1157" i="2" s="1"/>
  <c r="W1156" i="2"/>
  <c r="E1157" i="2" s="1"/>
  <c r="C1157" i="2" l="1"/>
  <c r="H1157" i="2"/>
  <c r="B1157" i="2"/>
  <c r="D1157" i="2"/>
  <c r="K1157" i="2" l="1"/>
  <c r="J1157" i="2"/>
  <c r="I1157" i="2"/>
  <c r="S1157" i="2"/>
  <c r="L1157" i="2"/>
  <c r="N1157" i="2"/>
  <c r="O1157" i="2" s="1"/>
  <c r="M1157" i="2"/>
  <c r="R1157" i="2" l="1"/>
  <c r="Q1157" i="2"/>
  <c r="U1157" i="2" s="1"/>
  <c r="X1157" i="2" s="1"/>
  <c r="F1158" i="2" s="1"/>
  <c r="P1157" i="2"/>
  <c r="T1157" i="2" s="1"/>
  <c r="W1157" i="2" s="1"/>
  <c r="E1158" i="2" s="1"/>
  <c r="V1157" i="2"/>
  <c r="Y1157" i="2"/>
  <c r="G1158" i="2" s="1"/>
  <c r="C1158" i="2" l="1"/>
  <c r="D1158" i="2"/>
  <c r="H1158" i="2"/>
  <c r="N1158" i="2" s="1"/>
  <c r="O1158" i="2" s="1"/>
  <c r="B1158" i="2"/>
  <c r="R1158" i="2" l="1"/>
  <c r="I1158" i="2"/>
  <c r="K1158" i="2"/>
  <c r="J1158" i="2"/>
  <c r="S1158" i="2"/>
  <c r="L1158" i="2"/>
  <c r="P1158" i="2" s="1"/>
  <c r="M1158" i="2"/>
  <c r="Q1158" i="2" s="1"/>
  <c r="V1158" i="2" l="1"/>
  <c r="Y1158" i="2" s="1"/>
  <c r="G1159" i="2" s="1"/>
  <c r="U1158" i="2"/>
  <c r="X1158" i="2" s="1"/>
  <c r="F1159" i="2" s="1"/>
  <c r="T1158" i="2"/>
  <c r="W1158" i="2" s="1"/>
  <c r="E1159" i="2" s="1"/>
  <c r="D1159" i="2" l="1"/>
  <c r="H1159" i="2"/>
  <c r="L1159" i="2" s="1"/>
  <c r="B1159" i="2"/>
  <c r="M1159" i="2"/>
  <c r="C1159" i="2"/>
  <c r="K1159" i="2" l="1"/>
  <c r="I1159" i="2"/>
  <c r="J1159" i="2"/>
  <c r="S1159" i="2"/>
  <c r="N1159" i="2"/>
  <c r="O1159" i="2" s="1"/>
  <c r="Q1159" i="2" l="1"/>
  <c r="P1159" i="2"/>
  <c r="T1159" i="2" s="1"/>
  <c r="W1159" i="2" s="1"/>
  <c r="E1160" i="2" s="1"/>
  <c r="R1159" i="2"/>
  <c r="V1159" i="2" s="1"/>
  <c r="Y1159" i="2" s="1"/>
  <c r="G1160" i="2" s="1"/>
  <c r="U1159" i="2"/>
  <c r="X1159" i="2" s="1"/>
  <c r="F1160" i="2" s="1"/>
  <c r="C1160" i="2" l="1"/>
  <c r="H1160" i="2"/>
  <c r="N1160" i="2" s="1"/>
  <c r="O1160" i="2" s="1"/>
  <c r="B1160" i="2"/>
  <c r="D1160" i="2"/>
  <c r="R1160" i="2" l="1"/>
  <c r="K1160" i="2"/>
  <c r="J1160" i="2"/>
  <c r="S1160" i="2"/>
  <c r="I1160" i="2"/>
  <c r="L1160" i="2"/>
  <c r="P1160" i="2" s="1"/>
  <c r="M1160" i="2"/>
  <c r="Q1160" i="2" s="1"/>
  <c r="V1160" i="2" l="1"/>
  <c r="Y1160" i="2" s="1"/>
  <c r="G1161" i="2" s="1"/>
  <c r="U1160" i="2"/>
  <c r="T1160" i="2"/>
  <c r="W1160" i="2" s="1"/>
  <c r="E1161" i="2" s="1"/>
  <c r="X1160" i="2"/>
  <c r="F1161" i="2" s="1"/>
  <c r="H1161" i="2" l="1"/>
  <c r="B1161" i="2"/>
  <c r="N1161" i="2"/>
  <c r="O1161" i="2" s="1"/>
  <c r="D1161" i="2"/>
  <c r="M1161" i="2"/>
  <c r="C1161" i="2"/>
  <c r="R1161" i="2" l="1"/>
  <c r="Q1161" i="2"/>
  <c r="I1161" i="2"/>
  <c r="J1161" i="2"/>
  <c r="K1161" i="2"/>
  <c r="S1161" i="2"/>
  <c r="L1161" i="2"/>
  <c r="P1161" i="2" s="1"/>
  <c r="V1161" i="2" l="1"/>
  <c r="U1161" i="2"/>
  <c r="X1161" i="2" s="1"/>
  <c r="F1162" i="2" s="1"/>
  <c r="T1161" i="2"/>
  <c r="Y1161" i="2"/>
  <c r="G1162" i="2" s="1"/>
  <c r="W1161" i="2"/>
  <c r="E1162" i="2" s="1"/>
  <c r="C1162" i="2" l="1"/>
  <c r="H1162" i="2"/>
  <c r="B1162" i="2"/>
  <c r="D1162" i="2"/>
  <c r="I1162" i="2" l="1"/>
  <c r="K1162" i="2"/>
  <c r="S1162" i="2"/>
  <c r="J1162" i="2"/>
  <c r="N1162" i="2"/>
  <c r="O1162" i="2" s="1"/>
  <c r="L1162" i="2"/>
  <c r="M1162" i="2"/>
  <c r="R1162" i="2" l="1"/>
  <c r="Q1162" i="2"/>
  <c r="P1162" i="2"/>
  <c r="V1162" i="2"/>
  <c r="Y1162" i="2" s="1"/>
  <c r="G1163" i="2" s="1"/>
  <c r="U1162" i="2"/>
  <c r="X1162" i="2" s="1"/>
  <c r="F1163" i="2" s="1"/>
  <c r="T1162" i="2"/>
  <c r="W1162" i="2" s="1"/>
  <c r="E1163" i="2" s="1"/>
  <c r="C1163" i="2" l="1"/>
  <c r="D1163" i="2"/>
  <c r="H1163" i="2"/>
  <c r="L1163" i="2" s="1"/>
  <c r="B1163" i="2"/>
  <c r="J1163" i="2" l="1"/>
  <c r="I1163" i="2"/>
  <c r="K1163" i="2"/>
  <c r="S1163" i="2"/>
  <c r="N1163" i="2"/>
  <c r="O1163" i="2" s="1"/>
  <c r="M1163" i="2"/>
  <c r="P1163" i="2" l="1"/>
  <c r="R1163" i="2"/>
  <c r="V1163" i="2" s="1"/>
  <c r="Y1163" i="2" s="1"/>
  <c r="G1164" i="2" s="1"/>
  <c r="Q1163" i="2"/>
  <c r="U1163" i="2" s="1"/>
  <c r="X1163" i="2" s="1"/>
  <c r="F1164" i="2" s="1"/>
  <c r="T1163" i="2"/>
  <c r="W1163" i="2" s="1"/>
  <c r="E1164" i="2" s="1"/>
  <c r="H1164" i="2" l="1"/>
  <c r="B1164" i="2"/>
  <c r="M1164" i="2"/>
  <c r="C1164" i="2"/>
  <c r="N1164" i="2"/>
  <c r="O1164" i="2" s="1"/>
  <c r="D1164" i="2"/>
  <c r="R1164" i="2" l="1"/>
  <c r="Q1164" i="2"/>
  <c r="J1164" i="2"/>
  <c r="K1164" i="2"/>
  <c r="I1164" i="2"/>
  <c r="S1164" i="2"/>
  <c r="L1164" i="2"/>
  <c r="P1164" i="2" s="1"/>
  <c r="V1164" i="2" l="1"/>
  <c r="U1164" i="2"/>
  <c r="T1164" i="2"/>
  <c r="Y1164" i="2"/>
  <c r="G1165" i="2" s="1"/>
  <c r="W1164" i="2"/>
  <c r="E1165" i="2" s="1"/>
  <c r="X1164" i="2"/>
  <c r="F1165" i="2" s="1"/>
  <c r="C1165" i="2" l="1"/>
  <c r="H1165" i="2"/>
  <c r="N1165" i="2" s="1"/>
  <c r="O1165" i="2" s="1"/>
  <c r="B1165" i="2"/>
  <c r="D1165" i="2"/>
  <c r="K1165" i="2" l="1"/>
  <c r="J1165" i="2"/>
  <c r="S1165" i="2"/>
  <c r="I1165" i="2"/>
  <c r="L1165" i="2"/>
  <c r="R1165" i="2"/>
  <c r="P1165" i="2"/>
  <c r="M1165" i="2"/>
  <c r="Q1165" i="2" s="1"/>
  <c r="V1165" i="2" l="1"/>
  <c r="U1165" i="2"/>
  <c r="X1165" i="2" s="1"/>
  <c r="F1166" i="2" s="1"/>
  <c r="T1165" i="2"/>
  <c r="W1165" i="2" s="1"/>
  <c r="E1166" i="2" s="1"/>
  <c r="Y1165" i="2"/>
  <c r="G1166" i="2" s="1"/>
  <c r="H1166" i="2" l="1"/>
  <c r="B1166" i="2"/>
  <c r="M1166" i="2"/>
  <c r="C1166" i="2"/>
  <c r="N1166" i="2"/>
  <c r="O1166" i="2" s="1"/>
  <c r="D1166" i="2"/>
  <c r="R1166" i="2" l="1"/>
  <c r="Q1166" i="2"/>
  <c r="J1166" i="2"/>
  <c r="S1166" i="2"/>
  <c r="I1166" i="2"/>
  <c r="K1166" i="2"/>
  <c r="L1166" i="2"/>
  <c r="P1166" i="2" s="1"/>
  <c r="V1166" i="2" l="1"/>
  <c r="Y1166" i="2" s="1"/>
  <c r="G1167" i="2" s="1"/>
  <c r="U1166" i="2"/>
  <c r="T1166" i="2"/>
  <c r="W1166" i="2" s="1"/>
  <c r="E1167" i="2" s="1"/>
  <c r="X1166" i="2"/>
  <c r="F1167" i="2" s="1"/>
  <c r="H1167" i="2" l="1"/>
  <c r="B1167" i="2"/>
  <c r="N1167" i="2"/>
  <c r="O1167" i="2" s="1"/>
  <c r="D1167" i="2"/>
  <c r="M1167" i="2"/>
  <c r="C1167" i="2"/>
  <c r="R1167" i="2" l="1"/>
  <c r="Q1167" i="2"/>
  <c r="K1167" i="2"/>
  <c r="I1167" i="2"/>
  <c r="S1167" i="2"/>
  <c r="J1167" i="2"/>
  <c r="L1167" i="2"/>
  <c r="P1167" i="2" s="1"/>
  <c r="V1167" i="2" l="1"/>
  <c r="U1167" i="2"/>
  <c r="X1167" i="2" s="1"/>
  <c r="F1168" i="2" s="1"/>
  <c r="T1167" i="2"/>
  <c r="W1167" i="2" s="1"/>
  <c r="E1168" i="2" s="1"/>
  <c r="Y1167" i="2"/>
  <c r="G1168" i="2" s="1"/>
  <c r="H1168" i="2" l="1"/>
  <c r="B1168" i="2"/>
  <c r="M1168" i="2"/>
  <c r="C1168" i="2"/>
  <c r="N1168" i="2"/>
  <c r="O1168" i="2" s="1"/>
  <c r="D1168" i="2"/>
  <c r="R1168" i="2" l="1"/>
  <c r="Q1168" i="2"/>
  <c r="K1168" i="2"/>
  <c r="I1168" i="2"/>
  <c r="S1168" i="2"/>
  <c r="J1168" i="2"/>
  <c r="L1168" i="2"/>
  <c r="P1168" i="2" s="1"/>
  <c r="V1168" i="2" l="1"/>
  <c r="U1168" i="2"/>
  <c r="X1168" i="2" s="1"/>
  <c r="F1169" i="2" s="1"/>
  <c r="T1168" i="2"/>
  <c r="W1168" i="2" s="1"/>
  <c r="E1169" i="2" s="1"/>
  <c r="Y1168" i="2"/>
  <c r="G1169" i="2" s="1"/>
  <c r="C1169" i="2" l="1"/>
  <c r="D1169" i="2"/>
  <c r="H1169" i="2"/>
  <c r="B1169" i="2"/>
  <c r="I1169" i="2" l="1"/>
  <c r="J1169" i="2"/>
  <c r="K1169" i="2"/>
  <c r="S1169" i="2"/>
  <c r="L1169" i="2"/>
  <c r="N1169" i="2"/>
  <c r="O1169" i="2" s="1"/>
  <c r="M1169" i="2"/>
  <c r="P1169" i="2" l="1"/>
  <c r="R1169" i="2"/>
  <c r="Q1169" i="2"/>
  <c r="U1169" i="2" s="1"/>
  <c r="X1169" i="2" s="1"/>
  <c r="F1170" i="2" s="1"/>
  <c r="V1169" i="2"/>
  <c r="T1169" i="2"/>
  <c r="Y1169" i="2"/>
  <c r="G1170" i="2" s="1"/>
  <c r="W1169" i="2"/>
  <c r="E1170" i="2" s="1"/>
  <c r="C1170" i="2" l="1"/>
  <c r="H1170" i="2"/>
  <c r="N1170" i="2" s="1"/>
  <c r="O1170" i="2" s="1"/>
  <c r="B1170" i="2"/>
  <c r="D1170" i="2"/>
  <c r="I1170" i="2" l="1"/>
  <c r="J1170" i="2"/>
  <c r="S1170" i="2"/>
  <c r="K1170" i="2"/>
  <c r="R1170" i="2"/>
  <c r="L1170" i="2"/>
  <c r="P1170" i="2" s="1"/>
  <c r="M1170" i="2"/>
  <c r="Q1170" i="2" s="1"/>
  <c r="V1170" i="2" l="1"/>
  <c r="Y1170" i="2" s="1"/>
  <c r="G1171" i="2" s="1"/>
  <c r="U1170" i="2"/>
  <c r="X1170" i="2" s="1"/>
  <c r="F1171" i="2" s="1"/>
  <c r="T1170" i="2"/>
  <c r="W1170" i="2" s="1"/>
  <c r="E1171" i="2" s="1"/>
  <c r="C1171" i="2" l="1"/>
  <c r="D1171" i="2"/>
  <c r="H1171" i="2"/>
  <c r="L1171" i="2" s="1"/>
  <c r="B1171" i="2"/>
  <c r="K1171" i="2" l="1"/>
  <c r="I1171" i="2"/>
  <c r="J1171" i="2"/>
  <c r="S1171" i="2"/>
  <c r="N1171" i="2"/>
  <c r="O1171" i="2" s="1"/>
  <c r="M1171" i="2"/>
  <c r="Q1171" i="2" l="1"/>
  <c r="U1171" i="2" s="1"/>
  <c r="X1171" i="2" s="1"/>
  <c r="F1172" i="2" s="1"/>
  <c r="P1171" i="2"/>
  <c r="T1171" i="2" s="1"/>
  <c r="W1171" i="2" s="1"/>
  <c r="E1172" i="2" s="1"/>
  <c r="R1171" i="2"/>
  <c r="V1171" i="2" s="1"/>
  <c r="Y1171" i="2" s="1"/>
  <c r="G1172" i="2" s="1"/>
  <c r="H1172" i="2" l="1"/>
  <c r="N1172" i="2" s="1"/>
  <c r="O1172" i="2" s="1"/>
  <c r="B1172" i="2"/>
  <c r="D1172" i="2"/>
  <c r="C1172" i="2"/>
  <c r="M1172" i="2" l="1"/>
  <c r="K1172" i="2"/>
  <c r="J1172" i="2"/>
  <c r="S1172" i="2"/>
  <c r="I1172" i="2"/>
  <c r="Q1172" i="2"/>
  <c r="R1172" i="2"/>
  <c r="L1172" i="2"/>
  <c r="P1172" i="2" s="1"/>
  <c r="V1172" i="2" l="1"/>
  <c r="U1172" i="2"/>
  <c r="X1172" i="2" s="1"/>
  <c r="F1173" i="2" s="1"/>
  <c r="T1172" i="2"/>
  <c r="W1172" i="2" s="1"/>
  <c r="E1173" i="2" s="1"/>
  <c r="Y1172" i="2"/>
  <c r="G1173" i="2" s="1"/>
  <c r="H1173" i="2" l="1"/>
  <c r="B1173" i="2"/>
  <c r="M1173" i="2"/>
  <c r="C1173" i="2"/>
  <c r="N1173" i="2"/>
  <c r="O1173" i="2" s="1"/>
  <c r="D1173" i="2"/>
  <c r="Q1173" i="2" l="1"/>
  <c r="R1173" i="2"/>
  <c r="I1173" i="2"/>
  <c r="J1173" i="2"/>
  <c r="K1173" i="2"/>
  <c r="S1173" i="2"/>
  <c r="L1173" i="2"/>
  <c r="P1173" i="2" s="1"/>
  <c r="V1173" i="2" l="1"/>
  <c r="U1173" i="2"/>
  <c r="T1173" i="2"/>
  <c r="X1173" i="2"/>
  <c r="F1174" i="2" s="1"/>
  <c r="Y1173" i="2"/>
  <c r="G1174" i="2" s="1"/>
  <c r="W1173" i="2"/>
  <c r="E1174" i="2" s="1"/>
  <c r="D1174" i="2" l="1"/>
  <c r="H1174" i="2"/>
  <c r="L1174" i="2" s="1"/>
  <c r="B1174" i="2"/>
  <c r="M1174" i="2"/>
  <c r="C1174" i="2"/>
  <c r="I1174" i="2" l="1"/>
  <c r="J1174" i="2"/>
  <c r="K1174" i="2"/>
  <c r="S1174" i="2"/>
  <c r="N1174" i="2"/>
  <c r="O1174" i="2" s="1"/>
  <c r="Q1174" i="2" l="1"/>
  <c r="U1174" i="2" s="1"/>
  <c r="X1174" i="2" s="1"/>
  <c r="F1175" i="2" s="1"/>
  <c r="P1174" i="2"/>
  <c r="T1174" i="2" s="1"/>
  <c r="W1174" i="2" s="1"/>
  <c r="E1175" i="2" s="1"/>
  <c r="R1174" i="2"/>
  <c r="V1174" i="2" s="1"/>
  <c r="Y1174" i="2" s="1"/>
  <c r="G1175" i="2" s="1"/>
  <c r="D1175" i="2" l="1"/>
  <c r="H1175" i="2"/>
  <c r="B1175" i="2"/>
  <c r="C1175" i="2"/>
  <c r="J1175" i="2" l="1"/>
  <c r="K1175" i="2"/>
  <c r="I1175" i="2"/>
  <c r="S1175" i="2"/>
  <c r="L1175" i="2"/>
  <c r="M1175" i="2"/>
  <c r="N1175" i="2"/>
  <c r="O1175" i="2" s="1"/>
  <c r="Q1175" i="2" l="1"/>
  <c r="P1175" i="2"/>
  <c r="R1175" i="2"/>
  <c r="V1175" i="2" s="1"/>
  <c r="Y1175" i="2" s="1"/>
  <c r="G1176" i="2" s="1"/>
  <c r="U1175" i="2"/>
  <c r="T1175" i="2"/>
  <c r="W1175" i="2" s="1"/>
  <c r="E1176" i="2" s="1"/>
  <c r="X1175" i="2"/>
  <c r="F1176" i="2" s="1"/>
  <c r="D1176" i="2" l="1"/>
  <c r="C1176" i="2"/>
  <c r="H1176" i="2"/>
  <c r="M1176" i="2" s="1"/>
  <c r="B1176" i="2"/>
  <c r="J1176" i="2" l="1"/>
  <c r="I1176" i="2"/>
  <c r="S1176" i="2"/>
  <c r="K1176" i="2"/>
  <c r="L1176" i="2"/>
  <c r="N1176" i="2"/>
  <c r="O1176" i="2" s="1"/>
  <c r="Q1176" i="2" l="1"/>
  <c r="R1176" i="2"/>
  <c r="P1176" i="2"/>
  <c r="T1176" i="2" s="1"/>
  <c r="W1176" i="2" s="1"/>
  <c r="E1177" i="2" s="1"/>
  <c r="V1176" i="2"/>
  <c r="Y1176" i="2" s="1"/>
  <c r="G1177" i="2" s="1"/>
  <c r="U1176" i="2"/>
  <c r="X1176" i="2"/>
  <c r="F1177" i="2" s="1"/>
  <c r="H1177" i="2" l="1"/>
  <c r="B1177" i="2"/>
  <c r="N1177" i="2"/>
  <c r="O1177" i="2" s="1"/>
  <c r="D1177" i="2"/>
  <c r="M1177" i="2"/>
  <c r="C1177" i="2"/>
  <c r="K1177" i="2" l="1"/>
  <c r="J1177" i="2"/>
  <c r="I1177" i="2"/>
  <c r="S1177" i="2"/>
  <c r="Q1177" i="2"/>
  <c r="R1177" i="2"/>
  <c r="L1177" i="2"/>
  <c r="P1177" i="2" s="1"/>
  <c r="V1177" i="2" l="1"/>
  <c r="U1177" i="2"/>
  <c r="T1177" i="2"/>
  <c r="X1177" i="2"/>
  <c r="F1178" i="2" s="1"/>
  <c r="W1177" i="2"/>
  <c r="E1178" i="2" s="1"/>
  <c r="Y1177" i="2"/>
  <c r="G1178" i="2" s="1"/>
  <c r="H1178" i="2" l="1"/>
  <c r="B1178" i="2"/>
  <c r="N1178" i="2"/>
  <c r="O1178" i="2" s="1"/>
  <c r="D1178" i="2"/>
  <c r="M1178" i="2"/>
  <c r="C1178" i="2"/>
  <c r="Q1178" i="2" l="1"/>
  <c r="R1178" i="2"/>
  <c r="K1178" i="2"/>
  <c r="J1178" i="2"/>
  <c r="I1178" i="2"/>
  <c r="S1178" i="2"/>
  <c r="L1178" i="2"/>
  <c r="P1178" i="2" s="1"/>
  <c r="V1178" i="2" l="1"/>
  <c r="Y1178" i="2" s="1"/>
  <c r="G1179" i="2" s="1"/>
  <c r="U1178" i="2"/>
  <c r="T1178" i="2"/>
  <c r="W1178" i="2" s="1"/>
  <c r="E1179" i="2" s="1"/>
  <c r="X1178" i="2"/>
  <c r="F1179" i="2" s="1"/>
  <c r="H1179" i="2" l="1"/>
  <c r="B1179" i="2"/>
  <c r="N1179" i="2"/>
  <c r="O1179" i="2" s="1"/>
  <c r="D1179" i="2"/>
  <c r="M1179" i="2"/>
  <c r="C1179" i="2"/>
  <c r="Q1179" i="2" l="1"/>
  <c r="R1179" i="2"/>
  <c r="I1179" i="2"/>
  <c r="K1179" i="2"/>
  <c r="S1179" i="2"/>
  <c r="J1179" i="2"/>
  <c r="L1179" i="2"/>
  <c r="P1179" i="2" s="1"/>
  <c r="V1179" i="2" l="1"/>
  <c r="U1179" i="2"/>
  <c r="T1179" i="2"/>
  <c r="X1179" i="2"/>
  <c r="F1180" i="2" s="1"/>
  <c r="W1179" i="2"/>
  <c r="E1180" i="2" s="1"/>
  <c r="Y1179" i="2"/>
  <c r="G1180" i="2" s="1"/>
  <c r="D1180" i="2" l="1"/>
  <c r="H1180" i="2"/>
  <c r="L1180" i="2" s="1"/>
  <c r="B1180" i="2"/>
  <c r="C1180" i="2"/>
  <c r="M1180" i="2" l="1"/>
  <c r="K1180" i="2"/>
  <c r="I1180" i="2"/>
  <c r="J1180" i="2"/>
  <c r="S1180" i="2"/>
  <c r="N1180" i="2"/>
  <c r="O1180" i="2" s="1"/>
  <c r="Q1180" i="2" l="1"/>
  <c r="U1180" i="2" s="1"/>
  <c r="X1180" i="2" s="1"/>
  <c r="F1181" i="2" s="1"/>
  <c r="P1180" i="2"/>
  <c r="T1180" i="2" s="1"/>
  <c r="W1180" i="2" s="1"/>
  <c r="E1181" i="2" s="1"/>
  <c r="R1180" i="2"/>
  <c r="V1180" i="2" s="1"/>
  <c r="Y1180" i="2" s="1"/>
  <c r="G1181" i="2" s="1"/>
  <c r="H1181" i="2" l="1"/>
  <c r="B1181" i="2"/>
  <c r="M1181" i="2"/>
  <c r="C1181" i="2"/>
  <c r="N1181" i="2"/>
  <c r="O1181" i="2" s="1"/>
  <c r="D1181" i="2"/>
  <c r="Q1181" i="2" l="1"/>
  <c r="R1181" i="2"/>
  <c r="I1181" i="2"/>
  <c r="K1181" i="2"/>
  <c r="J1181" i="2"/>
  <c r="S1181" i="2"/>
  <c r="L1181" i="2"/>
  <c r="P1181" i="2" s="1"/>
  <c r="V1181" i="2" l="1"/>
  <c r="U1181" i="2"/>
  <c r="T1181" i="2"/>
  <c r="X1181" i="2"/>
  <c r="F1182" i="2" s="1"/>
  <c r="W1181" i="2"/>
  <c r="E1182" i="2" s="1"/>
  <c r="Y1181" i="2"/>
  <c r="G1182" i="2" s="1"/>
  <c r="C1182" i="2" l="1"/>
  <c r="D1182" i="2"/>
  <c r="H1182" i="2"/>
  <c r="B1182" i="2"/>
  <c r="K1182" i="2" l="1"/>
  <c r="I1182" i="2"/>
  <c r="J1182" i="2"/>
  <c r="S1182" i="2"/>
  <c r="N1182" i="2"/>
  <c r="O1182" i="2" s="1"/>
  <c r="L1182" i="2"/>
  <c r="M1182" i="2"/>
  <c r="Q1182" i="2" l="1"/>
  <c r="U1182" i="2" s="1"/>
  <c r="X1182" i="2" s="1"/>
  <c r="F1183" i="2" s="1"/>
  <c r="R1182" i="2"/>
  <c r="V1182" i="2" s="1"/>
  <c r="Y1182" i="2" s="1"/>
  <c r="G1183" i="2" s="1"/>
  <c r="P1182" i="2"/>
  <c r="T1182" i="2" s="1"/>
  <c r="W1182" i="2" s="1"/>
  <c r="E1183" i="2" s="1"/>
  <c r="D1183" i="2" l="1"/>
  <c r="H1183" i="2"/>
  <c r="B1183" i="2"/>
  <c r="M1183" i="2"/>
  <c r="C1183" i="2"/>
  <c r="K1183" i="2" l="1"/>
  <c r="I1183" i="2"/>
  <c r="J1183" i="2"/>
  <c r="S1183" i="2"/>
  <c r="L1183" i="2"/>
  <c r="N1183" i="2"/>
  <c r="O1183" i="2" s="1"/>
  <c r="Q1183" i="2" l="1"/>
  <c r="P1183" i="2"/>
  <c r="R1183" i="2"/>
  <c r="V1183" i="2"/>
  <c r="Y1183" i="2" s="1"/>
  <c r="G1184" i="2" s="1"/>
  <c r="U1183" i="2"/>
  <c r="T1183" i="2"/>
  <c r="X1183" i="2"/>
  <c r="F1184" i="2" s="1"/>
  <c r="W1183" i="2"/>
  <c r="E1184" i="2" s="1"/>
  <c r="H1184" i="2" l="1"/>
  <c r="B1184" i="2"/>
  <c r="N1184" i="2"/>
  <c r="O1184" i="2" s="1"/>
  <c r="D1184" i="2"/>
  <c r="M1184" i="2"/>
  <c r="C1184" i="2"/>
  <c r="Q1184" i="2" l="1"/>
  <c r="R1184" i="2"/>
  <c r="J1184" i="2"/>
  <c r="K1184" i="2"/>
  <c r="I1184" i="2"/>
  <c r="S1184" i="2"/>
  <c r="L1184" i="2"/>
  <c r="P1184" i="2" s="1"/>
  <c r="V1184" i="2" l="1"/>
  <c r="Y1184" i="2" s="1"/>
  <c r="G1185" i="2" s="1"/>
  <c r="U1184" i="2"/>
  <c r="T1184" i="2"/>
  <c r="W1184" i="2"/>
  <c r="E1185" i="2" s="1"/>
  <c r="X1184" i="2"/>
  <c r="F1185" i="2" s="1"/>
  <c r="D1185" i="2" l="1"/>
  <c r="C1185" i="2"/>
  <c r="H1185" i="2"/>
  <c r="B1185" i="2"/>
  <c r="I1185" i="2" l="1"/>
  <c r="J1185" i="2"/>
  <c r="K1185" i="2"/>
  <c r="S1185" i="2"/>
  <c r="L1185" i="2"/>
  <c r="M1185" i="2"/>
  <c r="N1185" i="2"/>
  <c r="O1185" i="2" s="1"/>
  <c r="Q1185" i="2" l="1"/>
  <c r="P1185" i="2"/>
  <c r="R1185" i="2"/>
  <c r="V1185" i="2"/>
  <c r="U1185" i="2"/>
  <c r="X1185" i="2" s="1"/>
  <c r="F1186" i="2" s="1"/>
  <c r="T1185" i="2"/>
  <c r="Y1185" i="2"/>
  <c r="G1186" i="2" s="1"/>
  <c r="W1185" i="2"/>
  <c r="E1186" i="2" s="1"/>
  <c r="C1186" i="2" l="1"/>
  <c r="D1186" i="2"/>
  <c r="H1186" i="2"/>
  <c r="N1186" i="2" s="1"/>
  <c r="O1186" i="2" s="1"/>
  <c r="B1186" i="2"/>
  <c r="R1186" i="2" l="1"/>
  <c r="I1186" i="2"/>
  <c r="J1186" i="2"/>
  <c r="K1186" i="2"/>
  <c r="S1186" i="2"/>
  <c r="L1186" i="2"/>
  <c r="P1186" i="2" s="1"/>
  <c r="M1186" i="2"/>
  <c r="Q1186" i="2" s="1"/>
  <c r="V1186" i="2" l="1"/>
  <c r="Y1186" i="2" s="1"/>
  <c r="G1187" i="2" s="1"/>
  <c r="U1186" i="2"/>
  <c r="T1186" i="2"/>
  <c r="W1186" i="2"/>
  <c r="E1187" i="2" s="1"/>
  <c r="X1186" i="2"/>
  <c r="F1187" i="2" s="1"/>
  <c r="D1187" i="2" l="1"/>
  <c r="C1187" i="2"/>
  <c r="H1187" i="2"/>
  <c r="M1187" i="2" s="1"/>
  <c r="B1187" i="2"/>
  <c r="J1187" i="2" l="1"/>
  <c r="I1187" i="2"/>
  <c r="S1187" i="2"/>
  <c r="K1187" i="2"/>
  <c r="L1187" i="2"/>
  <c r="N1187" i="2"/>
  <c r="O1187" i="2" s="1"/>
  <c r="Q1187" i="2" l="1"/>
  <c r="P1187" i="2"/>
  <c r="R1187" i="2"/>
  <c r="V1187" i="2" s="1"/>
  <c r="Y1187" i="2" s="1"/>
  <c r="G1188" i="2" s="1"/>
  <c r="U1187" i="2"/>
  <c r="T1187" i="2"/>
  <c r="W1187" i="2" s="1"/>
  <c r="E1188" i="2" s="1"/>
  <c r="X1187" i="2"/>
  <c r="F1188" i="2" s="1"/>
  <c r="H1188" i="2" l="1"/>
  <c r="N1188" i="2" s="1"/>
  <c r="O1188" i="2" s="1"/>
  <c r="B1188" i="2"/>
  <c r="D1188" i="2"/>
  <c r="M1188" i="2"/>
  <c r="C1188" i="2"/>
  <c r="Q1188" i="2" l="1"/>
  <c r="R1188" i="2"/>
  <c r="J1188" i="2"/>
  <c r="K1188" i="2"/>
  <c r="I1188" i="2"/>
  <c r="S1188" i="2"/>
  <c r="L1188" i="2"/>
  <c r="P1188" i="2" s="1"/>
  <c r="V1188" i="2" l="1"/>
  <c r="Y1188" i="2" s="1"/>
  <c r="G1189" i="2" s="1"/>
  <c r="U1188" i="2"/>
  <c r="T1188" i="2"/>
  <c r="W1188" i="2"/>
  <c r="E1189" i="2" s="1"/>
  <c r="X1188" i="2"/>
  <c r="F1189" i="2" s="1"/>
  <c r="D1189" i="2" l="1"/>
  <c r="C1189" i="2"/>
  <c r="H1189" i="2"/>
  <c r="M1189" i="2" s="1"/>
  <c r="B1189" i="2"/>
  <c r="L1189" i="2" l="1"/>
  <c r="K1189" i="2"/>
  <c r="J1189" i="2"/>
  <c r="I1189" i="2"/>
  <c r="S1189" i="2"/>
  <c r="N1189" i="2"/>
  <c r="O1189" i="2" s="1"/>
  <c r="Q1189" i="2" l="1"/>
  <c r="U1189" i="2" s="1"/>
  <c r="X1189" i="2" s="1"/>
  <c r="F1190" i="2" s="1"/>
  <c r="P1189" i="2"/>
  <c r="T1189" i="2" s="1"/>
  <c r="W1189" i="2" s="1"/>
  <c r="E1190" i="2" s="1"/>
  <c r="R1189" i="2"/>
  <c r="V1189" i="2" s="1"/>
  <c r="Y1189" i="2" s="1"/>
  <c r="G1190" i="2" s="1"/>
  <c r="H1190" i="2" l="1"/>
  <c r="B1190" i="2"/>
  <c r="N1190" i="2"/>
  <c r="O1190" i="2" s="1"/>
  <c r="D1190" i="2"/>
  <c r="M1190" i="2"/>
  <c r="C1190" i="2"/>
  <c r="Q1190" i="2" l="1"/>
  <c r="R1190" i="2"/>
  <c r="K1190" i="2"/>
  <c r="J1190" i="2"/>
  <c r="I1190" i="2"/>
  <c r="S1190" i="2"/>
  <c r="L1190" i="2"/>
  <c r="P1190" i="2" s="1"/>
  <c r="V1190" i="2" l="1"/>
  <c r="Y1190" i="2" s="1"/>
  <c r="G1191" i="2" s="1"/>
  <c r="U1190" i="2"/>
  <c r="T1190" i="2"/>
  <c r="X1190" i="2"/>
  <c r="F1191" i="2" s="1"/>
  <c r="W1190" i="2"/>
  <c r="E1191" i="2" s="1"/>
  <c r="D1191" i="2" l="1"/>
  <c r="H1191" i="2"/>
  <c r="L1191" i="2" s="1"/>
  <c r="B1191" i="2"/>
  <c r="M1191" i="2"/>
  <c r="C1191" i="2"/>
  <c r="K1191" i="2" l="1"/>
  <c r="I1191" i="2"/>
  <c r="J1191" i="2"/>
  <c r="S1191" i="2"/>
  <c r="N1191" i="2"/>
  <c r="O1191" i="2" s="1"/>
  <c r="Q1191" i="2" l="1"/>
  <c r="U1191" i="2" s="1"/>
  <c r="X1191" i="2" s="1"/>
  <c r="F1192" i="2" s="1"/>
  <c r="P1191" i="2"/>
  <c r="T1191" i="2" s="1"/>
  <c r="W1191" i="2" s="1"/>
  <c r="E1192" i="2" s="1"/>
  <c r="R1191" i="2"/>
  <c r="V1191" i="2" s="1"/>
  <c r="Y1191" i="2" s="1"/>
  <c r="G1192" i="2" s="1"/>
  <c r="H1192" i="2" l="1"/>
  <c r="N1192" i="2" s="1"/>
  <c r="O1192" i="2" s="1"/>
  <c r="B1192" i="2"/>
  <c r="D1192" i="2"/>
  <c r="M1192" i="2"/>
  <c r="C1192" i="2"/>
  <c r="Q1192" i="2" l="1"/>
  <c r="R1192" i="2"/>
  <c r="K1192" i="2"/>
  <c r="I1192" i="2"/>
  <c r="J1192" i="2"/>
  <c r="S1192" i="2"/>
  <c r="L1192" i="2"/>
  <c r="P1192" i="2" s="1"/>
  <c r="V1192" i="2" l="1"/>
  <c r="U1192" i="2"/>
  <c r="T1192" i="2"/>
  <c r="W1192" i="2"/>
  <c r="E1193" i="2" s="1"/>
  <c r="X1192" i="2"/>
  <c r="F1193" i="2" s="1"/>
  <c r="Y1192" i="2"/>
  <c r="G1193" i="2" s="1"/>
  <c r="H1193" i="2" l="1"/>
  <c r="B1193" i="2"/>
  <c r="N1193" i="2"/>
  <c r="O1193" i="2" s="1"/>
  <c r="D1193" i="2"/>
  <c r="M1193" i="2"/>
  <c r="C1193" i="2"/>
  <c r="K1193" i="2" l="1"/>
  <c r="I1193" i="2"/>
  <c r="J1193" i="2"/>
  <c r="S1193" i="2"/>
  <c r="Q1193" i="2"/>
  <c r="R1193" i="2"/>
  <c r="L1193" i="2"/>
  <c r="P1193" i="2" s="1"/>
  <c r="V1193" i="2" l="1"/>
  <c r="U1193" i="2"/>
  <c r="T1193" i="2"/>
  <c r="Y1193" i="2"/>
  <c r="G1194" i="2" s="1"/>
  <c r="X1193" i="2"/>
  <c r="F1194" i="2" s="1"/>
  <c r="W1193" i="2"/>
  <c r="E1194" i="2" s="1"/>
  <c r="C1194" i="2" l="1"/>
  <c r="H1194" i="2"/>
  <c r="B1194" i="2"/>
  <c r="N1194" i="2"/>
  <c r="O1194" i="2" s="1"/>
  <c r="D1194" i="2"/>
  <c r="R1194" i="2" l="1"/>
  <c r="K1194" i="2"/>
  <c r="I1194" i="2"/>
  <c r="J1194" i="2"/>
  <c r="S1194" i="2"/>
  <c r="L1194" i="2"/>
  <c r="P1194" i="2" s="1"/>
  <c r="M1194" i="2"/>
  <c r="Q1194" i="2" s="1"/>
  <c r="V1194" i="2" l="1"/>
  <c r="U1194" i="2"/>
  <c r="X1194" i="2" s="1"/>
  <c r="F1195" i="2" s="1"/>
  <c r="T1194" i="2"/>
  <c r="Y1194" i="2"/>
  <c r="G1195" i="2" s="1"/>
  <c r="W1194" i="2"/>
  <c r="E1195" i="2" s="1"/>
  <c r="C1195" i="2" l="1"/>
  <c r="H1195" i="2"/>
  <c r="L1195" i="2" s="1"/>
  <c r="B1195" i="2"/>
  <c r="N1195" i="2"/>
  <c r="O1195" i="2" s="1"/>
  <c r="D1195" i="2"/>
  <c r="P1195" i="2" l="1"/>
  <c r="R1195" i="2"/>
  <c r="K1195" i="2"/>
  <c r="I1195" i="2"/>
  <c r="J1195" i="2"/>
  <c r="S1195" i="2"/>
  <c r="M1195" i="2"/>
  <c r="Q1195" i="2" s="1"/>
  <c r="V1195" i="2" l="1"/>
  <c r="U1195" i="2"/>
  <c r="T1195" i="2"/>
  <c r="W1195" i="2" s="1"/>
  <c r="E1196" i="2" s="1"/>
  <c r="X1195" i="2"/>
  <c r="F1196" i="2" s="1"/>
  <c r="Y1195" i="2"/>
  <c r="G1196" i="2" s="1"/>
  <c r="C1196" i="2" l="1"/>
  <c r="D1196" i="2"/>
  <c r="H1196" i="2"/>
  <c r="B1196" i="2"/>
  <c r="J1196" i="2" l="1"/>
  <c r="I1196" i="2"/>
  <c r="S1196" i="2"/>
  <c r="K1196" i="2"/>
  <c r="L1196" i="2"/>
  <c r="N1196" i="2"/>
  <c r="O1196" i="2" s="1"/>
  <c r="M1196" i="2"/>
  <c r="Q1196" i="2" l="1"/>
  <c r="P1196" i="2"/>
  <c r="T1196" i="2" s="1"/>
  <c r="W1196" i="2" s="1"/>
  <c r="E1197" i="2" s="1"/>
  <c r="R1196" i="2"/>
  <c r="V1196" i="2" s="1"/>
  <c r="Y1196" i="2" s="1"/>
  <c r="G1197" i="2" s="1"/>
  <c r="U1196" i="2"/>
  <c r="X1196" i="2" s="1"/>
  <c r="F1197" i="2" s="1"/>
  <c r="D1197" i="2" l="1"/>
  <c r="H1197" i="2"/>
  <c r="L1197" i="2" s="1"/>
  <c r="B1197" i="2"/>
  <c r="C1197" i="2"/>
  <c r="M1197" i="2" l="1"/>
  <c r="J1197" i="2"/>
  <c r="K1197" i="2"/>
  <c r="I1197" i="2"/>
  <c r="S1197" i="2"/>
  <c r="N1197" i="2"/>
  <c r="O1197" i="2" s="1"/>
  <c r="Q1197" i="2" l="1"/>
  <c r="R1197" i="2"/>
  <c r="P1197" i="2"/>
  <c r="T1197" i="2" s="1"/>
  <c r="W1197" i="2" s="1"/>
  <c r="E1198" i="2" s="1"/>
  <c r="V1197" i="2"/>
  <c r="Y1197" i="2" s="1"/>
  <c r="G1198" i="2" s="1"/>
  <c r="U1197" i="2"/>
  <c r="X1197" i="2" s="1"/>
  <c r="F1198" i="2" s="1"/>
  <c r="C1198" i="2" l="1"/>
  <c r="H1198" i="2"/>
  <c r="B1198" i="2"/>
  <c r="D1198" i="2"/>
  <c r="K1198" i="2" l="1"/>
  <c r="J1198" i="2"/>
  <c r="I1198" i="2"/>
  <c r="S1198" i="2"/>
  <c r="N1198" i="2"/>
  <c r="O1198" i="2" s="1"/>
  <c r="L1198" i="2"/>
  <c r="M1198" i="2"/>
  <c r="Q1198" i="2" l="1"/>
  <c r="U1198" i="2" s="1"/>
  <c r="X1198" i="2" s="1"/>
  <c r="F1199" i="2" s="1"/>
  <c r="P1198" i="2"/>
  <c r="T1198" i="2" s="1"/>
  <c r="W1198" i="2" s="1"/>
  <c r="E1199" i="2" s="1"/>
  <c r="R1198" i="2"/>
  <c r="V1198" i="2" s="1"/>
  <c r="Y1198" i="2" s="1"/>
  <c r="G1199" i="2" s="1"/>
  <c r="H1199" i="2" l="1"/>
  <c r="B1199" i="2"/>
  <c r="N1199" i="2"/>
  <c r="O1199" i="2" s="1"/>
  <c r="D1199" i="2"/>
  <c r="M1199" i="2"/>
  <c r="C1199" i="2"/>
  <c r="Q1199" i="2" l="1"/>
  <c r="R1199" i="2"/>
  <c r="K1199" i="2"/>
  <c r="I1199" i="2"/>
  <c r="J1199" i="2"/>
  <c r="S1199" i="2"/>
  <c r="L1199" i="2"/>
  <c r="P1199" i="2" s="1"/>
  <c r="U1199" i="2" l="1"/>
  <c r="T1199" i="2"/>
  <c r="V1199" i="2"/>
  <c r="Y1199" i="2" s="1"/>
  <c r="G1200" i="2" s="1"/>
  <c r="X1199" i="2"/>
  <c r="F1200" i="2" s="1"/>
  <c r="W1199" i="2"/>
  <c r="E1200" i="2" s="1"/>
  <c r="C1200" i="2" l="1"/>
  <c r="H1200" i="2"/>
  <c r="L1200" i="2" s="1"/>
  <c r="B1200" i="2"/>
  <c r="N1200" i="2"/>
  <c r="O1200" i="2" s="1"/>
  <c r="D1200" i="2"/>
  <c r="R1200" i="2" l="1"/>
  <c r="P1200" i="2"/>
  <c r="I1200" i="2"/>
  <c r="K1200" i="2"/>
  <c r="J1200" i="2"/>
  <c r="S1200" i="2"/>
  <c r="M1200" i="2"/>
  <c r="Q1200" i="2" s="1"/>
  <c r="V1200" i="2" l="1"/>
  <c r="U1200" i="2"/>
  <c r="X1200" i="2" s="1"/>
  <c r="F1201" i="2" s="1"/>
  <c r="T1200" i="2"/>
  <c r="Y1200" i="2"/>
  <c r="G1201" i="2" s="1"/>
  <c r="W1200" i="2"/>
  <c r="E1201" i="2" s="1"/>
  <c r="C1201" i="2" l="1"/>
  <c r="H1201" i="2"/>
  <c r="B1201" i="2"/>
  <c r="D1201" i="2"/>
  <c r="K1201" i="2" l="1"/>
  <c r="I1201" i="2"/>
  <c r="J1201" i="2"/>
  <c r="S1201" i="2"/>
  <c r="N1201" i="2"/>
  <c r="O1201" i="2" s="1"/>
  <c r="L1201" i="2"/>
  <c r="M1201" i="2"/>
  <c r="Q1201" i="2" l="1"/>
  <c r="R1201" i="2"/>
  <c r="P1201" i="2"/>
  <c r="T1201" i="2" s="1"/>
  <c r="W1201" i="2" s="1"/>
  <c r="E1202" i="2" s="1"/>
  <c r="V1201" i="2"/>
  <c r="U1201" i="2"/>
  <c r="X1201" i="2"/>
  <c r="F1202" i="2" s="1"/>
  <c r="Y1201" i="2"/>
  <c r="G1202" i="2" s="1"/>
  <c r="H1202" i="2" l="1"/>
  <c r="B1202" i="2"/>
  <c r="N1202" i="2"/>
  <c r="O1202" i="2" s="1"/>
  <c r="D1202" i="2"/>
  <c r="M1202" i="2"/>
  <c r="C1202" i="2"/>
  <c r="Q1202" i="2" l="1"/>
  <c r="R1202" i="2"/>
  <c r="K1202" i="2"/>
  <c r="I1202" i="2"/>
  <c r="J1202" i="2"/>
  <c r="S1202" i="2"/>
  <c r="L1202" i="2"/>
  <c r="P1202" i="2" s="1"/>
  <c r="U1202" i="2" l="1"/>
  <c r="X1202" i="2" s="1"/>
  <c r="F1203" i="2" s="1"/>
  <c r="T1202" i="2"/>
  <c r="W1202" i="2" s="1"/>
  <c r="E1203" i="2" s="1"/>
  <c r="V1202" i="2"/>
  <c r="Y1202" i="2" s="1"/>
  <c r="G1203" i="2" s="1"/>
  <c r="H1203" i="2" l="1"/>
  <c r="L1203" i="2" s="1"/>
  <c r="B1203" i="2"/>
  <c r="M1203" i="2"/>
  <c r="C1203" i="2"/>
  <c r="N1203" i="2"/>
  <c r="O1203" i="2" s="1"/>
  <c r="D1203" i="2"/>
  <c r="Q1203" i="2" l="1"/>
  <c r="R1203" i="2"/>
  <c r="P1203" i="2"/>
  <c r="I1203" i="2"/>
  <c r="K1203" i="2"/>
  <c r="J1203" i="2"/>
  <c r="S1203" i="2"/>
  <c r="V1203" i="2" l="1"/>
  <c r="U1203" i="2"/>
  <c r="X1203" i="2" s="1"/>
  <c r="F1204" i="2" s="1"/>
  <c r="T1203" i="2"/>
  <c r="W1203" i="2" s="1"/>
  <c r="E1204" i="2" s="1"/>
  <c r="Y1203" i="2"/>
  <c r="G1204" i="2" s="1"/>
  <c r="H1204" i="2" l="1"/>
  <c r="L1204" i="2" s="1"/>
  <c r="B1204" i="2"/>
  <c r="M1204" i="2"/>
  <c r="C1204" i="2"/>
  <c r="N1204" i="2"/>
  <c r="O1204" i="2" s="1"/>
  <c r="D1204" i="2"/>
  <c r="Q1204" i="2" l="1"/>
  <c r="R1204" i="2"/>
  <c r="P1204" i="2"/>
  <c r="K1204" i="2"/>
  <c r="J1204" i="2"/>
  <c r="S1204" i="2"/>
  <c r="I1204" i="2"/>
  <c r="V1204" i="2" l="1"/>
  <c r="Y1204" i="2" s="1"/>
  <c r="G1205" i="2" s="1"/>
  <c r="U1204" i="2"/>
  <c r="X1204" i="2" s="1"/>
  <c r="F1205" i="2" s="1"/>
  <c r="T1204" i="2"/>
  <c r="W1204" i="2" s="1"/>
  <c r="E1205" i="2" s="1"/>
  <c r="C1205" i="2" l="1"/>
  <c r="H1205" i="2"/>
  <c r="B1205" i="2"/>
  <c r="D1205" i="2"/>
  <c r="K1205" i="2" l="1"/>
  <c r="J1205" i="2"/>
  <c r="I1205" i="2"/>
  <c r="S1205" i="2"/>
  <c r="L1205" i="2"/>
  <c r="M1205" i="2"/>
  <c r="N1205" i="2"/>
  <c r="O1205" i="2" s="1"/>
  <c r="Q1205" i="2" l="1"/>
  <c r="P1205" i="2"/>
  <c r="R1205" i="2"/>
  <c r="U1205" i="2"/>
  <c r="X1205" i="2" s="1"/>
  <c r="F1206" i="2" s="1"/>
  <c r="T1205" i="2"/>
  <c r="W1205" i="2" s="1"/>
  <c r="E1206" i="2" s="1"/>
  <c r="V1205" i="2"/>
  <c r="Y1205" i="2"/>
  <c r="G1206" i="2" s="1"/>
  <c r="C1206" i="2" l="1"/>
  <c r="D1206" i="2"/>
  <c r="H1206" i="2"/>
  <c r="B1206" i="2"/>
  <c r="K1206" i="2" l="1"/>
  <c r="I1206" i="2"/>
  <c r="J1206" i="2"/>
  <c r="S1206" i="2"/>
  <c r="N1206" i="2"/>
  <c r="O1206" i="2" s="1"/>
  <c r="L1206" i="2"/>
  <c r="M1206" i="2"/>
  <c r="Q1206" i="2" l="1"/>
  <c r="R1206" i="2"/>
  <c r="V1206" i="2" s="1"/>
  <c r="Y1206" i="2" s="1"/>
  <c r="G1207" i="2" s="1"/>
  <c r="P1206" i="2"/>
  <c r="T1206" i="2" s="1"/>
  <c r="W1206" i="2" s="1"/>
  <c r="E1207" i="2" s="1"/>
  <c r="U1206" i="2"/>
  <c r="X1206" i="2" s="1"/>
  <c r="F1207" i="2" s="1"/>
  <c r="H1207" i="2" l="1"/>
  <c r="B1207" i="2"/>
  <c r="N1207" i="2"/>
  <c r="O1207" i="2" s="1"/>
  <c r="D1207" i="2"/>
  <c r="M1207" i="2"/>
  <c r="C1207" i="2"/>
  <c r="Q1207" i="2" l="1"/>
  <c r="R1207" i="2"/>
  <c r="K1207" i="2"/>
  <c r="J1207" i="2"/>
  <c r="I1207" i="2"/>
  <c r="S1207" i="2"/>
  <c r="L1207" i="2"/>
  <c r="P1207" i="2" s="1"/>
  <c r="V1207" i="2" l="1"/>
  <c r="U1207" i="2"/>
  <c r="X1207" i="2" s="1"/>
  <c r="F1208" i="2" s="1"/>
  <c r="T1207" i="2"/>
  <c r="W1207" i="2" s="1"/>
  <c r="E1208" i="2" s="1"/>
  <c r="Y1207" i="2"/>
  <c r="G1208" i="2" s="1"/>
  <c r="H1208" i="2" l="1"/>
  <c r="B1208" i="2"/>
  <c r="M1208" i="2"/>
  <c r="C1208" i="2"/>
  <c r="N1208" i="2"/>
  <c r="O1208" i="2" s="1"/>
  <c r="D1208" i="2"/>
  <c r="Q1208" i="2" l="1"/>
  <c r="R1208" i="2"/>
  <c r="K1208" i="2"/>
  <c r="I1208" i="2"/>
  <c r="J1208" i="2"/>
  <c r="S1208" i="2"/>
  <c r="L1208" i="2"/>
  <c r="P1208" i="2" s="1"/>
  <c r="U1208" i="2" l="1"/>
  <c r="T1208" i="2"/>
  <c r="V1208" i="2"/>
  <c r="X1208" i="2"/>
  <c r="F1209" i="2" s="1"/>
  <c r="Y1208" i="2"/>
  <c r="G1209" i="2" s="1"/>
  <c r="W1208" i="2"/>
  <c r="E1209" i="2" s="1"/>
  <c r="D1209" i="2" l="1"/>
  <c r="H1209" i="2"/>
  <c r="B1209" i="2"/>
  <c r="M1209" i="2"/>
  <c r="C1209" i="2"/>
  <c r="I1209" i="2" l="1"/>
  <c r="J1209" i="2"/>
  <c r="K1209" i="2"/>
  <c r="S1209" i="2"/>
  <c r="N1209" i="2"/>
  <c r="O1209" i="2" s="1"/>
  <c r="L1209" i="2"/>
  <c r="Q1209" i="2" l="1"/>
  <c r="R1209" i="2"/>
  <c r="V1209" i="2" s="1"/>
  <c r="Y1209" i="2" s="1"/>
  <c r="G1210" i="2" s="1"/>
  <c r="P1209" i="2"/>
  <c r="T1209" i="2" s="1"/>
  <c r="W1209" i="2" s="1"/>
  <c r="E1210" i="2" s="1"/>
  <c r="U1209" i="2"/>
  <c r="X1209" i="2" s="1"/>
  <c r="F1210" i="2" s="1"/>
  <c r="C1210" i="2" l="1"/>
  <c r="D1210" i="2"/>
  <c r="H1210" i="2"/>
  <c r="B1210" i="2"/>
  <c r="K1210" i="2" l="1"/>
  <c r="J1210" i="2"/>
  <c r="I1210" i="2"/>
  <c r="S1210" i="2"/>
  <c r="L1210" i="2"/>
  <c r="N1210" i="2"/>
  <c r="O1210" i="2" s="1"/>
  <c r="M1210" i="2"/>
  <c r="Q1210" i="2" l="1"/>
  <c r="U1210" i="2" s="1"/>
  <c r="X1210" i="2" s="1"/>
  <c r="F1211" i="2" s="1"/>
  <c r="R1210" i="2"/>
  <c r="V1210" i="2" s="1"/>
  <c r="Y1210" i="2" s="1"/>
  <c r="G1211" i="2" s="1"/>
  <c r="P1210" i="2"/>
  <c r="T1210" i="2" s="1"/>
  <c r="W1210" i="2" s="1"/>
  <c r="E1211" i="2" s="1"/>
  <c r="D1211" i="2" l="1"/>
  <c r="H1211" i="2"/>
  <c r="N1211" i="2" s="1"/>
  <c r="O1211" i="2" s="1"/>
  <c r="B1211" i="2"/>
  <c r="C1211" i="2"/>
  <c r="M1211" i="2" l="1"/>
  <c r="Q1211" i="2"/>
  <c r="R1211" i="2"/>
  <c r="L1211" i="2"/>
  <c r="P1211" i="2" s="1"/>
  <c r="J1211" i="2"/>
  <c r="I1211" i="2"/>
  <c r="S1211" i="2"/>
  <c r="K1211" i="2"/>
  <c r="U1211" i="2" l="1"/>
  <c r="T1211" i="2"/>
  <c r="W1211" i="2" s="1"/>
  <c r="E1212" i="2" s="1"/>
  <c r="V1211" i="2"/>
  <c r="Y1211" i="2" s="1"/>
  <c r="G1212" i="2" s="1"/>
  <c r="X1211" i="2"/>
  <c r="F1212" i="2" s="1"/>
  <c r="D1212" i="2" l="1"/>
  <c r="H1212" i="2"/>
  <c r="B1212" i="2"/>
  <c r="M1212" i="2"/>
  <c r="C1212" i="2"/>
  <c r="K1212" i="2" l="1"/>
  <c r="J1212" i="2"/>
  <c r="I1212" i="2"/>
  <c r="S1212" i="2"/>
  <c r="N1212" i="2"/>
  <c r="O1212" i="2" s="1"/>
  <c r="L1212" i="2"/>
  <c r="Q1212" i="2" l="1"/>
  <c r="R1212" i="2"/>
  <c r="V1212" i="2" s="1"/>
  <c r="Y1212" i="2" s="1"/>
  <c r="G1213" i="2" s="1"/>
  <c r="P1212" i="2"/>
  <c r="T1212" i="2" s="1"/>
  <c r="W1212" i="2" s="1"/>
  <c r="E1213" i="2" s="1"/>
  <c r="U1212" i="2"/>
  <c r="X1212" i="2" s="1"/>
  <c r="F1213" i="2" s="1"/>
  <c r="C1213" i="2" l="1"/>
  <c r="H1213" i="2"/>
  <c r="N1213" i="2" s="1"/>
  <c r="O1213" i="2" s="1"/>
  <c r="B1213" i="2"/>
  <c r="D1213" i="2"/>
  <c r="R1213" i="2" l="1"/>
  <c r="K1213" i="2"/>
  <c r="J1213" i="2"/>
  <c r="I1213" i="2"/>
  <c r="S1213" i="2"/>
  <c r="L1213" i="2"/>
  <c r="P1213" i="2" s="1"/>
  <c r="M1213" i="2"/>
  <c r="Q1213" i="2" s="1"/>
  <c r="V1213" i="2" l="1"/>
  <c r="U1213" i="2"/>
  <c r="X1213" i="2" s="1"/>
  <c r="F1214" i="2" s="1"/>
  <c r="T1213" i="2"/>
  <c r="W1213" i="2" s="1"/>
  <c r="E1214" i="2" s="1"/>
  <c r="Y1213" i="2"/>
  <c r="G1214" i="2" s="1"/>
  <c r="H1214" i="2" l="1"/>
  <c r="B1214" i="2"/>
  <c r="M1214" i="2"/>
  <c r="C1214" i="2"/>
  <c r="N1214" i="2"/>
  <c r="O1214" i="2" s="1"/>
  <c r="D1214" i="2"/>
  <c r="Q1214" i="2" l="1"/>
  <c r="R1214" i="2"/>
  <c r="I1214" i="2"/>
  <c r="J1214" i="2"/>
  <c r="K1214" i="2"/>
  <c r="S1214" i="2"/>
  <c r="L1214" i="2"/>
  <c r="P1214" i="2" s="1"/>
  <c r="U1214" i="2" l="1"/>
  <c r="X1214" i="2" s="1"/>
  <c r="F1215" i="2" s="1"/>
  <c r="T1214" i="2"/>
  <c r="W1214" i="2" s="1"/>
  <c r="E1215" i="2" s="1"/>
  <c r="V1214" i="2"/>
  <c r="Y1214" i="2" s="1"/>
  <c r="G1215" i="2" s="1"/>
  <c r="C1215" i="2" l="1"/>
  <c r="D1215" i="2"/>
  <c r="H1215" i="2"/>
  <c r="B1215" i="2"/>
  <c r="K1215" i="2" l="1"/>
  <c r="J1215" i="2"/>
  <c r="S1215" i="2"/>
  <c r="I1215" i="2"/>
  <c r="L1215" i="2"/>
  <c r="N1215" i="2"/>
  <c r="O1215" i="2" s="1"/>
  <c r="M1215" i="2"/>
  <c r="Q1215" i="2" l="1"/>
  <c r="R1215" i="2"/>
  <c r="P1215" i="2"/>
  <c r="T1215" i="2" s="1"/>
  <c r="W1215" i="2" s="1"/>
  <c r="E1216" i="2" s="1"/>
  <c r="V1215" i="2"/>
  <c r="U1215" i="2"/>
  <c r="X1215" i="2" s="1"/>
  <c r="F1216" i="2" s="1"/>
  <c r="Y1215" i="2"/>
  <c r="G1216" i="2" s="1"/>
  <c r="H1216" i="2" l="1"/>
  <c r="B1216" i="2"/>
  <c r="M1216" i="2"/>
  <c r="C1216" i="2"/>
  <c r="N1216" i="2"/>
  <c r="O1216" i="2" s="1"/>
  <c r="D1216" i="2"/>
  <c r="Q1216" i="2" l="1"/>
  <c r="R1216" i="2"/>
  <c r="J1216" i="2"/>
  <c r="I1216" i="2"/>
  <c r="K1216" i="2"/>
  <c r="S1216" i="2"/>
  <c r="L1216" i="2"/>
  <c r="P1216" i="2" s="1"/>
  <c r="V1216" i="2" l="1"/>
  <c r="Y1216" i="2" s="1"/>
  <c r="G1217" i="2" s="1"/>
  <c r="U1216" i="2"/>
  <c r="T1216" i="2"/>
  <c r="W1216" i="2" s="1"/>
  <c r="E1217" i="2" s="1"/>
  <c r="X1216" i="2"/>
  <c r="F1217" i="2" s="1"/>
  <c r="H1217" i="2" l="1"/>
  <c r="N1217" i="2" s="1"/>
  <c r="O1217" i="2" s="1"/>
  <c r="B1217" i="2"/>
  <c r="D1217" i="2"/>
  <c r="C1217" i="2"/>
  <c r="M1217" i="2" l="1"/>
  <c r="Q1217" i="2"/>
  <c r="R1217" i="2"/>
  <c r="J1217" i="2"/>
  <c r="K1217" i="2"/>
  <c r="S1217" i="2"/>
  <c r="I1217" i="2"/>
  <c r="L1217" i="2"/>
  <c r="P1217" i="2" s="1"/>
  <c r="U1217" i="2" l="1"/>
  <c r="X1217" i="2" s="1"/>
  <c r="F1218" i="2" s="1"/>
  <c r="T1217" i="2"/>
  <c r="W1217" i="2" s="1"/>
  <c r="E1218" i="2" s="1"/>
  <c r="V1217" i="2"/>
  <c r="Y1217" i="2" s="1"/>
  <c r="G1218" i="2" s="1"/>
  <c r="H1218" i="2" l="1"/>
  <c r="B1218" i="2"/>
  <c r="N1218" i="2"/>
  <c r="O1218" i="2" s="1"/>
  <c r="D1218" i="2"/>
  <c r="M1218" i="2"/>
  <c r="C1218" i="2"/>
  <c r="J1218" i="2" l="1"/>
  <c r="I1218" i="2"/>
  <c r="K1218" i="2"/>
  <c r="S1218" i="2"/>
  <c r="Q1218" i="2"/>
  <c r="R1218" i="2"/>
  <c r="L1218" i="2"/>
  <c r="P1218" i="2" s="1"/>
  <c r="V1218" i="2" l="1"/>
  <c r="U1218" i="2"/>
  <c r="T1218" i="2"/>
  <c r="W1218" i="2" s="1"/>
  <c r="E1219" i="2" s="1"/>
  <c r="Y1218" i="2"/>
  <c r="G1219" i="2" s="1"/>
  <c r="X1218" i="2"/>
  <c r="F1219" i="2" s="1"/>
  <c r="H1219" i="2" l="1"/>
  <c r="L1219" i="2" s="1"/>
  <c r="B1219" i="2"/>
  <c r="M1219" i="2"/>
  <c r="C1219" i="2"/>
  <c r="N1219" i="2"/>
  <c r="O1219" i="2" s="1"/>
  <c r="D1219" i="2"/>
  <c r="Q1219" i="2" l="1"/>
  <c r="R1219" i="2"/>
  <c r="P1219" i="2"/>
  <c r="J1219" i="2"/>
  <c r="I1219" i="2"/>
  <c r="K1219" i="2"/>
  <c r="S1219" i="2"/>
  <c r="V1219" i="2" l="1"/>
  <c r="U1219" i="2"/>
  <c r="T1219" i="2"/>
  <c r="Y1219" i="2"/>
  <c r="G1220" i="2" s="1"/>
  <c r="X1219" i="2"/>
  <c r="F1220" i="2" s="1"/>
  <c r="W1219" i="2"/>
  <c r="E1220" i="2" s="1"/>
  <c r="H1220" i="2" l="1"/>
  <c r="L1220" i="2" s="1"/>
  <c r="B1220" i="2"/>
  <c r="M1220" i="2"/>
  <c r="C1220" i="2"/>
  <c r="N1220" i="2"/>
  <c r="O1220" i="2" s="1"/>
  <c r="D1220" i="2"/>
  <c r="Q1220" i="2" l="1"/>
  <c r="P1220" i="2"/>
  <c r="R1220" i="2"/>
  <c r="J1220" i="2"/>
  <c r="I1220" i="2"/>
  <c r="K1220" i="2"/>
  <c r="S1220" i="2"/>
  <c r="U1220" i="2" l="1"/>
  <c r="T1220" i="2"/>
  <c r="V1220" i="2"/>
  <c r="Y1220" i="2"/>
  <c r="G1221" i="2" s="1"/>
  <c r="X1220" i="2"/>
  <c r="F1221" i="2" s="1"/>
  <c r="W1220" i="2"/>
  <c r="E1221" i="2" s="1"/>
  <c r="H1221" i="2" l="1"/>
  <c r="L1221" i="2" s="1"/>
  <c r="B1221" i="2"/>
  <c r="D1221" i="2"/>
  <c r="C1221" i="2"/>
  <c r="M1221" i="2" l="1"/>
  <c r="N1221" i="2"/>
  <c r="O1221" i="2" s="1"/>
  <c r="R1221" i="2"/>
  <c r="P1221" i="2"/>
  <c r="J1221" i="2"/>
  <c r="I1221" i="2"/>
  <c r="K1221" i="2"/>
  <c r="S1221" i="2"/>
  <c r="Q1221" i="2" l="1"/>
  <c r="V1221" i="2"/>
  <c r="U1221" i="2"/>
  <c r="T1221" i="2"/>
  <c r="W1221" i="2"/>
  <c r="E1222" i="2" s="1"/>
  <c r="Y1221" i="2"/>
  <c r="G1222" i="2" s="1"/>
  <c r="X1221" i="2"/>
  <c r="F1222" i="2" s="1"/>
  <c r="H1222" i="2" l="1"/>
  <c r="B1222" i="2"/>
  <c r="M1222" i="2"/>
  <c r="C1222" i="2"/>
  <c r="N1222" i="2"/>
  <c r="O1222" i="2" s="1"/>
  <c r="D1222" i="2"/>
  <c r="Q1222" i="2" l="1"/>
  <c r="R1222" i="2"/>
  <c r="J1222" i="2"/>
  <c r="I1222" i="2"/>
  <c r="S1222" i="2"/>
  <c r="K1222" i="2"/>
  <c r="L1222" i="2"/>
  <c r="P1222" i="2" s="1"/>
  <c r="V1222" i="2" l="1"/>
  <c r="Y1222" i="2" s="1"/>
  <c r="G1223" i="2" s="1"/>
  <c r="U1222" i="2"/>
  <c r="T1222" i="2"/>
  <c r="W1222" i="2" s="1"/>
  <c r="E1223" i="2" s="1"/>
  <c r="X1222" i="2"/>
  <c r="F1223" i="2" s="1"/>
  <c r="H1223" i="2" l="1"/>
  <c r="L1223" i="2" s="1"/>
  <c r="B1223" i="2"/>
  <c r="N1223" i="2"/>
  <c r="O1223" i="2" s="1"/>
  <c r="D1223" i="2"/>
  <c r="M1223" i="2"/>
  <c r="C1223" i="2"/>
  <c r="Q1223" i="2" l="1"/>
  <c r="P1223" i="2"/>
  <c r="R1223" i="2"/>
  <c r="J1223" i="2"/>
  <c r="K1223" i="2"/>
  <c r="I1223" i="2"/>
  <c r="S1223" i="2"/>
  <c r="U1223" i="2" l="1"/>
  <c r="T1223" i="2"/>
  <c r="V1223" i="2"/>
  <c r="Y1223" i="2" s="1"/>
  <c r="G1224" i="2" s="1"/>
  <c r="W1223" i="2"/>
  <c r="E1224" i="2" s="1"/>
  <c r="X1223" i="2"/>
  <c r="F1224" i="2" s="1"/>
  <c r="C1224" i="2" l="1"/>
  <c r="H1224" i="2"/>
  <c r="L1224" i="2" s="1"/>
  <c r="B1224" i="2"/>
  <c r="D1224" i="2"/>
  <c r="N1224" i="2" l="1"/>
  <c r="O1224" i="2" s="1"/>
  <c r="R1224" i="2"/>
  <c r="P1224" i="2"/>
  <c r="J1224" i="2"/>
  <c r="I1224" i="2"/>
  <c r="K1224" i="2"/>
  <c r="S1224" i="2"/>
  <c r="M1224" i="2"/>
  <c r="Q1224" i="2" s="1"/>
  <c r="V1224" i="2" l="1"/>
  <c r="U1224" i="2"/>
  <c r="X1224" i="2" s="1"/>
  <c r="F1225" i="2" s="1"/>
  <c r="T1224" i="2"/>
  <c r="Y1224" i="2"/>
  <c r="G1225" i="2" s="1"/>
  <c r="W1224" i="2"/>
  <c r="E1225" i="2" s="1"/>
  <c r="D1225" i="2" l="1"/>
  <c r="H1225" i="2"/>
  <c r="L1225" i="2" s="1"/>
  <c r="B1225" i="2"/>
  <c r="C1225" i="2"/>
  <c r="M1225" i="2" l="1"/>
  <c r="J1225" i="2"/>
  <c r="I1225" i="2"/>
  <c r="S1225" i="2"/>
  <c r="K1225" i="2"/>
  <c r="N1225" i="2"/>
  <c r="O1225" i="2" s="1"/>
  <c r="Q1225" i="2" l="1"/>
  <c r="R1225" i="2"/>
  <c r="V1225" i="2" s="1"/>
  <c r="Y1225" i="2" s="1"/>
  <c r="G1226" i="2" s="1"/>
  <c r="P1225" i="2"/>
  <c r="T1225" i="2" s="1"/>
  <c r="W1225" i="2" s="1"/>
  <c r="E1226" i="2" s="1"/>
  <c r="U1225" i="2"/>
  <c r="X1225" i="2"/>
  <c r="F1226" i="2" s="1"/>
  <c r="C1226" i="2" l="1"/>
  <c r="D1226" i="2"/>
  <c r="H1226" i="2"/>
  <c r="B1226" i="2"/>
  <c r="K1226" i="2" l="1"/>
  <c r="J1226" i="2"/>
  <c r="I1226" i="2"/>
  <c r="S1226" i="2"/>
  <c r="N1226" i="2"/>
  <c r="O1226" i="2" s="1"/>
  <c r="M1226" i="2"/>
  <c r="L1226" i="2"/>
  <c r="Q1226" i="2" l="1"/>
  <c r="P1226" i="2"/>
  <c r="T1226" i="2" s="1"/>
  <c r="W1226" i="2" s="1"/>
  <c r="E1227" i="2" s="1"/>
  <c r="R1226" i="2"/>
  <c r="V1226" i="2" s="1"/>
  <c r="Y1226" i="2" s="1"/>
  <c r="G1227" i="2" s="1"/>
  <c r="U1226" i="2"/>
  <c r="X1226" i="2"/>
  <c r="F1227" i="2" s="1"/>
  <c r="C1227" i="2" l="1"/>
  <c r="D1227" i="2"/>
  <c r="H1227" i="2"/>
  <c r="M1227" i="2" s="1"/>
  <c r="B1227" i="2"/>
  <c r="L1227" i="2" l="1"/>
  <c r="N1227" i="2"/>
  <c r="O1227" i="2" s="1"/>
  <c r="I1227" i="2"/>
  <c r="K1227" i="2"/>
  <c r="S1227" i="2"/>
  <c r="J1227" i="2"/>
  <c r="Q1227" i="2" l="1"/>
  <c r="U1227" i="2" s="1"/>
  <c r="X1227" i="2" s="1"/>
  <c r="F1228" i="2" s="1"/>
  <c r="R1227" i="2"/>
  <c r="V1227" i="2" s="1"/>
  <c r="Y1227" i="2" s="1"/>
  <c r="G1228" i="2" s="1"/>
  <c r="P1227" i="2"/>
  <c r="T1227" i="2" s="1"/>
  <c r="W1227" i="2" s="1"/>
  <c r="E1228" i="2" s="1"/>
  <c r="D1228" i="2" l="1"/>
  <c r="H1228" i="2"/>
  <c r="B1228" i="2"/>
  <c r="M1228" i="2"/>
  <c r="C1228" i="2"/>
  <c r="J1228" i="2" l="1"/>
  <c r="I1228" i="2"/>
  <c r="K1228" i="2"/>
  <c r="S1228" i="2"/>
  <c r="L1228" i="2"/>
  <c r="N1228" i="2"/>
  <c r="O1228" i="2" s="1"/>
  <c r="Q1228" i="2" l="1"/>
  <c r="R1228" i="2"/>
  <c r="P1228" i="2"/>
  <c r="T1228" i="2" s="1"/>
  <c r="W1228" i="2" s="1"/>
  <c r="E1229" i="2" s="1"/>
  <c r="V1228" i="2"/>
  <c r="U1228" i="2"/>
  <c r="Y1228" i="2"/>
  <c r="G1229" i="2" s="1"/>
  <c r="X1228" i="2"/>
  <c r="F1229" i="2" s="1"/>
  <c r="H1229" i="2" l="1"/>
  <c r="L1229" i="2" s="1"/>
  <c r="B1229" i="2"/>
  <c r="N1229" i="2"/>
  <c r="O1229" i="2" s="1"/>
  <c r="D1229" i="2"/>
  <c r="M1229" i="2"/>
  <c r="C1229" i="2"/>
  <c r="Q1229" i="2" l="1"/>
  <c r="P1229" i="2"/>
  <c r="R1229" i="2"/>
  <c r="J1229" i="2"/>
  <c r="K1229" i="2"/>
  <c r="I1229" i="2"/>
  <c r="S1229" i="2"/>
  <c r="U1229" i="2" l="1"/>
  <c r="T1229" i="2"/>
  <c r="W1229" i="2" s="1"/>
  <c r="E1230" i="2" s="1"/>
  <c r="V1229" i="2"/>
  <c r="Y1229" i="2" s="1"/>
  <c r="G1230" i="2" s="1"/>
  <c r="X1229" i="2"/>
  <c r="F1230" i="2" s="1"/>
  <c r="H1230" i="2" l="1"/>
  <c r="B1230" i="2"/>
  <c r="M1230" i="2"/>
  <c r="C1230" i="2"/>
  <c r="N1230" i="2"/>
  <c r="O1230" i="2" s="1"/>
  <c r="D1230" i="2"/>
  <c r="Q1230" i="2" l="1"/>
  <c r="R1230" i="2"/>
  <c r="J1230" i="2"/>
  <c r="I1230" i="2"/>
  <c r="K1230" i="2"/>
  <c r="S1230" i="2"/>
  <c r="L1230" i="2"/>
  <c r="P1230" i="2" s="1"/>
  <c r="V1230" i="2" l="1"/>
  <c r="U1230" i="2"/>
  <c r="T1230" i="2"/>
  <c r="W1230" i="2"/>
  <c r="E1231" i="2" s="1"/>
  <c r="Y1230" i="2"/>
  <c r="G1231" i="2" s="1"/>
  <c r="X1230" i="2"/>
  <c r="F1231" i="2" s="1"/>
  <c r="H1231" i="2" l="1"/>
  <c r="B1231" i="2"/>
  <c r="M1231" i="2"/>
  <c r="C1231" i="2"/>
  <c r="N1231" i="2"/>
  <c r="O1231" i="2" s="1"/>
  <c r="D1231" i="2"/>
  <c r="Q1231" i="2" l="1"/>
  <c r="R1231" i="2"/>
  <c r="I1231" i="2"/>
  <c r="K1231" i="2"/>
  <c r="J1231" i="2"/>
  <c r="S1231" i="2"/>
  <c r="L1231" i="2"/>
  <c r="P1231" i="2" s="1"/>
  <c r="V1231" i="2" l="1"/>
  <c r="U1231" i="2"/>
  <c r="T1231" i="2"/>
  <c r="Y1231" i="2"/>
  <c r="G1232" i="2" s="1"/>
  <c r="X1231" i="2"/>
  <c r="F1232" i="2" s="1"/>
  <c r="W1231" i="2"/>
  <c r="E1232" i="2" s="1"/>
  <c r="H1232" i="2" l="1"/>
  <c r="B1232" i="2"/>
  <c r="M1232" i="2"/>
  <c r="C1232" i="2"/>
  <c r="N1232" i="2"/>
  <c r="O1232" i="2" s="1"/>
  <c r="D1232" i="2"/>
  <c r="Q1232" i="2" l="1"/>
  <c r="R1232" i="2"/>
  <c r="J1232" i="2"/>
  <c r="I1232" i="2"/>
  <c r="K1232" i="2"/>
  <c r="S1232" i="2"/>
  <c r="L1232" i="2"/>
  <c r="P1232" i="2" s="1"/>
  <c r="U1232" i="2" l="1"/>
  <c r="T1232" i="2"/>
  <c r="W1232" i="2" s="1"/>
  <c r="E1233" i="2" s="1"/>
  <c r="V1232" i="2"/>
  <c r="Y1232" i="2" s="1"/>
  <c r="G1233" i="2" s="1"/>
  <c r="X1232" i="2"/>
  <c r="F1233" i="2" s="1"/>
  <c r="H1233" i="2" l="1"/>
  <c r="L1233" i="2" s="1"/>
  <c r="B1233" i="2"/>
  <c r="M1233" i="2"/>
  <c r="C1233" i="2"/>
  <c r="N1233" i="2"/>
  <c r="O1233" i="2" s="1"/>
  <c r="D1233" i="2"/>
  <c r="Q1233" i="2" l="1"/>
  <c r="R1233" i="2"/>
  <c r="P1233" i="2"/>
  <c r="J1233" i="2"/>
  <c r="K1233" i="2"/>
  <c r="I1233" i="2"/>
  <c r="S1233" i="2"/>
  <c r="V1233" i="2" l="1"/>
  <c r="Y1233" i="2" s="1"/>
  <c r="G1234" i="2" s="1"/>
  <c r="U1233" i="2"/>
  <c r="T1233" i="2"/>
  <c r="W1233" i="2" s="1"/>
  <c r="E1234" i="2" s="1"/>
  <c r="X1233" i="2"/>
  <c r="F1234" i="2" s="1"/>
  <c r="H1234" i="2" l="1"/>
  <c r="B1234" i="2"/>
  <c r="N1234" i="2"/>
  <c r="O1234" i="2" s="1"/>
  <c r="D1234" i="2"/>
  <c r="M1234" i="2"/>
  <c r="C1234" i="2"/>
  <c r="Q1234" i="2" l="1"/>
  <c r="R1234" i="2"/>
  <c r="K1234" i="2"/>
  <c r="J1234" i="2"/>
  <c r="I1234" i="2"/>
  <c r="S1234" i="2"/>
  <c r="L1234" i="2"/>
  <c r="P1234" i="2" s="1"/>
  <c r="V1234" i="2" l="1"/>
  <c r="U1234" i="2"/>
  <c r="X1234" i="2" s="1"/>
  <c r="F1235" i="2" s="1"/>
  <c r="T1234" i="2"/>
  <c r="W1234" i="2" s="1"/>
  <c r="E1235" i="2" s="1"/>
  <c r="Y1234" i="2"/>
  <c r="G1235" i="2" s="1"/>
  <c r="C1235" i="2" l="1"/>
  <c r="D1235" i="2"/>
  <c r="H1235" i="2"/>
  <c r="B1235" i="2"/>
  <c r="I1235" i="2" l="1"/>
  <c r="K1235" i="2"/>
  <c r="J1235" i="2"/>
  <c r="S1235" i="2"/>
  <c r="L1235" i="2"/>
  <c r="N1235" i="2"/>
  <c r="O1235" i="2" s="1"/>
  <c r="M1235" i="2"/>
  <c r="Q1235" i="2" l="1"/>
  <c r="U1235" i="2" s="1"/>
  <c r="X1235" i="2" s="1"/>
  <c r="F1236" i="2" s="1"/>
  <c r="P1235" i="2"/>
  <c r="T1235" i="2" s="1"/>
  <c r="W1235" i="2" s="1"/>
  <c r="E1236" i="2" s="1"/>
  <c r="R1235" i="2"/>
  <c r="V1235" i="2" s="1"/>
  <c r="Y1235" i="2" s="1"/>
  <c r="G1236" i="2" s="1"/>
  <c r="D1236" i="2" l="1"/>
  <c r="H1236" i="2"/>
  <c r="L1236" i="2" s="1"/>
  <c r="B1236" i="2"/>
  <c r="M1236" i="2"/>
  <c r="C1236" i="2"/>
  <c r="I1236" i="2" l="1"/>
  <c r="K1236" i="2"/>
  <c r="J1236" i="2"/>
  <c r="S1236" i="2"/>
  <c r="N1236" i="2"/>
  <c r="O1236" i="2" s="1"/>
  <c r="Q1236" i="2" l="1"/>
  <c r="R1236" i="2"/>
  <c r="V1236" i="2" s="1"/>
  <c r="Y1236" i="2" s="1"/>
  <c r="G1237" i="2" s="1"/>
  <c r="P1236" i="2"/>
  <c r="T1236" i="2" s="1"/>
  <c r="W1236" i="2" s="1"/>
  <c r="E1237" i="2" s="1"/>
  <c r="U1236" i="2"/>
  <c r="X1236" i="2" s="1"/>
  <c r="F1237" i="2" s="1"/>
  <c r="C1237" i="2" l="1"/>
  <c r="D1237" i="2"/>
  <c r="H1237" i="2"/>
  <c r="B1237" i="2"/>
  <c r="J1237" i="2" l="1"/>
  <c r="K1237" i="2"/>
  <c r="I1237" i="2"/>
  <c r="S1237" i="2"/>
  <c r="L1237" i="2"/>
  <c r="N1237" i="2"/>
  <c r="O1237" i="2" s="1"/>
  <c r="M1237" i="2"/>
  <c r="R1237" i="2" l="1"/>
  <c r="Q1237" i="2"/>
  <c r="P1237" i="2"/>
  <c r="T1237" i="2" s="1"/>
  <c r="W1237" i="2" s="1"/>
  <c r="E1238" i="2" s="1"/>
  <c r="U1237" i="2"/>
  <c r="V1237" i="2"/>
  <c r="Y1237" i="2" s="1"/>
  <c r="G1238" i="2" s="1"/>
  <c r="X1237" i="2"/>
  <c r="F1238" i="2" s="1"/>
  <c r="D1238" i="2" l="1"/>
  <c r="C1238" i="2"/>
  <c r="H1238" i="2"/>
  <c r="M1238" i="2" s="1"/>
  <c r="B1238" i="2"/>
  <c r="K1238" i="2" l="1"/>
  <c r="J1238" i="2"/>
  <c r="I1238" i="2"/>
  <c r="S1238" i="2"/>
  <c r="L1238" i="2"/>
  <c r="N1238" i="2"/>
  <c r="O1238" i="2" s="1"/>
  <c r="R1238" i="2" l="1"/>
  <c r="V1238" i="2" s="1"/>
  <c r="Y1238" i="2" s="1"/>
  <c r="G1239" i="2" s="1"/>
  <c r="Q1238" i="2"/>
  <c r="U1238" i="2" s="1"/>
  <c r="X1238" i="2" s="1"/>
  <c r="F1239" i="2" s="1"/>
  <c r="P1238" i="2"/>
  <c r="T1238" i="2" s="1"/>
  <c r="W1238" i="2" s="1"/>
  <c r="E1239" i="2" s="1"/>
  <c r="H1239" i="2" l="1"/>
  <c r="B1239" i="2"/>
  <c r="M1239" i="2"/>
  <c r="C1239" i="2"/>
  <c r="N1239" i="2"/>
  <c r="O1239" i="2" s="1"/>
  <c r="D1239" i="2"/>
  <c r="R1239" i="2" l="1"/>
  <c r="Q1239" i="2"/>
  <c r="K1239" i="2"/>
  <c r="J1239" i="2"/>
  <c r="I1239" i="2"/>
  <c r="S1239" i="2"/>
  <c r="L1239" i="2"/>
  <c r="P1239" i="2" s="1"/>
  <c r="U1239" i="2" l="1"/>
  <c r="T1239" i="2"/>
  <c r="W1239" i="2" s="1"/>
  <c r="E1240" i="2" s="1"/>
  <c r="V1239" i="2"/>
  <c r="X1239" i="2"/>
  <c r="F1240" i="2" s="1"/>
  <c r="Y1239" i="2"/>
  <c r="G1240" i="2" s="1"/>
  <c r="H1240" i="2" l="1"/>
  <c r="B1240" i="2"/>
  <c r="N1240" i="2"/>
  <c r="O1240" i="2" s="1"/>
  <c r="D1240" i="2"/>
  <c r="M1240" i="2"/>
  <c r="C1240" i="2"/>
  <c r="R1240" i="2" l="1"/>
  <c r="Q1240" i="2"/>
  <c r="K1240" i="2"/>
  <c r="I1240" i="2"/>
  <c r="S1240" i="2"/>
  <c r="J1240" i="2"/>
  <c r="L1240" i="2"/>
  <c r="P1240" i="2" s="1"/>
  <c r="U1240" i="2" l="1"/>
  <c r="T1240" i="2"/>
  <c r="V1240" i="2"/>
  <c r="X1240" i="2"/>
  <c r="F1241" i="2" s="1"/>
  <c r="W1240" i="2"/>
  <c r="E1241" i="2" s="1"/>
  <c r="Y1240" i="2"/>
  <c r="G1241" i="2" s="1"/>
  <c r="H1241" i="2" l="1"/>
  <c r="B1241" i="2"/>
  <c r="N1241" i="2"/>
  <c r="O1241" i="2" s="1"/>
  <c r="D1241" i="2"/>
  <c r="M1241" i="2"/>
  <c r="C1241" i="2"/>
  <c r="R1241" i="2" l="1"/>
  <c r="Q1241" i="2"/>
  <c r="K1241" i="2"/>
  <c r="I1241" i="2"/>
  <c r="J1241" i="2"/>
  <c r="S1241" i="2"/>
  <c r="L1241" i="2"/>
  <c r="P1241" i="2" s="1"/>
  <c r="U1241" i="2" l="1"/>
  <c r="T1241" i="2"/>
  <c r="V1241" i="2"/>
  <c r="W1241" i="2"/>
  <c r="E1242" i="2" s="1"/>
  <c r="X1241" i="2"/>
  <c r="F1242" i="2" s="1"/>
  <c r="Y1241" i="2"/>
  <c r="G1242" i="2" s="1"/>
  <c r="D1242" i="2" l="1"/>
  <c r="C1242" i="2"/>
  <c r="H1242" i="2"/>
  <c r="B1242" i="2"/>
  <c r="I1242" i="2" l="1"/>
  <c r="J1242" i="2"/>
  <c r="K1242" i="2"/>
  <c r="S1242" i="2"/>
  <c r="L1242" i="2"/>
  <c r="M1242" i="2"/>
  <c r="N1242" i="2"/>
  <c r="O1242" i="2" s="1"/>
  <c r="R1242" i="2" l="1"/>
  <c r="Q1242" i="2"/>
  <c r="U1242" i="2" s="1"/>
  <c r="X1242" i="2" s="1"/>
  <c r="F1243" i="2" s="1"/>
  <c r="P1242" i="2"/>
  <c r="T1242" i="2" s="1"/>
  <c r="W1242" i="2" s="1"/>
  <c r="E1243" i="2" s="1"/>
  <c r="V1242" i="2"/>
  <c r="Y1242" i="2" s="1"/>
  <c r="G1243" i="2" s="1"/>
  <c r="C1243" i="2" l="1"/>
  <c r="D1243" i="2"/>
  <c r="H1243" i="2"/>
  <c r="B1243" i="2"/>
  <c r="I1243" i="2" l="1"/>
  <c r="J1243" i="2"/>
  <c r="K1243" i="2"/>
  <c r="S1243" i="2"/>
  <c r="L1243" i="2"/>
  <c r="N1243" i="2"/>
  <c r="O1243" i="2" s="1"/>
  <c r="M1243" i="2"/>
  <c r="R1243" i="2" l="1"/>
  <c r="Q1243" i="2"/>
  <c r="U1243" i="2" s="1"/>
  <c r="X1243" i="2" s="1"/>
  <c r="F1244" i="2" s="1"/>
  <c r="P1243" i="2"/>
  <c r="T1243" i="2" s="1"/>
  <c r="W1243" i="2" s="1"/>
  <c r="E1244" i="2" s="1"/>
  <c r="V1243" i="2"/>
  <c r="Y1243" i="2" s="1"/>
  <c r="G1244" i="2" s="1"/>
  <c r="D1244" i="2" l="1"/>
  <c r="C1244" i="2"/>
  <c r="H1244" i="2"/>
  <c r="M1244" i="2" s="1"/>
  <c r="B1244" i="2"/>
  <c r="I1244" i="2" l="1"/>
  <c r="J1244" i="2"/>
  <c r="K1244" i="2"/>
  <c r="S1244" i="2"/>
  <c r="L1244" i="2"/>
  <c r="N1244" i="2"/>
  <c r="O1244" i="2" s="1"/>
  <c r="R1244" i="2" l="1"/>
  <c r="Q1244" i="2"/>
  <c r="U1244" i="2" s="1"/>
  <c r="X1244" i="2" s="1"/>
  <c r="F1245" i="2" s="1"/>
  <c r="P1244" i="2"/>
  <c r="T1244" i="2" s="1"/>
  <c r="W1244" i="2" s="1"/>
  <c r="E1245" i="2" s="1"/>
  <c r="V1244" i="2"/>
  <c r="Y1244" i="2" s="1"/>
  <c r="G1245" i="2" s="1"/>
  <c r="C1245" i="2" l="1"/>
  <c r="H1245" i="2"/>
  <c r="N1245" i="2" s="1"/>
  <c r="O1245" i="2" s="1"/>
  <c r="B1245" i="2"/>
  <c r="D1245" i="2"/>
  <c r="R1245" i="2" l="1"/>
  <c r="J1245" i="2"/>
  <c r="K1245" i="2"/>
  <c r="S1245" i="2"/>
  <c r="I1245" i="2"/>
  <c r="L1245" i="2"/>
  <c r="P1245" i="2" s="1"/>
  <c r="M1245" i="2"/>
  <c r="Q1245" i="2" s="1"/>
  <c r="U1245" i="2" l="1"/>
  <c r="T1245" i="2"/>
  <c r="V1245" i="2"/>
  <c r="W1245" i="2"/>
  <c r="E1246" i="2" s="1"/>
  <c r="Y1245" i="2"/>
  <c r="G1246" i="2" s="1"/>
  <c r="X1245" i="2"/>
  <c r="F1246" i="2" s="1"/>
  <c r="D1246" i="2" l="1"/>
  <c r="C1246" i="2"/>
  <c r="H1246" i="2"/>
  <c r="B1246" i="2"/>
  <c r="I1246" i="2" l="1"/>
  <c r="J1246" i="2"/>
  <c r="K1246" i="2"/>
  <c r="S1246" i="2"/>
  <c r="L1246" i="2"/>
  <c r="M1246" i="2"/>
  <c r="N1246" i="2"/>
  <c r="O1246" i="2" s="1"/>
  <c r="R1246" i="2" l="1"/>
  <c r="Q1246" i="2"/>
  <c r="P1246" i="2"/>
  <c r="T1246" i="2" s="1"/>
  <c r="W1246" i="2" s="1"/>
  <c r="E1247" i="2" s="1"/>
  <c r="U1246" i="2"/>
  <c r="X1246" i="2" s="1"/>
  <c r="F1247" i="2" s="1"/>
  <c r="V1246" i="2"/>
  <c r="Y1246" i="2" s="1"/>
  <c r="G1247" i="2" s="1"/>
  <c r="C1247" i="2" l="1"/>
  <c r="H1247" i="2"/>
  <c r="L1247" i="2" s="1"/>
  <c r="B1247" i="2"/>
  <c r="D1247" i="2"/>
  <c r="N1247" i="2" l="1"/>
  <c r="O1247" i="2" s="1"/>
  <c r="R1247" i="2"/>
  <c r="P1247" i="2"/>
  <c r="I1247" i="2"/>
  <c r="K1247" i="2"/>
  <c r="J1247" i="2"/>
  <c r="S1247" i="2"/>
  <c r="M1247" i="2"/>
  <c r="Q1247" i="2" s="1"/>
  <c r="U1247" i="2" l="1"/>
  <c r="T1247" i="2"/>
  <c r="V1247" i="2"/>
  <c r="Y1247" i="2" s="1"/>
  <c r="G1248" i="2" s="1"/>
  <c r="X1247" i="2"/>
  <c r="F1248" i="2" s="1"/>
  <c r="W1247" i="2"/>
  <c r="E1248" i="2" s="1"/>
  <c r="D1248" i="2" l="1"/>
  <c r="H1248" i="2"/>
  <c r="M1248" i="2" s="1"/>
  <c r="B1248" i="2"/>
  <c r="C1248" i="2"/>
  <c r="J1248" i="2" l="1"/>
  <c r="K1248" i="2"/>
  <c r="I1248" i="2"/>
  <c r="S1248" i="2"/>
  <c r="L1248" i="2"/>
  <c r="N1248" i="2"/>
  <c r="O1248" i="2" s="1"/>
  <c r="R1248" i="2" l="1"/>
  <c r="V1248" i="2" s="1"/>
  <c r="Y1248" i="2" s="1"/>
  <c r="G1249" i="2" s="1"/>
  <c r="Q1248" i="2"/>
  <c r="U1248" i="2" s="1"/>
  <c r="X1248" i="2" s="1"/>
  <c r="F1249" i="2" s="1"/>
  <c r="P1248" i="2"/>
  <c r="T1248" i="2" s="1"/>
  <c r="W1248" i="2" s="1"/>
  <c r="E1249" i="2" s="1"/>
  <c r="C1249" i="2" l="1"/>
  <c r="H1249" i="2"/>
  <c r="L1249" i="2" s="1"/>
  <c r="B1249" i="2"/>
  <c r="N1249" i="2"/>
  <c r="O1249" i="2" s="1"/>
  <c r="D1249" i="2"/>
  <c r="R1249" i="2" l="1"/>
  <c r="P1249" i="2"/>
  <c r="J1249" i="2"/>
  <c r="K1249" i="2"/>
  <c r="I1249" i="2"/>
  <c r="S1249" i="2"/>
  <c r="M1249" i="2"/>
  <c r="Q1249" i="2" s="1"/>
  <c r="U1249" i="2" l="1"/>
  <c r="X1249" i="2" s="1"/>
  <c r="F1250" i="2" s="1"/>
  <c r="T1249" i="2"/>
  <c r="V1249" i="2"/>
  <c r="W1249" i="2"/>
  <c r="E1250" i="2" s="1"/>
  <c r="Y1249" i="2"/>
  <c r="G1250" i="2" s="1"/>
  <c r="C1250" i="2" l="1"/>
  <c r="D1250" i="2"/>
  <c r="H1250" i="2"/>
  <c r="B1250" i="2"/>
  <c r="K1250" i="2" l="1"/>
  <c r="J1250" i="2"/>
  <c r="I1250" i="2"/>
  <c r="S1250" i="2"/>
  <c r="L1250" i="2"/>
  <c r="N1250" i="2"/>
  <c r="O1250" i="2" s="1"/>
  <c r="M1250" i="2"/>
  <c r="R1250" i="2" l="1"/>
  <c r="Q1250" i="2"/>
  <c r="P1250" i="2"/>
  <c r="T1250" i="2" s="1"/>
  <c r="W1250" i="2" s="1"/>
  <c r="E1251" i="2" s="1"/>
  <c r="U1250" i="2"/>
  <c r="V1250" i="2"/>
  <c r="X1250" i="2"/>
  <c r="F1251" i="2" s="1"/>
  <c r="Y1250" i="2"/>
  <c r="G1251" i="2" s="1"/>
  <c r="H1251" i="2" l="1"/>
  <c r="L1251" i="2" s="1"/>
  <c r="B1251" i="2"/>
  <c r="N1251" i="2"/>
  <c r="O1251" i="2" s="1"/>
  <c r="D1251" i="2"/>
  <c r="M1251" i="2"/>
  <c r="C1251" i="2"/>
  <c r="R1251" i="2" l="1"/>
  <c r="Q1251" i="2"/>
  <c r="P1251" i="2"/>
  <c r="K1251" i="2"/>
  <c r="J1251" i="2"/>
  <c r="S1251" i="2"/>
  <c r="I1251" i="2"/>
  <c r="U1251" i="2" l="1"/>
  <c r="X1251" i="2" s="1"/>
  <c r="F1252" i="2" s="1"/>
  <c r="T1251" i="2"/>
  <c r="W1251" i="2" s="1"/>
  <c r="E1252" i="2" s="1"/>
  <c r="V1251" i="2"/>
  <c r="Y1251" i="2" s="1"/>
  <c r="G1252" i="2" s="1"/>
  <c r="H1252" i="2" l="1"/>
  <c r="B1252" i="2"/>
  <c r="M1252" i="2"/>
  <c r="C1252" i="2"/>
  <c r="N1252" i="2"/>
  <c r="O1252" i="2" s="1"/>
  <c r="D1252" i="2"/>
  <c r="R1252" i="2" l="1"/>
  <c r="Q1252" i="2"/>
  <c r="I1252" i="2"/>
  <c r="J1252" i="2"/>
  <c r="S1252" i="2"/>
  <c r="K1252" i="2"/>
  <c r="L1252" i="2"/>
  <c r="P1252" i="2" s="1"/>
  <c r="U1252" i="2" l="1"/>
  <c r="X1252" i="2" s="1"/>
  <c r="F1253" i="2" s="1"/>
  <c r="T1252" i="2"/>
  <c r="V1252" i="2"/>
  <c r="Y1252" i="2" s="1"/>
  <c r="G1253" i="2" s="1"/>
  <c r="W1252" i="2"/>
  <c r="E1253" i="2" s="1"/>
  <c r="D1253" i="2" l="1"/>
  <c r="C1253" i="2"/>
  <c r="H1253" i="2"/>
  <c r="B1253" i="2"/>
  <c r="K1253" i="2" l="1"/>
  <c r="I1253" i="2"/>
  <c r="J1253" i="2"/>
  <c r="S1253" i="2"/>
  <c r="L1253" i="2"/>
  <c r="M1253" i="2"/>
  <c r="N1253" i="2"/>
  <c r="O1253" i="2" s="1"/>
  <c r="R1253" i="2" l="1"/>
  <c r="V1253" i="2" s="1"/>
  <c r="Y1253" i="2" s="1"/>
  <c r="G1254" i="2" s="1"/>
  <c r="Q1253" i="2"/>
  <c r="U1253" i="2" s="1"/>
  <c r="X1253" i="2" s="1"/>
  <c r="F1254" i="2" s="1"/>
  <c r="P1253" i="2"/>
  <c r="T1253" i="2" s="1"/>
  <c r="W1253" i="2" s="1"/>
  <c r="E1254" i="2" s="1"/>
  <c r="H1254" i="2" l="1"/>
  <c r="B1254" i="2"/>
  <c r="M1254" i="2"/>
  <c r="C1254" i="2"/>
  <c r="N1254" i="2"/>
  <c r="O1254" i="2" s="1"/>
  <c r="D1254" i="2"/>
  <c r="R1254" i="2" l="1"/>
  <c r="Q1254" i="2"/>
  <c r="K1254" i="2"/>
  <c r="J1254" i="2"/>
  <c r="I1254" i="2"/>
  <c r="S1254" i="2"/>
  <c r="L1254" i="2"/>
  <c r="P1254" i="2" s="1"/>
  <c r="U1254" i="2" l="1"/>
  <c r="T1254" i="2"/>
  <c r="W1254" i="2" s="1"/>
  <c r="E1255" i="2" s="1"/>
  <c r="V1254" i="2"/>
  <c r="X1254" i="2"/>
  <c r="F1255" i="2" s="1"/>
  <c r="Y1254" i="2"/>
  <c r="G1255" i="2" s="1"/>
  <c r="H1255" i="2" l="1"/>
  <c r="B1255" i="2"/>
  <c r="N1255" i="2"/>
  <c r="O1255" i="2" s="1"/>
  <c r="D1255" i="2"/>
  <c r="M1255" i="2"/>
  <c r="C1255" i="2"/>
  <c r="R1255" i="2" l="1"/>
  <c r="Q1255" i="2"/>
  <c r="J1255" i="2"/>
  <c r="K1255" i="2"/>
  <c r="I1255" i="2"/>
  <c r="S1255" i="2"/>
  <c r="L1255" i="2"/>
  <c r="P1255" i="2" s="1"/>
  <c r="U1255" i="2" l="1"/>
  <c r="T1255" i="2"/>
  <c r="W1255" i="2" s="1"/>
  <c r="E1256" i="2" s="1"/>
  <c r="V1255" i="2"/>
  <c r="Y1255" i="2" s="1"/>
  <c r="G1256" i="2" s="1"/>
  <c r="X1255" i="2"/>
  <c r="F1256" i="2" s="1"/>
  <c r="H1256" i="2" l="1"/>
  <c r="B1256" i="2"/>
  <c r="M1256" i="2"/>
  <c r="C1256" i="2"/>
  <c r="N1256" i="2"/>
  <c r="O1256" i="2" s="1"/>
  <c r="D1256" i="2"/>
  <c r="R1256" i="2" l="1"/>
  <c r="Q1256" i="2"/>
  <c r="K1256" i="2"/>
  <c r="I1256" i="2"/>
  <c r="S1256" i="2"/>
  <c r="J1256" i="2"/>
  <c r="L1256" i="2"/>
  <c r="P1256" i="2" s="1"/>
  <c r="U1256" i="2" l="1"/>
  <c r="X1256" i="2" s="1"/>
  <c r="F1257" i="2" s="1"/>
  <c r="T1256" i="2"/>
  <c r="W1256" i="2" s="1"/>
  <c r="E1257" i="2" s="1"/>
  <c r="V1256" i="2"/>
  <c r="Y1256" i="2" s="1"/>
  <c r="G1257" i="2" s="1"/>
  <c r="C1257" i="2" l="1"/>
  <c r="D1257" i="2"/>
  <c r="H1257" i="2"/>
  <c r="B1257" i="2"/>
  <c r="K1257" i="2" l="1"/>
  <c r="I1257" i="2"/>
  <c r="S1257" i="2"/>
  <c r="J1257" i="2"/>
  <c r="L1257" i="2"/>
  <c r="N1257" i="2"/>
  <c r="O1257" i="2" s="1"/>
  <c r="M1257" i="2"/>
  <c r="R1257" i="2" l="1"/>
  <c r="V1257" i="2" s="1"/>
  <c r="Y1257" i="2" s="1"/>
  <c r="G1258" i="2" s="1"/>
  <c r="Q1257" i="2"/>
  <c r="U1257" i="2" s="1"/>
  <c r="X1257" i="2" s="1"/>
  <c r="F1258" i="2" s="1"/>
  <c r="P1257" i="2"/>
  <c r="T1257" i="2" s="1"/>
  <c r="W1257" i="2" s="1"/>
  <c r="E1258" i="2" s="1"/>
  <c r="H1258" i="2" l="1"/>
  <c r="B1258" i="2"/>
  <c r="M1258" i="2"/>
  <c r="C1258" i="2"/>
  <c r="N1258" i="2"/>
  <c r="O1258" i="2" s="1"/>
  <c r="D1258" i="2"/>
  <c r="R1258" i="2" l="1"/>
  <c r="Q1258" i="2"/>
  <c r="I1258" i="2"/>
  <c r="J1258" i="2"/>
  <c r="K1258" i="2"/>
  <c r="S1258" i="2"/>
  <c r="L1258" i="2"/>
  <c r="P1258" i="2" s="1"/>
  <c r="U1258" i="2" l="1"/>
  <c r="X1258" i="2" s="1"/>
  <c r="F1259" i="2" s="1"/>
  <c r="T1258" i="2"/>
  <c r="V1258" i="2"/>
  <c r="Y1258" i="2" s="1"/>
  <c r="G1259" i="2" s="1"/>
  <c r="W1258" i="2"/>
  <c r="E1259" i="2" s="1"/>
  <c r="D1259" i="2" l="1"/>
  <c r="C1259" i="2"/>
  <c r="H1259" i="2"/>
  <c r="L1259" i="2" s="1"/>
  <c r="B1259" i="2"/>
  <c r="I1259" i="2" l="1"/>
  <c r="S1259" i="2"/>
  <c r="J1259" i="2"/>
  <c r="K1259" i="2"/>
  <c r="M1259" i="2"/>
  <c r="N1259" i="2"/>
  <c r="O1259" i="2" s="1"/>
  <c r="R1259" i="2" l="1"/>
  <c r="V1259" i="2" s="1"/>
  <c r="Y1259" i="2" s="1"/>
  <c r="G1260" i="2" s="1"/>
  <c r="Q1259" i="2"/>
  <c r="U1259" i="2" s="1"/>
  <c r="X1259" i="2" s="1"/>
  <c r="F1260" i="2" s="1"/>
  <c r="P1259" i="2"/>
  <c r="T1259" i="2" s="1"/>
  <c r="W1259" i="2" s="1"/>
  <c r="E1260" i="2" s="1"/>
  <c r="C1260" i="2" l="1"/>
  <c r="H1260" i="2"/>
  <c r="N1260" i="2" s="1"/>
  <c r="O1260" i="2" s="1"/>
  <c r="B1260" i="2"/>
  <c r="D1260" i="2"/>
  <c r="R1260" i="2" l="1"/>
  <c r="K1260" i="2"/>
  <c r="I1260" i="2"/>
  <c r="J1260" i="2"/>
  <c r="S1260" i="2"/>
  <c r="L1260" i="2"/>
  <c r="P1260" i="2" s="1"/>
  <c r="M1260" i="2"/>
  <c r="Q1260" i="2" s="1"/>
  <c r="U1260" i="2" l="1"/>
  <c r="X1260" i="2" s="1"/>
  <c r="F1261" i="2" s="1"/>
  <c r="T1260" i="2"/>
  <c r="W1260" i="2" s="1"/>
  <c r="E1261" i="2" s="1"/>
  <c r="V1260" i="2"/>
  <c r="Y1260" i="2" s="1"/>
  <c r="G1261" i="2" s="1"/>
  <c r="H1261" i="2" l="1"/>
  <c r="L1261" i="2" s="1"/>
  <c r="B1261" i="2"/>
  <c r="M1261" i="2"/>
  <c r="C1261" i="2"/>
  <c r="N1261" i="2"/>
  <c r="O1261" i="2" s="1"/>
  <c r="D1261" i="2"/>
  <c r="R1261" i="2" l="1"/>
  <c r="Q1261" i="2"/>
  <c r="P1261" i="2"/>
  <c r="I1261" i="2"/>
  <c r="J1261" i="2"/>
  <c r="K1261" i="2"/>
  <c r="S1261" i="2"/>
  <c r="U1261" i="2" l="1"/>
  <c r="X1261" i="2" s="1"/>
  <c r="F1262" i="2" s="1"/>
  <c r="T1261" i="2"/>
  <c r="V1261" i="2"/>
  <c r="Y1261" i="2" s="1"/>
  <c r="G1262" i="2" s="1"/>
  <c r="W1261" i="2"/>
  <c r="E1262" i="2" s="1"/>
  <c r="D1262" i="2" l="1"/>
  <c r="H1262" i="2"/>
  <c r="M1262" i="2" s="1"/>
  <c r="B1262" i="2"/>
  <c r="C1262" i="2"/>
  <c r="I1262" i="2" l="1"/>
  <c r="K1262" i="2"/>
  <c r="J1262" i="2"/>
  <c r="S1262" i="2"/>
  <c r="L1262" i="2"/>
  <c r="N1262" i="2"/>
  <c r="O1262" i="2" s="1"/>
  <c r="R1262" i="2" l="1"/>
  <c r="Q1262" i="2"/>
  <c r="U1262" i="2" s="1"/>
  <c r="X1262" i="2" s="1"/>
  <c r="F1263" i="2" s="1"/>
  <c r="P1262" i="2"/>
  <c r="T1262" i="2" s="1"/>
  <c r="W1262" i="2" s="1"/>
  <c r="E1263" i="2" s="1"/>
  <c r="V1262" i="2"/>
  <c r="Y1262" i="2" s="1"/>
  <c r="G1263" i="2" s="1"/>
  <c r="C1263" i="2" l="1"/>
  <c r="D1263" i="2"/>
  <c r="H1263" i="2"/>
  <c r="B1263" i="2"/>
  <c r="I1263" i="2" l="1"/>
  <c r="J1263" i="2"/>
  <c r="K1263" i="2"/>
  <c r="S1263" i="2"/>
  <c r="L1263" i="2"/>
  <c r="N1263" i="2"/>
  <c r="O1263" i="2" s="1"/>
  <c r="M1263" i="2"/>
  <c r="R1263" i="2" l="1"/>
  <c r="Q1263" i="2"/>
  <c r="U1263" i="2" s="1"/>
  <c r="X1263" i="2" s="1"/>
  <c r="F1264" i="2" s="1"/>
  <c r="P1263" i="2"/>
  <c r="T1263" i="2" s="1"/>
  <c r="W1263" i="2" s="1"/>
  <c r="E1264" i="2" s="1"/>
  <c r="V1263" i="2"/>
  <c r="Y1263" i="2" s="1"/>
  <c r="G1264" i="2" s="1"/>
  <c r="D1264" i="2" l="1"/>
  <c r="C1264" i="2"/>
  <c r="H1264" i="2"/>
  <c r="N1264" i="2" s="1"/>
  <c r="O1264" i="2" s="1"/>
  <c r="B1264" i="2"/>
  <c r="R1264" i="2" l="1"/>
  <c r="M1264" i="2"/>
  <c r="Q1264" i="2" s="1"/>
  <c r="K1264" i="2"/>
  <c r="J1264" i="2"/>
  <c r="I1264" i="2"/>
  <c r="S1264" i="2"/>
  <c r="L1264" i="2"/>
  <c r="P1264" i="2" s="1"/>
  <c r="U1264" i="2" l="1"/>
  <c r="T1264" i="2"/>
  <c r="W1264" i="2" s="1"/>
  <c r="E1265" i="2" s="1"/>
  <c r="V1264" i="2"/>
  <c r="Y1264" i="2" s="1"/>
  <c r="G1265" i="2" s="1"/>
  <c r="X1264" i="2"/>
  <c r="F1265" i="2" s="1"/>
  <c r="D1265" i="2" l="1"/>
  <c r="H1265" i="2"/>
  <c r="M1265" i="2" s="1"/>
  <c r="B1265" i="2"/>
  <c r="C1265" i="2"/>
  <c r="J1265" i="2" l="1"/>
  <c r="I1265" i="2"/>
  <c r="K1265" i="2"/>
  <c r="S1265" i="2"/>
  <c r="L1265" i="2"/>
  <c r="N1265" i="2"/>
  <c r="O1265" i="2" s="1"/>
  <c r="R1265" i="2" l="1"/>
  <c r="Q1265" i="2"/>
  <c r="P1265" i="2"/>
  <c r="T1265" i="2" s="1"/>
  <c r="W1265" i="2" s="1"/>
  <c r="E1266" i="2" s="1"/>
  <c r="U1265" i="2"/>
  <c r="V1265" i="2"/>
  <c r="Y1265" i="2" s="1"/>
  <c r="G1266" i="2" s="1"/>
  <c r="X1265" i="2"/>
  <c r="F1266" i="2" s="1"/>
  <c r="H1266" i="2" l="1"/>
  <c r="L1266" i="2" s="1"/>
  <c r="B1266" i="2"/>
  <c r="D1266" i="2"/>
  <c r="C1266" i="2"/>
  <c r="M1266" i="2" l="1"/>
  <c r="N1266" i="2"/>
  <c r="O1266" i="2" s="1"/>
  <c r="R1266" i="2"/>
  <c r="Q1266" i="2"/>
  <c r="P1266" i="2"/>
  <c r="J1266" i="2"/>
  <c r="K1266" i="2"/>
  <c r="I1266" i="2"/>
  <c r="S1266" i="2"/>
  <c r="U1266" i="2" l="1"/>
  <c r="T1266" i="2"/>
  <c r="V1266" i="2"/>
  <c r="Y1266" i="2"/>
  <c r="G1267" i="2" s="1"/>
  <c r="W1266" i="2"/>
  <c r="E1267" i="2" s="1"/>
  <c r="X1266" i="2"/>
  <c r="F1267" i="2" s="1"/>
  <c r="H1267" i="2" l="1"/>
  <c r="L1267" i="2" s="1"/>
  <c r="B1267" i="2"/>
  <c r="M1267" i="2"/>
  <c r="C1267" i="2"/>
  <c r="N1267" i="2"/>
  <c r="O1267" i="2" s="1"/>
  <c r="D1267" i="2"/>
  <c r="R1267" i="2" l="1"/>
  <c r="Q1267" i="2"/>
  <c r="P1267" i="2"/>
  <c r="J1267" i="2"/>
  <c r="I1267" i="2"/>
  <c r="K1267" i="2"/>
  <c r="S1267" i="2"/>
  <c r="U1267" i="2" l="1"/>
  <c r="X1267" i="2" s="1"/>
  <c r="F1268" i="2" s="1"/>
  <c r="T1267" i="2"/>
  <c r="V1267" i="2"/>
  <c r="Y1267" i="2" s="1"/>
  <c r="G1268" i="2" s="1"/>
  <c r="W1267" i="2"/>
  <c r="E1268" i="2" s="1"/>
  <c r="D1268" i="2" l="1"/>
  <c r="C1268" i="2"/>
  <c r="H1268" i="2"/>
  <c r="B1268" i="2"/>
  <c r="J1268" i="2" l="1"/>
  <c r="I1268" i="2"/>
  <c r="K1268" i="2"/>
  <c r="S1268" i="2"/>
  <c r="L1268" i="2"/>
  <c r="M1268" i="2"/>
  <c r="N1268" i="2"/>
  <c r="O1268" i="2" s="1"/>
  <c r="R1268" i="2" l="1"/>
  <c r="Q1268" i="2"/>
  <c r="U1268" i="2" s="1"/>
  <c r="X1268" i="2" s="1"/>
  <c r="F1269" i="2" s="1"/>
  <c r="P1268" i="2"/>
  <c r="T1268" i="2" s="1"/>
  <c r="W1268" i="2" s="1"/>
  <c r="E1269" i="2" s="1"/>
  <c r="V1268" i="2"/>
  <c r="Y1268" i="2"/>
  <c r="G1269" i="2" s="1"/>
  <c r="H1269" i="2" l="1"/>
  <c r="B1269" i="2"/>
  <c r="N1269" i="2"/>
  <c r="O1269" i="2" s="1"/>
  <c r="D1269" i="2"/>
  <c r="M1269" i="2"/>
  <c r="C1269" i="2"/>
  <c r="R1269" i="2" l="1"/>
  <c r="Q1269" i="2"/>
  <c r="I1269" i="2"/>
  <c r="K1269" i="2"/>
  <c r="J1269" i="2"/>
  <c r="S1269" i="2"/>
  <c r="L1269" i="2"/>
  <c r="P1269" i="2" s="1"/>
  <c r="U1269" i="2" l="1"/>
  <c r="T1269" i="2"/>
  <c r="V1269" i="2"/>
  <c r="Y1269" i="2" s="1"/>
  <c r="G1270" i="2" s="1"/>
  <c r="X1269" i="2"/>
  <c r="F1270" i="2" s="1"/>
  <c r="W1269" i="2"/>
  <c r="E1270" i="2" s="1"/>
  <c r="D1270" i="2" l="1"/>
  <c r="H1270" i="2"/>
  <c r="B1270" i="2"/>
  <c r="C1270" i="2"/>
  <c r="J1270" i="2" l="1"/>
  <c r="I1270" i="2"/>
  <c r="S1270" i="2"/>
  <c r="K1270" i="2"/>
  <c r="L1270" i="2"/>
  <c r="M1270" i="2"/>
  <c r="N1270" i="2"/>
  <c r="O1270" i="2" s="1"/>
  <c r="R1270" i="2" l="1"/>
  <c r="V1270" i="2" s="1"/>
  <c r="Y1270" i="2" s="1"/>
  <c r="G1271" i="2" s="1"/>
  <c r="Q1270" i="2"/>
  <c r="U1270" i="2" s="1"/>
  <c r="X1270" i="2" s="1"/>
  <c r="F1271" i="2" s="1"/>
  <c r="P1270" i="2"/>
  <c r="T1270" i="2" s="1"/>
  <c r="W1270" i="2" s="1"/>
  <c r="E1271" i="2" s="1"/>
  <c r="H1271" i="2" l="1"/>
  <c r="M1271" i="2" s="1"/>
  <c r="B1271" i="2"/>
  <c r="C1271" i="2"/>
  <c r="D1271" i="2"/>
  <c r="N1271" i="2" l="1"/>
  <c r="O1271" i="2" s="1"/>
  <c r="R1271" i="2"/>
  <c r="Q1271" i="2"/>
  <c r="I1271" i="2"/>
  <c r="K1271" i="2"/>
  <c r="J1271" i="2"/>
  <c r="S1271" i="2"/>
  <c r="L1271" i="2"/>
  <c r="P1271" i="2" s="1"/>
  <c r="U1271" i="2" l="1"/>
  <c r="X1271" i="2" s="1"/>
  <c r="F1272" i="2" s="1"/>
  <c r="T1271" i="2"/>
  <c r="V1271" i="2"/>
  <c r="Y1271" i="2" s="1"/>
  <c r="G1272" i="2" s="1"/>
  <c r="W1271" i="2"/>
  <c r="E1272" i="2" s="1"/>
  <c r="D1272" i="2" l="1"/>
  <c r="C1272" i="2"/>
  <c r="H1272" i="2"/>
  <c r="B1272" i="2"/>
  <c r="I1272" i="2" l="1"/>
  <c r="S1272" i="2"/>
  <c r="J1272" i="2"/>
  <c r="K1272" i="2"/>
  <c r="L1272" i="2"/>
  <c r="M1272" i="2"/>
  <c r="N1272" i="2"/>
  <c r="O1272" i="2" s="1"/>
  <c r="R1272" i="2" l="1"/>
  <c r="Q1272" i="2"/>
  <c r="U1272" i="2" s="1"/>
  <c r="X1272" i="2" s="1"/>
  <c r="F1273" i="2" s="1"/>
  <c r="P1272" i="2"/>
  <c r="T1272" i="2" s="1"/>
  <c r="W1272" i="2" s="1"/>
  <c r="E1273" i="2" s="1"/>
  <c r="V1272" i="2"/>
  <c r="Y1272" i="2"/>
  <c r="G1273" i="2" s="1"/>
  <c r="D1273" i="2" l="1"/>
  <c r="H1273" i="2"/>
  <c r="B1273" i="2"/>
  <c r="C1273" i="2"/>
  <c r="I1273" i="2" l="1"/>
  <c r="K1273" i="2"/>
  <c r="J1273" i="2"/>
  <c r="S1273" i="2"/>
  <c r="L1273" i="2"/>
  <c r="N1273" i="2"/>
  <c r="O1273" i="2" s="1"/>
  <c r="M1273" i="2"/>
  <c r="R1273" i="2" l="1"/>
  <c r="Q1273" i="2"/>
  <c r="U1273" i="2" s="1"/>
  <c r="X1273" i="2" s="1"/>
  <c r="F1274" i="2" s="1"/>
  <c r="P1273" i="2"/>
  <c r="T1273" i="2" s="1"/>
  <c r="W1273" i="2" s="1"/>
  <c r="E1274" i="2" s="1"/>
  <c r="V1273" i="2"/>
  <c r="Y1273" i="2" s="1"/>
  <c r="G1274" i="2" s="1"/>
  <c r="H1274" i="2" l="1"/>
  <c r="L1274" i="2" s="1"/>
  <c r="B1274" i="2"/>
  <c r="M1274" i="2"/>
  <c r="C1274" i="2"/>
  <c r="N1274" i="2"/>
  <c r="O1274" i="2" s="1"/>
  <c r="D1274" i="2"/>
  <c r="R1274" i="2" l="1"/>
  <c r="Q1274" i="2"/>
  <c r="P1274" i="2"/>
  <c r="I1274" i="2"/>
  <c r="J1274" i="2"/>
  <c r="K1274" i="2"/>
  <c r="S1274" i="2"/>
  <c r="U1274" i="2" l="1"/>
  <c r="T1274" i="2"/>
  <c r="W1274" i="2" s="1"/>
  <c r="E1275" i="2" s="1"/>
  <c r="V1274" i="2"/>
  <c r="Y1274" i="2" s="1"/>
  <c r="G1275" i="2" s="1"/>
  <c r="X1274" i="2"/>
  <c r="F1275" i="2" s="1"/>
  <c r="D1275" i="2" l="1"/>
  <c r="H1275" i="2"/>
  <c r="N1275" i="2" s="1"/>
  <c r="O1275" i="2" s="1"/>
  <c r="B1275" i="2"/>
  <c r="M1275" i="2"/>
  <c r="C1275" i="2"/>
  <c r="R1275" i="2" l="1"/>
  <c r="Q1275" i="2"/>
  <c r="L1275" i="2"/>
  <c r="P1275" i="2" s="1"/>
  <c r="I1275" i="2"/>
  <c r="K1275" i="2"/>
  <c r="J1275" i="2"/>
  <c r="S1275" i="2"/>
  <c r="U1275" i="2" l="1"/>
  <c r="T1275" i="2"/>
  <c r="V1275" i="2"/>
  <c r="Y1275" i="2" s="1"/>
  <c r="G1276" i="2" s="1"/>
  <c r="X1275" i="2"/>
  <c r="F1276" i="2" s="1"/>
  <c r="W1275" i="2"/>
  <c r="E1276" i="2" s="1"/>
  <c r="C1276" i="2" l="1"/>
  <c r="H1276" i="2"/>
  <c r="N1276" i="2" s="1"/>
  <c r="O1276" i="2" s="1"/>
  <c r="B1276" i="2"/>
  <c r="D1276" i="2"/>
  <c r="J1276" i="2" l="1"/>
  <c r="K1276" i="2"/>
  <c r="I1276" i="2"/>
  <c r="S1276" i="2"/>
  <c r="L1276" i="2"/>
  <c r="M1276" i="2"/>
  <c r="R1276" i="2"/>
  <c r="Q1276" i="2"/>
  <c r="P1276" i="2"/>
  <c r="U1276" i="2" l="1"/>
  <c r="X1276" i="2" s="1"/>
  <c r="F1277" i="2" s="1"/>
  <c r="T1276" i="2"/>
  <c r="V1276" i="2"/>
  <c r="W1276" i="2"/>
  <c r="E1277" i="2" s="1"/>
  <c r="Y1276" i="2"/>
  <c r="G1277" i="2" s="1"/>
  <c r="C1277" i="2" l="1"/>
  <c r="H1277" i="2"/>
  <c r="N1277" i="2" s="1"/>
  <c r="O1277" i="2" s="1"/>
  <c r="B1277" i="2"/>
  <c r="D1277" i="2"/>
  <c r="K1277" i="2" l="1"/>
  <c r="J1277" i="2"/>
  <c r="I1277" i="2"/>
  <c r="S1277" i="2"/>
  <c r="L1277" i="2"/>
  <c r="M1277" i="2"/>
  <c r="Q1277" i="2" s="1"/>
  <c r="R1277" i="2"/>
  <c r="P1277" i="2"/>
  <c r="U1277" i="2" l="1"/>
  <c r="T1277" i="2"/>
  <c r="W1277" i="2" s="1"/>
  <c r="E1278" i="2" s="1"/>
  <c r="V1277" i="2"/>
  <c r="X1277" i="2"/>
  <c r="F1278" i="2" s="1"/>
  <c r="Y1277" i="2"/>
  <c r="G1278" i="2" s="1"/>
  <c r="D1278" i="2" l="1"/>
  <c r="H1278" i="2"/>
  <c r="M1278" i="2" s="1"/>
  <c r="B1278" i="2"/>
  <c r="C1278" i="2"/>
  <c r="K1278" i="2" l="1"/>
  <c r="J1278" i="2"/>
  <c r="I1278" i="2"/>
  <c r="S1278" i="2"/>
  <c r="L1278" i="2"/>
  <c r="N1278" i="2"/>
  <c r="O1278" i="2" s="1"/>
  <c r="R1278" i="2" l="1"/>
  <c r="Q1278" i="2"/>
  <c r="U1278" i="2" s="1"/>
  <c r="X1278" i="2" s="1"/>
  <c r="F1279" i="2" s="1"/>
  <c r="P1278" i="2"/>
  <c r="T1278" i="2" s="1"/>
  <c r="W1278" i="2" s="1"/>
  <c r="E1279" i="2" s="1"/>
  <c r="V1278" i="2"/>
  <c r="Y1278" i="2" s="1"/>
  <c r="G1279" i="2" s="1"/>
  <c r="D1279" i="2" l="1"/>
  <c r="H1279" i="2"/>
  <c r="M1279" i="2" s="1"/>
  <c r="B1279" i="2"/>
  <c r="C1279" i="2"/>
  <c r="K1279" i="2" l="1"/>
  <c r="J1279" i="2"/>
  <c r="I1279" i="2"/>
  <c r="S1279" i="2"/>
  <c r="L1279" i="2"/>
  <c r="N1279" i="2"/>
  <c r="O1279" i="2" s="1"/>
  <c r="R1279" i="2" l="1"/>
  <c r="Q1279" i="2"/>
  <c r="U1279" i="2" s="1"/>
  <c r="X1279" i="2" s="1"/>
  <c r="F1280" i="2" s="1"/>
  <c r="P1279" i="2"/>
  <c r="T1279" i="2" s="1"/>
  <c r="W1279" i="2" s="1"/>
  <c r="E1280" i="2" s="1"/>
  <c r="V1279" i="2"/>
  <c r="Y1279" i="2"/>
  <c r="G1280" i="2" s="1"/>
  <c r="H1280" i="2" l="1"/>
  <c r="N1280" i="2" s="1"/>
  <c r="O1280" i="2" s="1"/>
  <c r="B1280" i="2"/>
  <c r="D1280" i="2"/>
  <c r="C1280" i="2"/>
  <c r="M1280" i="2" l="1"/>
  <c r="R1280" i="2"/>
  <c r="Q1280" i="2"/>
  <c r="K1280" i="2"/>
  <c r="I1280" i="2"/>
  <c r="J1280" i="2"/>
  <c r="S1280" i="2"/>
  <c r="L1280" i="2"/>
  <c r="P1280" i="2" s="1"/>
  <c r="U1280" i="2" l="1"/>
  <c r="X1280" i="2" s="1"/>
  <c r="F1281" i="2" s="1"/>
  <c r="T1280" i="2"/>
  <c r="W1280" i="2" s="1"/>
  <c r="E1281" i="2" s="1"/>
  <c r="V1280" i="2"/>
  <c r="Y1280" i="2"/>
  <c r="G1281" i="2" s="1"/>
  <c r="H1281" i="2" l="1"/>
  <c r="L1281" i="2" s="1"/>
  <c r="B1281" i="2"/>
  <c r="N1281" i="2"/>
  <c r="O1281" i="2" s="1"/>
  <c r="D1281" i="2"/>
  <c r="M1281" i="2"/>
  <c r="C1281" i="2"/>
  <c r="R1281" i="2" l="1"/>
  <c r="Q1281" i="2"/>
  <c r="P1281" i="2"/>
  <c r="K1281" i="2"/>
  <c r="J1281" i="2"/>
  <c r="I1281" i="2"/>
  <c r="S1281" i="2"/>
  <c r="U1281" i="2" l="1"/>
  <c r="T1281" i="2"/>
  <c r="V1281" i="2"/>
  <c r="Y1281" i="2"/>
  <c r="G1282" i="2" s="1"/>
  <c r="W1281" i="2"/>
  <c r="E1282" i="2" s="1"/>
  <c r="X1281" i="2"/>
  <c r="F1282" i="2" s="1"/>
  <c r="H1282" i="2" l="1"/>
  <c r="L1282" i="2" s="1"/>
  <c r="B1282" i="2"/>
  <c r="M1282" i="2"/>
  <c r="C1282" i="2"/>
  <c r="N1282" i="2"/>
  <c r="O1282" i="2" s="1"/>
  <c r="D1282" i="2"/>
  <c r="R1282" i="2" l="1"/>
  <c r="Q1282" i="2"/>
  <c r="P1282" i="2"/>
  <c r="K1282" i="2"/>
  <c r="I1282" i="2"/>
  <c r="J1282" i="2"/>
  <c r="S1282" i="2"/>
  <c r="U1282" i="2" l="1"/>
  <c r="T1282" i="2"/>
  <c r="V1282" i="2"/>
  <c r="W1282" i="2"/>
  <c r="E1283" i="2" s="1"/>
  <c r="X1282" i="2"/>
  <c r="F1283" i="2" s="1"/>
  <c r="Y1282" i="2"/>
  <c r="G1283" i="2" s="1"/>
  <c r="C1283" i="2" l="1"/>
  <c r="D1283" i="2"/>
  <c r="H1283" i="2"/>
  <c r="M1283" i="2" s="1"/>
  <c r="B1283" i="2"/>
  <c r="N1283" i="2" l="1"/>
  <c r="O1283" i="2" s="1"/>
  <c r="K1283" i="2"/>
  <c r="J1283" i="2"/>
  <c r="I1283" i="2"/>
  <c r="S1283" i="2"/>
  <c r="L1283" i="2"/>
  <c r="R1283" i="2" l="1"/>
  <c r="V1283" i="2" s="1"/>
  <c r="Y1283" i="2" s="1"/>
  <c r="G1284" i="2" s="1"/>
  <c r="Q1283" i="2"/>
  <c r="U1283" i="2" s="1"/>
  <c r="X1283" i="2" s="1"/>
  <c r="F1284" i="2" s="1"/>
  <c r="P1283" i="2"/>
  <c r="T1283" i="2" s="1"/>
  <c r="W1283" i="2" s="1"/>
  <c r="E1284" i="2" s="1"/>
  <c r="C1284" i="2" l="1"/>
  <c r="H1284" i="2"/>
  <c r="B1284" i="2"/>
  <c r="N1284" i="2"/>
  <c r="O1284" i="2" s="1"/>
  <c r="D1284" i="2"/>
  <c r="R1284" i="2" l="1"/>
  <c r="I1284" i="2"/>
  <c r="S1284" i="2"/>
  <c r="J1284" i="2"/>
  <c r="K1284" i="2"/>
  <c r="L1284" i="2"/>
  <c r="P1284" i="2" s="1"/>
  <c r="M1284" i="2"/>
  <c r="Q1284" i="2" s="1"/>
  <c r="U1284" i="2" l="1"/>
  <c r="X1284" i="2" s="1"/>
  <c r="F1285" i="2" s="1"/>
  <c r="T1284" i="2"/>
  <c r="W1284" i="2" s="1"/>
  <c r="E1285" i="2" s="1"/>
  <c r="V1284" i="2"/>
  <c r="Y1284" i="2" s="1"/>
  <c r="G1285" i="2" s="1"/>
  <c r="D1285" i="2" l="1"/>
  <c r="H1285" i="2"/>
  <c r="B1285" i="2"/>
  <c r="C1285" i="2"/>
  <c r="I1285" i="2" l="1"/>
  <c r="J1285" i="2"/>
  <c r="K1285" i="2"/>
  <c r="S1285" i="2"/>
  <c r="N1285" i="2"/>
  <c r="O1285" i="2" s="1"/>
  <c r="M1285" i="2"/>
  <c r="L1285" i="2"/>
  <c r="R1285" i="2" l="1"/>
  <c r="Q1285" i="2"/>
  <c r="P1285" i="2"/>
  <c r="T1285" i="2" s="1"/>
  <c r="W1285" i="2" s="1"/>
  <c r="E1286" i="2" s="1"/>
  <c r="U1285" i="2"/>
  <c r="V1285" i="2"/>
  <c r="Y1285" i="2" s="1"/>
  <c r="G1286" i="2" s="1"/>
  <c r="X1285" i="2"/>
  <c r="F1286" i="2" s="1"/>
  <c r="D1286" i="2" l="1"/>
  <c r="C1286" i="2"/>
  <c r="H1286" i="2"/>
  <c r="L1286" i="2" s="1"/>
  <c r="B1286" i="2"/>
  <c r="I1286" i="2" l="1"/>
  <c r="K1286" i="2"/>
  <c r="J1286" i="2"/>
  <c r="S1286" i="2"/>
  <c r="M1286" i="2"/>
  <c r="N1286" i="2"/>
  <c r="O1286" i="2" s="1"/>
  <c r="R1286" i="2" l="1"/>
  <c r="V1286" i="2" s="1"/>
  <c r="Y1286" i="2" s="1"/>
  <c r="G1287" i="2" s="1"/>
  <c r="Q1286" i="2"/>
  <c r="U1286" i="2" s="1"/>
  <c r="X1286" i="2" s="1"/>
  <c r="F1287" i="2" s="1"/>
  <c r="P1286" i="2"/>
  <c r="T1286" i="2" s="1"/>
  <c r="W1286" i="2" s="1"/>
  <c r="E1287" i="2" s="1"/>
  <c r="C1287" i="2" l="1"/>
  <c r="H1287" i="2"/>
  <c r="N1287" i="2" s="1"/>
  <c r="O1287" i="2" s="1"/>
  <c r="B1287" i="2"/>
  <c r="D1287" i="2"/>
  <c r="R1287" i="2" l="1"/>
  <c r="I1287" i="2"/>
  <c r="J1287" i="2"/>
  <c r="K1287" i="2"/>
  <c r="S1287" i="2"/>
  <c r="L1287" i="2"/>
  <c r="P1287" i="2" s="1"/>
  <c r="M1287" i="2"/>
  <c r="Q1287" i="2" s="1"/>
  <c r="U1287" i="2" l="1"/>
  <c r="X1287" i="2" s="1"/>
  <c r="F1288" i="2" s="1"/>
  <c r="T1287" i="2"/>
  <c r="V1287" i="2"/>
  <c r="Y1287" i="2" s="1"/>
  <c r="G1288" i="2" s="1"/>
  <c r="W1287" i="2"/>
  <c r="E1288" i="2" s="1"/>
  <c r="D1288" i="2" l="1"/>
  <c r="C1288" i="2"/>
  <c r="H1288" i="2"/>
  <c r="N1288" i="2" s="1"/>
  <c r="O1288" i="2" s="1"/>
  <c r="B1288" i="2"/>
  <c r="R1288" i="2" l="1"/>
  <c r="M1288" i="2"/>
  <c r="Q1288" i="2" s="1"/>
  <c r="K1288" i="2"/>
  <c r="J1288" i="2"/>
  <c r="I1288" i="2"/>
  <c r="S1288" i="2"/>
  <c r="L1288" i="2"/>
  <c r="P1288" i="2" s="1"/>
  <c r="U1288" i="2" l="1"/>
  <c r="T1288" i="2"/>
  <c r="W1288" i="2" s="1"/>
  <c r="E1289" i="2" s="1"/>
  <c r="V1288" i="2"/>
  <c r="Y1288" i="2" s="1"/>
  <c r="G1289" i="2" s="1"/>
  <c r="X1288" i="2"/>
  <c r="F1289" i="2" s="1"/>
  <c r="D1289" i="2" l="1"/>
  <c r="H1289" i="2"/>
  <c r="B1289" i="2"/>
  <c r="C1289" i="2"/>
  <c r="J1289" i="2" l="1"/>
  <c r="I1289" i="2"/>
  <c r="K1289" i="2"/>
  <c r="S1289" i="2"/>
  <c r="L1289" i="2"/>
  <c r="N1289" i="2"/>
  <c r="O1289" i="2" s="1"/>
  <c r="M1289" i="2"/>
  <c r="R1289" i="2" l="1"/>
  <c r="Q1289" i="2"/>
  <c r="U1289" i="2" s="1"/>
  <c r="X1289" i="2" s="1"/>
  <c r="F1290" i="2" s="1"/>
  <c r="P1289" i="2"/>
  <c r="T1289" i="2" s="1"/>
  <c r="W1289" i="2" s="1"/>
  <c r="E1290" i="2" s="1"/>
  <c r="V1289" i="2"/>
  <c r="Y1289" i="2" s="1"/>
  <c r="G1290" i="2" s="1"/>
  <c r="D1290" i="2" l="1"/>
  <c r="H1290" i="2"/>
  <c r="N1290" i="2" s="1"/>
  <c r="O1290" i="2" s="1"/>
  <c r="B1290" i="2"/>
  <c r="M1290" i="2"/>
  <c r="C1290" i="2"/>
  <c r="R1290" i="2" l="1"/>
  <c r="Q1290" i="2"/>
  <c r="J1290" i="2"/>
  <c r="K1290" i="2"/>
  <c r="I1290" i="2"/>
  <c r="S1290" i="2"/>
  <c r="L1290" i="2"/>
  <c r="P1290" i="2" s="1"/>
  <c r="U1290" i="2" l="1"/>
  <c r="T1290" i="2"/>
  <c r="V1290" i="2"/>
  <c r="Y1290" i="2" s="1"/>
  <c r="G1291" i="2" s="1"/>
  <c r="W1290" i="2"/>
  <c r="E1291" i="2" s="1"/>
  <c r="X1290" i="2"/>
  <c r="F1291" i="2" s="1"/>
  <c r="D1291" i="2" l="1"/>
  <c r="C1291" i="2"/>
  <c r="H1291" i="2"/>
  <c r="B1291" i="2"/>
  <c r="J1291" i="2" l="1"/>
  <c r="I1291" i="2"/>
  <c r="K1291" i="2"/>
  <c r="S1291" i="2"/>
  <c r="L1291" i="2"/>
  <c r="M1291" i="2"/>
  <c r="N1291" i="2"/>
  <c r="O1291" i="2" s="1"/>
  <c r="R1291" i="2" l="1"/>
  <c r="Q1291" i="2"/>
  <c r="P1291" i="2"/>
  <c r="T1291" i="2" s="1"/>
  <c r="W1291" i="2" s="1"/>
  <c r="E1292" i="2" s="1"/>
  <c r="U1291" i="2"/>
  <c r="X1291" i="2" s="1"/>
  <c r="F1292" i="2" s="1"/>
  <c r="V1291" i="2"/>
  <c r="Y1291" i="2" s="1"/>
  <c r="G1292" i="2" s="1"/>
  <c r="C1292" i="2" l="1"/>
  <c r="D1292" i="2"/>
  <c r="H1292" i="2"/>
  <c r="B1292" i="2"/>
  <c r="J1292" i="2" l="1"/>
  <c r="I1292" i="2"/>
  <c r="K1292" i="2"/>
  <c r="S1292" i="2"/>
  <c r="L1292" i="2"/>
  <c r="N1292" i="2"/>
  <c r="O1292" i="2" s="1"/>
  <c r="M1292" i="2"/>
  <c r="R1292" i="2" l="1"/>
  <c r="Q1292" i="2"/>
  <c r="U1292" i="2" s="1"/>
  <c r="X1292" i="2" s="1"/>
  <c r="F1293" i="2" s="1"/>
  <c r="P1292" i="2"/>
  <c r="T1292" i="2" s="1"/>
  <c r="W1292" i="2" s="1"/>
  <c r="E1293" i="2" s="1"/>
  <c r="V1292" i="2"/>
  <c r="Y1292" i="2" s="1"/>
  <c r="G1293" i="2" s="1"/>
  <c r="C1293" i="2" l="1"/>
  <c r="H1293" i="2"/>
  <c r="B1293" i="2"/>
  <c r="N1293" i="2"/>
  <c r="O1293" i="2" s="1"/>
  <c r="D1293" i="2"/>
  <c r="R1293" i="2" l="1"/>
  <c r="I1293" i="2"/>
  <c r="K1293" i="2"/>
  <c r="J1293" i="2"/>
  <c r="S1293" i="2"/>
  <c r="L1293" i="2"/>
  <c r="P1293" i="2" s="1"/>
  <c r="M1293" i="2"/>
  <c r="Q1293" i="2" s="1"/>
  <c r="U1293" i="2" l="1"/>
  <c r="X1293" i="2" s="1"/>
  <c r="F1294" i="2" s="1"/>
  <c r="T1293" i="2"/>
  <c r="V1293" i="2"/>
  <c r="Y1293" i="2"/>
  <c r="G1294" i="2" s="1"/>
  <c r="W1293" i="2"/>
  <c r="E1294" i="2" s="1"/>
  <c r="C1294" i="2" l="1"/>
  <c r="H1294" i="2"/>
  <c r="N1294" i="2" s="1"/>
  <c r="O1294" i="2" s="1"/>
  <c r="B1294" i="2"/>
  <c r="D1294" i="2"/>
  <c r="R1294" i="2" l="1"/>
  <c r="J1294" i="2"/>
  <c r="I1294" i="2"/>
  <c r="K1294" i="2"/>
  <c r="S1294" i="2"/>
  <c r="M1294" i="2"/>
  <c r="Q1294" i="2" s="1"/>
  <c r="L1294" i="2"/>
  <c r="P1294" i="2" s="1"/>
  <c r="U1294" i="2" l="1"/>
  <c r="T1294" i="2"/>
  <c r="W1294" i="2" s="1"/>
  <c r="E1295" i="2" s="1"/>
  <c r="V1294" i="2"/>
  <c r="Y1294" i="2" s="1"/>
  <c r="G1295" i="2" s="1"/>
  <c r="X1294" i="2"/>
  <c r="F1295" i="2" s="1"/>
  <c r="D1295" i="2" l="1"/>
  <c r="H1295" i="2"/>
  <c r="B1295" i="2"/>
  <c r="M1295" i="2"/>
  <c r="C1295" i="2"/>
  <c r="I1295" i="2" l="1"/>
  <c r="K1295" i="2"/>
  <c r="J1295" i="2"/>
  <c r="S1295" i="2"/>
  <c r="L1295" i="2"/>
  <c r="N1295" i="2"/>
  <c r="O1295" i="2" s="1"/>
  <c r="R1295" i="2" l="1"/>
  <c r="V1295" i="2" s="1"/>
  <c r="Y1295" i="2" s="1"/>
  <c r="G1296" i="2" s="1"/>
  <c r="Q1295" i="2"/>
  <c r="U1295" i="2" s="1"/>
  <c r="X1295" i="2" s="1"/>
  <c r="F1296" i="2" s="1"/>
  <c r="P1295" i="2"/>
  <c r="T1295" i="2" s="1"/>
  <c r="W1295" i="2" s="1"/>
  <c r="E1296" i="2" s="1"/>
  <c r="C1296" i="2" l="1"/>
  <c r="D1296" i="2"/>
  <c r="H1296" i="2"/>
  <c r="M1296" i="2" s="1"/>
  <c r="B1296" i="2"/>
  <c r="L1296" i="2" l="1"/>
  <c r="N1296" i="2"/>
  <c r="O1296" i="2" s="1"/>
  <c r="I1296" i="2"/>
  <c r="J1296" i="2"/>
  <c r="S1296" i="2"/>
  <c r="K1296" i="2"/>
  <c r="R1296" i="2" l="1"/>
  <c r="V1296" i="2" s="1"/>
  <c r="Y1296" i="2" s="1"/>
  <c r="G1297" i="2" s="1"/>
  <c r="Q1296" i="2"/>
  <c r="U1296" i="2" s="1"/>
  <c r="X1296" i="2" s="1"/>
  <c r="F1297" i="2" s="1"/>
  <c r="P1296" i="2"/>
  <c r="T1296" i="2" s="1"/>
  <c r="W1296" i="2" s="1"/>
  <c r="E1297" i="2" s="1"/>
  <c r="C1297" i="2" l="1"/>
  <c r="H1297" i="2"/>
  <c r="B1297" i="2"/>
  <c r="D1297" i="2"/>
  <c r="I1297" i="2" l="1"/>
  <c r="K1297" i="2"/>
  <c r="S1297" i="2"/>
  <c r="J1297" i="2"/>
  <c r="N1297" i="2"/>
  <c r="O1297" i="2" s="1"/>
  <c r="L1297" i="2"/>
  <c r="M1297" i="2"/>
  <c r="R1297" i="2" l="1"/>
  <c r="Q1297" i="2"/>
  <c r="U1297" i="2" s="1"/>
  <c r="X1297" i="2" s="1"/>
  <c r="F1298" i="2" s="1"/>
  <c r="P1297" i="2"/>
  <c r="T1297" i="2" s="1"/>
  <c r="W1297" i="2" s="1"/>
  <c r="E1298" i="2" s="1"/>
  <c r="V1297" i="2"/>
  <c r="Y1297" i="2" s="1"/>
  <c r="G1298" i="2" s="1"/>
  <c r="D1298" i="2" l="1"/>
  <c r="C1298" i="2"/>
  <c r="H1298" i="2"/>
  <c r="N1298" i="2" s="1"/>
  <c r="O1298" i="2" s="1"/>
  <c r="B1298" i="2"/>
  <c r="R1298" i="2" l="1"/>
  <c r="M1298" i="2"/>
  <c r="Q1298" i="2" s="1"/>
  <c r="I1298" i="2"/>
  <c r="J1298" i="2"/>
  <c r="K1298" i="2"/>
  <c r="S1298" i="2"/>
  <c r="L1298" i="2"/>
  <c r="P1298" i="2" s="1"/>
  <c r="U1298" i="2" l="1"/>
  <c r="X1298" i="2" s="1"/>
  <c r="F1299" i="2" s="1"/>
  <c r="T1298" i="2"/>
  <c r="V1298" i="2"/>
  <c r="Y1298" i="2" s="1"/>
  <c r="G1299" i="2" s="1"/>
  <c r="W1298" i="2"/>
  <c r="E1299" i="2" s="1"/>
  <c r="D1299" i="2" l="1"/>
  <c r="C1299" i="2"/>
  <c r="H1299" i="2"/>
  <c r="N1299" i="2" s="1"/>
  <c r="O1299" i="2" s="1"/>
  <c r="B1299" i="2"/>
  <c r="R1299" i="2" l="1"/>
  <c r="I1299" i="2"/>
  <c r="K1299" i="2"/>
  <c r="J1299" i="2"/>
  <c r="S1299" i="2"/>
  <c r="L1299" i="2"/>
  <c r="P1299" i="2" s="1"/>
  <c r="M1299" i="2"/>
  <c r="Q1299" i="2" s="1"/>
  <c r="U1299" i="2" l="1"/>
  <c r="T1299" i="2"/>
  <c r="V1299" i="2"/>
  <c r="Y1299" i="2"/>
  <c r="G1300" i="2" s="1"/>
  <c r="X1299" i="2"/>
  <c r="F1300" i="2" s="1"/>
  <c r="W1299" i="2"/>
  <c r="E1300" i="2" s="1"/>
  <c r="C1300" i="2" l="1"/>
  <c r="H1300" i="2"/>
  <c r="B1300" i="2"/>
  <c r="D1300" i="2"/>
  <c r="J1300" i="2" l="1"/>
  <c r="K1300" i="2"/>
  <c r="I1300" i="2"/>
  <c r="S1300" i="2"/>
  <c r="M1300" i="2"/>
  <c r="N1300" i="2"/>
  <c r="O1300" i="2" s="1"/>
  <c r="L1300" i="2"/>
  <c r="R1300" i="2" l="1"/>
  <c r="V1300" i="2" s="1"/>
  <c r="Y1300" i="2" s="1"/>
  <c r="G1301" i="2" s="1"/>
  <c r="Q1300" i="2"/>
  <c r="U1300" i="2" s="1"/>
  <c r="X1300" i="2" s="1"/>
  <c r="F1301" i="2" s="1"/>
  <c r="P1300" i="2"/>
  <c r="T1300" i="2" s="1"/>
  <c r="W1300" i="2" s="1"/>
  <c r="E1301" i="2" s="1"/>
  <c r="C1301" i="2" l="1"/>
  <c r="H1301" i="2"/>
  <c r="M1301" i="2" s="1"/>
  <c r="B1301" i="2"/>
  <c r="D1301" i="2"/>
  <c r="N1301" i="2" l="1"/>
  <c r="O1301" i="2" s="1"/>
  <c r="R1301" i="2"/>
  <c r="Q1301" i="2"/>
  <c r="L1301" i="2"/>
  <c r="P1301" i="2" s="1"/>
  <c r="K1301" i="2"/>
  <c r="J1301" i="2"/>
  <c r="I1301" i="2"/>
  <c r="S1301" i="2"/>
  <c r="U1301" i="2" l="1"/>
  <c r="T1301" i="2"/>
  <c r="W1301" i="2" s="1"/>
  <c r="E1302" i="2" s="1"/>
  <c r="V1301" i="2"/>
  <c r="X1301" i="2"/>
  <c r="F1302" i="2" s="1"/>
  <c r="Y1301" i="2"/>
  <c r="G1302" i="2" s="1"/>
  <c r="H1302" i="2" l="1"/>
  <c r="N1302" i="2" s="1"/>
  <c r="O1302" i="2" s="1"/>
  <c r="B1302" i="2"/>
  <c r="D1302" i="2"/>
  <c r="C1302" i="2"/>
  <c r="M1302" i="2" l="1"/>
  <c r="R1302" i="2"/>
  <c r="Q1302" i="2"/>
  <c r="K1302" i="2"/>
  <c r="J1302" i="2"/>
  <c r="I1302" i="2"/>
  <c r="S1302" i="2"/>
  <c r="L1302" i="2"/>
  <c r="P1302" i="2" s="1"/>
  <c r="U1302" i="2" l="1"/>
  <c r="T1302" i="2"/>
  <c r="W1302" i="2" s="1"/>
  <c r="E1303" i="2" s="1"/>
  <c r="V1302" i="2"/>
  <c r="Y1302" i="2" s="1"/>
  <c r="G1303" i="2" s="1"/>
  <c r="X1302" i="2"/>
  <c r="F1303" i="2" s="1"/>
  <c r="H1303" i="2" l="1"/>
  <c r="B1303" i="2"/>
  <c r="M1303" i="2"/>
  <c r="C1303" i="2"/>
  <c r="N1303" i="2"/>
  <c r="O1303" i="2" s="1"/>
  <c r="D1303" i="2"/>
  <c r="R1303" i="2" l="1"/>
  <c r="Q1303" i="2"/>
  <c r="K1303" i="2"/>
  <c r="J1303" i="2"/>
  <c r="S1303" i="2"/>
  <c r="I1303" i="2"/>
  <c r="L1303" i="2"/>
  <c r="P1303" i="2" s="1"/>
  <c r="U1303" i="2" l="1"/>
  <c r="T1303" i="2"/>
  <c r="W1303" i="2" s="1"/>
  <c r="E1304" i="2" s="1"/>
  <c r="V1303" i="2"/>
  <c r="Y1303" i="2" s="1"/>
  <c r="G1304" i="2" s="1"/>
  <c r="X1303" i="2"/>
  <c r="F1304" i="2" s="1"/>
  <c r="D1304" i="2" l="1"/>
  <c r="H1304" i="2"/>
  <c r="M1304" i="2" s="1"/>
  <c r="B1304" i="2"/>
  <c r="C1304" i="2"/>
  <c r="K1304" i="2" l="1"/>
  <c r="I1304" i="2"/>
  <c r="J1304" i="2"/>
  <c r="S1304" i="2"/>
  <c r="L1304" i="2"/>
  <c r="N1304" i="2"/>
  <c r="O1304" i="2" s="1"/>
  <c r="R1304" i="2" l="1"/>
  <c r="V1304" i="2" s="1"/>
  <c r="Y1304" i="2" s="1"/>
  <c r="G1305" i="2" s="1"/>
  <c r="Q1304" i="2"/>
  <c r="U1304" i="2" s="1"/>
  <c r="X1304" i="2" s="1"/>
  <c r="F1305" i="2" s="1"/>
  <c r="P1304" i="2"/>
  <c r="T1304" i="2" s="1"/>
  <c r="W1304" i="2" s="1"/>
  <c r="E1305" i="2" s="1"/>
  <c r="C1305" i="2" l="1"/>
  <c r="H1305" i="2"/>
  <c r="L1305" i="2" s="1"/>
  <c r="B1305" i="2"/>
  <c r="D1305" i="2"/>
  <c r="N1305" i="2" l="1"/>
  <c r="O1305" i="2" s="1"/>
  <c r="R1305" i="2"/>
  <c r="P1305" i="2"/>
  <c r="K1305" i="2"/>
  <c r="J1305" i="2"/>
  <c r="I1305" i="2"/>
  <c r="S1305" i="2"/>
  <c r="M1305" i="2"/>
  <c r="Q1305" i="2" s="1"/>
  <c r="U1305" i="2" l="1"/>
  <c r="T1305" i="2"/>
  <c r="V1305" i="2"/>
  <c r="X1305" i="2"/>
  <c r="F1306" i="2" s="1"/>
  <c r="W1305" i="2"/>
  <c r="E1306" i="2" s="1"/>
  <c r="Y1305" i="2"/>
  <c r="G1306" i="2" s="1"/>
  <c r="H1306" i="2" l="1"/>
  <c r="L1306" i="2" s="1"/>
  <c r="B1306" i="2"/>
  <c r="N1306" i="2"/>
  <c r="O1306" i="2" s="1"/>
  <c r="D1306" i="2"/>
  <c r="M1306" i="2"/>
  <c r="C1306" i="2"/>
  <c r="R1306" i="2" l="1"/>
  <c r="Q1306" i="2"/>
  <c r="P1306" i="2"/>
  <c r="K1306" i="2"/>
  <c r="I1306" i="2"/>
  <c r="J1306" i="2"/>
  <c r="S1306" i="2"/>
  <c r="U1306" i="2" l="1"/>
  <c r="X1306" i="2" s="1"/>
  <c r="F1307" i="2" s="1"/>
  <c r="T1306" i="2"/>
  <c r="V1306" i="2"/>
  <c r="Y1306" i="2" s="1"/>
  <c r="G1307" i="2" s="1"/>
  <c r="W1306" i="2"/>
  <c r="E1307" i="2" s="1"/>
  <c r="D1307" i="2" l="1"/>
  <c r="C1307" i="2"/>
  <c r="H1307" i="2"/>
  <c r="N1307" i="2" s="1"/>
  <c r="O1307" i="2" s="1"/>
  <c r="B1307" i="2"/>
  <c r="R1307" i="2" l="1"/>
  <c r="M1307" i="2"/>
  <c r="Q1307" i="2" s="1"/>
  <c r="K1307" i="2"/>
  <c r="J1307" i="2"/>
  <c r="I1307" i="2"/>
  <c r="S1307" i="2"/>
  <c r="L1307" i="2"/>
  <c r="P1307" i="2" s="1"/>
  <c r="U1307" i="2" l="1"/>
  <c r="T1307" i="2"/>
  <c r="V1307" i="2"/>
  <c r="Y1307" i="2"/>
  <c r="G1308" i="2" s="1"/>
  <c r="W1307" i="2"/>
  <c r="E1308" i="2" s="1"/>
  <c r="X1307" i="2"/>
  <c r="F1308" i="2" s="1"/>
  <c r="H1308" i="2" l="1"/>
  <c r="L1308" i="2" s="1"/>
  <c r="B1308" i="2"/>
  <c r="M1308" i="2"/>
  <c r="C1308" i="2"/>
  <c r="N1308" i="2"/>
  <c r="O1308" i="2" s="1"/>
  <c r="D1308" i="2"/>
  <c r="R1308" i="2" l="1"/>
  <c r="Q1308" i="2"/>
  <c r="P1308" i="2"/>
  <c r="I1308" i="2"/>
  <c r="J1308" i="2"/>
  <c r="K1308" i="2"/>
  <c r="S1308" i="2"/>
  <c r="U1308" i="2" l="1"/>
  <c r="T1308" i="2"/>
  <c r="W1308" i="2" s="1"/>
  <c r="E1309" i="2" s="1"/>
  <c r="V1308" i="2"/>
  <c r="Y1308" i="2" s="1"/>
  <c r="G1309" i="2" s="1"/>
  <c r="X1308" i="2"/>
  <c r="F1309" i="2" s="1"/>
  <c r="D1309" i="2" l="1"/>
  <c r="H1309" i="2"/>
  <c r="M1309" i="2" s="1"/>
  <c r="B1309" i="2"/>
  <c r="C1309" i="2"/>
  <c r="I1309" i="2" l="1"/>
  <c r="J1309" i="2"/>
  <c r="K1309" i="2"/>
  <c r="S1309" i="2"/>
  <c r="L1309" i="2"/>
  <c r="N1309" i="2"/>
  <c r="O1309" i="2" s="1"/>
  <c r="R1309" i="2" l="1"/>
  <c r="Q1309" i="2"/>
  <c r="U1309" i="2" s="1"/>
  <c r="X1309" i="2" s="1"/>
  <c r="F1310" i="2" s="1"/>
  <c r="P1309" i="2"/>
  <c r="T1309" i="2"/>
  <c r="W1309" i="2" s="1"/>
  <c r="E1310" i="2" s="1"/>
  <c r="V1309" i="2"/>
  <c r="Y1309" i="2" s="1"/>
  <c r="G1310" i="2" s="1"/>
  <c r="H1310" i="2" l="1"/>
  <c r="L1310" i="2" s="1"/>
  <c r="B1310" i="2"/>
  <c r="M1310" i="2"/>
  <c r="C1310" i="2"/>
  <c r="N1310" i="2"/>
  <c r="O1310" i="2" s="1"/>
  <c r="D1310" i="2"/>
  <c r="R1310" i="2" l="1"/>
  <c r="Q1310" i="2"/>
  <c r="P1310" i="2"/>
  <c r="I1310" i="2"/>
  <c r="K1310" i="2"/>
  <c r="J1310" i="2"/>
  <c r="S1310" i="2"/>
  <c r="T1310" i="2" l="1"/>
  <c r="W1310" i="2" s="1"/>
  <c r="E1311" i="2" s="1"/>
  <c r="V1310" i="2"/>
  <c r="Y1310" i="2" s="1"/>
  <c r="G1311" i="2" s="1"/>
  <c r="U1310" i="2"/>
  <c r="X1310" i="2" s="1"/>
  <c r="F1311" i="2" s="1"/>
  <c r="D1311" i="2" l="1"/>
  <c r="C1311" i="2"/>
  <c r="H1311" i="2"/>
  <c r="N1311" i="2" s="1"/>
  <c r="O1311" i="2" s="1"/>
  <c r="B1311" i="2"/>
  <c r="L1311" i="2" l="1"/>
  <c r="R1311" i="2"/>
  <c r="P1311" i="2"/>
  <c r="M1311" i="2"/>
  <c r="Q1311" i="2" s="1"/>
  <c r="K1311" i="2"/>
  <c r="J1311" i="2"/>
  <c r="S1311" i="2"/>
  <c r="I1311" i="2"/>
  <c r="V1311" i="2" l="1"/>
  <c r="U1311" i="2"/>
  <c r="X1311" i="2" s="1"/>
  <c r="F1312" i="2" s="1"/>
  <c r="T1311" i="2"/>
  <c r="W1311" i="2" s="1"/>
  <c r="E1312" i="2" s="1"/>
  <c r="Y1311" i="2"/>
  <c r="G1312" i="2" s="1"/>
  <c r="H1312" i="2" l="1"/>
  <c r="B1312" i="2"/>
  <c r="M1312" i="2"/>
  <c r="C1312" i="2"/>
  <c r="N1312" i="2"/>
  <c r="O1312" i="2" s="1"/>
  <c r="D1312" i="2"/>
  <c r="K1312" i="2" l="1"/>
  <c r="J1312" i="2"/>
  <c r="I1312" i="2"/>
  <c r="S1312" i="2"/>
  <c r="Q1312" i="2"/>
  <c r="R1312" i="2"/>
  <c r="L1312" i="2"/>
  <c r="P1312" i="2" s="1"/>
  <c r="U1312" i="2" l="1"/>
  <c r="V1312" i="2"/>
  <c r="T1312" i="2"/>
  <c r="X1312" i="2"/>
  <c r="F1313" i="2" s="1"/>
  <c r="W1312" i="2"/>
  <c r="E1313" i="2" s="1"/>
  <c r="Y1312" i="2"/>
  <c r="G1313" i="2" s="1"/>
  <c r="H1313" i="2" l="1"/>
  <c r="L1313" i="2" s="1"/>
  <c r="B1313" i="2"/>
  <c r="N1313" i="2"/>
  <c r="O1313" i="2" s="1"/>
  <c r="D1313" i="2"/>
  <c r="M1313" i="2"/>
  <c r="C1313" i="2"/>
  <c r="P1313" i="2" l="1"/>
  <c r="R1313" i="2"/>
  <c r="Q1313" i="2"/>
  <c r="J1313" i="2"/>
  <c r="I1313" i="2"/>
  <c r="S1313" i="2"/>
  <c r="K1313" i="2"/>
  <c r="U1313" i="2" l="1"/>
  <c r="X1313" i="2" s="1"/>
  <c r="F1314" i="2" s="1"/>
  <c r="V1313" i="2"/>
  <c r="Y1313" i="2" s="1"/>
  <c r="G1314" i="2" s="1"/>
  <c r="T1313" i="2"/>
  <c r="W1313" i="2" s="1"/>
  <c r="E1314" i="2" s="1"/>
  <c r="D1314" i="2" l="1"/>
  <c r="C1314" i="2"/>
  <c r="H1314" i="2"/>
  <c r="N1314" i="2" s="1"/>
  <c r="O1314" i="2" s="1"/>
  <c r="B1314" i="2"/>
  <c r="R1314" i="2" l="1"/>
  <c r="L1314" i="2"/>
  <c r="P1314" i="2" s="1"/>
  <c r="M1314" i="2"/>
  <c r="Q1314" i="2" s="1"/>
  <c r="K1314" i="2"/>
  <c r="J1314" i="2"/>
  <c r="I1314" i="2"/>
  <c r="S1314" i="2"/>
  <c r="V1314" i="2" l="1"/>
  <c r="U1314" i="2"/>
  <c r="X1314" i="2" s="1"/>
  <c r="F1315" i="2" s="1"/>
  <c r="T1314" i="2"/>
  <c r="W1314" i="2" s="1"/>
  <c r="E1315" i="2" s="1"/>
  <c r="Y1314" i="2"/>
  <c r="G1315" i="2" s="1"/>
  <c r="H1315" i="2" l="1"/>
  <c r="L1315" i="2" s="1"/>
  <c r="B1315" i="2"/>
  <c r="M1315" i="2"/>
  <c r="C1315" i="2"/>
  <c r="N1315" i="2"/>
  <c r="O1315" i="2" s="1"/>
  <c r="D1315" i="2"/>
  <c r="R1315" i="2" l="1"/>
  <c r="Q1315" i="2"/>
  <c r="P1315" i="2"/>
  <c r="K1315" i="2"/>
  <c r="S1315" i="2"/>
  <c r="J1315" i="2"/>
  <c r="I1315" i="2"/>
  <c r="V1315" i="2" l="1"/>
  <c r="U1315" i="2"/>
  <c r="X1315" i="2" s="1"/>
  <c r="F1316" i="2" s="1"/>
  <c r="T1315" i="2"/>
  <c r="W1315" i="2" s="1"/>
  <c r="E1316" i="2" s="1"/>
  <c r="Y1315" i="2"/>
  <c r="G1316" i="2" s="1"/>
  <c r="H1316" i="2" l="1"/>
  <c r="L1316" i="2" s="1"/>
  <c r="B1316" i="2"/>
  <c r="M1316" i="2"/>
  <c r="C1316" i="2"/>
  <c r="N1316" i="2"/>
  <c r="O1316" i="2" s="1"/>
  <c r="D1316" i="2"/>
  <c r="R1316" i="2" l="1"/>
  <c r="Q1316" i="2"/>
  <c r="P1316" i="2"/>
  <c r="J1316" i="2"/>
  <c r="I1316" i="2"/>
  <c r="K1316" i="2"/>
  <c r="S1316" i="2"/>
  <c r="V1316" i="2" l="1"/>
  <c r="U1316" i="2"/>
  <c r="T1316" i="2"/>
  <c r="W1316" i="2"/>
  <c r="E1317" i="2" s="1"/>
  <c r="Y1316" i="2"/>
  <c r="G1317" i="2" s="1"/>
  <c r="X1316" i="2"/>
  <c r="F1317" i="2" s="1"/>
  <c r="D1317" i="2" l="1"/>
  <c r="C1317" i="2"/>
  <c r="H1317" i="2"/>
  <c r="B1317" i="2"/>
  <c r="J1317" i="2" l="1"/>
  <c r="I1317" i="2"/>
  <c r="K1317" i="2"/>
  <c r="S1317" i="2"/>
  <c r="M1317" i="2"/>
  <c r="N1317" i="2"/>
  <c r="O1317" i="2" s="1"/>
  <c r="L1317" i="2"/>
  <c r="R1317" i="2" l="1"/>
  <c r="P1317" i="2"/>
  <c r="Q1317" i="2"/>
  <c r="V1317" i="2"/>
  <c r="U1317" i="2"/>
  <c r="X1317" i="2" s="1"/>
  <c r="F1318" i="2" s="1"/>
  <c r="T1317" i="2"/>
  <c r="W1317" i="2" s="1"/>
  <c r="E1318" i="2" s="1"/>
  <c r="Y1317" i="2"/>
  <c r="G1318" i="2" s="1"/>
  <c r="H1318" i="2" l="1"/>
  <c r="L1318" i="2"/>
  <c r="B1318" i="2"/>
  <c r="N1318" i="2"/>
  <c r="O1318" i="2" s="1"/>
  <c r="D1318" i="2"/>
  <c r="M1318" i="2"/>
  <c r="C1318" i="2"/>
  <c r="R1318" i="2" l="1"/>
  <c r="P1318" i="2"/>
  <c r="Q1318" i="2"/>
  <c r="J1318" i="2"/>
  <c r="I1318" i="2"/>
  <c r="S1318" i="2"/>
  <c r="K1318" i="2"/>
  <c r="V1318" i="2" l="1"/>
  <c r="U1318" i="2"/>
  <c r="X1318" i="2" s="1"/>
  <c r="F1319" i="2" s="1"/>
  <c r="T1318" i="2"/>
  <c r="Y1318" i="2"/>
  <c r="G1319" i="2" s="1"/>
  <c r="W1318" i="2"/>
  <c r="E1319" i="2" s="1"/>
  <c r="C1319" i="2" l="1"/>
  <c r="D1319" i="2"/>
  <c r="H1319" i="2"/>
  <c r="M1319" i="2" s="1"/>
  <c r="B1319" i="2"/>
  <c r="L1319" i="2" l="1"/>
  <c r="N1319" i="2"/>
  <c r="O1319" i="2" s="1"/>
  <c r="J1319" i="2"/>
  <c r="I1319" i="2"/>
  <c r="K1319" i="2"/>
  <c r="S1319" i="2"/>
  <c r="R1319" i="2" l="1"/>
  <c r="V1319" i="2" s="1"/>
  <c r="Y1319" i="2" s="1"/>
  <c r="G1320" i="2" s="1"/>
  <c r="P1319" i="2"/>
  <c r="T1319" i="2" s="1"/>
  <c r="W1319" i="2" s="1"/>
  <c r="E1320" i="2" s="1"/>
  <c r="Q1319" i="2"/>
  <c r="U1319" i="2" s="1"/>
  <c r="X1319" i="2" s="1"/>
  <c r="F1320" i="2" s="1"/>
  <c r="H1320" i="2" l="1"/>
  <c r="L1320" i="2" s="1"/>
  <c r="B1320" i="2"/>
  <c r="M1320" i="2"/>
  <c r="C1320" i="2"/>
  <c r="N1320" i="2"/>
  <c r="O1320" i="2" s="1"/>
  <c r="D1320" i="2"/>
  <c r="R1320" i="2" l="1"/>
  <c r="P1320" i="2"/>
  <c r="Q1320" i="2"/>
  <c r="J1320" i="2"/>
  <c r="I1320" i="2"/>
  <c r="K1320" i="2"/>
  <c r="S1320" i="2"/>
  <c r="V1320" i="2" l="1"/>
  <c r="Y1320" i="2" s="1"/>
  <c r="G1321" i="2" s="1"/>
  <c r="U1320" i="2"/>
  <c r="X1320" i="2" s="1"/>
  <c r="F1321" i="2" s="1"/>
  <c r="T1320" i="2"/>
  <c r="W1320" i="2" s="1"/>
  <c r="E1321" i="2" s="1"/>
  <c r="C1321" i="2" l="1"/>
  <c r="D1321" i="2"/>
  <c r="H1321" i="2"/>
  <c r="M1321" i="2" s="1"/>
  <c r="B1321" i="2"/>
  <c r="L1321" i="2" l="1"/>
  <c r="N1321" i="2"/>
  <c r="O1321" i="2" s="1"/>
  <c r="J1321" i="2"/>
  <c r="I1321" i="2"/>
  <c r="K1321" i="2"/>
  <c r="S1321" i="2"/>
  <c r="R1321" i="2" l="1"/>
  <c r="V1321" i="2" s="1"/>
  <c r="Y1321" i="2" s="1"/>
  <c r="G1322" i="2" s="1"/>
  <c r="P1321" i="2"/>
  <c r="T1321" i="2" s="1"/>
  <c r="W1321" i="2" s="1"/>
  <c r="E1322" i="2" s="1"/>
  <c r="Q1321" i="2"/>
  <c r="U1321" i="2" s="1"/>
  <c r="X1321" i="2" s="1"/>
  <c r="F1322" i="2" s="1"/>
  <c r="H1322" i="2" l="1"/>
  <c r="L1322" i="2"/>
  <c r="B1322" i="2"/>
  <c r="M1322" i="2"/>
  <c r="C1322" i="2"/>
  <c r="N1322" i="2"/>
  <c r="O1322" i="2" s="1"/>
  <c r="D1322" i="2"/>
  <c r="R1322" i="2" l="1"/>
  <c r="P1322" i="2"/>
  <c r="Q1322" i="2"/>
  <c r="J1322" i="2"/>
  <c r="I1322" i="2"/>
  <c r="K1322" i="2"/>
  <c r="S1322" i="2"/>
  <c r="V1322" i="2" l="1"/>
  <c r="Y1322" i="2" s="1"/>
  <c r="G1323" i="2" s="1"/>
  <c r="U1322" i="2"/>
  <c r="T1322" i="2"/>
  <c r="W1322" i="2" s="1"/>
  <c r="E1323" i="2" s="1"/>
  <c r="X1322" i="2"/>
  <c r="F1323" i="2" s="1"/>
  <c r="H1323" i="2" l="1"/>
  <c r="L1323" i="2"/>
  <c r="B1323" i="2"/>
  <c r="N1323" i="2"/>
  <c r="O1323" i="2" s="1"/>
  <c r="D1323" i="2"/>
  <c r="M1323" i="2"/>
  <c r="C1323" i="2"/>
  <c r="R1323" i="2" l="1"/>
  <c r="P1323" i="2"/>
  <c r="Q1323" i="2"/>
  <c r="J1323" i="2"/>
  <c r="I1323" i="2"/>
  <c r="K1323" i="2"/>
  <c r="S1323" i="2"/>
  <c r="V1323" i="2" l="1"/>
  <c r="U1323" i="2"/>
  <c r="T1323" i="2"/>
  <c r="Y1323" i="2"/>
  <c r="G1324" i="2" s="1"/>
  <c r="W1323" i="2"/>
  <c r="E1324" i="2" s="1"/>
  <c r="X1323" i="2"/>
  <c r="F1324" i="2" s="1"/>
  <c r="H1324" i="2" l="1"/>
  <c r="L1324" i="2"/>
  <c r="B1324" i="2"/>
  <c r="M1324" i="2"/>
  <c r="C1324" i="2"/>
  <c r="N1324" i="2"/>
  <c r="O1324" i="2" s="1"/>
  <c r="D1324" i="2"/>
  <c r="R1324" i="2" l="1"/>
  <c r="P1324" i="2"/>
  <c r="Q1324" i="2"/>
  <c r="K1324" i="2"/>
  <c r="J1324" i="2"/>
  <c r="I1324" i="2"/>
  <c r="S1324" i="2"/>
  <c r="V1324" i="2" l="1"/>
  <c r="Y1324" i="2" s="1"/>
  <c r="G1325" i="2" s="1"/>
  <c r="U1324" i="2"/>
  <c r="T1324" i="2"/>
  <c r="W1324" i="2" s="1"/>
  <c r="E1325" i="2" s="1"/>
  <c r="X1324" i="2"/>
  <c r="F1325" i="2" s="1"/>
  <c r="H1325" i="2" l="1"/>
  <c r="L1325" i="2"/>
  <c r="B1325" i="2"/>
  <c r="N1325" i="2"/>
  <c r="O1325" i="2" s="1"/>
  <c r="D1325" i="2"/>
  <c r="M1325" i="2"/>
  <c r="C1325" i="2"/>
  <c r="R1325" i="2" l="1"/>
  <c r="P1325" i="2"/>
  <c r="Q1325" i="2"/>
  <c r="K1325" i="2"/>
  <c r="J1325" i="2"/>
  <c r="I1325" i="2"/>
  <c r="S1325" i="2"/>
  <c r="V1325" i="2" l="1"/>
  <c r="U1325" i="2"/>
  <c r="X1325" i="2" s="1"/>
  <c r="F1326" i="2" s="1"/>
  <c r="T1325" i="2"/>
  <c r="W1325" i="2" s="1"/>
  <c r="E1326" i="2" s="1"/>
  <c r="Y1325" i="2"/>
  <c r="G1326" i="2" s="1"/>
  <c r="C1326" i="2" l="1"/>
  <c r="D1326" i="2"/>
  <c r="H1326" i="2"/>
  <c r="L1326" i="2" s="1"/>
  <c r="B1326" i="2"/>
  <c r="K1326" i="2" l="1"/>
  <c r="J1326" i="2"/>
  <c r="I1326" i="2"/>
  <c r="S1326" i="2"/>
  <c r="N1326" i="2"/>
  <c r="O1326" i="2" s="1"/>
  <c r="M1326" i="2"/>
  <c r="R1326" i="2" l="1"/>
  <c r="P1326" i="2"/>
  <c r="Q1326" i="2"/>
  <c r="U1326" i="2" s="1"/>
  <c r="X1326" i="2" s="1"/>
  <c r="F1327" i="2" s="1"/>
  <c r="V1326" i="2"/>
  <c r="T1326" i="2"/>
  <c r="W1326" i="2" s="1"/>
  <c r="E1327" i="2" s="1"/>
  <c r="Y1326" i="2"/>
  <c r="G1327" i="2" s="1"/>
  <c r="D1327" i="2" l="1"/>
  <c r="C1327" i="2"/>
  <c r="H1327" i="2"/>
  <c r="N1327" i="2" s="1"/>
  <c r="O1327" i="2" s="1"/>
  <c r="B1327" i="2"/>
  <c r="R1327" i="2" l="1"/>
  <c r="L1327" i="2"/>
  <c r="P1327" i="2" s="1"/>
  <c r="M1327" i="2"/>
  <c r="Q1327" i="2" s="1"/>
  <c r="K1327" i="2"/>
  <c r="S1327" i="2"/>
  <c r="J1327" i="2"/>
  <c r="I1327" i="2"/>
  <c r="V1327" i="2" l="1"/>
  <c r="U1327" i="2"/>
  <c r="T1327" i="2"/>
  <c r="W1327" i="2"/>
  <c r="E1328" i="2" s="1"/>
  <c r="X1327" i="2"/>
  <c r="F1328" i="2" s="1"/>
  <c r="Y1327" i="2"/>
  <c r="G1328" i="2" s="1"/>
  <c r="D1328" i="2" l="1"/>
  <c r="C1328" i="2"/>
  <c r="H1328" i="2"/>
  <c r="N1328" i="2" s="1"/>
  <c r="O1328" i="2" s="1"/>
  <c r="B1328" i="2"/>
  <c r="R1328" i="2" l="1"/>
  <c r="L1328" i="2"/>
  <c r="P1328" i="2" s="1"/>
  <c r="M1328" i="2"/>
  <c r="Q1328" i="2" s="1"/>
  <c r="J1328" i="2"/>
  <c r="I1328" i="2"/>
  <c r="K1328" i="2"/>
  <c r="S1328" i="2"/>
  <c r="V1328" i="2" l="1"/>
  <c r="U1328" i="2"/>
  <c r="T1328" i="2"/>
  <c r="W1328" i="2" s="1"/>
  <c r="E1329" i="2" s="1"/>
  <c r="Y1328" i="2"/>
  <c r="G1329" i="2" s="1"/>
  <c r="X1328" i="2"/>
  <c r="F1329" i="2" s="1"/>
  <c r="H1329" i="2" l="1"/>
  <c r="L1329" i="2"/>
  <c r="B1329" i="2"/>
  <c r="M1329" i="2"/>
  <c r="C1329" i="2"/>
  <c r="N1329" i="2"/>
  <c r="O1329" i="2" s="1"/>
  <c r="D1329" i="2"/>
  <c r="R1329" i="2" l="1"/>
  <c r="P1329" i="2"/>
  <c r="Q1329" i="2"/>
  <c r="J1329" i="2"/>
  <c r="I1329" i="2"/>
  <c r="K1329" i="2"/>
  <c r="S1329" i="2"/>
  <c r="V1329" i="2" l="1"/>
  <c r="Y1329" i="2" s="1"/>
  <c r="G1330" i="2" s="1"/>
  <c r="U1329" i="2"/>
  <c r="T1329" i="2"/>
  <c r="W1329" i="2" s="1"/>
  <c r="E1330" i="2" s="1"/>
  <c r="X1329" i="2"/>
  <c r="F1330" i="2" s="1"/>
  <c r="D1330" i="2" l="1"/>
  <c r="C1330" i="2"/>
  <c r="H1330" i="2"/>
  <c r="M1330" i="2" s="1"/>
  <c r="B1330" i="2"/>
  <c r="L1330" i="2" l="1"/>
  <c r="J1330" i="2"/>
  <c r="I1330" i="2"/>
  <c r="K1330" i="2"/>
  <c r="S1330" i="2"/>
  <c r="N1330" i="2"/>
  <c r="O1330" i="2" s="1"/>
  <c r="R1330" i="2" l="1"/>
  <c r="P1330" i="2"/>
  <c r="Q1330" i="2"/>
  <c r="U1330" i="2" s="1"/>
  <c r="X1330" i="2" s="1"/>
  <c r="F1331" i="2" s="1"/>
  <c r="V1330" i="2"/>
  <c r="T1330" i="2"/>
  <c r="W1330" i="2" s="1"/>
  <c r="E1331" i="2" s="1"/>
  <c r="Y1330" i="2"/>
  <c r="G1331" i="2" s="1"/>
  <c r="H1331" i="2" l="1"/>
  <c r="L1331" i="2" s="1"/>
  <c r="B1331" i="2"/>
  <c r="N1331" i="2"/>
  <c r="O1331" i="2" s="1"/>
  <c r="D1331" i="2"/>
  <c r="M1331" i="2"/>
  <c r="C1331" i="2"/>
  <c r="R1331" i="2" l="1"/>
  <c r="P1331" i="2"/>
  <c r="Q1331" i="2"/>
  <c r="J1331" i="2"/>
  <c r="I1331" i="2"/>
  <c r="K1331" i="2"/>
  <c r="S1331" i="2"/>
  <c r="V1331" i="2" l="1"/>
  <c r="U1331" i="2"/>
  <c r="T1331" i="2"/>
  <c r="W1331" i="2"/>
  <c r="E1332" i="2" s="1"/>
  <c r="Y1331" i="2"/>
  <c r="G1332" i="2" s="1"/>
  <c r="X1331" i="2"/>
  <c r="F1332" i="2" s="1"/>
  <c r="D1332" i="2" l="1"/>
  <c r="C1332" i="2"/>
  <c r="H1332" i="2"/>
  <c r="N1332" i="2" s="1"/>
  <c r="O1332" i="2" s="1"/>
  <c r="B1332" i="2"/>
  <c r="L1332" i="2" l="1"/>
  <c r="R1332" i="2"/>
  <c r="P1332" i="2"/>
  <c r="M1332" i="2"/>
  <c r="Q1332" i="2" s="1"/>
  <c r="J1332" i="2"/>
  <c r="I1332" i="2"/>
  <c r="K1332" i="2"/>
  <c r="S1332" i="2"/>
  <c r="V1332" i="2" l="1"/>
  <c r="Y1332" i="2" s="1"/>
  <c r="G1333" i="2" s="1"/>
  <c r="U1332" i="2"/>
  <c r="X1332" i="2" s="1"/>
  <c r="F1333" i="2" s="1"/>
  <c r="T1332" i="2"/>
  <c r="W1332" i="2" s="1"/>
  <c r="E1333" i="2" s="1"/>
  <c r="D1333" i="2" l="1"/>
  <c r="C1333" i="2"/>
  <c r="H1333" i="2"/>
  <c r="N1333" i="2" s="1"/>
  <c r="O1333" i="2" s="1"/>
  <c r="B1333" i="2"/>
  <c r="R1333" i="2" l="1"/>
  <c r="L1333" i="2"/>
  <c r="P1333" i="2" s="1"/>
  <c r="M1333" i="2"/>
  <c r="Q1333" i="2" s="1"/>
  <c r="J1333" i="2"/>
  <c r="I1333" i="2"/>
  <c r="K1333" i="2"/>
  <c r="S1333" i="2"/>
  <c r="V1333" i="2" l="1"/>
  <c r="U1333" i="2"/>
  <c r="X1333" i="2" s="1"/>
  <c r="F1334" i="2" s="1"/>
  <c r="T1333" i="2"/>
  <c r="Y1333" i="2"/>
  <c r="G1334" i="2" s="1"/>
  <c r="W1333" i="2"/>
  <c r="E1334" i="2" s="1"/>
  <c r="C1334" i="2" l="1"/>
  <c r="H1334" i="2"/>
  <c r="N1334" i="2" s="1"/>
  <c r="O1334" i="2" s="1"/>
  <c r="B1334" i="2"/>
  <c r="D1334" i="2"/>
  <c r="R1334" i="2" l="1"/>
  <c r="J1334" i="2"/>
  <c r="I1334" i="2"/>
  <c r="K1334" i="2"/>
  <c r="S1334" i="2"/>
  <c r="M1334" i="2"/>
  <c r="Q1334" i="2" s="1"/>
  <c r="L1334" i="2"/>
  <c r="P1334" i="2" s="1"/>
  <c r="V1334" i="2" l="1"/>
  <c r="U1334" i="2"/>
  <c r="T1334" i="2"/>
  <c r="W1334" i="2"/>
  <c r="E1335" i="2" s="1"/>
  <c r="Y1334" i="2"/>
  <c r="G1335" i="2" s="1"/>
  <c r="X1334" i="2"/>
  <c r="F1335" i="2" s="1"/>
  <c r="D1335" i="2" l="1"/>
  <c r="C1335" i="2"/>
  <c r="H1335" i="2"/>
  <c r="N1335" i="2" s="1"/>
  <c r="O1335" i="2" s="1"/>
  <c r="B1335" i="2"/>
  <c r="L1335" i="2" l="1"/>
  <c r="R1335" i="2"/>
  <c r="P1335" i="2"/>
  <c r="M1335" i="2"/>
  <c r="Q1335" i="2" s="1"/>
  <c r="J1335" i="2"/>
  <c r="I1335" i="2"/>
  <c r="K1335" i="2"/>
  <c r="S1335" i="2"/>
  <c r="V1335" i="2" l="1"/>
  <c r="U1335" i="2"/>
  <c r="T1335" i="2"/>
  <c r="X1335" i="2"/>
  <c r="F1336" i="2" s="1"/>
  <c r="Y1335" i="2"/>
  <c r="G1336" i="2" s="1"/>
  <c r="W1335" i="2"/>
  <c r="E1336" i="2" s="1"/>
  <c r="D1336" i="2" l="1"/>
  <c r="H1336" i="2"/>
  <c r="M1336" i="2" s="1"/>
  <c r="B1336" i="2"/>
  <c r="C1336" i="2"/>
  <c r="K1336" i="2" l="1"/>
  <c r="J1336" i="2"/>
  <c r="I1336" i="2"/>
  <c r="S1336" i="2"/>
  <c r="N1336" i="2"/>
  <c r="O1336" i="2" s="1"/>
  <c r="L1336" i="2"/>
  <c r="R1336" i="2" l="1"/>
  <c r="V1336" i="2" s="1"/>
  <c r="Y1336" i="2" s="1"/>
  <c r="G1337" i="2" s="1"/>
  <c r="P1336" i="2"/>
  <c r="T1336" i="2" s="1"/>
  <c r="W1336" i="2" s="1"/>
  <c r="E1337" i="2" s="1"/>
  <c r="Q1336" i="2"/>
  <c r="U1336" i="2" s="1"/>
  <c r="X1336" i="2" s="1"/>
  <c r="F1337" i="2" s="1"/>
  <c r="C1337" i="2" l="1"/>
  <c r="H1337" i="2"/>
  <c r="B1337" i="2"/>
  <c r="D1337" i="2"/>
  <c r="K1337" i="2" l="1"/>
  <c r="J1337" i="2"/>
  <c r="I1337" i="2"/>
  <c r="S1337" i="2"/>
  <c r="N1337" i="2"/>
  <c r="O1337" i="2" s="1"/>
  <c r="L1337" i="2"/>
  <c r="M1337" i="2"/>
  <c r="R1337" i="2" l="1"/>
  <c r="P1337" i="2"/>
  <c r="Q1337" i="2"/>
  <c r="V1337" i="2"/>
  <c r="U1337" i="2"/>
  <c r="X1337" i="2" s="1"/>
  <c r="F1338" i="2" s="1"/>
  <c r="T1337" i="2"/>
  <c r="W1337" i="2"/>
  <c r="E1338" i="2" s="1"/>
  <c r="Y1337" i="2"/>
  <c r="G1338" i="2" s="1"/>
  <c r="C1338" i="2" l="1"/>
  <c r="H1338" i="2"/>
  <c r="N1338" i="2" s="1"/>
  <c r="O1338" i="2" s="1"/>
  <c r="B1338" i="2"/>
  <c r="D1338" i="2"/>
  <c r="R1338" i="2" l="1"/>
  <c r="K1338" i="2"/>
  <c r="J1338" i="2"/>
  <c r="I1338" i="2"/>
  <c r="S1338" i="2"/>
  <c r="L1338" i="2"/>
  <c r="P1338" i="2" s="1"/>
  <c r="M1338" i="2"/>
  <c r="Q1338" i="2" s="1"/>
  <c r="V1338" i="2" l="1"/>
  <c r="U1338" i="2"/>
  <c r="X1338" i="2" s="1"/>
  <c r="F1339" i="2" s="1"/>
  <c r="T1338" i="2"/>
  <c r="W1338" i="2"/>
  <c r="E1339" i="2" s="1"/>
  <c r="Y1338" i="2"/>
  <c r="G1339" i="2" s="1"/>
  <c r="H1339" i="2" l="1"/>
  <c r="L1339" i="2" s="1"/>
  <c r="B1339" i="2"/>
  <c r="N1339" i="2"/>
  <c r="O1339" i="2" s="1"/>
  <c r="D1339" i="2"/>
  <c r="M1339" i="2"/>
  <c r="C1339" i="2"/>
  <c r="R1339" i="2" l="1"/>
  <c r="P1339" i="2"/>
  <c r="Q1339" i="2"/>
  <c r="K1339" i="2"/>
  <c r="S1339" i="2"/>
  <c r="J1339" i="2"/>
  <c r="I1339" i="2"/>
  <c r="V1339" i="2" l="1"/>
  <c r="U1339" i="2"/>
  <c r="T1339" i="2"/>
  <c r="W1339" i="2" s="1"/>
  <c r="E1340" i="2" s="1"/>
  <c r="X1339" i="2"/>
  <c r="F1340" i="2" s="1"/>
  <c r="Y1339" i="2"/>
  <c r="G1340" i="2" s="1"/>
  <c r="H1340" i="2" l="1"/>
  <c r="L1340" i="2"/>
  <c r="B1340" i="2"/>
  <c r="N1340" i="2"/>
  <c r="O1340" i="2" s="1"/>
  <c r="D1340" i="2"/>
  <c r="M1340" i="2"/>
  <c r="C1340" i="2"/>
  <c r="R1340" i="2" l="1"/>
  <c r="P1340" i="2"/>
  <c r="Q1340" i="2"/>
  <c r="J1340" i="2"/>
  <c r="I1340" i="2"/>
  <c r="K1340" i="2"/>
  <c r="S1340" i="2"/>
  <c r="V1340" i="2" l="1"/>
  <c r="Y1340" i="2" s="1"/>
  <c r="G1341" i="2" s="1"/>
  <c r="U1340" i="2"/>
  <c r="T1340" i="2"/>
  <c r="W1340" i="2"/>
  <c r="E1341" i="2" s="1"/>
  <c r="X1340" i="2"/>
  <c r="F1341" i="2" s="1"/>
  <c r="D1341" i="2" l="1"/>
  <c r="C1341" i="2"/>
  <c r="H1341" i="2"/>
  <c r="L1341" i="2" s="1"/>
  <c r="B1341" i="2"/>
  <c r="J1341" i="2" l="1"/>
  <c r="I1341" i="2"/>
  <c r="K1341" i="2"/>
  <c r="S1341" i="2"/>
  <c r="M1341" i="2"/>
  <c r="N1341" i="2"/>
  <c r="O1341" i="2" s="1"/>
  <c r="R1341" i="2" l="1"/>
  <c r="P1341" i="2"/>
  <c r="Q1341" i="2"/>
  <c r="U1341" i="2" s="1"/>
  <c r="X1341" i="2" s="1"/>
  <c r="F1342" i="2" s="1"/>
  <c r="V1341" i="2"/>
  <c r="T1341" i="2"/>
  <c r="W1341" i="2" s="1"/>
  <c r="E1342" i="2" s="1"/>
  <c r="Y1341" i="2"/>
  <c r="G1342" i="2" s="1"/>
  <c r="H1342" i="2" l="1"/>
  <c r="L1342" i="2"/>
  <c r="B1342" i="2"/>
  <c r="N1342" i="2"/>
  <c r="O1342" i="2" s="1"/>
  <c r="D1342" i="2"/>
  <c r="M1342" i="2"/>
  <c r="C1342" i="2"/>
  <c r="R1342" i="2" l="1"/>
  <c r="P1342" i="2"/>
  <c r="Q1342" i="2"/>
  <c r="J1342" i="2"/>
  <c r="I1342" i="2"/>
  <c r="K1342" i="2"/>
  <c r="S1342" i="2"/>
  <c r="V1342" i="2" l="1"/>
  <c r="U1342" i="2"/>
  <c r="X1342" i="2" s="1"/>
  <c r="F1343" i="2" s="1"/>
  <c r="T1342" i="2"/>
  <c r="Y1342" i="2"/>
  <c r="G1343" i="2" s="1"/>
  <c r="W1342" i="2"/>
  <c r="E1343" i="2" s="1"/>
  <c r="C1343" i="2" l="1"/>
  <c r="H1343" i="2"/>
  <c r="N1343" i="2" s="1"/>
  <c r="O1343" i="2" s="1"/>
  <c r="B1343" i="2"/>
  <c r="D1343" i="2"/>
  <c r="J1343" i="2" l="1"/>
  <c r="I1343" i="2"/>
  <c r="K1343" i="2"/>
  <c r="S1343" i="2"/>
  <c r="M1343" i="2"/>
  <c r="R1343" i="2"/>
  <c r="Q1343" i="2"/>
  <c r="L1343" i="2"/>
  <c r="P1343" i="2" s="1"/>
  <c r="V1343" i="2" l="1"/>
  <c r="U1343" i="2"/>
  <c r="T1343" i="2"/>
  <c r="W1343" i="2" s="1"/>
  <c r="E1344" i="2" s="1"/>
  <c r="Y1343" i="2"/>
  <c r="G1344" i="2" s="1"/>
  <c r="X1343" i="2"/>
  <c r="F1344" i="2" s="1"/>
  <c r="H1344" i="2" l="1"/>
  <c r="L1344" i="2" s="1"/>
  <c r="B1344" i="2"/>
  <c r="M1344" i="2"/>
  <c r="C1344" i="2"/>
  <c r="N1344" i="2"/>
  <c r="O1344" i="2" s="1"/>
  <c r="D1344" i="2"/>
  <c r="R1344" i="2" l="1"/>
  <c r="P1344" i="2"/>
  <c r="Q1344" i="2"/>
  <c r="J1344" i="2"/>
  <c r="I1344" i="2"/>
  <c r="K1344" i="2"/>
  <c r="S1344" i="2"/>
  <c r="V1344" i="2" l="1"/>
  <c r="Y1344" i="2" s="1"/>
  <c r="G1345" i="2" s="1"/>
  <c r="U1344" i="2"/>
  <c r="T1344" i="2"/>
  <c r="W1344" i="2" s="1"/>
  <c r="E1345" i="2" s="1"/>
  <c r="X1344" i="2"/>
  <c r="F1345" i="2" s="1"/>
  <c r="H1345" i="2" l="1"/>
  <c r="L1345" i="2"/>
  <c r="B1345" i="2"/>
  <c r="N1345" i="2"/>
  <c r="O1345" i="2" s="1"/>
  <c r="D1345" i="2"/>
  <c r="M1345" i="2"/>
  <c r="C1345" i="2"/>
  <c r="R1345" i="2" l="1"/>
  <c r="P1345" i="2"/>
  <c r="Q1345" i="2"/>
  <c r="J1345" i="2"/>
  <c r="I1345" i="2"/>
  <c r="K1345" i="2"/>
  <c r="S1345" i="2"/>
  <c r="V1345" i="2" l="1"/>
  <c r="U1345" i="2"/>
  <c r="T1345" i="2"/>
  <c r="W1345" i="2"/>
  <c r="E1346" i="2" s="1"/>
  <c r="Y1345" i="2"/>
  <c r="G1346" i="2" s="1"/>
  <c r="X1345" i="2"/>
  <c r="F1346" i="2" s="1"/>
  <c r="H1346" i="2" l="1"/>
  <c r="L1346" i="2" s="1"/>
  <c r="B1346" i="2"/>
  <c r="M1346" i="2"/>
  <c r="C1346" i="2"/>
  <c r="N1346" i="2"/>
  <c r="O1346" i="2" s="1"/>
  <c r="D1346" i="2"/>
  <c r="R1346" i="2" l="1"/>
  <c r="P1346" i="2"/>
  <c r="Q1346" i="2"/>
  <c r="J1346" i="2"/>
  <c r="I1346" i="2"/>
  <c r="K1346" i="2"/>
  <c r="S1346" i="2"/>
  <c r="V1346" i="2" l="1"/>
  <c r="Y1346" i="2" s="1"/>
  <c r="G1347" i="2" s="1"/>
  <c r="U1346" i="2"/>
  <c r="T1346" i="2"/>
  <c r="W1346" i="2" s="1"/>
  <c r="E1347" i="2" s="1"/>
  <c r="X1346" i="2"/>
  <c r="F1347" i="2" s="1"/>
  <c r="H1347" i="2" l="1"/>
  <c r="L1347" i="2" s="1"/>
  <c r="B1347" i="2"/>
  <c r="D1347" i="2"/>
  <c r="C1347" i="2"/>
  <c r="M1347" i="2" l="1"/>
  <c r="N1347" i="2"/>
  <c r="O1347" i="2" s="1"/>
  <c r="R1347" i="2"/>
  <c r="P1347" i="2"/>
  <c r="Q1347" i="2"/>
  <c r="J1347" i="2"/>
  <c r="I1347" i="2"/>
  <c r="K1347" i="2"/>
  <c r="S1347" i="2"/>
  <c r="V1347" i="2" l="1"/>
  <c r="Y1347" i="2" s="1"/>
  <c r="G1348" i="2" s="1"/>
  <c r="U1347" i="2"/>
  <c r="X1347" i="2" s="1"/>
  <c r="F1348" i="2" s="1"/>
  <c r="T1347" i="2"/>
  <c r="W1347" i="2" s="1"/>
  <c r="E1348" i="2" s="1"/>
  <c r="C1348" i="2" l="1"/>
  <c r="H1348" i="2"/>
  <c r="L1348" i="2"/>
  <c r="B1348" i="2"/>
  <c r="N1348" i="2"/>
  <c r="O1348" i="2" s="1"/>
  <c r="D1348" i="2"/>
  <c r="R1348" i="2" l="1"/>
  <c r="P1348" i="2"/>
  <c r="K1348" i="2"/>
  <c r="J1348" i="2"/>
  <c r="I1348" i="2"/>
  <c r="S1348" i="2"/>
  <c r="M1348" i="2"/>
  <c r="Q1348" i="2" s="1"/>
  <c r="V1348" i="2" l="1"/>
  <c r="U1348" i="2"/>
  <c r="X1348" i="2" s="1"/>
  <c r="F1349" i="2" s="1"/>
  <c r="T1348" i="2"/>
  <c r="W1348" i="2" s="1"/>
  <c r="E1349" i="2" s="1"/>
  <c r="Y1348" i="2"/>
  <c r="G1349" i="2" s="1"/>
  <c r="H1349" i="2" l="1"/>
  <c r="L1349" i="2"/>
  <c r="B1349" i="2"/>
  <c r="M1349" i="2"/>
  <c r="C1349" i="2"/>
  <c r="N1349" i="2"/>
  <c r="O1349" i="2" s="1"/>
  <c r="D1349" i="2"/>
  <c r="R1349" i="2" l="1"/>
  <c r="Q1349" i="2"/>
  <c r="P1349" i="2"/>
  <c r="K1349" i="2"/>
  <c r="J1349" i="2"/>
  <c r="I1349" i="2"/>
  <c r="S1349" i="2"/>
  <c r="V1349" i="2" l="1"/>
  <c r="U1349" i="2"/>
  <c r="T1349" i="2"/>
  <c r="W1349" i="2" s="1"/>
  <c r="E1350" i="2" s="1"/>
  <c r="Y1349" i="2"/>
  <c r="G1350" i="2" s="1"/>
  <c r="X1349" i="2"/>
  <c r="F1350" i="2" s="1"/>
  <c r="H1350" i="2" l="1"/>
  <c r="L1350" i="2" s="1"/>
  <c r="B1350" i="2"/>
  <c r="M1350" i="2"/>
  <c r="C1350" i="2"/>
  <c r="N1350" i="2"/>
  <c r="O1350" i="2" s="1"/>
  <c r="D1350" i="2"/>
  <c r="R1350" i="2" l="1"/>
  <c r="Q1350" i="2"/>
  <c r="P1350" i="2"/>
  <c r="K1350" i="2"/>
  <c r="J1350" i="2"/>
  <c r="I1350" i="2"/>
  <c r="S1350" i="2"/>
  <c r="V1350" i="2" l="1"/>
  <c r="Y1350" i="2" s="1"/>
  <c r="G1351" i="2" s="1"/>
  <c r="U1350" i="2"/>
  <c r="T1350" i="2"/>
  <c r="W1350" i="2" s="1"/>
  <c r="E1351" i="2" s="1"/>
  <c r="X1350" i="2"/>
  <c r="F1351" i="2" s="1"/>
  <c r="H1351" i="2" l="1"/>
  <c r="L1351" i="2"/>
  <c r="B1351" i="2"/>
  <c r="N1351" i="2"/>
  <c r="O1351" i="2" s="1"/>
  <c r="D1351" i="2"/>
  <c r="M1351" i="2"/>
  <c r="C1351" i="2"/>
  <c r="R1351" i="2" l="1"/>
  <c r="Q1351" i="2"/>
  <c r="P1351" i="2"/>
  <c r="K1351" i="2"/>
  <c r="S1351" i="2"/>
  <c r="J1351" i="2"/>
  <c r="I1351" i="2"/>
  <c r="V1351" i="2" l="1"/>
  <c r="U1351" i="2"/>
  <c r="T1351" i="2"/>
  <c r="X1351" i="2"/>
  <c r="F1352" i="2" s="1"/>
  <c r="W1351" i="2"/>
  <c r="E1352" i="2" s="1"/>
  <c r="Y1351" i="2"/>
  <c r="G1352" i="2" s="1"/>
  <c r="H1352" i="2" l="1"/>
  <c r="L1352" i="2"/>
  <c r="B1352" i="2"/>
  <c r="N1352" i="2"/>
  <c r="O1352" i="2" s="1"/>
  <c r="D1352" i="2"/>
  <c r="M1352" i="2"/>
  <c r="C1352" i="2"/>
  <c r="R1352" i="2" l="1"/>
  <c r="Q1352" i="2"/>
  <c r="P1352" i="2"/>
  <c r="J1352" i="2"/>
  <c r="I1352" i="2"/>
  <c r="K1352" i="2"/>
  <c r="S1352" i="2"/>
  <c r="V1352" i="2" l="1"/>
  <c r="Y1352" i="2" s="1"/>
  <c r="G1353" i="2" s="1"/>
  <c r="U1352" i="2"/>
  <c r="X1352" i="2" s="1"/>
  <c r="F1353" i="2" s="1"/>
  <c r="T1352" i="2"/>
  <c r="W1352" i="2" s="1"/>
  <c r="E1353" i="2" s="1"/>
  <c r="C1353" i="2" l="1"/>
  <c r="D1353" i="2"/>
  <c r="H1353" i="2"/>
  <c r="B1353" i="2"/>
  <c r="J1353" i="2" l="1"/>
  <c r="I1353" i="2"/>
  <c r="K1353" i="2"/>
  <c r="S1353" i="2"/>
  <c r="L1353" i="2"/>
  <c r="N1353" i="2"/>
  <c r="O1353" i="2" s="1"/>
  <c r="M1353" i="2"/>
  <c r="R1353" i="2" l="1"/>
  <c r="Q1353" i="2"/>
  <c r="U1353" i="2" s="1"/>
  <c r="X1353" i="2" s="1"/>
  <c r="F1354" i="2" s="1"/>
  <c r="P1353" i="2"/>
  <c r="T1353" i="2" s="1"/>
  <c r="W1353" i="2" s="1"/>
  <c r="E1354" i="2" s="1"/>
  <c r="V1353" i="2"/>
  <c r="Y1353" i="2" s="1"/>
  <c r="G1354" i="2" s="1"/>
  <c r="H1354" i="2" l="1"/>
  <c r="L1354" i="2" s="1"/>
  <c r="B1354" i="2"/>
  <c r="C1354" i="2"/>
  <c r="N1354" i="2"/>
  <c r="O1354" i="2" s="1"/>
  <c r="D1354" i="2"/>
  <c r="M1354" i="2" l="1"/>
  <c r="R1354" i="2"/>
  <c r="Q1354" i="2"/>
  <c r="P1354" i="2"/>
  <c r="J1354" i="2"/>
  <c r="I1354" i="2"/>
  <c r="K1354" i="2"/>
  <c r="S1354" i="2"/>
  <c r="V1354" i="2" l="1"/>
  <c r="U1354" i="2"/>
  <c r="X1354" i="2" s="1"/>
  <c r="F1355" i="2" s="1"/>
  <c r="T1354" i="2"/>
  <c r="Y1354" i="2"/>
  <c r="G1355" i="2" s="1"/>
  <c r="W1354" i="2"/>
  <c r="E1355" i="2" s="1"/>
  <c r="C1355" i="2" l="1"/>
  <c r="H1355" i="2"/>
  <c r="B1355" i="2"/>
  <c r="D1355" i="2"/>
  <c r="J1355" i="2" l="1"/>
  <c r="I1355" i="2"/>
  <c r="K1355" i="2"/>
  <c r="S1355" i="2"/>
  <c r="N1355" i="2"/>
  <c r="O1355" i="2" s="1"/>
  <c r="L1355" i="2"/>
  <c r="M1355" i="2"/>
  <c r="R1355" i="2" l="1"/>
  <c r="V1355" i="2" s="1"/>
  <c r="Y1355" i="2" s="1"/>
  <c r="G1356" i="2" s="1"/>
  <c r="Q1355" i="2"/>
  <c r="U1355" i="2" s="1"/>
  <c r="X1355" i="2" s="1"/>
  <c r="F1356" i="2" s="1"/>
  <c r="P1355" i="2"/>
  <c r="T1355" i="2" s="1"/>
  <c r="W1355" i="2" s="1"/>
  <c r="E1356" i="2" s="1"/>
  <c r="C1356" i="2" l="1"/>
  <c r="H1356" i="2"/>
  <c r="B1356" i="2"/>
  <c r="N1356" i="2"/>
  <c r="O1356" i="2" s="1"/>
  <c r="D1356" i="2"/>
  <c r="J1356" i="2" l="1"/>
  <c r="I1356" i="2"/>
  <c r="K1356" i="2"/>
  <c r="S1356" i="2"/>
  <c r="M1356" i="2"/>
  <c r="R1356" i="2"/>
  <c r="Q1356" i="2"/>
  <c r="L1356" i="2"/>
  <c r="P1356" i="2" s="1"/>
  <c r="V1356" i="2" l="1"/>
  <c r="U1356" i="2"/>
  <c r="T1356" i="2"/>
  <c r="W1356" i="2"/>
  <c r="E1357" i="2" s="1"/>
  <c r="Y1356" i="2"/>
  <c r="G1357" i="2" s="1"/>
  <c r="X1356" i="2"/>
  <c r="F1357" i="2" s="1"/>
  <c r="D1357" i="2" l="1"/>
  <c r="C1357" i="2"/>
  <c r="H1357" i="2"/>
  <c r="L1357" i="2"/>
  <c r="B1357" i="2"/>
  <c r="J1357" i="2" l="1"/>
  <c r="I1357" i="2"/>
  <c r="K1357" i="2"/>
  <c r="S1357" i="2"/>
  <c r="M1357" i="2"/>
  <c r="N1357" i="2"/>
  <c r="O1357" i="2" s="1"/>
  <c r="R1357" i="2" l="1"/>
  <c r="Q1357" i="2"/>
  <c r="P1357" i="2"/>
  <c r="V1357" i="2"/>
  <c r="U1357" i="2"/>
  <c r="T1357" i="2"/>
  <c r="W1357" i="2" s="1"/>
  <c r="E1358" i="2" s="1"/>
  <c r="Y1357" i="2"/>
  <c r="G1358" i="2" s="1"/>
  <c r="X1357" i="2"/>
  <c r="F1358" i="2" s="1"/>
  <c r="H1358" i="2" l="1"/>
  <c r="L1358" i="2" s="1"/>
  <c r="B1358" i="2"/>
  <c r="C1358" i="2"/>
  <c r="D1358" i="2"/>
  <c r="N1358" i="2" l="1"/>
  <c r="O1358" i="2" s="1"/>
  <c r="M1358" i="2"/>
  <c r="R1358" i="2"/>
  <c r="Q1358" i="2"/>
  <c r="P1358" i="2"/>
  <c r="J1358" i="2"/>
  <c r="I1358" i="2"/>
  <c r="K1358" i="2"/>
  <c r="S1358" i="2"/>
  <c r="V1358" i="2" l="1"/>
  <c r="Y1358" i="2" s="1"/>
  <c r="G1359" i="2" s="1"/>
  <c r="U1358" i="2"/>
  <c r="T1358" i="2"/>
  <c r="W1358" i="2" s="1"/>
  <c r="E1359" i="2" s="1"/>
  <c r="X1358" i="2"/>
  <c r="F1359" i="2" s="1"/>
  <c r="H1359" i="2" l="1"/>
  <c r="L1359" i="2"/>
  <c r="B1359" i="2"/>
  <c r="M1359" i="2"/>
  <c r="C1359" i="2"/>
  <c r="N1359" i="2"/>
  <c r="O1359" i="2" s="1"/>
  <c r="D1359" i="2"/>
  <c r="R1359" i="2" l="1"/>
  <c r="Q1359" i="2"/>
  <c r="P1359" i="2"/>
  <c r="J1359" i="2"/>
  <c r="I1359" i="2"/>
  <c r="K1359" i="2"/>
  <c r="S1359" i="2"/>
  <c r="V1359" i="2" l="1"/>
  <c r="U1359" i="2"/>
  <c r="T1359" i="2"/>
  <c r="Y1359" i="2"/>
  <c r="G1360" i="2" s="1"/>
  <c r="X1359" i="2"/>
  <c r="F1360" i="2" s="1"/>
  <c r="W1359" i="2"/>
  <c r="E1360" i="2" s="1"/>
  <c r="C1360" i="2" l="1"/>
  <c r="H1360" i="2"/>
  <c r="L1360" i="2"/>
  <c r="B1360" i="2"/>
  <c r="N1360" i="2"/>
  <c r="O1360" i="2" s="1"/>
  <c r="D1360" i="2"/>
  <c r="R1360" i="2" l="1"/>
  <c r="P1360" i="2"/>
  <c r="K1360" i="2"/>
  <c r="J1360" i="2"/>
  <c r="I1360" i="2"/>
  <c r="S1360" i="2"/>
  <c r="M1360" i="2"/>
  <c r="Q1360" i="2" s="1"/>
  <c r="V1360" i="2" l="1"/>
  <c r="U1360" i="2"/>
  <c r="X1360" i="2" s="1"/>
  <c r="F1361" i="2" s="1"/>
  <c r="T1360" i="2"/>
  <c r="W1360" i="2" s="1"/>
  <c r="E1361" i="2" s="1"/>
  <c r="Y1360" i="2"/>
  <c r="G1361" i="2" s="1"/>
  <c r="H1361" i="2" l="1"/>
  <c r="L1361" i="2"/>
  <c r="B1361" i="2"/>
  <c r="M1361" i="2"/>
  <c r="C1361" i="2"/>
  <c r="N1361" i="2"/>
  <c r="O1361" i="2" s="1"/>
  <c r="D1361" i="2"/>
  <c r="R1361" i="2" l="1"/>
  <c r="Q1361" i="2"/>
  <c r="P1361" i="2"/>
  <c r="K1361" i="2"/>
  <c r="J1361" i="2"/>
  <c r="I1361" i="2"/>
  <c r="S1361" i="2"/>
  <c r="V1361" i="2" l="1"/>
  <c r="Y1361" i="2" s="1"/>
  <c r="G1362" i="2" s="1"/>
  <c r="U1361" i="2"/>
  <c r="T1361" i="2"/>
  <c r="W1361" i="2"/>
  <c r="E1362" i="2" s="1"/>
  <c r="X1361" i="2"/>
  <c r="F1362" i="2" s="1"/>
  <c r="C1362" i="2" l="1"/>
  <c r="H1362" i="2"/>
  <c r="L1362" i="2" s="1"/>
  <c r="B1362" i="2"/>
  <c r="D1362" i="2"/>
  <c r="N1362" i="2" l="1"/>
  <c r="O1362" i="2" s="1"/>
  <c r="R1362" i="2"/>
  <c r="P1362" i="2"/>
  <c r="K1362" i="2"/>
  <c r="J1362" i="2"/>
  <c r="I1362" i="2"/>
  <c r="S1362" i="2"/>
  <c r="M1362" i="2"/>
  <c r="Q1362" i="2" s="1"/>
  <c r="V1362" i="2" l="1"/>
  <c r="U1362" i="2"/>
  <c r="T1362" i="2"/>
  <c r="X1362" i="2"/>
  <c r="F1363" i="2" s="1"/>
  <c r="W1362" i="2"/>
  <c r="E1363" i="2" s="1"/>
  <c r="Y1362" i="2"/>
  <c r="G1363" i="2" s="1"/>
  <c r="H1363" i="2" l="1"/>
  <c r="L1363" i="2" s="1"/>
  <c r="B1363" i="2"/>
  <c r="N1363" i="2"/>
  <c r="O1363" i="2" s="1"/>
  <c r="D1363" i="2"/>
  <c r="M1363" i="2"/>
  <c r="C1363" i="2"/>
  <c r="R1363" i="2" l="1"/>
  <c r="Q1363" i="2"/>
  <c r="P1363" i="2"/>
  <c r="K1363" i="2"/>
  <c r="S1363" i="2"/>
  <c r="J1363" i="2"/>
  <c r="I1363" i="2"/>
  <c r="V1363" i="2" l="1"/>
  <c r="U1363" i="2"/>
  <c r="X1363" i="2" s="1"/>
  <c r="F1364" i="2" s="1"/>
  <c r="T1363" i="2"/>
  <c r="W1363" i="2" s="1"/>
  <c r="E1364" i="2" s="1"/>
  <c r="Y1363" i="2"/>
  <c r="G1364" i="2" s="1"/>
  <c r="H1364" i="2" l="1"/>
  <c r="L1364" i="2" s="1"/>
  <c r="B1364" i="2"/>
  <c r="M1364" i="2"/>
  <c r="C1364" i="2"/>
  <c r="N1364" i="2"/>
  <c r="O1364" i="2" s="1"/>
  <c r="D1364" i="2"/>
  <c r="R1364" i="2" l="1"/>
  <c r="Q1364" i="2"/>
  <c r="P1364" i="2"/>
  <c r="J1364" i="2"/>
  <c r="I1364" i="2"/>
  <c r="K1364" i="2"/>
  <c r="S1364" i="2"/>
  <c r="V1364" i="2" l="1"/>
  <c r="U1364" i="2"/>
  <c r="X1364" i="2" s="1"/>
  <c r="F1365" i="2" s="1"/>
  <c r="T1364" i="2"/>
  <c r="W1364" i="2" s="1"/>
  <c r="E1365" i="2" s="1"/>
  <c r="Y1364" i="2"/>
  <c r="G1365" i="2" s="1"/>
  <c r="H1365" i="2" l="1"/>
  <c r="L1365" i="2" s="1"/>
  <c r="B1365" i="2"/>
  <c r="M1365" i="2"/>
  <c r="C1365" i="2"/>
  <c r="N1365" i="2"/>
  <c r="O1365" i="2" s="1"/>
  <c r="D1365" i="2"/>
  <c r="R1365" i="2" l="1"/>
  <c r="Q1365" i="2"/>
  <c r="P1365" i="2"/>
  <c r="J1365" i="2"/>
  <c r="I1365" i="2"/>
  <c r="K1365" i="2"/>
  <c r="S1365" i="2"/>
  <c r="V1365" i="2" l="1"/>
  <c r="Y1365" i="2" s="1"/>
  <c r="G1366" i="2" s="1"/>
  <c r="U1365" i="2"/>
  <c r="T1365" i="2"/>
  <c r="W1365" i="2" s="1"/>
  <c r="E1366" i="2" s="1"/>
  <c r="X1365" i="2"/>
  <c r="F1366" i="2" s="1"/>
  <c r="D1366" i="2" l="1"/>
  <c r="C1366" i="2"/>
  <c r="H1366" i="2"/>
  <c r="N1366" i="2" s="1"/>
  <c r="O1366" i="2" s="1"/>
  <c r="B1366" i="2"/>
  <c r="R1366" i="2" l="1"/>
  <c r="L1366" i="2"/>
  <c r="P1366" i="2" s="1"/>
  <c r="M1366" i="2"/>
  <c r="Q1366" i="2" s="1"/>
  <c r="J1366" i="2"/>
  <c r="I1366" i="2"/>
  <c r="K1366" i="2"/>
  <c r="S1366" i="2"/>
  <c r="V1366" i="2" l="1"/>
  <c r="Y1366" i="2" s="1"/>
  <c r="G1367" i="2" s="1"/>
  <c r="U1366" i="2"/>
  <c r="X1366" i="2" s="1"/>
  <c r="F1367" i="2" s="1"/>
  <c r="T1366" i="2"/>
  <c r="W1366" i="2"/>
  <c r="E1367" i="2" s="1"/>
  <c r="D1367" i="2" l="1"/>
  <c r="C1367" i="2"/>
  <c r="H1367" i="2"/>
  <c r="B1367" i="2"/>
  <c r="J1367" i="2" l="1"/>
  <c r="I1367" i="2"/>
  <c r="K1367" i="2"/>
  <c r="S1367" i="2"/>
  <c r="L1367" i="2"/>
  <c r="M1367" i="2"/>
  <c r="N1367" i="2"/>
  <c r="O1367" i="2" s="1"/>
  <c r="R1367" i="2" l="1"/>
  <c r="V1367" i="2" s="1"/>
  <c r="Y1367" i="2" s="1"/>
  <c r="G1368" i="2" s="1"/>
  <c r="Q1367" i="2"/>
  <c r="U1367" i="2" s="1"/>
  <c r="X1367" i="2" s="1"/>
  <c r="F1368" i="2" s="1"/>
  <c r="P1367" i="2"/>
  <c r="T1367" i="2" s="1"/>
  <c r="W1367" i="2" s="1"/>
  <c r="E1368" i="2" s="1"/>
  <c r="C1368" i="2" l="1"/>
  <c r="H1368" i="2"/>
  <c r="L1368" i="2" s="1"/>
  <c r="B1368" i="2"/>
  <c r="D1368" i="2"/>
  <c r="N1368" i="2" l="1"/>
  <c r="O1368" i="2" s="1"/>
  <c r="R1368" i="2"/>
  <c r="P1368" i="2"/>
  <c r="J1368" i="2"/>
  <c r="I1368" i="2"/>
  <c r="K1368" i="2"/>
  <c r="S1368" i="2"/>
  <c r="M1368" i="2"/>
  <c r="Q1368" i="2" s="1"/>
  <c r="V1368" i="2" l="1"/>
  <c r="Y1368" i="2" s="1"/>
  <c r="G1369" i="2" s="1"/>
  <c r="U1368" i="2"/>
  <c r="X1368" i="2" s="1"/>
  <c r="F1369" i="2" s="1"/>
  <c r="T1368" i="2"/>
  <c r="W1368" i="2" s="1"/>
  <c r="E1369" i="2" s="1"/>
  <c r="C1369" i="2" l="1"/>
  <c r="D1369" i="2"/>
  <c r="H1369" i="2"/>
  <c r="B1369" i="2"/>
  <c r="J1369" i="2" l="1"/>
  <c r="I1369" i="2"/>
  <c r="K1369" i="2"/>
  <c r="S1369" i="2"/>
  <c r="N1369" i="2"/>
  <c r="O1369" i="2" s="1"/>
  <c r="M1369" i="2"/>
  <c r="L1369" i="2"/>
  <c r="R1369" i="2" l="1"/>
  <c r="V1369" i="2" s="1"/>
  <c r="Y1369" i="2" s="1"/>
  <c r="G1370" i="2" s="1"/>
  <c r="Q1369" i="2"/>
  <c r="U1369" i="2" s="1"/>
  <c r="X1369" i="2" s="1"/>
  <c r="F1370" i="2" s="1"/>
  <c r="P1369" i="2"/>
  <c r="T1369" i="2" s="1"/>
  <c r="W1369" i="2" s="1"/>
  <c r="E1370" i="2" s="1"/>
  <c r="C1370" i="2" l="1"/>
  <c r="H1370" i="2"/>
  <c r="N1370" i="2" s="1"/>
  <c r="O1370" i="2" s="1"/>
  <c r="B1370" i="2"/>
  <c r="D1370" i="2"/>
  <c r="J1370" i="2" l="1"/>
  <c r="I1370" i="2"/>
  <c r="K1370" i="2"/>
  <c r="S1370" i="2"/>
  <c r="R1370" i="2"/>
  <c r="L1370" i="2"/>
  <c r="P1370" i="2" s="1"/>
  <c r="M1370" i="2"/>
  <c r="Q1370" i="2" s="1"/>
  <c r="V1370" i="2" l="1"/>
  <c r="U1370" i="2"/>
  <c r="T1370" i="2"/>
  <c r="W1370" i="2"/>
  <c r="E1371" i="2" s="1"/>
  <c r="Y1370" i="2"/>
  <c r="G1371" i="2" s="1"/>
  <c r="X1370" i="2"/>
  <c r="F1371" i="2" s="1"/>
  <c r="D1371" i="2" l="1"/>
  <c r="C1371" i="2"/>
  <c r="H1371" i="2"/>
  <c r="L1371" i="2" s="1"/>
  <c r="B1371" i="2"/>
  <c r="J1371" i="2" l="1"/>
  <c r="I1371" i="2"/>
  <c r="K1371" i="2"/>
  <c r="S1371" i="2"/>
  <c r="M1371" i="2"/>
  <c r="N1371" i="2"/>
  <c r="O1371" i="2" s="1"/>
  <c r="R1371" i="2" l="1"/>
  <c r="V1371" i="2" s="1"/>
  <c r="Y1371" i="2" s="1"/>
  <c r="G1372" i="2" s="1"/>
  <c r="Q1371" i="2"/>
  <c r="U1371" i="2" s="1"/>
  <c r="X1371" i="2" s="1"/>
  <c r="F1372" i="2" s="1"/>
  <c r="P1371" i="2"/>
  <c r="T1371" i="2" s="1"/>
  <c r="W1371" i="2" s="1"/>
  <c r="E1372" i="2" s="1"/>
  <c r="C1372" i="2" l="1"/>
  <c r="H1372" i="2"/>
  <c r="L1372" i="2" s="1"/>
  <c r="B1372" i="2"/>
  <c r="D1372" i="2"/>
  <c r="N1372" i="2" l="1"/>
  <c r="O1372" i="2" s="1"/>
  <c r="R1372" i="2"/>
  <c r="P1372" i="2"/>
  <c r="K1372" i="2"/>
  <c r="J1372" i="2"/>
  <c r="I1372" i="2"/>
  <c r="S1372" i="2"/>
  <c r="M1372" i="2"/>
  <c r="Q1372" i="2" s="1"/>
  <c r="V1372" i="2" l="1"/>
  <c r="U1372" i="2"/>
  <c r="T1372" i="2"/>
  <c r="Y1372" i="2"/>
  <c r="G1373" i="2" s="1"/>
  <c r="W1372" i="2"/>
  <c r="E1373" i="2" s="1"/>
  <c r="X1372" i="2"/>
  <c r="F1373" i="2" s="1"/>
  <c r="C1373" i="2" l="1"/>
  <c r="H1373" i="2"/>
  <c r="N1373" i="2" s="1"/>
  <c r="O1373" i="2" s="1"/>
  <c r="B1373" i="2"/>
  <c r="D1373" i="2"/>
  <c r="K1373" i="2" l="1"/>
  <c r="J1373" i="2"/>
  <c r="I1373" i="2"/>
  <c r="S1373" i="2"/>
  <c r="R1373" i="2"/>
  <c r="L1373" i="2"/>
  <c r="P1373" i="2" s="1"/>
  <c r="M1373" i="2"/>
  <c r="Q1373" i="2" s="1"/>
  <c r="V1373" i="2" l="1"/>
  <c r="U1373" i="2"/>
  <c r="X1373" i="2" s="1"/>
  <c r="F1374" i="2" s="1"/>
  <c r="T1373" i="2"/>
  <c r="W1373" i="2"/>
  <c r="E1374" i="2" s="1"/>
  <c r="Y1373" i="2"/>
  <c r="G1374" i="2" s="1"/>
  <c r="C1374" i="2" l="1"/>
  <c r="D1374" i="2"/>
  <c r="H1374" i="2"/>
  <c r="N1374" i="2" s="1"/>
  <c r="O1374" i="2" s="1"/>
  <c r="B1374" i="2"/>
  <c r="L1374" i="2" l="1"/>
  <c r="R1374" i="2"/>
  <c r="P1374" i="2"/>
  <c r="K1374" i="2"/>
  <c r="J1374" i="2"/>
  <c r="I1374" i="2"/>
  <c r="S1374" i="2"/>
  <c r="M1374" i="2"/>
  <c r="Q1374" i="2" s="1"/>
  <c r="V1374" i="2" l="1"/>
  <c r="U1374" i="2"/>
  <c r="T1374" i="2"/>
  <c r="X1374" i="2"/>
  <c r="F1375" i="2" s="1"/>
  <c r="W1374" i="2"/>
  <c r="E1375" i="2" s="1"/>
  <c r="Y1374" i="2"/>
  <c r="G1375" i="2" s="1"/>
  <c r="D1375" i="2" l="1"/>
  <c r="C1375" i="2"/>
  <c r="H1375" i="2"/>
  <c r="L1375" i="2" s="1"/>
  <c r="B1375" i="2"/>
  <c r="K1375" i="2" l="1"/>
  <c r="J1375" i="2"/>
  <c r="I1375" i="2"/>
  <c r="S1375" i="2"/>
  <c r="M1375" i="2"/>
  <c r="N1375" i="2"/>
  <c r="O1375" i="2" s="1"/>
  <c r="R1375" i="2" l="1"/>
  <c r="Q1375" i="2"/>
  <c r="U1375" i="2" s="1"/>
  <c r="X1375" i="2" s="1"/>
  <c r="F1376" i="2" s="1"/>
  <c r="P1375" i="2"/>
  <c r="V1375" i="2"/>
  <c r="T1375" i="2"/>
  <c r="W1375" i="2" s="1"/>
  <c r="E1376" i="2" s="1"/>
  <c r="Y1375" i="2"/>
  <c r="G1376" i="2" s="1"/>
  <c r="C1376" i="2" l="1"/>
  <c r="D1376" i="2"/>
  <c r="H1376" i="2"/>
  <c r="B1376" i="2"/>
  <c r="J1376" i="2" l="1"/>
  <c r="I1376" i="2"/>
  <c r="K1376" i="2"/>
  <c r="S1376" i="2"/>
  <c r="N1376" i="2"/>
  <c r="O1376" i="2" s="1"/>
  <c r="L1376" i="2"/>
  <c r="M1376" i="2"/>
  <c r="R1376" i="2" l="1"/>
  <c r="V1376" i="2" s="1"/>
  <c r="Y1376" i="2" s="1"/>
  <c r="G1377" i="2" s="1"/>
  <c r="Q1376" i="2"/>
  <c r="U1376" i="2" s="1"/>
  <c r="X1376" i="2" s="1"/>
  <c r="F1377" i="2" s="1"/>
  <c r="P1376" i="2"/>
  <c r="T1376" i="2" s="1"/>
  <c r="W1376" i="2" s="1"/>
  <c r="E1377" i="2" s="1"/>
  <c r="C1377" i="2" l="1"/>
  <c r="H1377" i="2"/>
  <c r="B1377" i="2"/>
  <c r="D1377" i="2"/>
  <c r="J1377" i="2" l="1"/>
  <c r="I1377" i="2"/>
  <c r="K1377" i="2"/>
  <c r="S1377" i="2"/>
  <c r="N1377" i="2"/>
  <c r="O1377" i="2" s="1"/>
  <c r="L1377" i="2"/>
  <c r="M1377" i="2"/>
  <c r="R1377" i="2" l="1"/>
  <c r="Q1377" i="2"/>
  <c r="P1377" i="2"/>
  <c r="T1377" i="2" s="1"/>
  <c r="W1377" i="2" s="1"/>
  <c r="E1378" i="2" s="1"/>
  <c r="V1377" i="2"/>
  <c r="U1377" i="2"/>
  <c r="Y1377" i="2"/>
  <c r="G1378" i="2" s="1"/>
  <c r="X1377" i="2"/>
  <c r="F1378" i="2" s="1"/>
  <c r="H1378" i="2" l="1"/>
  <c r="L1378" i="2" s="1"/>
  <c r="B1378" i="2"/>
  <c r="M1378" i="2"/>
  <c r="C1378" i="2"/>
  <c r="N1378" i="2"/>
  <c r="O1378" i="2" s="1"/>
  <c r="D1378" i="2"/>
  <c r="R1378" i="2" l="1"/>
  <c r="Q1378" i="2"/>
  <c r="P1378" i="2"/>
  <c r="J1378" i="2"/>
  <c r="I1378" i="2"/>
  <c r="K1378" i="2"/>
  <c r="S1378" i="2"/>
  <c r="V1378" i="2" l="1"/>
  <c r="Y1378" i="2" s="1"/>
  <c r="G1379" i="2" s="1"/>
  <c r="U1378" i="2"/>
  <c r="T1378" i="2"/>
  <c r="W1378" i="2" s="1"/>
  <c r="E1379" i="2" s="1"/>
  <c r="X1378" i="2"/>
  <c r="F1379" i="2" s="1"/>
  <c r="H1379" i="2" l="1"/>
  <c r="L1379" i="2"/>
  <c r="B1379" i="2"/>
  <c r="N1379" i="2"/>
  <c r="O1379" i="2" s="1"/>
  <c r="D1379" i="2"/>
  <c r="M1379" i="2"/>
  <c r="C1379" i="2"/>
  <c r="R1379" i="2" l="1"/>
  <c r="Q1379" i="2"/>
  <c r="P1379" i="2"/>
  <c r="J1379" i="2"/>
  <c r="I1379" i="2"/>
  <c r="K1379" i="2"/>
  <c r="S1379" i="2"/>
  <c r="V1379" i="2" l="1"/>
  <c r="Y1379" i="2" s="1"/>
  <c r="G1380" i="2" s="1"/>
  <c r="U1379" i="2"/>
  <c r="T1379" i="2"/>
  <c r="W1379" i="2" s="1"/>
  <c r="E1380" i="2" s="1"/>
  <c r="X1379" i="2"/>
  <c r="F1380" i="2" s="1"/>
  <c r="H1380" i="2" l="1"/>
  <c r="L1380" i="2" s="1"/>
  <c r="B1380" i="2"/>
  <c r="N1380" i="2"/>
  <c r="O1380" i="2" s="1"/>
  <c r="D1380" i="2"/>
  <c r="M1380" i="2"/>
  <c r="C1380" i="2"/>
  <c r="R1380" i="2" l="1"/>
  <c r="Q1380" i="2"/>
  <c r="P1380" i="2"/>
  <c r="J1380" i="2"/>
  <c r="I1380" i="2"/>
  <c r="K1380" i="2"/>
  <c r="S1380" i="2"/>
  <c r="V1380" i="2" l="1"/>
  <c r="U1380" i="2"/>
  <c r="T1380" i="2"/>
  <c r="W1380" i="2" s="1"/>
  <c r="E1381" i="2" s="1"/>
  <c r="Y1380" i="2"/>
  <c r="G1381" i="2" s="1"/>
  <c r="X1380" i="2"/>
  <c r="F1381" i="2" s="1"/>
  <c r="D1381" i="2" l="1"/>
  <c r="C1381" i="2"/>
  <c r="H1381" i="2"/>
  <c r="B1381" i="2"/>
  <c r="J1381" i="2" l="1"/>
  <c r="I1381" i="2"/>
  <c r="K1381" i="2"/>
  <c r="S1381" i="2"/>
  <c r="M1381" i="2"/>
  <c r="N1381" i="2"/>
  <c r="O1381" i="2" s="1"/>
  <c r="L1381" i="2"/>
  <c r="R1381" i="2" l="1"/>
  <c r="Q1381" i="2"/>
  <c r="P1381" i="2"/>
  <c r="V1381" i="2"/>
  <c r="Y1381" i="2" s="1"/>
  <c r="G1382" i="2" s="1"/>
  <c r="U1381" i="2"/>
  <c r="T1381" i="2"/>
  <c r="W1381" i="2" s="1"/>
  <c r="E1382" i="2" s="1"/>
  <c r="X1381" i="2"/>
  <c r="F1382" i="2" s="1"/>
  <c r="C1382" i="2" l="1"/>
  <c r="D1382" i="2"/>
  <c r="H1382" i="2"/>
  <c r="B1382" i="2"/>
  <c r="K1382" i="2" l="1"/>
  <c r="J1382" i="2"/>
  <c r="S1382" i="2"/>
  <c r="I1382" i="2"/>
  <c r="L1382" i="2"/>
  <c r="N1382" i="2"/>
  <c r="O1382" i="2" s="1"/>
  <c r="M1382" i="2"/>
  <c r="P1382" i="2" l="1"/>
  <c r="Q1382" i="2"/>
  <c r="U1382" i="2" s="1"/>
  <c r="X1382" i="2" s="1"/>
  <c r="F1383" i="2" s="1"/>
  <c r="R1382" i="2"/>
  <c r="V1382" i="2" s="1"/>
  <c r="Y1382" i="2" s="1"/>
  <c r="G1383" i="2" s="1"/>
  <c r="T1382" i="2"/>
  <c r="W1382" i="2" s="1"/>
  <c r="E1383" i="2" s="1"/>
  <c r="H1383" i="2" l="1"/>
  <c r="B1383" i="2"/>
  <c r="C1383" i="2"/>
  <c r="N1383" i="2"/>
  <c r="O1383" i="2" s="1"/>
  <c r="D1383" i="2"/>
  <c r="R1383" i="2" l="1"/>
  <c r="J1383" i="2"/>
  <c r="I1383" i="2"/>
  <c r="K1383" i="2"/>
  <c r="S1383" i="2"/>
  <c r="M1383" i="2"/>
  <c r="Q1383" i="2" s="1"/>
  <c r="L1383" i="2"/>
  <c r="P1383" i="2" s="1"/>
  <c r="V1383" i="2" l="1"/>
  <c r="U1383" i="2"/>
  <c r="T1383" i="2"/>
  <c r="W1383" i="2"/>
  <c r="E1384" i="2" s="1"/>
  <c r="Y1383" i="2"/>
  <c r="G1384" i="2" s="1"/>
  <c r="X1383" i="2"/>
  <c r="F1384" i="2" s="1"/>
  <c r="D1384" i="2" l="1"/>
  <c r="C1384" i="2"/>
  <c r="H1384" i="2"/>
  <c r="M1384" i="2" s="1"/>
  <c r="B1384" i="2"/>
  <c r="J1384" i="2" l="1"/>
  <c r="I1384" i="2"/>
  <c r="K1384" i="2"/>
  <c r="S1384" i="2"/>
  <c r="L1384" i="2"/>
  <c r="N1384" i="2"/>
  <c r="O1384" i="2" s="1"/>
  <c r="Q1384" i="2" l="1"/>
  <c r="P1384" i="2"/>
  <c r="T1384" i="2" s="1"/>
  <c r="W1384" i="2" s="1"/>
  <c r="E1385" i="2" s="1"/>
  <c r="R1384" i="2"/>
  <c r="V1384" i="2" s="1"/>
  <c r="Y1384" i="2" s="1"/>
  <c r="G1385" i="2" s="1"/>
  <c r="U1384" i="2"/>
  <c r="X1384" i="2"/>
  <c r="F1385" i="2" s="1"/>
  <c r="H1385" i="2" l="1"/>
  <c r="B1385" i="2"/>
  <c r="M1385" i="2"/>
  <c r="C1385" i="2"/>
  <c r="N1385" i="2"/>
  <c r="O1385" i="2" s="1"/>
  <c r="D1385" i="2"/>
  <c r="Q1385" i="2" l="1"/>
  <c r="R1385" i="2"/>
  <c r="K1385" i="2"/>
  <c r="J1385" i="2"/>
  <c r="I1385" i="2"/>
  <c r="S1385" i="2"/>
  <c r="L1385" i="2"/>
  <c r="P1385" i="2" s="1"/>
  <c r="U1385" i="2" l="1"/>
  <c r="T1385" i="2"/>
  <c r="W1385" i="2" s="1"/>
  <c r="E1386" i="2" s="1"/>
  <c r="V1385" i="2"/>
  <c r="Y1385" i="2" s="1"/>
  <c r="G1386" i="2" s="1"/>
  <c r="X1385" i="2"/>
  <c r="F1386" i="2" s="1"/>
  <c r="D1386" i="2" l="1"/>
  <c r="H1386" i="2"/>
  <c r="M1386" i="2" s="1"/>
  <c r="B1386" i="2"/>
  <c r="C1386" i="2"/>
  <c r="J1386" i="2" l="1"/>
  <c r="I1386" i="2"/>
  <c r="K1386" i="2"/>
  <c r="S1386" i="2"/>
  <c r="L1386" i="2"/>
  <c r="N1386" i="2"/>
  <c r="O1386" i="2" s="1"/>
  <c r="Q1386" i="2" l="1"/>
  <c r="U1386" i="2" s="1"/>
  <c r="X1386" i="2" s="1"/>
  <c r="F1387" i="2" s="1"/>
  <c r="P1386" i="2"/>
  <c r="R1386" i="2"/>
  <c r="V1386" i="2" s="1"/>
  <c r="Y1386" i="2" s="1"/>
  <c r="G1387" i="2" s="1"/>
  <c r="T1386" i="2"/>
  <c r="W1386" i="2" s="1"/>
  <c r="E1387" i="2" s="1"/>
  <c r="H1387" i="2" l="1"/>
  <c r="B1387" i="2"/>
  <c r="N1387" i="2"/>
  <c r="O1387" i="2" s="1"/>
  <c r="D1387" i="2"/>
  <c r="M1387" i="2"/>
  <c r="C1387" i="2"/>
  <c r="Q1387" i="2" l="1"/>
  <c r="R1387" i="2"/>
  <c r="I1387" i="2"/>
  <c r="J1387" i="2"/>
  <c r="S1387" i="2"/>
  <c r="K1387" i="2"/>
  <c r="L1387" i="2"/>
  <c r="P1387" i="2" s="1"/>
  <c r="V1387" i="2" l="1"/>
  <c r="U1387" i="2"/>
  <c r="T1387" i="2"/>
  <c r="Y1387" i="2"/>
  <c r="G1388" i="2" s="1"/>
  <c r="W1387" i="2"/>
  <c r="E1388" i="2" s="1"/>
  <c r="X1387" i="2"/>
  <c r="F1388" i="2" s="1"/>
  <c r="C1388" i="2" l="1"/>
  <c r="H1388" i="2"/>
  <c r="N1388" i="2" s="1"/>
  <c r="O1388" i="2" s="1"/>
  <c r="B1388" i="2"/>
  <c r="D1388" i="2"/>
  <c r="R1388" i="2" l="1"/>
  <c r="K1388" i="2"/>
  <c r="J1388" i="2"/>
  <c r="I1388" i="2"/>
  <c r="S1388" i="2"/>
  <c r="L1388" i="2"/>
  <c r="P1388" i="2" s="1"/>
  <c r="M1388" i="2"/>
  <c r="Q1388" i="2" s="1"/>
  <c r="V1388" i="2" l="1"/>
  <c r="U1388" i="2"/>
  <c r="T1388" i="2"/>
  <c r="W1388" i="2" s="1"/>
  <c r="E1389" i="2" s="1"/>
  <c r="Y1388" i="2"/>
  <c r="G1389" i="2" s="1"/>
  <c r="X1388" i="2"/>
  <c r="F1389" i="2" s="1"/>
  <c r="H1389" i="2" l="1"/>
  <c r="L1389" i="2" s="1"/>
  <c r="B1389" i="2"/>
  <c r="D1389" i="2"/>
  <c r="C1389" i="2"/>
  <c r="M1389" i="2" l="1"/>
  <c r="N1389" i="2"/>
  <c r="O1389" i="2" s="1"/>
  <c r="Q1389" i="2"/>
  <c r="P1389" i="2"/>
  <c r="R1389" i="2"/>
  <c r="J1389" i="2"/>
  <c r="I1389" i="2"/>
  <c r="K1389" i="2"/>
  <c r="S1389" i="2"/>
  <c r="V1389" i="2" l="1"/>
  <c r="U1389" i="2"/>
  <c r="T1389" i="2"/>
  <c r="Y1389" i="2"/>
  <c r="G1390" i="2" s="1"/>
  <c r="W1389" i="2"/>
  <c r="E1390" i="2" s="1"/>
  <c r="X1389" i="2"/>
  <c r="F1390" i="2" s="1"/>
  <c r="H1390" i="2" l="1"/>
  <c r="L1390" i="2" s="1"/>
  <c r="B1390" i="2"/>
  <c r="M1390" i="2"/>
  <c r="C1390" i="2"/>
  <c r="N1390" i="2"/>
  <c r="O1390" i="2" s="1"/>
  <c r="D1390" i="2"/>
  <c r="Q1390" i="2" l="1"/>
  <c r="P1390" i="2"/>
  <c r="R1390" i="2"/>
  <c r="J1390" i="2"/>
  <c r="I1390" i="2"/>
  <c r="K1390" i="2"/>
  <c r="S1390" i="2"/>
  <c r="V1390" i="2" l="1"/>
  <c r="U1390" i="2"/>
  <c r="T1390" i="2"/>
  <c r="W1390" i="2" s="1"/>
  <c r="E1391" i="2" s="1"/>
  <c r="Y1390" i="2"/>
  <c r="G1391" i="2" s="1"/>
  <c r="X1390" i="2"/>
  <c r="F1391" i="2" s="1"/>
  <c r="H1391" i="2" l="1"/>
  <c r="L1391" i="2" s="1"/>
  <c r="B1391" i="2"/>
  <c r="M1391" i="2"/>
  <c r="C1391" i="2"/>
  <c r="N1391" i="2"/>
  <c r="O1391" i="2" s="1"/>
  <c r="D1391" i="2"/>
  <c r="Q1391" i="2" l="1"/>
  <c r="P1391" i="2"/>
  <c r="R1391" i="2"/>
  <c r="I1391" i="2"/>
  <c r="K1391" i="2"/>
  <c r="J1391" i="2"/>
  <c r="S1391" i="2"/>
  <c r="V1391" i="2" l="1"/>
  <c r="Y1391" i="2" s="1"/>
  <c r="G1392" i="2" s="1"/>
  <c r="U1391" i="2"/>
  <c r="X1391" i="2" s="1"/>
  <c r="F1392" i="2" s="1"/>
  <c r="T1391" i="2"/>
  <c r="W1391" i="2" s="1"/>
  <c r="E1392" i="2" s="1"/>
  <c r="C1392" i="2" l="1"/>
  <c r="H1392" i="2"/>
  <c r="N1392" i="2" s="1"/>
  <c r="O1392" i="2" s="1"/>
  <c r="B1392" i="2"/>
  <c r="D1392" i="2"/>
  <c r="R1392" i="2" l="1"/>
  <c r="I1392" i="2"/>
  <c r="K1392" i="2"/>
  <c r="J1392" i="2"/>
  <c r="S1392" i="2"/>
  <c r="L1392" i="2"/>
  <c r="P1392" i="2" s="1"/>
  <c r="M1392" i="2"/>
  <c r="Q1392" i="2" s="1"/>
  <c r="V1392" i="2" l="1"/>
  <c r="U1392" i="2"/>
  <c r="X1392" i="2" s="1"/>
  <c r="F1393" i="2" s="1"/>
  <c r="T1392" i="2"/>
  <c r="W1392" i="2" s="1"/>
  <c r="E1393" i="2" s="1"/>
  <c r="Y1392" i="2"/>
  <c r="G1393" i="2" s="1"/>
  <c r="C1393" i="2" l="1"/>
  <c r="H1393" i="2"/>
  <c r="N1393" i="2" s="1"/>
  <c r="O1393" i="2" s="1"/>
  <c r="B1393" i="2"/>
  <c r="D1393" i="2"/>
  <c r="K1393" i="2" l="1"/>
  <c r="J1393" i="2"/>
  <c r="I1393" i="2"/>
  <c r="S1393" i="2"/>
  <c r="L1393" i="2"/>
  <c r="P1393" i="2" s="1"/>
  <c r="R1393" i="2"/>
  <c r="M1393" i="2"/>
  <c r="Q1393" i="2" s="1"/>
  <c r="V1393" i="2" l="1"/>
  <c r="U1393" i="2"/>
  <c r="X1393" i="2" s="1"/>
  <c r="F1394" i="2" s="1"/>
  <c r="T1393" i="2"/>
  <c r="W1393" i="2" s="1"/>
  <c r="E1394" i="2" s="1"/>
  <c r="Y1393" i="2"/>
  <c r="G1394" i="2" s="1"/>
  <c r="C1394" i="2" l="1"/>
  <c r="D1394" i="2"/>
  <c r="H1394" i="2"/>
  <c r="N1394" i="2" s="1"/>
  <c r="O1394" i="2" s="1"/>
  <c r="B1394" i="2"/>
  <c r="R1394" i="2" l="1"/>
  <c r="L1394" i="2"/>
  <c r="P1394" i="2" s="1"/>
  <c r="K1394" i="2"/>
  <c r="J1394" i="2"/>
  <c r="I1394" i="2"/>
  <c r="S1394" i="2"/>
  <c r="M1394" i="2"/>
  <c r="Q1394" i="2" s="1"/>
  <c r="V1394" i="2" l="1"/>
  <c r="U1394" i="2"/>
  <c r="T1394" i="2"/>
  <c r="W1394" i="2"/>
  <c r="E1395" i="2" s="1"/>
  <c r="Y1394" i="2"/>
  <c r="G1395" i="2" s="1"/>
  <c r="X1394" i="2"/>
  <c r="F1395" i="2" s="1"/>
  <c r="C1395" i="2" l="1"/>
  <c r="D1395" i="2"/>
  <c r="H1395" i="2"/>
  <c r="B1395" i="2"/>
  <c r="I1395" i="2" l="1"/>
  <c r="K1395" i="2"/>
  <c r="J1395" i="2"/>
  <c r="S1395" i="2"/>
  <c r="L1395" i="2"/>
  <c r="N1395" i="2"/>
  <c r="O1395" i="2" s="1"/>
  <c r="M1395" i="2"/>
  <c r="Q1395" i="2" l="1"/>
  <c r="U1395" i="2" s="1"/>
  <c r="X1395" i="2" s="1"/>
  <c r="F1396" i="2" s="1"/>
  <c r="P1395" i="2"/>
  <c r="T1395" i="2" s="1"/>
  <c r="W1395" i="2" s="1"/>
  <c r="E1396" i="2" s="1"/>
  <c r="R1395" i="2"/>
  <c r="V1395" i="2" s="1"/>
  <c r="Y1395" i="2" s="1"/>
  <c r="G1396" i="2" s="1"/>
  <c r="H1396" i="2" l="1"/>
  <c r="B1396" i="2"/>
  <c r="N1396" i="2"/>
  <c r="O1396" i="2" s="1"/>
  <c r="D1396" i="2"/>
  <c r="M1396" i="2"/>
  <c r="C1396" i="2"/>
  <c r="Q1396" i="2" l="1"/>
  <c r="R1396" i="2"/>
  <c r="K1396" i="2"/>
  <c r="J1396" i="2"/>
  <c r="I1396" i="2"/>
  <c r="S1396" i="2"/>
  <c r="L1396" i="2"/>
  <c r="P1396" i="2" s="1"/>
  <c r="V1396" i="2" l="1"/>
  <c r="Y1396" i="2" s="1"/>
  <c r="G1397" i="2" s="1"/>
  <c r="U1396" i="2"/>
  <c r="T1396" i="2"/>
  <c r="W1396" i="2" s="1"/>
  <c r="E1397" i="2" s="1"/>
  <c r="X1396" i="2"/>
  <c r="F1397" i="2" s="1"/>
  <c r="H1397" i="2" l="1"/>
  <c r="B1397" i="2"/>
  <c r="N1397" i="2"/>
  <c r="O1397" i="2" s="1"/>
  <c r="D1397" i="2"/>
  <c r="M1397" i="2"/>
  <c r="C1397" i="2"/>
  <c r="Q1397" i="2" l="1"/>
  <c r="R1397" i="2"/>
  <c r="K1397" i="2"/>
  <c r="J1397" i="2"/>
  <c r="I1397" i="2"/>
  <c r="S1397" i="2"/>
  <c r="L1397" i="2"/>
  <c r="P1397" i="2" s="1"/>
  <c r="V1397" i="2" l="1"/>
  <c r="U1397" i="2"/>
  <c r="T1397" i="2"/>
  <c r="W1397" i="2" s="1"/>
  <c r="E1398" i="2" s="1"/>
  <c r="X1397" i="2"/>
  <c r="F1398" i="2" s="1"/>
  <c r="Y1397" i="2"/>
  <c r="G1398" i="2" s="1"/>
  <c r="H1398" i="2" l="1"/>
  <c r="L1398" i="2" s="1"/>
  <c r="B1398" i="2"/>
  <c r="N1398" i="2"/>
  <c r="O1398" i="2" s="1"/>
  <c r="D1398" i="2"/>
  <c r="M1398" i="2"/>
  <c r="C1398" i="2"/>
  <c r="Q1398" i="2" l="1"/>
  <c r="P1398" i="2"/>
  <c r="R1398" i="2"/>
  <c r="K1398" i="2"/>
  <c r="I1398" i="2"/>
  <c r="J1398" i="2"/>
  <c r="S1398" i="2"/>
  <c r="V1398" i="2" l="1"/>
  <c r="U1398" i="2"/>
  <c r="T1398" i="2"/>
  <c r="W1398" i="2"/>
  <c r="E1399" i="2" s="1"/>
  <c r="X1398" i="2"/>
  <c r="F1399" i="2" s="1"/>
  <c r="Y1398" i="2"/>
  <c r="G1399" i="2" s="1"/>
  <c r="C1399" i="2" l="1"/>
  <c r="D1399" i="2"/>
  <c r="H1399" i="2"/>
  <c r="M1399" i="2" s="1"/>
  <c r="B1399" i="2"/>
  <c r="N1399" i="2" l="1"/>
  <c r="O1399" i="2" s="1"/>
  <c r="K1399" i="2"/>
  <c r="J1399" i="2"/>
  <c r="I1399" i="2"/>
  <c r="S1399" i="2"/>
  <c r="L1399" i="2"/>
  <c r="Q1399" i="2" l="1"/>
  <c r="P1399" i="2"/>
  <c r="R1399" i="2"/>
  <c r="V1399" i="2" s="1"/>
  <c r="Y1399" i="2" s="1"/>
  <c r="G1400" i="2" s="1"/>
  <c r="U1399" i="2"/>
  <c r="X1399" i="2" s="1"/>
  <c r="F1400" i="2" s="1"/>
  <c r="T1399" i="2"/>
  <c r="W1399" i="2" s="1"/>
  <c r="E1400" i="2" s="1"/>
  <c r="C1400" i="2" l="1"/>
  <c r="D1400" i="2"/>
  <c r="H1400" i="2"/>
  <c r="M1400" i="2" s="1"/>
  <c r="B1400" i="2"/>
  <c r="N1400" i="2" l="1"/>
  <c r="O1400" i="2" s="1"/>
  <c r="K1400" i="2"/>
  <c r="J1400" i="2"/>
  <c r="I1400" i="2"/>
  <c r="S1400" i="2"/>
  <c r="L1400" i="2"/>
  <c r="R1400" i="2" l="1"/>
  <c r="V1400" i="2" s="1"/>
  <c r="Y1400" i="2" s="1"/>
  <c r="G1401" i="2" s="1"/>
  <c r="Q1400" i="2"/>
  <c r="U1400" i="2" s="1"/>
  <c r="X1400" i="2" s="1"/>
  <c r="F1401" i="2" s="1"/>
  <c r="P1400" i="2"/>
  <c r="T1400" i="2" s="1"/>
  <c r="W1400" i="2" s="1"/>
  <c r="E1401" i="2" s="1"/>
  <c r="C1401" i="2" l="1"/>
  <c r="H1401" i="2"/>
  <c r="B1401" i="2"/>
  <c r="D1401" i="2"/>
  <c r="J1401" i="2" l="1"/>
  <c r="K1401" i="2"/>
  <c r="I1401" i="2"/>
  <c r="S1401" i="2"/>
  <c r="L1401" i="2"/>
  <c r="M1401" i="2"/>
  <c r="N1401" i="2"/>
  <c r="O1401" i="2" s="1"/>
  <c r="R1401" i="2" l="1"/>
  <c r="Q1401" i="2"/>
  <c r="U1401" i="2" s="1"/>
  <c r="X1401" i="2" s="1"/>
  <c r="F1402" i="2" s="1"/>
  <c r="P1401" i="2"/>
  <c r="V1401" i="2"/>
  <c r="Y1401" i="2" s="1"/>
  <c r="G1402" i="2" s="1"/>
  <c r="T1401" i="2"/>
  <c r="W1401" i="2" s="1"/>
  <c r="E1402" i="2" s="1"/>
  <c r="H1402" i="2" l="1"/>
  <c r="L1402" i="2" s="1"/>
  <c r="B1402" i="2"/>
  <c r="N1402" i="2"/>
  <c r="O1402" i="2" s="1"/>
  <c r="D1402" i="2"/>
  <c r="M1402" i="2"/>
  <c r="C1402" i="2"/>
  <c r="R1402" i="2" l="1"/>
  <c r="Q1402" i="2"/>
  <c r="P1402" i="2"/>
  <c r="I1402" i="2"/>
  <c r="K1402" i="2"/>
  <c r="J1402" i="2"/>
  <c r="S1402" i="2"/>
  <c r="U1402" i="2" l="1"/>
  <c r="X1402" i="2" s="1"/>
  <c r="F1403" i="2" s="1"/>
  <c r="V1402" i="2"/>
  <c r="Y1402" i="2" s="1"/>
  <c r="G1403" i="2" s="1"/>
  <c r="T1402" i="2"/>
  <c r="W1402" i="2" s="1"/>
  <c r="E1403" i="2" s="1"/>
  <c r="C1403" i="2" l="1"/>
  <c r="H1403" i="2"/>
  <c r="M1403" i="2" s="1"/>
  <c r="B1403" i="2"/>
  <c r="D1403" i="2"/>
  <c r="N1403" i="2" l="1"/>
  <c r="O1403" i="2" s="1"/>
  <c r="L1403" i="2"/>
  <c r="R1403" i="2"/>
  <c r="Q1403" i="2"/>
  <c r="P1403" i="2"/>
  <c r="I1403" i="2"/>
  <c r="J1403" i="2"/>
  <c r="K1403" i="2"/>
  <c r="S1403" i="2"/>
  <c r="U1403" i="2" l="1"/>
  <c r="V1403" i="2"/>
  <c r="Y1403" i="2" s="1"/>
  <c r="G1404" i="2" s="1"/>
  <c r="T1403" i="2"/>
  <c r="W1403" i="2" s="1"/>
  <c r="E1404" i="2" s="1"/>
  <c r="X1403" i="2"/>
  <c r="F1404" i="2" s="1"/>
  <c r="D1404" i="2" l="1"/>
  <c r="H1404" i="2"/>
  <c r="M1404" i="2" s="1"/>
  <c r="B1404" i="2"/>
  <c r="C1404" i="2"/>
  <c r="I1404" i="2" l="1"/>
  <c r="K1404" i="2"/>
  <c r="J1404" i="2"/>
  <c r="S1404" i="2"/>
  <c r="L1404" i="2"/>
  <c r="N1404" i="2"/>
  <c r="O1404" i="2" s="1"/>
  <c r="R1404" i="2" l="1"/>
  <c r="V1404" i="2" s="1"/>
  <c r="Y1404" i="2" s="1"/>
  <c r="G1405" i="2" s="1"/>
  <c r="Q1404" i="2"/>
  <c r="U1404" i="2" s="1"/>
  <c r="X1404" i="2" s="1"/>
  <c r="F1405" i="2" s="1"/>
  <c r="P1404" i="2"/>
  <c r="T1404" i="2" s="1"/>
  <c r="W1404" i="2" s="1"/>
  <c r="E1405" i="2" s="1"/>
  <c r="C1405" i="2" l="1"/>
  <c r="H1405" i="2"/>
  <c r="B1405" i="2"/>
  <c r="N1405" i="2"/>
  <c r="O1405" i="2" s="1"/>
  <c r="D1405" i="2"/>
  <c r="R1405" i="2" l="1"/>
  <c r="K1405" i="2"/>
  <c r="J1405" i="2"/>
  <c r="I1405" i="2"/>
  <c r="S1405" i="2"/>
  <c r="L1405" i="2"/>
  <c r="P1405" i="2" s="1"/>
  <c r="M1405" i="2"/>
  <c r="Q1405" i="2" s="1"/>
  <c r="U1405" i="2" l="1"/>
  <c r="V1405" i="2"/>
  <c r="T1405" i="2"/>
  <c r="X1405" i="2"/>
  <c r="F1406" i="2" s="1"/>
  <c r="W1405" i="2"/>
  <c r="E1406" i="2" s="1"/>
  <c r="Y1405" i="2"/>
  <c r="G1406" i="2" s="1"/>
  <c r="H1406" i="2" l="1"/>
  <c r="L1406" i="2" s="1"/>
  <c r="B1406" i="2"/>
  <c r="N1406" i="2"/>
  <c r="O1406" i="2" s="1"/>
  <c r="D1406" i="2"/>
  <c r="M1406" i="2"/>
  <c r="C1406" i="2"/>
  <c r="R1406" i="2" l="1"/>
  <c r="Q1406" i="2"/>
  <c r="P1406" i="2"/>
  <c r="K1406" i="2"/>
  <c r="J1406" i="2"/>
  <c r="I1406" i="2"/>
  <c r="S1406" i="2"/>
  <c r="U1406" i="2" l="1"/>
  <c r="X1406" i="2" s="1"/>
  <c r="F1407" i="2" s="1"/>
  <c r="V1406" i="2"/>
  <c r="T1406" i="2"/>
  <c r="W1406" i="2" s="1"/>
  <c r="E1407" i="2" s="1"/>
  <c r="Y1406" i="2"/>
  <c r="G1407" i="2" s="1"/>
  <c r="H1407" i="2" l="1"/>
  <c r="B1407" i="2"/>
  <c r="M1407" i="2"/>
  <c r="C1407" i="2"/>
  <c r="N1407" i="2"/>
  <c r="O1407" i="2" s="1"/>
  <c r="D1407" i="2"/>
  <c r="R1407" i="2" l="1"/>
  <c r="Q1407" i="2"/>
  <c r="K1407" i="2"/>
  <c r="J1407" i="2"/>
  <c r="I1407" i="2"/>
  <c r="S1407" i="2"/>
  <c r="L1407" i="2"/>
  <c r="P1407" i="2" s="1"/>
  <c r="U1407" i="2" l="1"/>
  <c r="V1407" i="2"/>
  <c r="T1407" i="2"/>
  <c r="W1407" i="2" s="1"/>
  <c r="E1408" i="2" s="1"/>
  <c r="Y1407" i="2"/>
  <c r="G1408" i="2" s="1"/>
  <c r="X1407" i="2"/>
  <c r="F1408" i="2" s="1"/>
  <c r="H1408" i="2" l="1"/>
  <c r="L1408" i="2" s="1"/>
  <c r="B1408" i="2"/>
  <c r="D1408" i="2"/>
  <c r="M1408" i="2"/>
  <c r="C1408" i="2"/>
  <c r="N1408" i="2" l="1"/>
  <c r="O1408" i="2" s="1"/>
  <c r="R1408" i="2"/>
  <c r="Q1408" i="2"/>
  <c r="P1408" i="2"/>
  <c r="J1408" i="2"/>
  <c r="K1408" i="2"/>
  <c r="S1408" i="2"/>
  <c r="I1408" i="2"/>
  <c r="V1408" i="2" l="1"/>
  <c r="U1408" i="2"/>
  <c r="X1408" i="2" s="1"/>
  <c r="F1409" i="2" s="1"/>
  <c r="T1408" i="2"/>
  <c r="W1408" i="2" s="1"/>
  <c r="E1409" i="2" s="1"/>
  <c r="Y1408" i="2"/>
  <c r="G1409" i="2" s="1"/>
  <c r="H1409" i="2" l="1"/>
  <c r="L1409" i="2" s="1"/>
  <c r="B1409" i="2"/>
  <c r="M1409" i="2"/>
  <c r="C1409" i="2"/>
  <c r="N1409" i="2"/>
  <c r="O1409" i="2" s="1"/>
  <c r="D1409" i="2"/>
  <c r="R1409" i="2" l="1"/>
  <c r="Q1409" i="2"/>
  <c r="P1409" i="2"/>
  <c r="J1409" i="2"/>
  <c r="I1409" i="2"/>
  <c r="K1409" i="2"/>
  <c r="S1409" i="2"/>
  <c r="V1409" i="2" l="1"/>
  <c r="Y1409" i="2" s="1"/>
  <c r="G1410" i="2" s="1"/>
  <c r="U1409" i="2"/>
  <c r="T1409" i="2"/>
  <c r="X1409" i="2"/>
  <c r="F1410" i="2" s="1"/>
  <c r="W1409" i="2"/>
  <c r="E1410" i="2" s="1"/>
  <c r="D1410" i="2" l="1"/>
  <c r="H1410" i="2"/>
  <c r="L1410" i="2" s="1"/>
  <c r="B1410" i="2"/>
  <c r="C1410" i="2"/>
  <c r="M1410" i="2" l="1"/>
  <c r="J1410" i="2"/>
  <c r="I1410" i="2"/>
  <c r="S1410" i="2"/>
  <c r="K1410" i="2"/>
  <c r="N1410" i="2"/>
  <c r="O1410" i="2" s="1"/>
  <c r="R1410" i="2" l="1"/>
  <c r="Q1410" i="2"/>
  <c r="P1410" i="2"/>
  <c r="T1410" i="2" s="1"/>
  <c r="W1410" i="2" s="1"/>
  <c r="E1411" i="2" s="1"/>
  <c r="V1410" i="2"/>
  <c r="Y1410" i="2" s="1"/>
  <c r="G1411" i="2" s="1"/>
  <c r="U1410" i="2"/>
  <c r="X1410" i="2"/>
  <c r="F1411" i="2" s="1"/>
  <c r="H1411" i="2" l="1"/>
  <c r="B1411" i="2"/>
  <c r="N1411" i="2"/>
  <c r="O1411" i="2" s="1"/>
  <c r="D1411" i="2"/>
  <c r="M1411" i="2"/>
  <c r="C1411" i="2"/>
  <c r="R1411" i="2" l="1"/>
  <c r="Q1411" i="2"/>
  <c r="J1411" i="2"/>
  <c r="I1411" i="2"/>
  <c r="K1411" i="2"/>
  <c r="S1411" i="2"/>
  <c r="L1411" i="2"/>
  <c r="P1411" i="2" s="1"/>
  <c r="V1411" i="2" l="1"/>
  <c r="U1411" i="2"/>
  <c r="T1411" i="2"/>
  <c r="Y1411" i="2"/>
  <c r="G1412" i="2" s="1"/>
  <c r="W1411" i="2"/>
  <c r="E1412" i="2" s="1"/>
  <c r="X1411" i="2"/>
  <c r="F1412" i="2" s="1"/>
  <c r="D1412" i="2" l="1"/>
  <c r="C1412" i="2"/>
  <c r="H1412" i="2"/>
  <c r="B1412" i="2"/>
  <c r="J1412" i="2" l="1"/>
  <c r="I1412" i="2"/>
  <c r="K1412" i="2"/>
  <c r="S1412" i="2"/>
  <c r="L1412" i="2"/>
  <c r="M1412" i="2"/>
  <c r="N1412" i="2"/>
  <c r="O1412" i="2" s="1"/>
  <c r="R1412" i="2" l="1"/>
  <c r="Q1412" i="2"/>
  <c r="U1412" i="2" s="1"/>
  <c r="X1412" i="2" s="1"/>
  <c r="F1413" i="2" s="1"/>
  <c r="P1412" i="2"/>
  <c r="T1412" i="2" s="1"/>
  <c r="W1412" i="2" s="1"/>
  <c r="E1413" i="2" s="1"/>
  <c r="V1412" i="2"/>
  <c r="Y1412" i="2"/>
  <c r="G1413" i="2" s="1"/>
  <c r="H1413" i="2" l="1"/>
  <c r="B1413" i="2"/>
  <c r="M1413" i="2"/>
  <c r="C1413" i="2"/>
  <c r="N1413" i="2"/>
  <c r="O1413" i="2" s="1"/>
  <c r="D1413" i="2"/>
  <c r="R1413" i="2" l="1"/>
  <c r="Q1413" i="2"/>
  <c r="J1413" i="2"/>
  <c r="I1413" i="2"/>
  <c r="K1413" i="2"/>
  <c r="S1413" i="2"/>
  <c r="L1413" i="2"/>
  <c r="P1413" i="2" s="1"/>
  <c r="V1413" i="2" l="1"/>
  <c r="Y1413" i="2" s="1"/>
  <c r="G1414" i="2" s="1"/>
  <c r="U1413" i="2"/>
  <c r="X1413" i="2" s="1"/>
  <c r="F1414" i="2" s="1"/>
  <c r="T1413" i="2"/>
  <c r="W1413" i="2" s="1"/>
  <c r="E1414" i="2" s="1"/>
  <c r="C1414" i="2" l="1"/>
  <c r="D1414" i="2"/>
  <c r="H1414" i="2"/>
  <c r="B1414" i="2"/>
  <c r="J1414" i="2" l="1"/>
  <c r="I1414" i="2"/>
  <c r="K1414" i="2"/>
  <c r="S1414" i="2"/>
  <c r="L1414" i="2"/>
  <c r="N1414" i="2"/>
  <c r="O1414" i="2" s="1"/>
  <c r="M1414" i="2"/>
  <c r="R1414" i="2" l="1"/>
  <c r="Q1414" i="2"/>
  <c r="U1414" i="2" s="1"/>
  <c r="X1414" i="2" s="1"/>
  <c r="F1415" i="2" s="1"/>
  <c r="P1414" i="2"/>
  <c r="T1414" i="2" s="1"/>
  <c r="W1414" i="2" s="1"/>
  <c r="E1415" i="2" s="1"/>
  <c r="V1414" i="2"/>
  <c r="Y1414" i="2" s="1"/>
  <c r="G1415" i="2" s="1"/>
  <c r="H1415" i="2" l="1"/>
  <c r="L1415" i="2" s="1"/>
  <c r="B1415" i="2"/>
  <c r="M1415" i="2"/>
  <c r="C1415" i="2"/>
  <c r="N1415" i="2"/>
  <c r="O1415" i="2" s="1"/>
  <c r="D1415" i="2"/>
  <c r="R1415" i="2" l="1"/>
  <c r="Q1415" i="2"/>
  <c r="P1415" i="2"/>
  <c r="J1415" i="2"/>
  <c r="I1415" i="2"/>
  <c r="K1415" i="2"/>
  <c r="S1415" i="2"/>
  <c r="V1415" i="2" l="1"/>
  <c r="Y1415" i="2" s="1"/>
  <c r="G1416" i="2" s="1"/>
  <c r="U1415" i="2"/>
  <c r="X1415" i="2" s="1"/>
  <c r="F1416" i="2" s="1"/>
  <c r="T1415" i="2"/>
  <c r="W1415" i="2" s="1"/>
  <c r="E1416" i="2" s="1"/>
  <c r="C1416" i="2" l="1"/>
  <c r="H1416" i="2"/>
  <c r="N1416" i="2" s="1"/>
  <c r="O1416" i="2" s="1"/>
  <c r="B1416" i="2"/>
  <c r="D1416" i="2"/>
  <c r="R1416" i="2" l="1"/>
  <c r="I1416" i="2"/>
  <c r="K1416" i="2"/>
  <c r="J1416" i="2"/>
  <c r="S1416" i="2"/>
  <c r="L1416" i="2"/>
  <c r="P1416" i="2" s="1"/>
  <c r="M1416" i="2"/>
  <c r="Q1416" i="2" s="1"/>
  <c r="V1416" i="2" l="1"/>
  <c r="Y1416" i="2" s="1"/>
  <c r="G1417" i="2" s="1"/>
  <c r="U1416" i="2"/>
  <c r="X1416" i="2" s="1"/>
  <c r="F1417" i="2" s="1"/>
  <c r="T1416" i="2"/>
  <c r="W1416" i="2" s="1"/>
  <c r="E1417" i="2" s="1"/>
  <c r="C1417" i="2" l="1"/>
  <c r="D1417" i="2"/>
  <c r="H1417" i="2"/>
  <c r="B1417" i="2"/>
  <c r="K1417" i="2" l="1"/>
  <c r="J1417" i="2"/>
  <c r="I1417" i="2"/>
  <c r="S1417" i="2"/>
  <c r="L1417" i="2"/>
  <c r="N1417" i="2"/>
  <c r="O1417" i="2" s="1"/>
  <c r="M1417" i="2"/>
  <c r="R1417" i="2" l="1"/>
  <c r="Q1417" i="2"/>
  <c r="P1417" i="2"/>
  <c r="T1417" i="2" s="1"/>
  <c r="W1417" i="2" s="1"/>
  <c r="E1418" i="2" s="1"/>
  <c r="V1417" i="2"/>
  <c r="U1417" i="2"/>
  <c r="X1417" i="2"/>
  <c r="F1418" i="2" s="1"/>
  <c r="Y1417" i="2"/>
  <c r="G1418" i="2" s="1"/>
  <c r="H1418" i="2" l="1"/>
  <c r="B1418" i="2"/>
  <c r="N1418" i="2"/>
  <c r="O1418" i="2" s="1"/>
  <c r="D1418" i="2"/>
  <c r="M1418" i="2"/>
  <c r="C1418" i="2"/>
  <c r="R1418" i="2" l="1"/>
  <c r="Q1418" i="2"/>
  <c r="K1418" i="2"/>
  <c r="I1418" i="2"/>
  <c r="S1418" i="2"/>
  <c r="J1418" i="2"/>
  <c r="L1418" i="2"/>
  <c r="P1418" i="2" s="1"/>
  <c r="V1418" i="2" l="1"/>
  <c r="U1418" i="2"/>
  <c r="X1418" i="2" s="1"/>
  <c r="F1419" i="2" s="1"/>
  <c r="T1418" i="2"/>
  <c r="W1418" i="2" s="1"/>
  <c r="E1419" i="2" s="1"/>
  <c r="Y1418" i="2"/>
  <c r="G1419" i="2" s="1"/>
  <c r="H1419" i="2" l="1"/>
  <c r="M1419" i="2" s="1"/>
  <c r="B1419" i="2"/>
  <c r="C1419" i="2"/>
  <c r="D1419" i="2"/>
  <c r="N1419" i="2" l="1"/>
  <c r="O1419" i="2" s="1"/>
  <c r="R1419" i="2"/>
  <c r="Q1419" i="2"/>
  <c r="K1419" i="2"/>
  <c r="J1419" i="2"/>
  <c r="I1419" i="2"/>
  <c r="S1419" i="2"/>
  <c r="L1419" i="2"/>
  <c r="P1419" i="2" s="1"/>
  <c r="V1419" i="2" l="1"/>
  <c r="U1419" i="2"/>
  <c r="X1419" i="2" s="1"/>
  <c r="F1420" i="2" s="1"/>
  <c r="T1419" i="2"/>
  <c r="W1419" i="2"/>
  <c r="E1420" i="2" s="1"/>
  <c r="Y1419" i="2"/>
  <c r="G1420" i="2" s="1"/>
  <c r="C1420" i="2" l="1"/>
  <c r="D1420" i="2"/>
  <c r="H1420" i="2"/>
  <c r="B1420" i="2"/>
  <c r="J1420" i="2" l="1"/>
  <c r="K1420" i="2"/>
  <c r="S1420" i="2"/>
  <c r="I1420" i="2"/>
  <c r="L1420" i="2"/>
  <c r="N1420" i="2"/>
  <c r="O1420" i="2" s="1"/>
  <c r="M1420" i="2"/>
  <c r="R1420" i="2" l="1"/>
  <c r="Q1420" i="2"/>
  <c r="P1420" i="2"/>
  <c r="T1420" i="2" s="1"/>
  <c r="W1420" i="2" s="1"/>
  <c r="E1421" i="2" s="1"/>
  <c r="V1420" i="2"/>
  <c r="U1420" i="2"/>
  <c r="Y1420" i="2"/>
  <c r="G1421" i="2" s="1"/>
  <c r="X1420" i="2"/>
  <c r="F1421" i="2" s="1"/>
  <c r="H1421" i="2" l="1"/>
  <c r="L1421" i="2" s="1"/>
  <c r="B1421" i="2"/>
  <c r="C1421" i="2"/>
  <c r="D1421" i="2"/>
  <c r="N1421" i="2" l="1"/>
  <c r="O1421" i="2" s="1"/>
  <c r="M1421" i="2"/>
  <c r="R1421" i="2"/>
  <c r="Q1421" i="2"/>
  <c r="P1421" i="2"/>
  <c r="J1421" i="2"/>
  <c r="K1421" i="2"/>
  <c r="I1421" i="2"/>
  <c r="S1421" i="2"/>
  <c r="V1421" i="2" l="1"/>
  <c r="U1421" i="2"/>
  <c r="T1421" i="2"/>
  <c r="W1421" i="2" s="1"/>
  <c r="E1422" i="2" s="1"/>
  <c r="Y1421" i="2"/>
  <c r="G1422" i="2" s="1"/>
  <c r="X1421" i="2"/>
  <c r="F1422" i="2" s="1"/>
  <c r="H1422" i="2" l="1"/>
  <c r="B1422" i="2"/>
  <c r="M1422" i="2"/>
  <c r="C1422" i="2"/>
  <c r="N1422" i="2"/>
  <c r="O1422" i="2" s="1"/>
  <c r="D1422" i="2"/>
  <c r="R1422" i="2" l="1"/>
  <c r="Q1422" i="2"/>
  <c r="J1422" i="2"/>
  <c r="I1422" i="2"/>
  <c r="K1422" i="2"/>
  <c r="S1422" i="2"/>
  <c r="L1422" i="2"/>
  <c r="P1422" i="2" s="1"/>
  <c r="V1422" i="2" l="1"/>
  <c r="Y1422" i="2" s="1"/>
  <c r="G1423" i="2" s="1"/>
  <c r="U1422" i="2"/>
  <c r="T1422" i="2"/>
  <c r="W1422" i="2"/>
  <c r="E1423" i="2" s="1"/>
  <c r="X1422" i="2"/>
  <c r="F1423" i="2" s="1"/>
  <c r="D1423" i="2" l="1"/>
  <c r="C1423" i="2"/>
  <c r="H1423" i="2"/>
  <c r="B1423" i="2"/>
  <c r="I1423" i="2" l="1"/>
  <c r="J1423" i="2"/>
  <c r="K1423" i="2"/>
  <c r="S1423" i="2"/>
  <c r="N1423" i="2"/>
  <c r="O1423" i="2" s="1"/>
  <c r="L1423" i="2"/>
  <c r="M1423" i="2"/>
  <c r="R1423" i="2" l="1"/>
  <c r="Q1423" i="2"/>
  <c r="U1423" i="2" s="1"/>
  <c r="X1423" i="2" s="1"/>
  <c r="F1424" i="2" s="1"/>
  <c r="P1423" i="2"/>
  <c r="T1423" i="2" s="1"/>
  <c r="W1423" i="2" s="1"/>
  <c r="E1424" i="2" s="1"/>
  <c r="V1423" i="2"/>
  <c r="Y1423" i="2"/>
  <c r="G1424" i="2" s="1"/>
  <c r="C1424" i="2" l="1"/>
  <c r="D1424" i="2"/>
  <c r="H1424" i="2"/>
  <c r="M1424" i="2" s="1"/>
  <c r="B1424" i="2"/>
  <c r="N1424" i="2" l="1"/>
  <c r="O1424" i="2" s="1"/>
  <c r="J1424" i="2"/>
  <c r="I1424" i="2"/>
  <c r="S1424" i="2"/>
  <c r="K1424" i="2"/>
  <c r="L1424" i="2"/>
  <c r="R1424" i="2" l="1"/>
  <c r="V1424" i="2" s="1"/>
  <c r="Y1424" i="2" s="1"/>
  <c r="G1425" i="2" s="1"/>
  <c r="Q1424" i="2"/>
  <c r="U1424" i="2" s="1"/>
  <c r="X1424" i="2" s="1"/>
  <c r="F1425" i="2" s="1"/>
  <c r="P1424" i="2"/>
  <c r="T1424" i="2" s="1"/>
  <c r="W1424" i="2" s="1"/>
  <c r="E1425" i="2" s="1"/>
  <c r="C1425" i="2" l="1"/>
  <c r="H1425" i="2"/>
  <c r="M1425" i="2" s="1"/>
  <c r="B1425" i="2"/>
  <c r="D1425" i="2"/>
  <c r="N1425" i="2" l="1"/>
  <c r="O1425" i="2" s="1"/>
  <c r="L1425" i="2"/>
  <c r="R1425" i="2"/>
  <c r="Q1425" i="2"/>
  <c r="P1425" i="2"/>
  <c r="K1425" i="2"/>
  <c r="I1425" i="2"/>
  <c r="S1425" i="2"/>
  <c r="J1425" i="2"/>
  <c r="V1425" i="2" l="1"/>
  <c r="U1425" i="2"/>
  <c r="T1425" i="2"/>
  <c r="X1425" i="2"/>
  <c r="F1426" i="2" s="1"/>
  <c r="Y1425" i="2"/>
  <c r="G1426" i="2" s="1"/>
  <c r="W1425" i="2"/>
  <c r="E1426" i="2" s="1"/>
  <c r="C1426" i="2" l="1"/>
  <c r="H1426" i="2"/>
  <c r="B1426" i="2"/>
  <c r="D1426" i="2"/>
  <c r="K1426" i="2" l="1"/>
  <c r="J1426" i="2"/>
  <c r="I1426" i="2"/>
  <c r="S1426" i="2"/>
  <c r="L1426" i="2"/>
  <c r="N1426" i="2"/>
  <c r="O1426" i="2" s="1"/>
  <c r="M1426" i="2"/>
  <c r="R1426" i="2" l="1"/>
  <c r="Q1426" i="2"/>
  <c r="P1426" i="2"/>
  <c r="V1426" i="2"/>
  <c r="U1426" i="2"/>
  <c r="X1426" i="2" s="1"/>
  <c r="F1427" i="2" s="1"/>
  <c r="T1426" i="2"/>
  <c r="W1426" i="2" s="1"/>
  <c r="E1427" i="2" s="1"/>
  <c r="Y1426" i="2"/>
  <c r="G1427" i="2" s="1"/>
  <c r="C1427" i="2" l="1"/>
  <c r="D1427" i="2"/>
  <c r="H1427" i="2"/>
  <c r="M1427" i="2" s="1"/>
  <c r="B1427" i="2"/>
  <c r="N1427" i="2" l="1"/>
  <c r="O1427" i="2" s="1"/>
  <c r="K1427" i="2"/>
  <c r="J1427" i="2"/>
  <c r="I1427" i="2"/>
  <c r="S1427" i="2"/>
  <c r="L1427" i="2"/>
  <c r="R1427" i="2" l="1"/>
  <c r="V1427" i="2" s="1"/>
  <c r="Y1427" i="2" s="1"/>
  <c r="G1428" i="2" s="1"/>
  <c r="Q1427" i="2"/>
  <c r="U1427" i="2" s="1"/>
  <c r="X1427" i="2" s="1"/>
  <c r="F1428" i="2" s="1"/>
  <c r="P1427" i="2"/>
  <c r="T1427" i="2" s="1"/>
  <c r="W1427" i="2" s="1"/>
  <c r="E1428" i="2" s="1"/>
  <c r="C1428" i="2" l="1"/>
  <c r="H1428" i="2"/>
  <c r="L1428" i="2" s="1"/>
  <c r="B1428" i="2"/>
  <c r="D1428" i="2"/>
  <c r="N1428" i="2" l="1"/>
  <c r="O1428" i="2" s="1"/>
  <c r="R1428" i="2"/>
  <c r="P1428" i="2"/>
  <c r="K1428" i="2"/>
  <c r="J1428" i="2"/>
  <c r="I1428" i="2"/>
  <c r="S1428" i="2"/>
  <c r="M1428" i="2"/>
  <c r="Q1428" i="2" s="1"/>
  <c r="V1428" i="2" l="1"/>
  <c r="U1428" i="2"/>
  <c r="T1428" i="2"/>
  <c r="W1428" i="2"/>
  <c r="E1429" i="2" s="1"/>
  <c r="Y1428" i="2"/>
  <c r="G1429" i="2" s="1"/>
  <c r="X1428" i="2"/>
  <c r="F1429" i="2" s="1"/>
  <c r="D1429" i="2" l="1"/>
  <c r="C1429" i="2"/>
  <c r="H1429" i="2"/>
  <c r="M1429" i="2" s="1"/>
  <c r="B1429" i="2"/>
  <c r="L1429" i="2" l="1"/>
  <c r="K1429" i="2"/>
  <c r="J1429" i="2"/>
  <c r="I1429" i="2"/>
  <c r="S1429" i="2"/>
  <c r="N1429" i="2"/>
  <c r="O1429" i="2" s="1"/>
  <c r="R1429" i="2" l="1"/>
  <c r="V1429" i="2" s="1"/>
  <c r="Y1429" i="2" s="1"/>
  <c r="G1430" i="2" s="1"/>
  <c r="Q1429" i="2"/>
  <c r="U1429" i="2" s="1"/>
  <c r="X1429" i="2" s="1"/>
  <c r="F1430" i="2" s="1"/>
  <c r="P1429" i="2"/>
  <c r="T1429" i="2" s="1"/>
  <c r="W1429" i="2" s="1"/>
  <c r="E1430" i="2" s="1"/>
  <c r="C1430" i="2" l="1"/>
  <c r="H1430" i="2"/>
  <c r="B1430" i="2"/>
  <c r="N1430" i="2"/>
  <c r="O1430" i="2" s="1"/>
  <c r="D1430" i="2"/>
  <c r="R1430" i="2" l="1"/>
  <c r="K1430" i="2"/>
  <c r="J1430" i="2"/>
  <c r="I1430" i="2"/>
  <c r="S1430" i="2"/>
  <c r="M1430" i="2"/>
  <c r="Q1430" i="2" s="1"/>
  <c r="L1430" i="2"/>
  <c r="P1430" i="2" s="1"/>
  <c r="V1430" i="2" l="1"/>
  <c r="U1430" i="2"/>
  <c r="T1430" i="2"/>
  <c r="W1430" i="2"/>
  <c r="E1431" i="2" s="1"/>
  <c r="Y1430" i="2"/>
  <c r="G1431" i="2" s="1"/>
  <c r="X1430" i="2"/>
  <c r="F1431" i="2" s="1"/>
  <c r="H1431" i="2" l="1"/>
  <c r="L1431" i="2" s="1"/>
  <c r="B1431" i="2"/>
  <c r="M1431" i="2"/>
  <c r="C1431" i="2"/>
  <c r="N1431" i="2"/>
  <c r="O1431" i="2" s="1"/>
  <c r="D1431" i="2"/>
  <c r="R1431" i="2" l="1"/>
  <c r="Q1431" i="2"/>
  <c r="P1431" i="2"/>
  <c r="K1431" i="2"/>
  <c r="J1431" i="2"/>
  <c r="I1431" i="2"/>
  <c r="S1431" i="2"/>
  <c r="V1431" i="2" l="1"/>
  <c r="Y1431" i="2" s="1"/>
  <c r="G1432" i="2" s="1"/>
  <c r="U1431" i="2"/>
  <c r="X1431" i="2" s="1"/>
  <c r="F1432" i="2" s="1"/>
  <c r="T1431" i="2"/>
  <c r="W1431" i="2" s="1"/>
  <c r="E1432" i="2" s="1"/>
  <c r="H1432" i="2" l="1"/>
  <c r="M1432" i="2" s="1"/>
  <c r="B1432" i="2"/>
  <c r="C1432" i="2"/>
  <c r="D1432" i="2"/>
  <c r="N1432" i="2" l="1"/>
  <c r="O1432" i="2" s="1"/>
  <c r="R1432" i="2" s="1"/>
  <c r="Q1432" i="2"/>
  <c r="K1432" i="2"/>
  <c r="J1432" i="2"/>
  <c r="I1432" i="2"/>
  <c r="S1432" i="2"/>
  <c r="L1432" i="2"/>
  <c r="P1432" i="2" s="1"/>
  <c r="V1432" i="2" l="1"/>
  <c r="U1432" i="2"/>
  <c r="X1432" i="2" s="1"/>
  <c r="F1433" i="2" s="1"/>
  <c r="T1432" i="2"/>
  <c r="W1432" i="2" s="1"/>
  <c r="E1433" i="2" s="1"/>
  <c r="Y1432" i="2"/>
  <c r="G1433" i="2" s="1"/>
  <c r="C1433" i="2" l="1"/>
  <c r="D1433" i="2"/>
  <c r="H1433" i="2"/>
  <c r="B1433" i="2"/>
  <c r="J1433" i="2" l="1"/>
  <c r="I1433" i="2"/>
  <c r="K1433" i="2"/>
  <c r="S1433" i="2"/>
  <c r="L1433" i="2"/>
  <c r="N1433" i="2"/>
  <c r="O1433" i="2" s="1"/>
  <c r="M1433" i="2"/>
  <c r="R1433" i="2" l="1"/>
  <c r="Q1433" i="2"/>
  <c r="U1433" i="2" s="1"/>
  <c r="X1433" i="2" s="1"/>
  <c r="F1434" i="2" s="1"/>
  <c r="P1433" i="2"/>
  <c r="T1433" i="2" s="1"/>
  <c r="W1433" i="2" s="1"/>
  <c r="E1434" i="2" s="1"/>
  <c r="V1433" i="2"/>
  <c r="Y1433" i="2" s="1"/>
  <c r="G1434" i="2" s="1"/>
  <c r="H1434" i="2" l="1"/>
  <c r="B1434" i="2"/>
  <c r="N1434" i="2"/>
  <c r="O1434" i="2" s="1"/>
  <c r="D1434" i="2"/>
  <c r="M1434" i="2"/>
  <c r="C1434" i="2"/>
  <c r="R1434" i="2" l="1"/>
  <c r="Q1434" i="2"/>
  <c r="J1434" i="2"/>
  <c r="I1434" i="2"/>
  <c r="K1434" i="2"/>
  <c r="S1434" i="2"/>
  <c r="L1434" i="2"/>
  <c r="P1434" i="2" s="1"/>
  <c r="V1434" i="2" l="1"/>
  <c r="U1434" i="2"/>
  <c r="T1434" i="2"/>
  <c r="W1434" i="2" s="1"/>
  <c r="E1435" i="2" s="1"/>
  <c r="Y1434" i="2"/>
  <c r="G1435" i="2" s="1"/>
  <c r="X1434" i="2"/>
  <c r="F1435" i="2" s="1"/>
  <c r="H1435" i="2" l="1"/>
  <c r="L1435" i="2" s="1"/>
  <c r="B1435" i="2"/>
  <c r="M1435" i="2"/>
  <c r="C1435" i="2"/>
  <c r="N1435" i="2"/>
  <c r="O1435" i="2" s="1"/>
  <c r="D1435" i="2"/>
  <c r="R1435" i="2" l="1"/>
  <c r="Q1435" i="2"/>
  <c r="P1435" i="2"/>
  <c r="I1435" i="2"/>
  <c r="J1435" i="2"/>
  <c r="K1435" i="2"/>
  <c r="S1435" i="2"/>
  <c r="V1435" i="2" l="1"/>
  <c r="U1435" i="2"/>
  <c r="X1435" i="2" s="1"/>
  <c r="F1436" i="2" s="1"/>
  <c r="T1435" i="2"/>
  <c r="Y1435" i="2"/>
  <c r="G1436" i="2" s="1"/>
  <c r="W1435" i="2"/>
  <c r="E1436" i="2" s="1"/>
  <c r="C1436" i="2" l="1"/>
  <c r="H1436" i="2"/>
  <c r="M1436" i="2" s="1"/>
  <c r="B1436" i="2"/>
  <c r="D1436" i="2"/>
  <c r="N1436" i="2" l="1"/>
  <c r="O1436" i="2" s="1"/>
  <c r="L1436" i="2"/>
  <c r="R1436" i="2"/>
  <c r="Q1436" i="2"/>
  <c r="P1436" i="2"/>
  <c r="J1436" i="2"/>
  <c r="I1436" i="2"/>
  <c r="K1436" i="2"/>
  <c r="S1436" i="2"/>
  <c r="V1436" i="2" l="1"/>
  <c r="Y1436" i="2" s="1"/>
  <c r="G1437" i="2" s="1"/>
  <c r="U1436" i="2"/>
  <c r="T1436" i="2"/>
  <c r="X1436" i="2"/>
  <c r="F1437" i="2" s="1"/>
  <c r="W1436" i="2"/>
  <c r="E1437" i="2" s="1"/>
  <c r="D1437" i="2" l="1"/>
  <c r="H1437" i="2"/>
  <c r="M1437" i="2" s="1"/>
  <c r="B1437" i="2"/>
  <c r="C1437" i="2"/>
  <c r="K1437" i="2" l="1"/>
  <c r="I1437" i="2"/>
  <c r="J1437" i="2"/>
  <c r="S1437" i="2"/>
  <c r="L1437" i="2"/>
  <c r="N1437" i="2"/>
  <c r="O1437" i="2" s="1"/>
  <c r="R1437" i="2" l="1"/>
  <c r="Q1437" i="2"/>
  <c r="P1437" i="2"/>
  <c r="T1437" i="2" s="1"/>
  <c r="W1437" i="2" s="1"/>
  <c r="E1438" i="2" s="1"/>
  <c r="V1437" i="2"/>
  <c r="U1437" i="2"/>
  <c r="X1437" i="2" s="1"/>
  <c r="F1438" i="2" s="1"/>
  <c r="Y1437" i="2"/>
  <c r="G1438" i="2" s="1"/>
  <c r="H1438" i="2" l="1"/>
  <c r="L1438" i="2" s="1"/>
  <c r="B1438" i="2"/>
  <c r="D1438" i="2"/>
  <c r="C1438" i="2"/>
  <c r="M1438" i="2" l="1"/>
  <c r="N1438" i="2"/>
  <c r="O1438" i="2" s="1"/>
  <c r="R1438" i="2"/>
  <c r="Q1438" i="2"/>
  <c r="P1438" i="2"/>
  <c r="K1438" i="2"/>
  <c r="J1438" i="2"/>
  <c r="I1438" i="2"/>
  <c r="S1438" i="2"/>
  <c r="V1438" i="2" l="1"/>
  <c r="U1438" i="2"/>
  <c r="T1438" i="2"/>
  <c r="W1438" i="2"/>
  <c r="E1439" i="2" s="1"/>
  <c r="X1438" i="2"/>
  <c r="F1439" i="2" s="1"/>
  <c r="Y1438" i="2"/>
  <c r="G1439" i="2" s="1"/>
  <c r="H1439" i="2" l="1"/>
  <c r="L1439" i="2" s="1"/>
  <c r="B1439" i="2"/>
  <c r="D1439" i="2"/>
  <c r="M1439" i="2"/>
  <c r="C1439" i="2"/>
  <c r="N1439" i="2" l="1"/>
  <c r="O1439" i="2" s="1"/>
  <c r="R1439" i="2"/>
  <c r="Q1439" i="2"/>
  <c r="P1439" i="2"/>
  <c r="K1439" i="2"/>
  <c r="J1439" i="2"/>
  <c r="S1439" i="2"/>
  <c r="I1439" i="2"/>
  <c r="V1439" i="2" l="1"/>
  <c r="U1439" i="2"/>
  <c r="X1439" i="2" s="1"/>
  <c r="F1440" i="2" s="1"/>
  <c r="T1439" i="2"/>
  <c r="W1439" i="2" s="1"/>
  <c r="E1440" i="2" s="1"/>
  <c r="Y1439" i="2"/>
  <c r="G1440" i="2" s="1"/>
  <c r="H1440" i="2" l="1"/>
  <c r="L1440" i="2" s="1"/>
  <c r="B1440" i="2"/>
  <c r="M1440" i="2"/>
  <c r="C1440" i="2"/>
  <c r="N1440" i="2"/>
  <c r="O1440" i="2" s="1"/>
  <c r="D1440" i="2"/>
  <c r="R1440" i="2" l="1"/>
  <c r="Q1440" i="2"/>
  <c r="P1440" i="2"/>
  <c r="K1440" i="2"/>
  <c r="J1440" i="2"/>
  <c r="I1440" i="2"/>
  <c r="S1440" i="2"/>
  <c r="V1440" i="2" l="1"/>
  <c r="U1440" i="2"/>
  <c r="T1440" i="2"/>
  <c r="W1440" i="2" s="1"/>
  <c r="E1441" i="2" s="1"/>
  <c r="X1440" i="2"/>
  <c r="F1441" i="2" s="1"/>
  <c r="Y1440" i="2"/>
  <c r="G1441" i="2" s="1"/>
  <c r="H1441" i="2" l="1"/>
  <c r="B1441" i="2"/>
  <c r="N1441" i="2"/>
  <c r="O1441" i="2" s="1"/>
  <c r="D1441" i="2"/>
  <c r="M1441" i="2"/>
  <c r="C1441" i="2"/>
  <c r="R1441" i="2" l="1"/>
  <c r="Q1441" i="2"/>
  <c r="K1441" i="2"/>
  <c r="J1441" i="2"/>
  <c r="I1441" i="2"/>
  <c r="S1441" i="2"/>
  <c r="L1441" i="2"/>
  <c r="P1441" i="2" s="1"/>
  <c r="V1441" i="2" l="1"/>
  <c r="U1441" i="2"/>
  <c r="X1441" i="2" s="1"/>
  <c r="F1442" i="2" s="1"/>
  <c r="T1441" i="2"/>
  <c r="W1441" i="2" s="1"/>
  <c r="E1442" i="2" s="1"/>
  <c r="Y1441" i="2"/>
  <c r="G1442" i="2" s="1"/>
  <c r="H1442" i="2" l="1"/>
  <c r="L1442" i="2" s="1"/>
  <c r="B1442" i="2"/>
  <c r="M1442" i="2"/>
  <c r="C1442" i="2"/>
  <c r="N1442" i="2"/>
  <c r="O1442" i="2" s="1"/>
  <c r="D1442" i="2"/>
  <c r="R1442" i="2" l="1"/>
  <c r="Q1442" i="2"/>
  <c r="P1442" i="2"/>
  <c r="K1442" i="2"/>
  <c r="J1442" i="2"/>
  <c r="I1442" i="2"/>
  <c r="S1442" i="2"/>
  <c r="V1442" i="2" l="1"/>
  <c r="Y1442" i="2" s="1"/>
  <c r="G1443" i="2" s="1"/>
  <c r="U1442" i="2"/>
  <c r="T1442" i="2"/>
  <c r="W1442" i="2"/>
  <c r="E1443" i="2" s="1"/>
  <c r="X1442" i="2"/>
  <c r="F1443" i="2" s="1"/>
  <c r="H1443" i="2" l="1"/>
  <c r="L1443" i="2" s="1"/>
  <c r="B1443" i="2"/>
  <c r="C1443" i="2"/>
  <c r="D1443" i="2"/>
  <c r="N1443" i="2" l="1"/>
  <c r="O1443" i="2" s="1"/>
  <c r="R1443" i="2" s="1"/>
  <c r="M1443" i="2"/>
  <c r="Q1443" i="2"/>
  <c r="P1443" i="2"/>
  <c r="K1443" i="2"/>
  <c r="J1443" i="2"/>
  <c r="I1443" i="2"/>
  <c r="S1443" i="2"/>
  <c r="V1443" i="2" l="1"/>
  <c r="U1443" i="2"/>
  <c r="X1443" i="2" s="1"/>
  <c r="F1444" i="2" s="1"/>
  <c r="T1443" i="2"/>
  <c r="W1443" i="2" s="1"/>
  <c r="E1444" i="2" s="1"/>
  <c r="Y1443" i="2"/>
  <c r="G1444" i="2" s="1"/>
  <c r="C1444" i="2" l="1"/>
  <c r="H1444" i="2"/>
  <c r="B1444" i="2"/>
  <c r="N1444" i="2"/>
  <c r="O1444" i="2" s="1"/>
  <c r="D1444" i="2"/>
  <c r="R1444" i="2" l="1"/>
  <c r="K1444" i="2"/>
  <c r="J1444" i="2"/>
  <c r="I1444" i="2"/>
  <c r="S1444" i="2"/>
  <c r="L1444" i="2"/>
  <c r="P1444" i="2" s="1"/>
  <c r="M1444" i="2"/>
  <c r="Q1444" i="2" s="1"/>
  <c r="V1444" i="2" l="1"/>
  <c r="U1444" i="2"/>
  <c r="T1444" i="2"/>
  <c r="W1444" i="2"/>
  <c r="E1445" i="2" s="1"/>
  <c r="X1444" i="2"/>
  <c r="F1445" i="2" s="1"/>
  <c r="Y1444" i="2"/>
  <c r="G1445" i="2" s="1"/>
  <c r="H1445" i="2" l="1"/>
  <c r="B1445" i="2"/>
  <c r="N1445" i="2"/>
  <c r="O1445" i="2" s="1"/>
  <c r="D1445" i="2"/>
  <c r="M1445" i="2"/>
  <c r="C1445" i="2"/>
  <c r="R1445" i="2" l="1"/>
  <c r="Q1445" i="2"/>
  <c r="J1445" i="2"/>
  <c r="I1445" i="2"/>
  <c r="K1445" i="2"/>
  <c r="S1445" i="2"/>
  <c r="L1445" i="2"/>
  <c r="P1445" i="2" s="1"/>
  <c r="V1445" i="2" l="1"/>
  <c r="U1445" i="2"/>
  <c r="T1445" i="2"/>
  <c r="W1445" i="2"/>
  <c r="E1446" i="2" s="1"/>
  <c r="Y1445" i="2"/>
  <c r="G1446" i="2" s="1"/>
  <c r="X1445" i="2"/>
  <c r="F1446" i="2" s="1"/>
  <c r="H1446" i="2" l="1"/>
  <c r="L1446" i="2"/>
  <c r="B1446" i="2"/>
  <c r="M1446" i="2"/>
  <c r="C1446" i="2"/>
  <c r="N1446" i="2"/>
  <c r="O1446" i="2" s="1"/>
  <c r="D1446" i="2"/>
  <c r="R1446" i="2" l="1"/>
  <c r="Q1446" i="2"/>
  <c r="P1446" i="2"/>
  <c r="J1446" i="2"/>
  <c r="I1446" i="2"/>
  <c r="K1446" i="2"/>
  <c r="S1446" i="2"/>
  <c r="V1446" i="2" l="1"/>
  <c r="Y1446" i="2" s="1"/>
  <c r="G1447" i="2" s="1"/>
  <c r="U1446" i="2"/>
  <c r="X1446" i="2" s="1"/>
  <c r="F1447" i="2" s="1"/>
  <c r="T1446" i="2"/>
  <c r="W1446" i="2" s="1"/>
  <c r="E1447" i="2" s="1"/>
  <c r="C1447" i="2" l="1"/>
  <c r="D1447" i="2"/>
  <c r="H1447" i="2"/>
  <c r="B1447" i="2"/>
  <c r="I1447" i="2" l="1"/>
  <c r="J1447" i="2"/>
  <c r="S1447" i="2"/>
  <c r="K1447" i="2"/>
  <c r="N1447" i="2"/>
  <c r="O1447" i="2" s="1"/>
  <c r="L1447" i="2"/>
  <c r="M1447" i="2"/>
  <c r="R1447" i="2" l="1"/>
  <c r="Q1447" i="2"/>
  <c r="U1447" i="2" s="1"/>
  <c r="X1447" i="2" s="1"/>
  <c r="F1448" i="2" s="1"/>
  <c r="P1447" i="2"/>
  <c r="T1447" i="2" s="1"/>
  <c r="W1447" i="2" s="1"/>
  <c r="E1448" i="2" s="1"/>
  <c r="V1447" i="2"/>
  <c r="Y1447" i="2" s="1"/>
  <c r="G1448" i="2" s="1"/>
  <c r="D1448" i="2" l="1"/>
  <c r="C1448" i="2"/>
  <c r="H1448" i="2"/>
  <c r="B1448" i="2"/>
  <c r="J1448" i="2" l="1"/>
  <c r="I1448" i="2"/>
  <c r="K1448" i="2"/>
  <c r="S1448" i="2"/>
  <c r="L1448" i="2"/>
  <c r="M1448" i="2"/>
  <c r="N1448" i="2"/>
  <c r="O1448" i="2" s="1"/>
  <c r="R1448" i="2" l="1"/>
  <c r="Q1448" i="2"/>
  <c r="P1448" i="2"/>
  <c r="T1448" i="2" s="1"/>
  <c r="W1448" i="2" s="1"/>
  <c r="E1449" i="2" s="1"/>
  <c r="V1448" i="2"/>
  <c r="Y1448" i="2" s="1"/>
  <c r="G1449" i="2" s="1"/>
  <c r="U1448" i="2"/>
  <c r="X1448" i="2"/>
  <c r="F1449" i="2" s="1"/>
  <c r="H1449" i="2" l="1"/>
  <c r="L1449" i="2"/>
  <c r="B1449" i="2"/>
  <c r="M1449" i="2"/>
  <c r="C1449" i="2"/>
  <c r="N1449" i="2"/>
  <c r="O1449" i="2" s="1"/>
  <c r="D1449" i="2"/>
  <c r="R1449" i="2" l="1"/>
  <c r="Q1449" i="2"/>
  <c r="P1449" i="2"/>
  <c r="K1449" i="2"/>
  <c r="I1449" i="2"/>
  <c r="J1449" i="2"/>
  <c r="S1449" i="2"/>
  <c r="V1449" i="2" l="1"/>
  <c r="U1449" i="2"/>
  <c r="X1449" i="2" s="1"/>
  <c r="F1450" i="2" s="1"/>
  <c r="T1449" i="2"/>
  <c r="W1449" i="2" s="1"/>
  <c r="E1450" i="2" s="1"/>
  <c r="Y1449" i="2"/>
  <c r="G1450" i="2" s="1"/>
  <c r="C1450" i="2" l="1"/>
  <c r="D1450" i="2"/>
  <c r="H1450" i="2"/>
  <c r="L1450" i="2" s="1"/>
  <c r="B1450" i="2"/>
  <c r="K1450" i="2" l="1"/>
  <c r="J1450" i="2"/>
  <c r="I1450" i="2"/>
  <c r="S1450" i="2"/>
  <c r="N1450" i="2"/>
  <c r="O1450" i="2" s="1"/>
  <c r="M1450" i="2"/>
  <c r="R1450" i="2" l="1"/>
  <c r="Q1450" i="2"/>
  <c r="U1450" i="2" s="1"/>
  <c r="X1450" i="2" s="1"/>
  <c r="F1451" i="2" s="1"/>
  <c r="P1450" i="2"/>
  <c r="T1450" i="2" s="1"/>
  <c r="W1450" i="2" s="1"/>
  <c r="E1451" i="2" s="1"/>
  <c r="V1450" i="2"/>
  <c r="Y1450" i="2"/>
  <c r="G1451" i="2" s="1"/>
  <c r="C1451" i="2" l="1"/>
  <c r="D1451" i="2"/>
  <c r="H1451" i="2"/>
  <c r="L1451" i="2" s="1"/>
  <c r="B1451" i="2"/>
  <c r="K1451" i="2" l="1"/>
  <c r="J1451" i="2"/>
  <c r="I1451" i="2"/>
  <c r="S1451" i="2"/>
  <c r="N1451" i="2"/>
  <c r="O1451" i="2" s="1"/>
  <c r="M1451" i="2"/>
  <c r="R1451" i="2" l="1"/>
  <c r="Q1451" i="2"/>
  <c r="U1451" i="2" s="1"/>
  <c r="X1451" i="2" s="1"/>
  <c r="F1452" i="2" s="1"/>
  <c r="P1451" i="2"/>
  <c r="T1451" i="2" s="1"/>
  <c r="W1451" i="2" s="1"/>
  <c r="E1452" i="2" s="1"/>
  <c r="V1451" i="2"/>
  <c r="Y1451" i="2" s="1"/>
  <c r="G1452" i="2" s="1"/>
  <c r="C1452" i="2" l="1"/>
  <c r="D1452" i="2"/>
  <c r="H1452" i="2"/>
  <c r="L1452" i="2" s="1"/>
  <c r="B1452" i="2"/>
  <c r="K1452" i="2" l="1"/>
  <c r="J1452" i="2"/>
  <c r="I1452" i="2"/>
  <c r="S1452" i="2"/>
  <c r="N1452" i="2"/>
  <c r="O1452" i="2" s="1"/>
  <c r="M1452" i="2"/>
  <c r="R1452" i="2" l="1"/>
  <c r="Q1452" i="2"/>
  <c r="P1452" i="2"/>
  <c r="T1452" i="2" s="1"/>
  <c r="W1452" i="2" s="1"/>
  <c r="E1453" i="2" s="1"/>
  <c r="V1452" i="2"/>
  <c r="U1452" i="2"/>
  <c r="X1452" i="2" s="1"/>
  <c r="F1453" i="2" s="1"/>
  <c r="Y1452" i="2"/>
  <c r="G1453" i="2" s="1"/>
  <c r="C1453" i="2" l="1"/>
  <c r="H1453" i="2"/>
  <c r="B1453" i="2"/>
  <c r="D1453" i="2"/>
  <c r="K1453" i="2" l="1"/>
  <c r="J1453" i="2"/>
  <c r="I1453" i="2"/>
  <c r="S1453" i="2"/>
  <c r="N1453" i="2"/>
  <c r="O1453" i="2" s="1"/>
  <c r="L1453" i="2"/>
  <c r="M1453" i="2"/>
  <c r="R1453" i="2" l="1"/>
  <c r="Q1453" i="2"/>
  <c r="U1453" i="2" s="1"/>
  <c r="X1453" i="2" s="1"/>
  <c r="F1454" i="2" s="1"/>
  <c r="P1453" i="2"/>
  <c r="T1453" i="2" s="1"/>
  <c r="W1453" i="2" s="1"/>
  <c r="E1454" i="2" s="1"/>
  <c r="V1453" i="2"/>
  <c r="Y1453" i="2"/>
  <c r="G1454" i="2" s="1"/>
  <c r="C1454" i="2" l="1"/>
  <c r="D1454" i="2"/>
  <c r="H1454" i="2"/>
  <c r="L1454" i="2" s="1"/>
  <c r="B1454" i="2"/>
  <c r="K1454" i="2" l="1"/>
  <c r="J1454" i="2"/>
  <c r="I1454" i="2"/>
  <c r="S1454" i="2"/>
  <c r="N1454" i="2"/>
  <c r="O1454" i="2" s="1"/>
  <c r="M1454" i="2"/>
  <c r="R1454" i="2" l="1"/>
  <c r="Q1454" i="2"/>
  <c r="U1454" i="2" s="1"/>
  <c r="X1454" i="2" s="1"/>
  <c r="F1455" i="2" s="1"/>
  <c r="P1454" i="2"/>
  <c r="T1454" i="2" s="1"/>
  <c r="W1454" i="2" s="1"/>
  <c r="E1455" i="2" s="1"/>
  <c r="V1454" i="2"/>
  <c r="Y1454" i="2" s="1"/>
  <c r="G1455" i="2" s="1"/>
  <c r="C1455" i="2" l="1"/>
  <c r="D1455" i="2"/>
  <c r="H1455" i="2"/>
  <c r="L1455" i="2" s="1"/>
  <c r="B1455" i="2"/>
  <c r="K1455" i="2" l="1"/>
  <c r="J1455" i="2"/>
  <c r="I1455" i="2"/>
  <c r="S1455" i="2"/>
  <c r="N1455" i="2"/>
  <c r="O1455" i="2" s="1"/>
  <c r="M1455" i="2"/>
  <c r="R1455" i="2" l="1"/>
  <c r="Q1455" i="2"/>
  <c r="U1455" i="2" s="1"/>
  <c r="X1455" i="2" s="1"/>
  <c r="F1456" i="2" s="1"/>
  <c r="P1455" i="2"/>
  <c r="T1455" i="2" s="1"/>
  <c r="W1455" i="2" s="1"/>
  <c r="E1456" i="2" s="1"/>
  <c r="V1455" i="2"/>
  <c r="Y1455" i="2" s="1"/>
  <c r="G1456" i="2" s="1"/>
  <c r="C1456" i="2" l="1"/>
  <c r="D1456" i="2"/>
  <c r="H1456" i="2"/>
  <c r="B1456" i="2"/>
  <c r="K1456" i="2" l="1"/>
  <c r="J1456" i="2"/>
  <c r="I1456" i="2"/>
  <c r="S1456" i="2"/>
  <c r="L1456" i="2"/>
  <c r="N1456" i="2"/>
  <c r="O1456" i="2" s="1"/>
  <c r="M1456" i="2"/>
  <c r="R1456" i="2" l="1"/>
  <c r="Q1456" i="2"/>
  <c r="U1456" i="2" s="1"/>
  <c r="X1456" i="2" s="1"/>
  <c r="F1457" i="2" s="1"/>
  <c r="P1456" i="2"/>
  <c r="T1456" i="2" s="1"/>
  <c r="W1456" i="2" s="1"/>
  <c r="E1457" i="2" s="1"/>
  <c r="V1456" i="2"/>
  <c r="Y1456" i="2"/>
  <c r="G1457" i="2" s="1"/>
  <c r="D1457" i="2" l="1"/>
  <c r="H1457" i="2"/>
  <c r="L1457" i="2" s="1"/>
  <c r="B1457" i="2"/>
  <c r="M1457" i="2"/>
  <c r="C1457" i="2"/>
  <c r="J1457" i="2" l="1"/>
  <c r="I1457" i="2"/>
  <c r="K1457" i="2"/>
  <c r="S1457" i="2"/>
  <c r="N1457" i="2"/>
  <c r="O1457" i="2" s="1"/>
  <c r="R1457" i="2" l="1"/>
  <c r="Q1457" i="2"/>
  <c r="P1457" i="2"/>
  <c r="T1457" i="2" s="1"/>
  <c r="W1457" i="2" s="1"/>
  <c r="E1458" i="2" s="1"/>
  <c r="V1457" i="2"/>
  <c r="U1457" i="2"/>
  <c r="Y1457" i="2"/>
  <c r="G1458" i="2" s="1"/>
  <c r="X1457" i="2"/>
  <c r="F1458" i="2" s="1"/>
  <c r="H1458" i="2" l="1"/>
  <c r="L1458" i="2"/>
  <c r="B1458" i="2"/>
  <c r="N1458" i="2"/>
  <c r="O1458" i="2" s="1"/>
  <c r="D1458" i="2"/>
  <c r="M1458" i="2"/>
  <c r="C1458" i="2"/>
  <c r="R1458" i="2" l="1"/>
  <c r="Q1458" i="2"/>
  <c r="P1458" i="2"/>
  <c r="J1458" i="2"/>
  <c r="I1458" i="2"/>
  <c r="K1458" i="2"/>
  <c r="S1458" i="2"/>
  <c r="V1458" i="2" l="1"/>
  <c r="U1458" i="2"/>
  <c r="T1458" i="2"/>
  <c r="W1458" i="2"/>
  <c r="E1459" i="2" s="1"/>
  <c r="Y1458" i="2"/>
  <c r="G1459" i="2" s="1"/>
  <c r="X1458" i="2"/>
  <c r="F1459" i="2" s="1"/>
  <c r="D1459" i="2" l="1"/>
  <c r="C1459" i="2"/>
  <c r="H1459" i="2"/>
  <c r="B1459" i="2"/>
  <c r="I1459" i="2" l="1"/>
  <c r="J1459" i="2"/>
  <c r="S1459" i="2"/>
  <c r="K1459" i="2"/>
  <c r="M1459" i="2"/>
  <c r="L1459" i="2"/>
  <c r="N1459" i="2"/>
  <c r="O1459" i="2" s="1"/>
  <c r="R1459" i="2" l="1"/>
  <c r="V1459" i="2" s="1"/>
  <c r="Y1459" i="2" s="1"/>
  <c r="G1460" i="2" s="1"/>
  <c r="Q1459" i="2"/>
  <c r="P1459" i="2"/>
  <c r="T1459" i="2" s="1"/>
  <c r="W1459" i="2" s="1"/>
  <c r="E1460" i="2" s="1"/>
  <c r="U1459" i="2"/>
  <c r="X1459" i="2" s="1"/>
  <c r="F1460" i="2" s="1"/>
  <c r="C1460" i="2" l="1"/>
  <c r="D1460" i="2"/>
  <c r="H1460" i="2"/>
  <c r="B1460" i="2"/>
  <c r="J1460" i="2" l="1"/>
  <c r="I1460" i="2"/>
  <c r="K1460" i="2"/>
  <c r="S1460" i="2"/>
  <c r="L1460" i="2"/>
  <c r="N1460" i="2"/>
  <c r="O1460" i="2" s="1"/>
  <c r="M1460" i="2"/>
  <c r="R1460" i="2" l="1"/>
  <c r="Q1460" i="2"/>
  <c r="U1460" i="2" s="1"/>
  <c r="X1460" i="2" s="1"/>
  <c r="F1461" i="2" s="1"/>
  <c r="P1460" i="2"/>
  <c r="T1460" i="2" s="1"/>
  <c r="W1460" i="2" s="1"/>
  <c r="E1461" i="2" s="1"/>
  <c r="V1460" i="2"/>
  <c r="Y1460" i="2" s="1"/>
  <c r="G1461" i="2" s="1"/>
  <c r="D1461" i="2" l="1"/>
  <c r="C1461" i="2"/>
  <c r="H1461" i="2"/>
  <c r="M1461" i="2" s="1"/>
  <c r="B1461" i="2"/>
  <c r="L1461" i="2" l="1"/>
  <c r="K1461" i="2"/>
  <c r="I1461" i="2"/>
  <c r="J1461" i="2"/>
  <c r="S1461" i="2"/>
  <c r="N1461" i="2"/>
  <c r="O1461" i="2" s="1"/>
  <c r="R1461" i="2" l="1"/>
  <c r="V1461" i="2" s="1"/>
  <c r="Y1461" i="2" s="1"/>
  <c r="G1462" i="2" s="1"/>
  <c r="Q1461" i="2"/>
  <c r="U1461" i="2" s="1"/>
  <c r="X1461" i="2" s="1"/>
  <c r="F1462" i="2" s="1"/>
  <c r="P1461" i="2"/>
  <c r="T1461" i="2" s="1"/>
  <c r="W1461" i="2" s="1"/>
  <c r="E1462" i="2" s="1"/>
  <c r="H1462" i="2" l="1"/>
  <c r="L1462" i="2" s="1"/>
  <c r="B1462" i="2"/>
  <c r="C1462" i="2"/>
  <c r="D1462" i="2"/>
  <c r="N1462" i="2" l="1"/>
  <c r="O1462" i="2" s="1"/>
  <c r="M1462" i="2"/>
  <c r="R1462" i="2"/>
  <c r="Q1462" i="2"/>
  <c r="P1462" i="2"/>
  <c r="K1462" i="2"/>
  <c r="J1462" i="2"/>
  <c r="I1462" i="2"/>
  <c r="S1462" i="2"/>
  <c r="V1462" i="2" l="1"/>
  <c r="U1462" i="2"/>
  <c r="T1462" i="2"/>
  <c r="X1462" i="2"/>
  <c r="F1463" i="2" s="1"/>
  <c r="W1462" i="2"/>
  <c r="E1463" i="2" s="1"/>
  <c r="Y1462" i="2"/>
  <c r="G1463" i="2" s="1"/>
  <c r="H1463" i="2" l="1"/>
  <c r="L1463" i="2" s="1"/>
  <c r="B1463" i="2"/>
  <c r="D1463" i="2"/>
  <c r="C1463" i="2"/>
  <c r="N1463" i="2" l="1"/>
  <c r="O1463" i="2" s="1"/>
  <c r="M1463" i="2"/>
  <c r="R1463" i="2"/>
  <c r="Q1463" i="2"/>
  <c r="P1463" i="2"/>
  <c r="K1463" i="2"/>
  <c r="J1463" i="2"/>
  <c r="I1463" i="2"/>
  <c r="S1463" i="2"/>
  <c r="V1463" i="2" l="1"/>
  <c r="U1463" i="2"/>
  <c r="T1463" i="2"/>
  <c r="X1463" i="2"/>
  <c r="F1464" i="2" s="1"/>
  <c r="W1463" i="2"/>
  <c r="E1464" i="2" s="1"/>
  <c r="Y1463" i="2"/>
  <c r="G1464" i="2" s="1"/>
  <c r="H1464" i="2" l="1"/>
  <c r="L1464" i="2" s="1"/>
  <c r="B1464" i="2"/>
  <c r="N1464" i="2"/>
  <c r="O1464" i="2" s="1"/>
  <c r="D1464" i="2"/>
  <c r="M1464" i="2"/>
  <c r="C1464" i="2"/>
  <c r="R1464" i="2" l="1"/>
  <c r="Q1464" i="2"/>
  <c r="P1464" i="2"/>
  <c r="K1464" i="2"/>
  <c r="J1464" i="2"/>
  <c r="I1464" i="2"/>
  <c r="S1464" i="2"/>
  <c r="V1464" i="2" l="1"/>
  <c r="Y1464" i="2" s="1"/>
  <c r="G1465" i="2" s="1"/>
  <c r="U1464" i="2"/>
  <c r="T1464" i="2"/>
  <c r="W1464" i="2" s="1"/>
  <c r="E1465" i="2" s="1"/>
  <c r="X1464" i="2"/>
  <c r="F1465" i="2" s="1"/>
  <c r="H1465" i="2" l="1"/>
  <c r="L1465" i="2" s="1"/>
  <c r="B1465" i="2"/>
  <c r="D1465" i="2"/>
  <c r="C1465" i="2"/>
  <c r="N1465" i="2" l="1"/>
  <c r="O1465" i="2" s="1"/>
  <c r="R1465" i="2" s="1"/>
  <c r="M1465" i="2"/>
  <c r="Q1465" i="2"/>
  <c r="P1465" i="2"/>
  <c r="K1465" i="2"/>
  <c r="J1465" i="2"/>
  <c r="I1465" i="2"/>
  <c r="S1465" i="2"/>
  <c r="V1465" i="2" l="1"/>
  <c r="U1465" i="2"/>
  <c r="T1465" i="2"/>
  <c r="X1465" i="2"/>
  <c r="F1466" i="2" s="1"/>
  <c r="W1465" i="2"/>
  <c r="E1466" i="2" s="1"/>
  <c r="Y1465" i="2"/>
  <c r="G1466" i="2" s="1"/>
  <c r="D1466" i="2" l="1"/>
  <c r="H1466" i="2"/>
  <c r="B1466" i="2"/>
  <c r="M1466" i="2"/>
  <c r="C1466" i="2"/>
  <c r="K1466" i="2" l="1"/>
  <c r="J1466" i="2"/>
  <c r="I1466" i="2"/>
  <c r="S1466" i="2"/>
  <c r="L1466" i="2"/>
  <c r="N1466" i="2"/>
  <c r="O1466" i="2" s="1"/>
  <c r="R1466" i="2" l="1"/>
  <c r="Q1466" i="2"/>
  <c r="U1466" i="2" s="1"/>
  <c r="X1466" i="2" s="1"/>
  <c r="F1467" i="2" s="1"/>
  <c r="P1466" i="2"/>
  <c r="V1466" i="2"/>
  <c r="T1466" i="2"/>
  <c r="W1466" i="2" s="1"/>
  <c r="E1467" i="2" s="1"/>
  <c r="Y1466" i="2"/>
  <c r="G1467" i="2" s="1"/>
  <c r="H1467" i="2" l="1"/>
  <c r="L1467" i="2"/>
  <c r="B1467" i="2"/>
  <c r="M1467" i="2"/>
  <c r="C1467" i="2"/>
  <c r="N1467" i="2"/>
  <c r="O1467" i="2" s="1"/>
  <c r="D1467" i="2"/>
  <c r="R1467" i="2" l="1"/>
  <c r="Q1467" i="2"/>
  <c r="P1467" i="2"/>
  <c r="K1467" i="2"/>
  <c r="J1467" i="2"/>
  <c r="I1467" i="2"/>
  <c r="S1467" i="2"/>
  <c r="V1467" i="2" l="1"/>
  <c r="U1467" i="2"/>
  <c r="T1467" i="2"/>
  <c r="X1467" i="2"/>
  <c r="F1468" i="2" s="1"/>
  <c r="W1467" i="2"/>
  <c r="E1468" i="2" s="1"/>
  <c r="Y1467" i="2"/>
  <c r="G1468" i="2" s="1"/>
  <c r="D1468" i="2" l="1"/>
  <c r="H1468" i="2"/>
  <c r="B1468" i="2"/>
  <c r="M1468" i="2"/>
  <c r="C1468" i="2"/>
  <c r="K1468" i="2" l="1"/>
  <c r="J1468" i="2"/>
  <c r="I1468" i="2"/>
  <c r="S1468" i="2"/>
  <c r="L1468" i="2"/>
  <c r="N1468" i="2"/>
  <c r="O1468" i="2" s="1"/>
  <c r="R1468" i="2" l="1"/>
  <c r="Q1468" i="2"/>
  <c r="P1468" i="2"/>
  <c r="V1468" i="2"/>
  <c r="U1468" i="2"/>
  <c r="X1468" i="2" s="1"/>
  <c r="F1469" i="2" s="1"/>
  <c r="T1468" i="2"/>
  <c r="W1468" i="2" s="1"/>
  <c r="E1469" i="2" s="1"/>
  <c r="Y1468" i="2"/>
  <c r="G1469" i="2" s="1"/>
  <c r="C1469" i="2" l="1"/>
  <c r="D1469" i="2"/>
  <c r="H1469" i="2"/>
  <c r="M1469" i="2" s="1"/>
  <c r="B1469" i="2"/>
  <c r="L1469" i="2" l="1"/>
  <c r="N1469" i="2"/>
  <c r="O1469" i="2" s="1"/>
  <c r="J1469" i="2"/>
  <c r="I1469" i="2"/>
  <c r="K1469" i="2"/>
  <c r="S1469" i="2"/>
  <c r="R1469" i="2" l="1"/>
  <c r="V1469" i="2" s="1"/>
  <c r="Y1469" i="2" s="1"/>
  <c r="G1470" i="2" s="1"/>
  <c r="Q1469" i="2"/>
  <c r="U1469" i="2" s="1"/>
  <c r="X1469" i="2" s="1"/>
  <c r="F1470" i="2" s="1"/>
  <c r="P1469" i="2"/>
  <c r="T1469" i="2" s="1"/>
  <c r="W1469" i="2" s="1"/>
  <c r="E1470" i="2" s="1"/>
  <c r="C1470" i="2" l="1"/>
  <c r="H1470" i="2"/>
  <c r="B1470" i="2"/>
  <c r="N1470" i="2"/>
  <c r="O1470" i="2" s="1"/>
  <c r="D1470" i="2"/>
  <c r="J1470" i="2" l="1"/>
  <c r="I1470" i="2"/>
  <c r="K1470" i="2"/>
  <c r="S1470" i="2"/>
  <c r="R1470" i="2"/>
  <c r="L1470" i="2"/>
  <c r="P1470" i="2" s="1"/>
  <c r="M1470" i="2"/>
  <c r="Q1470" i="2" s="1"/>
  <c r="V1470" i="2" l="1"/>
  <c r="U1470" i="2"/>
  <c r="T1470" i="2"/>
  <c r="W1470" i="2" s="1"/>
  <c r="E1471" i="2" s="1"/>
  <c r="Y1470" i="2"/>
  <c r="G1471" i="2" s="1"/>
  <c r="X1470" i="2"/>
  <c r="F1471" i="2" s="1"/>
  <c r="H1471" i="2" l="1"/>
  <c r="L1471" i="2"/>
  <c r="B1471" i="2"/>
  <c r="M1471" i="2"/>
  <c r="C1471" i="2"/>
  <c r="N1471" i="2"/>
  <c r="O1471" i="2" s="1"/>
  <c r="D1471" i="2"/>
  <c r="R1471" i="2" l="1"/>
  <c r="Q1471" i="2"/>
  <c r="P1471" i="2"/>
  <c r="I1471" i="2"/>
  <c r="J1471" i="2"/>
  <c r="S1471" i="2"/>
  <c r="K1471" i="2"/>
  <c r="V1471" i="2" l="1"/>
  <c r="Y1471" i="2" s="1"/>
  <c r="G1472" i="2" s="1"/>
  <c r="U1471" i="2"/>
  <c r="X1471" i="2" s="1"/>
  <c r="F1472" i="2" s="1"/>
  <c r="T1471" i="2"/>
  <c r="W1471" i="2"/>
  <c r="E1472" i="2" s="1"/>
  <c r="C1472" i="2" l="1"/>
  <c r="D1472" i="2"/>
  <c r="H1472" i="2"/>
  <c r="M1472" i="2" s="1"/>
  <c r="B1472" i="2"/>
  <c r="L1472" i="2" l="1"/>
  <c r="N1472" i="2"/>
  <c r="O1472" i="2" s="1"/>
  <c r="J1472" i="2"/>
  <c r="I1472" i="2"/>
  <c r="K1472" i="2"/>
  <c r="S1472" i="2"/>
  <c r="R1472" i="2" l="1"/>
  <c r="V1472" i="2" s="1"/>
  <c r="Y1472" i="2" s="1"/>
  <c r="G1473" i="2" s="1"/>
  <c r="Q1472" i="2"/>
  <c r="U1472" i="2" s="1"/>
  <c r="X1472" i="2" s="1"/>
  <c r="F1473" i="2" s="1"/>
  <c r="P1472" i="2"/>
  <c r="T1472" i="2" s="1"/>
  <c r="W1472" i="2" s="1"/>
  <c r="E1473" i="2" s="1"/>
  <c r="H1473" i="2" l="1"/>
  <c r="L1473" i="2" s="1"/>
  <c r="B1473" i="2"/>
  <c r="C1473" i="2"/>
  <c r="D1473" i="2"/>
  <c r="N1473" i="2" l="1"/>
  <c r="O1473" i="2" s="1"/>
  <c r="M1473" i="2"/>
  <c r="R1473" i="2"/>
  <c r="Q1473" i="2"/>
  <c r="P1473" i="2"/>
  <c r="K1473" i="2"/>
  <c r="I1473" i="2"/>
  <c r="J1473" i="2"/>
  <c r="S1473" i="2"/>
  <c r="V1473" i="2" l="1"/>
  <c r="U1473" i="2"/>
  <c r="T1473" i="2"/>
  <c r="W1473" i="2" s="1"/>
  <c r="E1474" i="2" s="1"/>
  <c r="X1473" i="2"/>
  <c r="F1474" i="2" s="1"/>
  <c r="Y1473" i="2"/>
  <c r="G1474" i="2" s="1"/>
  <c r="H1474" i="2" l="1"/>
  <c r="L1474" i="2"/>
  <c r="B1474" i="2"/>
  <c r="N1474" i="2"/>
  <c r="O1474" i="2" s="1"/>
  <c r="D1474" i="2"/>
  <c r="M1474" i="2"/>
  <c r="C1474" i="2"/>
  <c r="R1474" i="2" l="1"/>
  <c r="Q1474" i="2"/>
  <c r="P1474" i="2"/>
  <c r="K1474" i="2"/>
  <c r="J1474" i="2"/>
  <c r="I1474" i="2"/>
  <c r="S1474" i="2"/>
  <c r="V1474" i="2" l="1"/>
  <c r="U1474" i="2"/>
  <c r="X1474" i="2" s="1"/>
  <c r="F1475" i="2" s="1"/>
  <c r="T1474" i="2"/>
  <c r="W1474" i="2" s="1"/>
  <c r="E1475" i="2" s="1"/>
  <c r="Y1474" i="2"/>
  <c r="G1475" i="2" s="1"/>
  <c r="C1475" i="2" l="1"/>
  <c r="D1475" i="2"/>
  <c r="H1475" i="2"/>
  <c r="B1475" i="2"/>
  <c r="K1475" i="2" l="1"/>
  <c r="J1475" i="2"/>
  <c r="I1475" i="2"/>
  <c r="S1475" i="2"/>
  <c r="L1475" i="2"/>
  <c r="N1475" i="2"/>
  <c r="O1475" i="2" s="1"/>
  <c r="M1475" i="2"/>
  <c r="R1475" i="2" l="1"/>
  <c r="V1475" i="2" s="1"/>
  <c r="Y1475" i="2" s="1"/>
  <c r="G1476" i="2" s="1"/>
  <c r="Q1475" i="2"/>
  <c r="U1475" i="2" s="1"/>
  <c r="X1475" i="2" s="1"/>
  <c r="F1476" i="2" s="1"/>
  <c r="P1475" i="2"/>
  <c r="T1475" i="2" s="1"/>
  <c r="W1475" i="2" s="1"/>
  <c r="E1476" i="2" s="1"/>
  <c r="H1476" i="2" l="1"/>
  <c r="L1476" i="2"/>
  <c r="B1476" i="2"/>
  <c r="M1476" i="2"/>
  <c r="C1476" i="2"/>
  <c r="N1476" i="2"/>
  <c r="O1476" i="2" s="1"/>
  <c r="D1476" i="2"/>
  <c r="R1476" i="2" l="1"/>
  <c r="Q1476" i="2"/>
  <c r="P1476" i="2"/>
  <c r="K1476" i="2"/>
  <c r="J1476" i="2"/>
  <c r="I1476" i="2"/>
  <c r="S1476" i="2"/>
  <c r="V1476" i="2" l="1"/>
  <c r="U1476" i="2"/>
  <c r="T1476" i="2"/>
  <c r="W1476" i="2" s="1"/>
  <c r="E1477" i="2" s="1"/>
  <c r="X1476" i="2"/>
  <c r="F1477" i="2" s="1"/>
  <c r="Y1476" i="2"/>
  <c r="G1477" i="2" s="1"/>
  <c r="C1477" i="2" l="1"/>
  <c r="D1477" i="2"/>
  <c r="H1477" i="2"/>
  <c r="N1477" i="2" s="1"/>
  <c r="O1477" i="2" s="1"/>
  <c r="B1477" i="2"/>
  <c r="L1477" i="2" l="1"/>
  <c r="P1477" i="2" s="1"/>
  <c r="R1477" i="2"/>
  <c r="K1477" i="2"/>
  <c r="J1477" i="2"/>
  <c r="I1477" i="2"/>
  <c r="S1477" i="2"/>
  <c r="M1477" i="2"/>
  <c r="Q1477" i="2" s="1"/>
  <c r="V1477" i="2" l="1"/>
  <c r="Y1477" i="2" s="1"/>
  <c r="G1478" i="2" s="1"/>
  <c r="U1477" i="2"/>
  <c r="X1477" i="2" s="1"/>
  <c r="F1478" i="2" s="1"/>
  <c r="T1477" i="2"/>
  <c r="W1477" i="2" s="1"/>
  <c r="E1478" i="2" s="1"/>
  <c r="H1478" i="2" l="1"/>
  <c r="L1478" i="2"/>
  <c r="B1478" i="2"/>
  <c r="N1478" i="2"/>
  <c r="O1478" i="2" s="1"/>
  <c r="D1478" i="2"/>
  <c r="M1478" i="2"/>
  <c r="C1478" i="2"/>
  <c r="R1478" i="2" l="1"/>
  <c r="Q1478" i="2"/>
  <c r="P1478" i="2"/>
  <c r="K1478" i="2"/>
  <c r="J1478" i="2"/>
  <c r="I1478" i="2"/>
  <c r="S1478" i="2"/>
  <c r="V1478" i="2" l="1"/>
  <c r="U1478" i="2"/>
  <c r="T1478" i="2"/>
  <c r="X1478" i="2"/>
  <c r="F1479" i="2" s="1"/>
  <c r="W1478" i="2"/>
  <c r="E1479" i="2" s="1"/>
  <c r="Y1478" i="2"/>
  <c r="G1479" i="2" s="1"/>
  <c r="H1479" i="2" l="1"/>
  <c r="L1479" i="2" s="1"/>
  <c r="B1479" i="2"/>
  <c r="N1479" i="2"/>
  <c r="O1479" i="2" s="1"/>
  <c r="D1479" i="2"/>
  <c r="M1479" i="2"/>
  <c r="C1479" i="2"/>
  <c r="R1479" i="2" l="1"/>
  <c r="Q1479" i="2"/>
  <c r="P1479" i="2"/>
  <c r="K1479" i="2"/>
  <c r="J1479" i="2"/>
  <c r="I1479" i="2"/>
  <c r="S1479" i="2"/>
  <c r="V1479" i="2" l="1"/>
  <c r="U1479" i="2"/>
  <c r="T1479" i="2"/>
  <c r="X1479" i="2"/>
  <c r="F1480" i="2" s="1"/>
  <c r="W1479" i="2"/>
  <c r="E1480" i="2" s="1"/>
  <c r="Y1479" i="2"/>
  <c r="G1480" i="2" s="1"/>
  <c r="H1480" i="2" l="1"/>
  <c r="L1480" i="2" s="1"/>
  <c r="B1480" i="2"/>
  <c r="N1480" i="2"/>
  <c r="O1480" i="2" s="1"/>
  <c r="D1480" i="2"/>
  <c r="M1480" i="2"/>
  <c r="C1480" i="2"/>
  <c r="R1480" i="2" l="1"/>
  <c r="Q1480" i="2"/>
  <c r="P1480" i="2"/>
  <c r="K1480" i="2"/>
  <c r="J1480" i="2"/>
  <c r="I1480" i="2"/>
  <c r="S1480" i="2"/>
  <c r="V1480" i="2" l="1"/>
  <c r="U1480" i="2"/>
  <c r="T1480" i="2"/>
  <c r="W1480" i="2" s="1"/>
  <c r="E1481" i="2" s="1"/>
  <c r="X1480" i="2"/>
  <c r="F1481" i="2" s="1"/>
  <c r="Y1480" i="2"/>
  <c r="G1481" i="2" s="1"/>
  <c r="H1481" i="2" l="1"/>
  <c r="L1481" i="2"/>
  <c r="B1481" i="2"/>
  <c r="N1481" i="2"/>
  <c r="O1481" i="2" s="1"/>
  <c r="D1481" i="2"/>
  <c r="M1481" i="2"/>
  <c r="C1481" i="2"/>
  <c r="R1481" i="2" l="1"/>
  <c r="Q1481" i="2"/>
  <c r="P1481" i="2"/>
  <c r="J1481" i="2"/>
  <c r="I1481" i="2"/>
  <c r="K1481" i="2"/>
  <c r="S1481" i="2"/>
  <c r="V1481" i="2" l="1"/>
  <c r="Y1481" i="2" s="1"/>
  <c r="G1482" i="2" s="1"/>
  <c r="U1481" i="2"/>
  <c r="T1481" i="2"/>
  <c r="W1481" i="2" s="1"/>
  <c r="E1482" i="2" s="1"/>
  <c r="X1481" i="2"/>
  <c r="F1482" i="2" s="1"/>
  <c r="D1482" i="2" l="1"/>
  <c r="C1482" i="2"/>
  <c r="H1482" i="2"/>
  <c r="L1482" i="2" s="1"/>
  <c r="B1482" i="2"/>
  <c r="J1482" i="2" l="1"/>
  <c r="I1482" i="2"/>
  <c r="K1482" i="2"/>
  <c r="S1482" i="2"/>
  <c r="M1482" i="2"/>
  <c r="N1482" i="2"/>
  <c r="O1482" i="2" s="1"/>
  <c r="R1482" i="2" l="1"/>
  <c r="V1482" i="2" s="1"/>
  <c r="Y1482" i="2" s="1"/>
  <c r="G1483" i="2" s="1"/>
  <c r="Q1482" i="2"/>
  <c r="U1482" i="2" s="1"/>
  <c r="X1482" i="2" s="1"/>
  <c r="F1483" i="2" s="1"/>
  <c r="P1482" i="2"/>
  <c r="T1482" i="2" s="1"/>
  <c r="W1482" i="2" s="1"/>
  <c r="E1483" i="2" s="1"/>
  <c r="C1483" i="2" l="1"/>
  <c r="H1483" i="2"/>
  <c r="L1483" i="2" s="1"/>
  <c r="B1483" i="2"/>
  <c r="N1483" i="2"/>
  <c r="O1483" i="2" s="1"/>
  <c r="D1483" i="2"/>
  <c r="R1483" i="2" l="1"/>
  <c r="P1483" i="2"/>
  <c r="I1483" i="2"/>
  <c r="J1483" i="2"/>
  <c r="K1483" i="2"/>
  <c r="S1483" i="2"/>
  <c r="M1483" i="2"/>
  <c r="Q1483" i="2" s="1"/>
  <c r="V1483" i="2" l="1"/>
  <c r="U1483" i="2"/>
  <c r="X1483" i="2" s="1"/>
  <c r="F1484" i="2" s="1"/>
  <c r="T1483" i="2"/>
  <c r="Y1483" i="2"/>
  <c r="G1484" i="2" s="1"/>
  <c r="W1483" i="2"/>
  <c r="E1484" i="2" s="1"/>
  <c r="C1484" i="2" l="1"/>
  <c r="H1484" i="2"/>
  <c r="N1484" i="2" s="1"/>
  <c r="O1484" i="2" s="1"/>
  <c r="B1484" i="2"/>
  <c r="D1484" i="2"/>
  <c r="J1484" i="2" l="1"/>
  <c r="I1484" i="2"/>
  <c r="S1484" i="2"/>
  <c r="K1484" i="2"/>
  <c r="M1484" i="2"/>
  <c r="R1484" i="2"/>
  <c r="Q1484" i="2"/>
  <c r="L1484" i="2"/>
  <c r="P1484" i="2" s="1"/>
  <c r="V1484" i="2" l="1"/>
  <c r="Y1484" i="2" s="1"/>
  <c r="G1485" i="2" s="1"/>
  <c r="U1484" i="2"/>
  <c r="T1484" i="2"/>
  <c r="W1484" i="2"/>
  <c r="E1485" i="2" s="1"/>
  <c r="X1484" i="2"/>
  <c r="F1485" i="2" s="1"/>
  <c r="D1485" i="2" l="1"/>
  <c r="C1485" i="2"/>
  <c r="H1485" i="2"/>
  <c r="L1485" i="2" s="1"/>
  <c r="B1485" i="2"/>
  <c r="K1485" i="2" l="1"/>
  <c r="I1485" i="2"/>
  <c r="J1485" i="2"/>
  <c r="S1485" i="2"/>
  <c r="M1485" i="2"/>
  <c r="N1485" i="2"/>
  <c r="O1485" i="2" s="1"/>
  <c r="R1485" i="2" l="1"/>
  <c r="Q1485" i="2"/>
  <c r="P1485" i="2"/>
  <c r="T1485" i="2" s="1"/>
  <c r="W1485" i="2" s="1"/>
  <c r="E1486" i="2" s="1"/>
  <c r="V1485" i="2"/>
  <c r="U1485" i="2"/>
  <c r="X1485" i="2" s="1"/>
  <c r="F1486" i="2" s="1"/>
  <c r="Y1485" i="2"/>
  <c r="G1486" i="2" s="1"/>
  <c r="C1486" i="2" l="1"/>
  <c r="H1486" i="2"/>
  <c r="L1486" i="2" s="1"/>
  <c r="B1486" i="2"/>
  <c r="D1486" i="2"/>
  <c r="N1486" i="2" l="1"/>
  <c r="O1486" i="2" s="1"/>
  <c r="R1486" i="2"/>
  <c r="P1486" i="2"/>
  <c r="K1486" i="2"/>
  <c r="I1486" i="2"/>
  <c r="S1486" i="2"/>
  <c r="J1486" i="2"/>
  <c r="M1486" i="2"/>
  <c r="Q1486" i="2" s="1"/>
  <c r="V1486" i="2" l="1"/>
  <c r="Y1486" i="2" s="1"/>
  <c r="G1487" i="2" s="1"/>
  <c r="U1486" i="2"/>
  <c r="X1486" i="2" s="1"/>
  <c r="F1487" i="2" s="1"/>
  <c r="T1486" i="2"/>
  <c r="W1486" i="2" s="1"/>
  <c r="E1487" i="2" s="1"/>
  <c r="C1487" i="2" l="1"/>
  <c r="D1487" i="2"/>
  <c r="H1487" i="2"/>
  <c r="B1487" i="2"/>
  <c r="K1487" i="2" l="1"/>
  <c r="J1487" i="2"/>
  <c r="S1487" i="2"/>
  <c r="I1487" i="2"/>
  <c r="M1487" i="2"/>
  <c r="L1487" i="2"/>
  <c r="N1487" i="2"/>
  <c r="O1487" i="2" s="1"/>
  <c r="R1487" i="2" l="1"/>
  <c r="V1487" i="2" s="1"/>
  <c r="Y1487" i="2" s="1"/>
  <c r="G1488" i="2" s="1"/>
  <c r="Q1487" i="2"/>
  <c r="U1487" i="2" s="1"/>
  <c r="X1487" i="2" s="1"/>
  <c r="F1488" i="2" s="1"/>
  <c r="P1487" i="2"/>
  <c r="T1487" i="2" s="1"/>
  <c r="W1487" i="2" s="1"/>
  <c r="E1488" i="2" s="1"/>
  <c r="H1488" i="2" l="1"/>
  <c r="L1488" i="2"/>
  <c r="B1488" i="2"/>
  <c r="N1488" i="2"/>
  <c r="O1488" i="2" s="1"/>
  <c r="D1488" i="2"/>
  <c r="M1488" i="2"/>
  <c r="C1488" i="2"/>
  <c r="R1488" i="2" l="1"/>
  <c r="Q1488" i="2"/>
  <c r="P1488" i="2"/>
  <c r="K1488" i="2"/>
  <c r="J1488" i="2"/>
  <c r="I1488" i="2"/>
  <c r="S1488" i="2"/>
  <c r="V1488" i="2" l="1"/>
  <c r="U1488" i="2"/>
  <c r="T1488" i="2"/>
  <c r="W1488" i="2" s="1"/>
  <c r="E1489" i="2" s="1"/>
  <c r="X1488" i="2"/>
  <c r="F1489" i="2" s="1"/>
  <c r="Y1488" i="2"/>
  <c r="G1489" i="2" s="1"/>
  <c r="H1489" i="2" l="1"/>
  <c r="L1489" i="2"/>
  <c r="B1489" i="2"/>
  <c r="N1489" i="2"/>
  <c r="O1489" i="2" s="1"/>
  <c r="D1489" i="2"/>
  <c r="M1489" i="2"/>
  <c r="C1489" i="2"/>
  <c r="R1489" i="2" l="1"/>
  <c r="Q1489" i="2"/>
  <c r="P1489" i="2"/>
  <c r="K1489" i="2"/>
  <c r="J1489" i="2"/>
  <c r="I1489" i="2"/>
  <c r="S1489" i="2"/>
  <c r="V1489" i="2" l="1"/>
  <c r="U1489" i="2"/>
  <c r="T1489" i="2"/>
  <c r="X1489" i="2"/>
  <c r="F1490" i="2" s="1"/>
  <c r="W1489" i="2"/>
  <c r="E1490" i="2" s="1"/>
  <c r="Y1489" i="2"/>
  <c r="G1490" i="2" s="1"/>
  <c r="H1490" i="2" l="1"/>
  <c r="B1490" i="2"/>
  <c r="N1490" i="2"/>
  <c r="O1490" i="2" s="1"/>
  <c r="D1490" i="2"/>
  <c r="M1490" i="2"/>
  <c r="C1490" i="2"/>
  <c r="R1490" i="2" l="1"/>
  <c r="Q1490" i="2"/>
  <c r="I1490" i="2"/>
  <c r="K1490" i="2"/>
  <c r="J1490" i="2"/>
  <c r="S1490" i="2"/>
  <c r="L1490" i="2"/>
  <c r="P1490" i="2" s="1"/>
  <c r="U1490" i="2" l="1"/>
  <c r="V1490" i="2"/>
  <c r="T1490" i="2"/>
  <c r="Y1490" i="2"/>
  <c r="G1491" i="2" s="1"/>
  <c r="X1490" i="2"/>
  <c r="F1491" i="2" s="1"/>
  <c r="W1490" i="2"/>
  <c r="E1491" i="2" s="1"/>
  <c r="C1491" i="2" l="1"/>
  <c r="H1491" i="2"/>
  <c r="L1491" i="2" s="1"/>
  <c r="B1491" i="2"/>
  <c r="N1491" i="2"/>
  <c r="O1491" i="2" s="1"/>
  <c r="D1491" i="2"/>
  <c r="R1491" i="2" l="1"/>
  <c r="P1491" i="2"/>
  <c r="J1491" i="2"/>
  <c r="I1491" i="2"/>
  <c r="K1491" i="2"/>
  <c r="S1491" i="2"/>
  <c r="M1491" i="2"/>
  <c r="Q1491" i="2" s="1"/>
  <c r="U1491" i="2" l="1"/>
  <c r="X1491" i="2" s="1"/>
  <c r="F1492" i="2" s="1"/>
  <c r="V1491" i="2"/>
  <c r="Y1491" i="2" s="1"/>
  <c r="G1492" i="2" s="1"/>
  <c r="T1491" i="2"/>
  <c r="W1491" i="2" s="1"/>
  <c r="E1492" i="2" s="1"/>
  <c r="D1492" i="2" l="1"/>
  <c r="C1492" i="2"/>
  <c r="H1492" i="2"/>
  <c r="B1492" i="2"/>
  <c r="I1492" i="2" l="1"/>
  <c r="K1492" i="2"/>
  <c r="J1492" i="2"/>
  <c r="S1492" i="2"/>
  <c r="L1492" i="2"/>
  <c r="M1492" i="2"/>
  <c r="N1492" i="2"/>
  <c r="O1492" i="2" s="1"/>
  <c r="P1492" i="2" l="1"/>
  <c r="T1492" i="2" s="1"/>
  <c r="W1492" i="2" s="1"/>
  <c r="E1493" i="2" s="1"/>
  <c r="Q1492" i="2"/>
  <c r="U1492" i="2" s="1"/>
  <c r="X1492" i="2" s="1"/>
  <c r="F1493" i="2" s="1"/>
  <c r="R1492" i="2"/>
  <c r="V1492" i="2" s="1"/>
  <c r="Y1492" i="2" s="1"/>
  <c r="G1493" i="2" s="1"/>
  <c r="D1493" i="2" l="1"/>
  <c r="C1493" i="2"/>
  <c r="H1493" i="2"/>
  <c r="L1493" i="2" s="1"/>
  <c r="B1493" i="2"/>
  <c r="K1493" i="2" l="1"/>
  <c r="J1493" i="2"/>
  <c r="I1493" i="2"/>
  <c r="S1493" i="2"/>
  <c r="M1493" i="2"/>
  <c r="N1493" i="2"/>
  <c r="O1493" i="2" s="1"/>
  <c r="R1493" i="2" l="1"/>
  <c r="Q1493" i="2"/>
  <c r="P1493" i="2"/>
  <c r="T1493" i="2" s="1"/>
  <c r="W1493" i="2" s="1"/>
  <c r="E1494" i="2" s="1"/>
  <c r="U1493" i="2"/>
  <c r="V1493" i="2"/>
  <c r="X1493" i="2"/>
  <c r="F1494" i="2" s="1"/>
  <c r="Y1493" i="2"/>
  <c r="G1494" i="2" s="1"/>
  <c r="H1494" i="2" l="1"/>
  <c r="L1494" i="2"/>
  <c r="B1494" i="2"/>
  <c r="N1494" i="2"/>
  <c r="O1494" i="2" s="1"/>
  <c r="D1494" i="2"/>
  <c r="M1494" i="2"/>
  <c r="C1494" i="2"/>
  <c r="R1494" i="2" l="1"/>
  <c r="Q1494" i="2"/>
  <c r="P1494" i="2"/>
  <c r="K1494" i="2"/>
  <c r="I1494" i="2"/>
  <c r="J1494" i="2"/>
  <c r="S1494" i="2"/>
  <c r="U1494" i="2" l="1"/>
  <c r="X1494" i="2" s="1"/>
  <c r="F1495" i="2" s="1"/>
  <c r="T1494" i="2"/>
  <c r="W1494" i="2" s="1"/>
  <c r="E1495" i="2" s="1"/>
  <c r="V1494" i="2"/>
  <c r="Y1494" i="2" s="1"/>
  <c r="G1495" i="2" s="1"/>
  <c r="C1495" i="2" l="1"/>
  <c r="D1495" i="2"/>
  <c r="H1495" i="2"/>
  <c r="B1495" i="2"/>
  <c r="J1495" i="2" l="1"/>
  <c r="K1495" i="2"/>
  <c r="I1495" i="2"/>
  <c r="S1495" i="2"/>
  <c r="L1495" i="2"/>
  <c r="N1495" i="2"/>
  <c r="O1495" i="2" s="1"/>
  <c r="M1495" i="2"/>
  <c r="R1495" i="2" l="1"/>
  <c r="Q1495" i="2"/>
  <c r="U1495" i="2" s="1"/>
  <c r="X1495" i="2" s="1"/>
  <c r="F1496" i="2" s="1"/>
  <c r="P1495" i="2"/>
  <c r="T1495" i="2" s="1"/>
  <c r="W1495" i="2" s="1"/>
  <c r="E1496" i="2" s="1"/>
  <c r="V1495" i="2"/>
  <c r="Y1495" i="2" s="1"/>
  <c r="G1496" i="2" s="1"/>
  <c r="D1496" i="2" l="1"/>
  <c r="C1496" i="2"/>
  <c r="H1496" i="2"/>
  <c r="L1496" i="2" s="1"/>
  <c r="B1496" i="2"/>
  <c r="K1496" i="2" l="1"/>
  <c r="J1496" i="2"/>
  <c r="I1496" i="2"/>
  <c r="S1496" i="2"/>
  <c r="M1496" i="2"/>
  <c r="N1496" i="2"/>
  <c r="O1496" i="2" s="1"/>
  <c r="R1496" i="2" l="1"/>
  <c r="Q1496" i="2"/>
  <c r="U1496" i="2" s="1"/>
  <c r="X1496" i="2" s="1"/>
  <c r="F1497" i="2" s="1"/>
  <c r="P1496" i="2"/>
  <c r="T1496" i="2" s="1"/>
  <c r="W1496" i="2" s="1"/>
  <c r="E1497" i="2" s="1"/>
  <c r="V1496" i="2"/>
  <c r="Y1496" i="2"/>
  <c r="G1497" i="2" s="1"/>
  <c r="H1497" i="2" l="1"/>
  <c r="L1497" i="2" s="1"/>
  <c r="B1497" i="2"/>
  <c r="C1497" i="2"/>
  <c r="D1497" i="2"/>
  <c r="N1497" i="2" l="1"/>
  <c r="O1497" i="2" s="1"/>
  <c r="M1497" i="2"/>
  <c r="R1497" i="2"/>
  <c r="Q1497" i="2"/>
  <c r="P1497" i="2"/>
  <c r="K1497" i="2"/>
  <c r="I1497" i="2"/>
  <c r="J1497" i="2"/>
  <c r="S1497" i="2"/>
  <c r="U1497" i="2" l="1"/>
  <c r="T1497" i="2"/>
  <c r="V1497" i="2"/>
  <c r="Y1497" i="2"/>
  <c r="G1498" i="2" s="1"/>
  <c r="X1497" i="2"/>
  <c r="F1498" i="2" s="1"/>
  <c r="W1497" i="2"/>
  <c r="E1498" i="2" s="1"/>
  <c r="C1498" i="2" l="1"/>
  <c r="H1498" i="2"/>
  <c r="L1498" i="2" s="1"/>
  <c r="B1498" i="2"/>
  <c r="N1498" i="2"/>
  <c r="O1498" i="2" s="1"/>
  <c r="D1498" i="2"/>
  <c r="R1498" i="2" l="1"/>
  <c r="P1498" i="2"/>
  <c r="K1498" i="2"/>
  <c r="I1498" i="2"/>
  <c r="J1498" i="2"/>
  <c r="S1498" i="2"/>
  <c r="M1498" i="2"/>
  <c r="Q1498" i="2" s="1"/>
  <c r="U1498" i="2" l="1"/>
  <c r="T1498" i="2"/>
  <c r="V1498" i="2"/>
  <c r="W1498" i="2"/>
  <c r="E1499" i="2" s="1"/>
  <c r="X1498" i="2"/>
  <c r="F1499" i="2" s="1"/>
  <c r="Y1498" i="2"/>
  <c r="G1499" i="2" s="1"/>
  <c r="H1499" i="2" l="1"/>
  <c r="L1499" i="2" s="1"/>
  <c r="B1499" i="2"/>
  <c r="N1499" i="2"/>
  <c r="O1499" i="2" s="1"/>
  <c r="D1499" i="2"/>
  <c r="M1499" i="2"/>
  <c r="C1499" i="2"/>
  <c r="R1499" i="2" l="1"/>
  <c r="Q1499" i="2"/>
  <c r="P1499" i="2"/>
  <c r="J1499" i="2"/>
  <c r="I1499" i="2"/>
  <c r="K1499" i="2"/>
  <c r="S1499" i="2"/>
  <c r="U1499" i="2" l="1"/>
  <c r="T1499" i="2"/>
  <c r="V1499" i="2"/>
  <c r="Y1499" i="2" s="1"/>
  <c r="G1500" i="2" s="1"/>
  <c r="W1499" i="2"/>
  <c r="E1500" i="2" s="1"/>
  <c r="X1499" i="2"/>
  <c r="F1500" i="2" s="1"/>
  <c r="D1500" i="2" l="1"/>
  <c r="C1500" i="2"/>
  <c r="H1500" i="2"/>
  <c r="M1500" i="2" s="1"/>
  <c r="B1500" i="2"/>
  <c r="L1500" i="2" l="1"/>
  <c r="K1500" i="2"/>
  <c r="I1500" i="2"/>
  <c r="J1500" i="2"/>
  <c r="S1500" i="2"/>
  <c r="N1500" i="2"/>
  <c r="O1500" i="2" s="1"/>
  <c r="P1500" i="2" l="1"/>
  <c r="R1500" i="2"/>
  <c r="Q1500" i="2"/>
  <c r="U1500" i="2" s="1"/>
  <c r="X1500" i="2" s="1"/>
  <c r="F1501" i="2" s="1"/>
  <c r="T1500" i="2"/>
  <c r="W1500" i="2" s="1"/>
  <c r="E1501" i="2" s="1"/>
  <c r="V1500" i="2"/>
  <c r="Y1500" i="2"/>
  <c r="G1501" i="2" s="1"/>
  <c r="H1501" i="2" l="1"/>
  <c r="L1501" i="2" s="1"/>
  <c r="B1501" i="2"/>
  <c r="M1501" i="2"/>
  <c r="C1501" i="2"/>
  <c r="N1501" i="2"/>
  <c r="O1501" i="2" s="1"/>
  <c r="D1501" i="2"/>
  <c r="P1501" i="2" l="1"/>
  <c r="Q1501" i="2"/>
  <c r="R1501" i="2"/>
  <c r="K1501" i="2"/>
  <c r="I1501" i="2"/>
  <c r="S1501" i="2"/>
  <c r="J1501" i="2"/>
  <c r="U1501" i="2" l="1"/>
  <c r="T1501" i="2"/>
  <c r="V1501" i="2"/>
  <c r="X1501" i="2"/>
  <c r="F1502" i="2" s="1"/>
  <c r="W1501" i="2"/>
  <c r="E1502" i="2" s="1"/>
  <c r="Y1501" i="2"/>
  <c r="G1502" i="2" s="1"/>
  <c r="D1502" i="2" l="1"/>
  <c r="H1502" i="2"/>
  <c r="L1502" i="2" s="1"/>
  <c r="B1502" i="2"/>
  <c r="M1502" i="2"/>
  <c r="C1502" i="2"/>
  <c r="I1502" i="2" l="1"/>
  <c r="K1502" i="2"/>
  <c r="J1502" i="2"/>
  <c r="S1502" i="2"/>
  <c r="N1502" i="2"/>
  <c r="O1502" i="2" s="1"/>
  <c r="P1502" i="2" l="1"/>
  <c r="R1502" i="2"/>
  <c r="Q1502" i="2"/>
  <c r="U1502" i="2" s="1"/>
  <c r="X1502" i="2" s="1"/>
  <c r="F1503" i="2" s="1"/>
  <c r="T1502" i="2"/>
  <c r="V1502" i="2"/>
  <c r="Y1502" i="2" s="1"/>
  <c r="G1503" i="2" s="1"/>
  <c r="W1502" i="2"/>
  <c r="E1503" i="2" s="1"/>
  <c r="D1503" i="2" l="1"/>
  <c r="C1503" i="2"/>
  <c r="H1503" i="2"/>
  <c r="L1503" i="2" s="1"/>
  <c r="B1503" i="2"/>
  <c r="K1503" i="2" l="1"/>
  <c r="I1503" i="2"/>
  <c r="J1503" i="2"/>
  <c r="S1503" i="2"/>
  <c r="M1503" i="2"/>
  <c r="N1503" i="2"/>
  <c r="O1503" i="2" s="1"/>
  <c r="P1503" i="2" l="1"/>
  <c r="R1503" i="2"/>
  <c r="V1503" i="2" s="1"/>
  <c r="Y1503" i="2" s="1"/>
  <c r="G1504" i="2" s="1"/>
  <c r="Q1503" i="2"/>
  <c r="U1503" i="2" s="1"/>
  <c r="X1503" i="2" s="1"/>
  <c r="F1504" i="2" s="1"/>
  <c r="T1503" i="2"/>
  <c r="W1503" i="2" s="1"/>
  <c r="E1504" i="2" s="1"/>
  <c r="H1504" i="2" l="1"/>
  <c r="L1504" i="2"/>
  <c r="B1504" i="2"/>
  <c r="N1504" i="2"/>
  <c r="O1504" i="2" s="1"/>
  <c r="D1504" i="2"/>
  <c r="M1504" i="2"/>
  <c r="C1504" i="2"/>
  <c r="P1504" i="2" l="1"/>
  <c r="R1504" i="2"/>
  <c r="Q1504" i="2"/>
  <c r="I1504" i="2"/>
  <c r="J1504" i="2"/>
  <c r="K1504" i="2"/>
  <c r="S1504" i="2"/>
  <c r="U1504" i="2" l="1"/>
  <c r="T1504" i="2"/>
  <c r="V1504" i="2"/>
  <c r="Y1504" i="2" s="1"/>
  <c r="G1505" i="2" s="1"/>
  <c r="X1504" i="2"/>
  <c r="F1505" i="2" s="1"/>
  <c r="W1504" i="2"/>
  <c r="E1505" i="2" s="1"/>
  <c r="D1505" i="2" l="1"/>
  <c r="H1505" i="2"/>
  <c r="B1505" i="2"/>
  <c r="C1505" i="2"/>
  <c r="J1505" i="2" l="1"/>
  <c r="I1505" i="2"/>
  <c r="K1505" i="2"/>
  <c r="S1505" i="2"/>
  <c r="M1505" i="2"/>
  <c r="L1505" i="2"/>
  <c r="N1505" i="2"/>
  <c r="O1505" i="2" s="1"/>
  <c r="P1505" i="2" l="1"/>
  <c r="R1505" i="2"/>
  <c r="Q1505" i="2"/>
  <c r="U1505" i="2" s="1"/>
  <c r="X1505" i="2" s="1"/>
  <c r="F1506" i="2" s="1"/>
  <c r="T1505" i="2"/>
  <c r="W1505" i="2" s="1"/>
  <c r="E1506" i="2" s="1"/>
  <c r="V1505" i="2"/>
  <c r="Y1505" i="2" s="1"/>
  <c r="G1506" i="2" s="1"/>
  <c r="H1506" i="2" l="1"/>
  <c r="L1506" i="2" s="1"/>
  <c r="B1506" i="2"/>
  <c r="D1506" i="2"/>
  <c r="C1506" i="2"/>
  <c r="M1506" i="2" l="1"/>
  <c r="N1506" i="2"/>
  <c r="O1506" i="2" s="1"/>
  <c r="P1506" i="2"/>
  <c r="R1506" i="2"/>
  <c r="Q1506" i="2"/>
  <c r="K1506" i="2"/>
  <c r="J1506" i="2"/>
  <c r="I1506" i="2"/>
  <c r="S1506" i="2"/>
  <c r="U1506" i="2" l="1"/>
  <c r="T1506" i="2"/>
  <c r="V1506" i="2"/>
  <c r="W1506" i="2"/>
  <c r="E1507" i="2" s="1"/>
  <c r="X1506" i="2"/>
  <c r="F1507" i="2" s="1"/>
  <c r="Y1506" i="2"/>
  <c r="G1507" i="2" s="1"/>
  <c r="C1507" i="2" l="1"/>
  <c r="D1507" i="2"/>
  <c r="H1507" i="2"/>
  <c r="L1507" i="2" s="1"/>
  <c r="B1507" i="2"/>
  <c r="K1507" i="2" l="1"/>
  <c r="J1507" i="2"/>
  <c r="I1507" i="2"/>
  <c r="S1507" i="2"/>
  <c r="N1507" i="2"/>
  <c r="O1507" i="2" s="1"/>
  <c r="M1507" i="2"/>
  <c r="P1507" i="2" l="1"/>
  <c r="Q1507" i="2"/>
  <c r="U1507" i="2" s="1"/>
  <c r="X1507" i="2" s="1"/>
  <c r="F1508" i="2" s="1"/>
  <c r="R1507" i="2"/>
  <c r="V1507" i="2" s="1"/>
  <c r="Y1507" i="2" s="1"/>
  <c r="G1508" i="2" s="1"/>
  <c r="T1507" i="2"/>
  <c r="W1507" i="2" s="1"/>
  <c r="E1508" i="2" s="1"/>
  <c r="H1508" i="2" l="1"/>
  <c r="L1508" i="2" s="1"/>
  <c r="B1508" i="2"/>
  <c r="N1508" i="2"/>
  <c r="O1508" i="2" s="1"/>
  <c r="D1508" i="2"/>
  <c r="M1508" i="2"/>
  <c r="C1508" i="2"/>
  <c r="P1508" i="2" l="1"/>
  <c r="R1508" i="2"/>
  <c r="Q1508" i="2"/>
  <c r="K1508" i="2"/>
  <c r="J1508" i="2"/>
  <c r="I1508" i="2"/>
  <c r="S1508" i="2"/>
  <c r="U1508" i="2" l="1"/>
  <c r="T1508" i="2"/>
  <c r="W1508" i="2" s="1"/>
  <c r="E1509" i="2" s="1"/>
  <c r="V1508" i="2"/>
  <c r="X1508" i="2"/>
  <c r="F1509" i="2" s="1"/>
  <c r="Y1508" i="2"/>
  <c r="G1509" i="2" s="1"/>
  <c r="H1509" i="2" l="1"/>
  <c r="L1509" i="2" s="1"/>
  <c r="B1509" i="2"/>
  <c r="M1509" i="2"/>
  <c r="C1509" i="2"/>
  <c r="N1509" i="2"/>
  <c r="O1509" i="2" s="1"/>
  <c r="D1509" i="2"/>
  <c r="R1509" i="2" l="1"/>
  <c r="Q1509" i="2"/>
  <c r="P1509" i="2"/>
  <c r="K1509" i="2"/>
  <c r="J1509" i="2"/>
  <c r="I1509" i="2"/>
  <c r="S1509" i="2"/>
  <c r="U1509" i="2" l="1"/>
  <c r="T1509" i="2"/>
  <c r="V1509" i="2"/>
  <c r="Y1509" i="2"/>
  <c r="G1510" i="2" s="1"/>
  <c r="W1509" i="2"/>
  <c r="E1510" i="2" s="1"/>
  <c r="X1509" i="2"/>
  <c r="F1510" i="2" s="1"/>
  <c r="C1510" i="2" l="1"/>
  <c r="H1510" i="2"/>
  <c r="L1510" i="2" s="1"/>
  <c r="B1510" i="2"/>
  <c r="N1510" i="2"/>
  <c r="O1510" i="2" s="1"/>
  <c r="D1510" i="2"/>
  <c r="R1510" i="2" l="1"/>
  <c r="P1510" i="2"/>
  <c r="K1510" i="2"/>
  <c r="J1510" i="2"/>
  <c r="I1510" i="2"/>
  <c r="S1510" i="2"/>
  <c r="M1510" i="2"/>
  <c r="Q1510" i="2" s="1"/>
  <c r="U1510" i="2" l="1"/>
  <c r="T1510" i="2"/>
  <c r="V1510" i="2"/>
  <c r="W1510" i="2"/>
  <c r="E1511" i="2" s="1"/>
  <c r="X1510" i="2"/>
  <c r="F1511" i="2" s="1"/>
  <c r="Y1510" i="2"/>
  <c r="G1511" i="2" s="1"/>
  <c r="D1511" i="2" l="1"/>
  <c r="C1511" i="2"/>
  <c r="H1511" i="2"/>
  <c r="L1511" i="2" s="1"/>
  <c r="B1511" i="2"/>
  <c r="K1511" i="2" l="1"/>
  <c r="J1511" i="2"/>
  <c r="I1511" i="2"/>
  <c r="S1511" i="2"/>
  <c r="M1511" i="2"/>
  <c r="N1511" i="2"/>
  <c r="O1511" i="2" s="1"/>
  <c r="R1511" i="2" l="1"/>
  <c r="Q1511" i="2"/>
  <c r="P1511" i="2"/>
  <c r="T1511" i="2" s="1"/>
  <c r="W1511" i="2" s="1"/>
  <c r="E1512" i="2" s="1"/>
  <c r="U1511" i="2"/>
  <c r="X1511" i="2" s="1"/>
  <c r="F1512" i="2" s="1"/>
  <c r="V1511" i="2"/>
  <c r="Y1511" i="2" s="1"/>
  <c r="G1512" i="2" s="1"/>
  <c r="C1512" i="2" l="1"/>
  <c r="H1512" i="2"/>
  <c r="B1512" i="2"/>
  <c r="D1512" i="2"/>
  <c r="I1512" i="2" l="1"/>
  <c r="K1512" i="2"/>
  <c r="S1512" i="2"/>
  <c r="J1512" i="2"/>
  <c r="L1512" i="2"/>
  <c r="N1512" i="2"/>
  <c r="O1512" i="2" s="1"/>
  <c r="M1512" i="2"/>
  <c r="R1512" i="2" l="1"/>
  <c r="Q1512" i="2"/>
  <c r="P1512" i="2"/>
  <c r="U1512" i="2"/>
  <c r="X1512" i="2" s="1"/>
  <c r="F1513" i="2" s="1"/>
  <c r="V1512" i="2"/>
  <c r="T1512" i="2"/>
  <c r="Y1512" i="2"/>
  <c r="G1513" i="2" s="1"/>
  <c r="W1512" i="2"/>
  <c r="E1513" i="2" s="1"/>
  <c r="C1513" i="2" l="1"/>
  <c r="H1513" i="2"/>
  <c r="L1513" i="2" s="1"/>
  <c r="B1513" i="2"/>
  <c r="D1513" i="2"/>
  <c r="N1513" i="2" l="1"/>
  <c r="O1513" i="2" s="1"/>
  <c r="R1513" i="2"/>
  <c r="P1513" i="2"/>
  <c r="J1513" i="2"/>
  <c r="K1513" i="2"/>
  <c r="I1513" i="2"/>
  <c r="S1513" i="2"/>
  <c r="M1513" i="2"/>
  <c r="Q1513" i="2" s="1"/>
  <c r="U1513" i="2" l="1"/>
  <c r="V1513" i="2"/>
  <c r="T1513" i="2"/>
  <c r="X1513" i="2"/>
  <c r="F1514" i="2" s="1"/>
  <c r="W1513" i="2"/>
  <c r="E1514" i="2" s="1"/>
  <c r="Y1513" i="2"/>
  <c r="G1514" i="2" s="1"/>
  <c r="H1514" i="2" l="1"/>
  <c r="L1514" i="2" s="1"/>
  <c r="B1514" i="2"/>
  <c r="N1514" i="2"/>
  <c r="O1514" i="2" s="1"/>
  <c r="D1514" i="2"/>
  <c r="M1514" i="2"/>
  <c r="C1514" i="2"/>
  <c r="R1514" i="2" l="1"/>
  <c r="Q1514" i="2"/>
  <c r="P1514" i="2"/>
  <c r="J1514" i="2"/>
  <c r="K1514" i="2"/>
  <c r="I1514" i="2"/>
  <c r="S1514" i="2"/>
  <c r="U1514" i="2" l="1"/>
  <c r="V1514" i="2"/>
  <c r="T1514" i="2"/>
  <c r="Y1514" i="2"/>
  <c r="G1515" i="2" s="1"/>
  <c r="W1514" i="2"/>
  <c r="E1515" i="2" s="1"/>
  <c r="X1514" i="2"/>
  <c r="F1515" i="2" s="1"/>
  <c r="H1515" i="2" l="1"/>
  <c r="L1515" i="2" s="1"/>
  <c r="B1515" i="2"/>
  <c r="M1515" i="2"/>
  <c r="C1515" i="2"/>
  <c r="N1515" i="2"/>
  <c r="O1515" i="2" s="1"/>
  <c r="D1515" i="2"/>
  <c r="R1515" i="2" l="1"/>
  <c r="Q1515" i="2"/>
  <c r="P1515" i="2"/>
  <c r="I1515" i="2"/>
  <c r="J1515" i="2"/>
  <c r="K1515" i="2"/>
  <c r="S1515" i="2"/>
  <c r="U1515" i="2" l="1"/>
  <c r="V1515" i="2"/>
  <c r="T1515" i="2"/>
  <c r="X1515" i="2"/>
  <c r="F1516" i="2" s="1"/>
  <c r="Y1515" i="2"/>
  <c r="G1516" i="2" s="1"/>
  <c r="W1515" i="2"/>
  <c r="E1516" i="2" s="1"/>
  <c r="D1516" i="2" l="1"/>
  <c r="H1516" i="2"/>
  <c r="B1516" i="2"/>
  <c r="M1516" i="2"/>
  <c r="C1516" i="2"/>
  <c r="I1516" i="2" l="1"/>
  <c r="K1516" i="2"/>
  <c r="J1516" i="2"/>
  <c r="S1516" i="2"/>
  <c r="N1516" i="2"/>
  <c r="O1516" i="2" s="1"/>
  <c r="L1516" i="2"/>
  <c r="R1516" i="2" l="1"/>
  <c r="V1516" i="2" s="1"/>
  <c r="Y1516" i="2" s="1"/>
  <c r="G1517" i="2" s="1"/>
  <c r="Q1516" i="2"/>
  <c r="U1516" i="2" s="1"/>
  <c r="X1516" i="2" s="1"/>
  <c r="F1517" i="2" s="1"/>
  <c r="P1516" i="2"/>
  <c r="T1516" i="2" s="1"/>
  <c r="W1516" i="2" s="1"/>
  <c r="E1517" i="2" s="1"/>
  <c r="C1517" i="2" l="1"/>
  <c r="H1517" i="2"/>
  <c r="N1517" i="2" s="1"/>
  <c r="O1517" i="2" s="1"/>
  <c r="B1517" i="2"/>
  <c r="D1517" i="2"/>
  <c r="R1517" i="2" l="1"/>
  <c r="J1517" i="2"/>
  <c r="I1517" i="2"/>
  <c r="K1517" i="2"/>
  <c r="S1517" i="2"/>
  <c r="M1517" i="2"/>
  <c r="Q1517" i="2" s="1"/>
  <c r="L1517" i="2"/>
  <c r="P1517" i="2" s="1"/>
  <c r="U1517" i="2" l="1"/>
  <c r="V1517" i="2"/>
  <c r="T1517" i="2"/>
  <c r="X1517" i="2"/>
  <c r="F1518" i="2" s="1"/>
  <c r="Y1517" i="2"/>
  <c r="G1518" i="2" s="1"/>
  <c r="W1517" i="2"/>
  <c r="E1518" i="2" s="1"/>
  <c r="D1518" i="2" l="1"/>
  <c r="H1518" i="2"/>
  <c r="B1518" i="2"/>
  <c r="M1518" i="2"/>
  <c r="C1518" i="2"/>
  <c r="I1518" i="2" l="1"/>
  <c r="K1518" i="2"/>
  <c r="J1518" i="2"/>
  <c r="S1518" i="2"/>
  <c r="L1518" i="2"/>
  <c r="N1518" i="2"/>
  <c r="O1518" i="2" s="1"/>
  <c r="R1518" i="2" l="1"/>
  <c r="Q1518" i="2"/>
  <c r="P1518" i="2"/>
  <c r="T1518" i="2" s="1"/>
  <c r="W1518" i="2" s="1"/>
  <c r="E1519" i="2" s="1"/>
  <c r="U1518" i="2"/>
  <c r="X1518" i="2" s="1"/>
  <c r="F1519" i="2" s="1"/>
  <c r="V1518" i="2"/>
  <c r="Y1518" i="2" s="1"/>
  <c r="G1519" i="2" s="1"/>
  <c r="C1519" i="2" l="1"/>
  <c r="H1519" i="2"/>
  <c r="L1519" i="2" s="1"/>
  <c r="B1519" i="2"/>
  <c r="D1519" i="2"/>
  <c r="N1519" i="2" l="1"/>
  <c r="O1519" i="2" s="1"/>
  <c r="R1519" i="2"/>
  <c r="P1519" i="2"/>
  <c r="I1519" i="2"/>
  <c r="K1519" i="2"/>
  <c r="J1519" i="2"/>
  <c r="S1519" i="2"/>
  <c r="M1519" i="2"/>
  <c r="Q1519" i="2" s="1"/>
  <c r="U1519" i="2" l="1"/>
  <c r="V1519" i="2"/>
  <c r="T1519" i="2"/>
  <c r="X1519" i="2"/>
  <c r="F1520" i="2" s="1"/>
  <c r="W1519" i="2"/>
  <c r="E1520" i="2" s="1"/>
  <c r="Y1519" i="2"/>
  <c r="G1520" i="2" s="1"/>
  <c r="H1520" i="2" l="1"/>
  <c r="L1520" i="2"/>
  <c r="B1520" i="2"/>
  <c r="N1520" i="2"/>
  <c r="O1520" i="2" s="1"/>
  <c r="D1520" i="2"/>
  <c r="M1520" i="2"/>
  <c r="C1520" i="2"/>
  <c r="R1520" i="2" l="1"/>
  <c r="Q1520" i="2"/>
  <c r="P1520" i="2"/>
  <c r="I1520" i="2"/>
  <c r="J1520" i="2"/>
  <c r="K1520" i="2"/>
  <c r="S1520" i="2"/>
  <c r="U1520" i="2" l="1"/>
  <c r="V1520" i="2"/>
  <c r="T1520" i="2"/>
  <c r="X1520" i="2"/>
  <c r="F1521" i="2" s="1"/>
  <c r="Y1520" i="2"/>
  <c r="G1521" i="2" s="1"/>
  <c r="W1520" i="2"/>
  <c r="E1521" i="2" s="1"/>
  <c r="D1521" i="2" l="1"/>
  <c r="H1521" i="2"/>
  <c r="B1521" i="2"/>
  <c r="M1521" i="2"/>
  <c r="C1521" i="2"/>
  <c r="I1521" i="2" l="1"/>
  <c r="K1521" i="2"/>
  <c r="J1521" i="2"/>
  <c r="S1521" i="2"/>
  <c r="L1521" i="2"/>
  <c r="N1521" i="2"/>
  <c r="O1521" i="2" s="1"/>
  <c r="R1521" i="2" l="1"/>
  <c r="Q1521" i="2"/>
  <c r="U1521" i="2" s="1"/>
  <c r="X1521" i="2" s="1"/>
  <c r="F1522" i="2" s="1"/>
  <c r="P1521" i="2"/>
  <c r="V1521" i="2"/>
  <c r="Y1521" i="2" s="1"/>
  <c r="G1522" i="2" s="1"/>
  <c r="T1521" i="2"/>
  <c r="W1521" i="2" s="1"/>
  <c r="E1522" i="2" s="1"/>
  <c r="D1522" i="2" l="1"/>
  <c r="C1522" i="2"/>
  <c r="H1522" i="2"/>
  <c r="B1522" i="2"/>
  <c r="I1522" i="2" l="1"/>
  <c r="K1522" i="2"/>
  <c r="J1522" i="2"/>
  <c r="S1522" i="2"/>
  <c r="L1522" i="2"/>
  <c r="M1522" i="2"/>
  <c r="N1522" i="2"/>
  <c r="O1522" i="2" s="1"/>
  <c r="R1522" i="2" l="1"/>
  <c r="V1522" i="2" s="1"/>
  <c r="Y1522" i="2" s="1"/>
  <c r="G1523" i="2" s="1"/>
  <c r="Q1522" i="2"/>
  <c r="U1522" i="2" s="1"/>
  <c r="X1522" i="2" s="1"/>
  <c r="F1523" i="2" s="1"/>
  <c r="P1522" i="2"/>
  <c r="T1522" i="2" s="1"/>
  <c r="W1522" i="2" s="1"/>
  <c r="E1523" i="2" s="1"/>
  <c r="C1523" i="2" l="1"/>
  <c r="H1523" i="2"/>
  <c r="N1523" i="2" s="1"/>
  <c r="O1523" i="2" s="1"/>
  <c r="B1523" i="2"/>
  <c r="D1523" i="2"/>
  <c r="R1523" i="2" l="1"/>
  <c r="K1523" i="2"/>
  <c r="J1523" i="2"/>
  <c r="I1523" i="2"/>
  <c r="S1523" i="2"/>
  <c r="L1523" i="2"/>
  <c r="P1523" i="2" s="1"/>
  <c r="M1523" i="2"/>
  <c r="Q1523" i="2" s="1"/>
  <c r="U1523" i="2" l="1"/>
  <c r="X1523" i="2" s="1"/>
  <c r="F1524" i="2" s="1"/>
  <c r="V1523" i="2"/>
  <c r="T1523" i="2"/>
  <c r="W1523" i="2" s="1"/>
  <c r="E1524" i="2" s="1"/>
  <c r="Y1523" i="2"/>
  <c r="G1524" i="2" s="1"/>
  <c r="H1524" i="2" l="1"/>
  <c r="L1524" i="2" s="1"/>
  <c r="B1524" i="2"/>
  <c r="C1524" i="2"/>
  <c r="D1524" i="2"/>
  <c r="N1524" i="2" l="1"/>
  <c r="O1524" i="2" s="1"/>
  <c r="M1524" i="2"/>
  <c r="R1524" i="2"/>
  <c r="Q1524" i="2"/>
  <c r="P1524" i="2"/>
  <c r="J1524" i="2"/>
  <c r="I1524" i="2"/>
  <c r="K1524" i="2"/>
  <c r="S1524" i="2"/>
  <c r="U1524" i="2" l="1"/>
  <c r="V1524" i="2"/>
  <c r="Y1524" i="2" s="1"/>
  <c r="G1525" i="2" s="1"/>
  <c r="T1524" i="2"/>
  <c r="X1524" i="2"/>
  <c r="F1525" i="2" s="1"/>
  <c r="W1524" i="2"/>
  <c r="E1525" i="2" s="1"/>
  <c r="D1525" i="2" l="1"/>
  <c r="H1525" i="2"/>
  <c r="L1525" i="2" s="1"/>
  <c r="B1525" i="2"/>
  <c r="C1525" i="2"/>
  <c r="M1525" i="2" l="1"/>
  <c r="J1525" i="2"/>
  <c r="K1525" i="2"/>
  <c r="I1525" i="2"/>
  <c r="S1525" i="2"/>
  <c r="N1525" i="2"/>
  <c r="O1525" i="2" s="1"/>
  <c r="R1525" i="2" l="1"/>
  <c r="Q1525" i="2"/>
  <c r="U1525" i="2" s="1"/>
  <c r="X1525" i="2" s="1"/>
  <c r="F1526" i="2" s="1"/>
  <c r="P1525" i="2"/>
  <c r="T1525" i="2" s="1"/>
  <c r="W1525" i="2" s="1"/>
  <c r="E1526" i="2" s="1"/>
  <c r="V1525" i="2"/>
  <c r="Y1525" i="2" s="1"/>
  <c r="G1526" i="2" s="1"/>
  <c r="D1526" i="2" l="1"/>
  <c r="C1526" i="2"/>
  <c r="H1526" i="2"/>
  <c r="B1526" i="2"/>
  <c r="J1526" i="2" l="1"/>
  <c r="S1526" i="2"/>
  <c r="K1526" i="2"/>
  <c r="I1526" i="2"/>
  <c r="L1526" i="2"/>
  <c r="M1526" i="2"/>
  <c r="N1526" i="2"/>
  <c r="O1526" i="2" s="1"/>
  <c r="R1526" i="2" l="1"/>
  <c r="Q1526" i="2"/>
  <c r="U1526" i="2" s="1"/>
  <c r="X1526" i="2" s="1"/>
  <c r="F1527" i="2" s="1"/>
  <c r="P1526" i="2"/>
  <c r="T1526" i="2" s="1"/>
  <c r="W1526" i="2" s="1"/>
  <c r="E1527" i="2" s="1"/>
  <c r="V1526" i="2"/>
  <c r="Y1526" i="2" s="1"/>
  <c r="G1527" i="2" s="1"/>
  <c r="C1527" i="2" l="1"/>
  <c r="H1527" i="2"/>
  <c r="L1527" i="2" s="1"/>
  <c r="B1527" i="2"/>
  <c r="D1527" i="2"/>
  <c r="N1527" i="2" l="1"/>
  <c r="O1527" i="2" s="1"/>
  <c r="R1527" i="2"/>
  <c r="P1527" i="2"/>
  <c r="I1527" i="2"/>
  <c r="J1527" i="2"/>
  <c r="K1527" i="2"/>
  <c r="S1527" i="2"/>
  <c r="M1527" i="2"/>
  <c r="Q1527" i="2" s="1"/>
  <c r="V1527" i="2" l="1"/>
  <c r="Y1527" i="2" s="1"/>
  <c r="G1528" i="2" s="1"/>
  <c r="U1527" i="2"/>
  <c r="X1527" i="2" s="1"/>
  <c r="F1528" i="2" s="1"/>
  <c r="T1527" i="2"/>
  <c r="W1527" i="2"/>
  <c r="E1528" i="2" s="1"/>
  <c r="D1528" i="2" l="1"/>
  <c r="C1528" i="2"/>
  <c r="H1528" i="2"/>
  <c r="L1528" i="2" s="1"/>
  <c r="B1528" i="2"/>
  <c r="I1528" i="2" l="1"/>
  <c r="K1528" i="2"/>
  <c r="J1528" i="2"/>
  <c r="S1528" i="2"/>
  <c r="M1528" i="2"/>
  <c r="N1528" i="2"/>
  <c r="O1528" i="2" s="1"/>
  <c r="R1528" i="2" l="1"/>
  <c r="P1528" i="2"/>
  <c r="Q1528" i="2"/>
  <c r="U1528" i="2" s="1"/>
  <c r="X1528" i="2" s="1"/>
  <c r="F1529" i="2" s="1"/>
  <c r="V1528" i="2"/>
  <c r="Y1528" i="2" s="1"/>
  <c r="G1529" i="2" s="1"/>
  <c r="T1528" i="2"/>
  <c r="W1528" i="2"/>
  <c r="E1529" i="2" s="1"/>
  <c r="D1529" i="2" l="1"/>
  <c r="C1529" i="2"/>
  <c r="H1529" i="2"/>
  <c r="L1529" i="2" s="1"/>
  <c r="B1529" i="2"/>
  <c r="I1529" i="2" l="1"/>
  <c r="K1529" i="2"/>
  <c r="J1529" i="2"/>
  <c r="S1529" i="2"/>
  <c r="M1529" i="2"/>
  <c r="N1529" i="2"/>
  <c r="O1529" i="2" s="1"/>
  <c r="R1529" i="2" l="1"/>
  <c r="Q1529" i="2"/>
  <c r="U1529" i="2" s="1"/>
  <c r="X1529" i="2" s="1"/>
  <c r="F1530" i="2" s="1"/>
  <c r="P1529" i="2"/>
  <c r="T1529" i="2" s="1"/>
  <c r="W1529" i="2" s="1"/>
  <c r="E1530" i="2" s="1"/>
  <c r="V1529" i="2"/>
  <c r="Y1529" i="2" s="1"/>
  <c r="G1530" i="2" s="1"/>
  <c r="D1530" i="2" l="1"/>
  <c r="C1530" i="2"/>
  <c r="H1530" i="2"/>
  <c r="B1530" i="2"/>
  <c r="I1530" i="2" l="1"/>
  <c r="K1530" i="2"/>
  <c r="S1530" i="2"/>
  <c r="J1530" i="2"/>
  <c r="L1530" i="2"/>
  <c r="M1530" i="2"/>
  <c r="N1530" i="2"/>
  <c r="O1530" i="2" s="1"/>
  <c r="R1530" i="2" l="1"/>
  <c r="Q1530" i="2"/>
  <c r="P1530" i="2"/>
  <c r="V1530" i="2"/>
  <c r="Y1530" i="2" s="1"/>
  <c r="G1531" i="2" s="1"/>
  <c r="U1530" i="2"/>
  <c r="X1530" i="2" s="1"/>
  <c r="F1531" i="2" s="1"/>
  <c r="T1530" i="2"/>
  <c r="W1530" i="2" s="1"/>
  <c r="E1531" i="2" s="1"/>
  <c r="C1531" i="2" l="1"/>
  <c r="D1531" i="2"/>
  <c r="H1531" i="2"/>
  <c r="L1531" i="2" s="1"/>
  <c r="B1531" i="2"/>
  <c r="I1531" i="2" l="1"/>
  <c r="K1531" i="2"/>
  <c r="J1531" i="2"/>
  <c r="S1531" i="2"/>
  <c r="N1531" i="2"/>
  <c r="O1531" i="2" s="1"/>
  <c r="M1531" i="2"/>
  <c r="R1531" i="2" l="1"/>
  <c r="Q1531" i="2"/>
  <c r="U1531" i="2" s="1"/>
  <c r="X1531" i="2" s="1"/>
  <c r="F1532" i="2" s="1"/>
  <c r="P1531" i="2"/>
  <c r="T1531" i="2" s="1"/>
  <c r="W1531" i="2" s="1"/>
  <c r="E1532" i="2" s="1"/>
  <c r="V1531" i="2"/>
  <c r="Y1531" i="2" s="1"/>
  <c r="G1532" i="2" s="1"/>
  <c r="D1532" i="2" l="1"/>
  <c r="C1532" i="2"/>
  <c r="H1532" i="2"/>
  <c r="L1532" i="2"/>
  <c r="B1532" i="2"/>
  <c r="I1532" i="2" l="1"/>
  <c r="K1532" i="2"/>
  <c r="J1532" i="2"/>
  <c r="S1532" i="2"/>
  <c r="M1532" i="2"/>
  <c r="N1532" i="2"/>
  <c r="O1532" i="2" s="1"/>
  <c r="R1532" i="2" l="1"/>
  <c r="V1532" i="2" s="1"/>
  <c r="Y1532" i="2" s="1"/>
  <c r="G1533" i="2" s="1"/>
  <c r="Q1532" i="2"/>
  <c r="U1532" i="2" s="1"/>
  <c r="X1532" i="2" s="1"/>
  <c r="F1533" i="2" s="1"/>
  <c r="P1532" i="2"/>
  <c r="T1532" i="2" s="1"/>
  <c r="W1532" i="2" s="1"/>
  <c r="E1533" i="2" s="1"/>
  <c r="C1533" i="2" l="1"/>
  <c r="H1533" i="2"/>
  <c r="L1533" i="2" s="1"/>
  <c r="B1533" i="2"/>
  <c r="D1533" i="2"/>
  <c r="N1533" i="2" l="1"/>
  <c r="O1533" i="2" s="1"/>
  <c r="R1533" i="2" s="1"/>
  <c r="I1533" i="2"/>
  <c r="K1533" i="2"/>
  <c r="J1533" i="2"/>
  <c r="S1533" i="2"/>
  <c r="M1533" i="2"/>
  <c r="Q1533" i="2" l="1"/>
  <c r="P1533" i="2"/>
  <c r="V1533" i="2"/>
  <c r="U1533" i="2"/>
  <c r="T1533" i="2"/>
  <c r="W1533" i="2" s="1"/>
  <c r="E1534" i="2" s="1"/>
  <c r="Y1533" i="2"/>
  <c r="G1534" i="2" s="1"/>
  <c r="X1533" i="2"/>
  <c r="F1534" i="2" s="1"/>
  <c r="H1534" i="2" l="1"/>
  <c r="L1534" i="2" s="1"/>
  <c r="B1534" i="2"/>
  <c r="N1534" i="2"/>
  <c r="O1534" i="2" s="1"/>
  <c r="D1534" i="2"/>
  <c r="M1534" i="2"/>
  <c r="C1534" i="2"/>
  <c r="R1534" i="2" l="1"/>
  <c r="P1534" i="2"/>
  <c r="Q1534" i="2"/>
  <c r="I1534" i="2"/>
  <c r="K1534" i="2"/>
  <c r="J1534" i="2"/>
  <c r="S1534" i="2"/>
  <c r="V1534" i="2" l="1"/>
  <c r="U1534" i="2"/>
  <c r="X1534" i="2" s="1"/>
  <c r="F1535" i="2" s="1"/>
  <c r="T1534" i="2"/>
  <c r="W1534" i="2" s="1"/>
  <c r="E1535" i="2" s="1"/>
  <c r="Y1534" i="2"/>
  <c r="G1535" i="2" s="1"/>
  <c r="C1535" i="2" l="1"/>
  <c r="D1535" i="2"/>
  <c r="H1535" i="2"/>
  <c r="B1535" i="2"/>
  <c r="K1535" i="2" l="1"/>
  <c r="J1535" i="2"/>
  <c r="I1535" i="2"/>
  <c r="S1535" i="2"/>
  <c r="N1535" i="2"/>
  <c r="O1535" i="2" s="1"/>
  <c r="L1535" i="2"/>
  <c r="M1535" i="2"/>
  <c r="R1535" i="2" l="1"/>
  <c r="P1535" i="2"/>
  <c r="Q1535" i="2"/>
  <c r="V1535" i="2"/>
  <c r="U1535" i="2"/>
  <c r="X1535" i="2" s="1"/>
  <c r="F1536" i="2" s="1"/>
  <c r="T1535" i="2"/>
  <c r="W1535" i="2" s="1"/>
  <c r="E1536" i="2" s="1"/>
  <c r="Y1535" i="2"/>
  <c r="G1536" i="2" s="1"/>
  <c r="C1536" i="2" l="1"/>
  <c r="H1536" i="2"/>
  <c r="B1536" i="2"/>
  <c r="D1536" i="2"/>
  <c r="D40" i="3" l="1"/>
  <c r="B39" i="3"/>
  <c r="B40" i="3"/>
  <c r="D39" i="3"/>
  <c r="C39" i="3"/>
  <c r="C40" i="3"/>
  <c r="J1536" i="2"/>
  <c r="I1536" i="2"/>
  <c r="K1536" i="2"/>
  <c r="S1536" i="2"/>
  <c r="N1536" i="2"/>
  <c r="O1536" i="2" s="1"/>
  <c r="B41" i="3"/>
  <c r="D44" i="3"/>
  <c r="C44" i="3"/>
  <c r="B43" i="3"/>
  <c r="D42" i="3"/>
  <c r="C42" i="3"/>
  <c r="B44" i="3"/>
  <c r="B42" i="3"/>
  <c r="C41" i="3"/>
  <c r="D43" i="3"/>
  <c r="D41" i="3"/>
  <c r="G41" i="3" s="1"/>
  <c r="C43" i="3"/>
  <c r="L1536" i="2"/>
  <c r="M1536" i="2"/>
  <c r="R1536" i="2" l="1"/>
  <c r="V1536" i="2" s="1"/>
  <c r="Y1536" i="2" s="1"/>
  <c r="G1537" i="2" s="1"/>
  <c r="P1536" i="2"/>
  <c r="Q1536" i="2"/>
  <c r="U1536" i="2" s="1"/>
  <c r="X1536" i="2" s="1"/>
  <c r="F1537" i="2" s="1"/>
  <c r="T1536" i="2"/>
  <c r="W1536" i="2" s="1"/>
  <c r="E1537" i="2" s="1"/>
  <c r="C1537" i="2" l="1"/>
  <c r="D1537" i="2"/>
  <c r="H1537" i="2"/>
  <c r="L1537" i="2" s="1"/>
  <c r="B1537" i="2"/>
  <c r="J1537" i="2" l="1"/>
  <c r="K1537" i="2"/>
  <c r="I1537" i="2"/>
  <c r="S1537" i="2"/>
  <c r="N1537" i="2"/>
  <c r="O1537" i="2" s="1"/>
  <c r="M1537" i="2"/>
  <c r="R1537" i="2" l="1"/>
  <c r="P1537" i="2"/>
  <c r="T1537" i="2" s="1"/>
  <c r="W1537" i="2" s="1"/>
  <c r="E1538" i="2" s="1"/>
  <c r="Q1537" i="2"/>
  <c r="U1537" i="2" s="1"/>
  <c r="X1537" i="2" s="1"/>
  <c r="F1538" i="2" s="1"/>
  <c r="V1537" i="2"/>
  <c r="Y1537" i="2"/>
  <c r="G1538" i="2" s="1"/>
  <c r="H1538" i="2" l="1"/>
  <c r="L1538" i="2" s="1"/>
  <c r="B1538" i="2"/>
  <c r="M1538" i="2"/>
  <c r="C1538" i="2"/>
  <c r="N1538" i="2"/>
  <c r="O1538" i="2" s="1"/>
  <c r="D1538" i="2"/>
  <c r="R1538" i="2" l="1"/>
  <c r="P1538" i="2"/>
  <c r="Q1538" i="2"/>
  <c r="J1538" i="2"/>
  <c r="K1538" i="2"/>
  <c r="I1538" i="2"/>
  <c r="S1538" i="2"/>
  <c r="V1538" i="2" l="1"/>
  <c r="U1538" i="2"/>
  <c r="T1538" i="2"/>
  <c r="Y1538" i="2"/>
  <c r="G1539" i="2" s="1"/>
  <c r="W1538" i="2"/>
  <c r="E1539" i="2" s="1"/>
  <c r="X1538" i="2"/>
  <c r="F1539" i="2" s="1"/>
  <c r="H1539" i="2" l="1"/>
  <c r="L1539" i="2"/>
  <c r="B1539" i="2"/>
  <c r="M1539" i="2"/>
  <c r="C1539" i="2"/>
  <c r="N1539" i="2"/>
  <c r="O1539" i="2" s="1"/>
  <c r="D1539" i="2"/>
  <c r="R1539" i="2" l="1"/>
  <c r="P1539" i="2"/>
  <c r="Q1539" i="2"/>
  <c r="I1539" i="2"/>
  <c r="J1539" i="2"/>
  <c r="K1539" i="2"/>
  <c r="S1539" i="2"/>
  <c r="V1539" i="2" l="1"/>
  <c r="Y1539" i="2" s="1"/>
  <c r="G1540" i="2" s="1"/>
  <c r="U1539" i="2"/>
  <c r="T1539" i="2"/>
  <c r="W1539" i="2" s="1"/>
  <c r="E1540" i="2" s="1"/>
  <c r="X1539" i="2"/>
  <c r="F1540" i="2" s="1"/>
  <c r="D1540" i="2" l="1"/>
  <c r="H1540" i="2"/>
  <c r="B1540" i="2"/>
  <c r="C1540" i="2"/>
  <c r="I1540" i="2" l="1"/>
  <c r="K1540" i="2"/>
  <c r="J1540" i="2"/>
  <c r="S1540" i="2"/>
  <c r="M1540" i="2"/>
  <c r="L1540" i="2"/>
  <c r="N1540" i="2"/>
  <c r="O1540" i="2" s="1"/>
  <c r="R1540" i="2" l="1"/>
  <c r="P1540" i="2"/>
  <c r="Q1540" i="2"/>
  <c r="U1540" i="2" s="1"/>
  <c r="X1540" i="2" s="1"/>
  <c r="F1541" i="2" s="1"/>
  <c r="V1540" i="2"/>
  <c r="Y1540" i="2" s="1"/>
  <c r="G1541" i="2" s="1"/>
  <c r="T1540" i="2"/>
  <c r="W1540" i="2" s="1"/>
  <c r="E1541" i="2" s="1"/>
  <c r="D1541" i="2" l="1"/>
  <c r="C1541" i="2"/>
  <c r="H1541" i="2"/>
  <c r="M1541" i="2" s="1"/>
  <c r="B1541" i="2"/>
  <c r="L1541" i="2" l="1"/>
  <c r="I1541" i="2"/>
  <c r="K1541" i="2"/>
  <c r="S1541" i="2"/>
  <c r="J1541" i="2"/>
  <c r="N1541" i="2"/>
  <c r="O1541" i="2" s="1"/>
  <c r="R1541" i="2" l="1"/>
  <c r="P1541" i="2"/>
  <c r="Q1541" i="2"/>
  <c r="U1541" i="2" s="1"/>
  <c r="X1541" i="2" s="1"/>
  <c r="F1542" i="2" s="1"/>
  <c r="V1541" i="2"/>
  <c r="Y1541" i="2" s="1"/>
  <c r="G1542" i="2" s="1"/>
  <c r="T1541" i="2"/>
  <c r="W1541" i="2" s="1"/>
  <c r="E1542" i="2" s="1"/>
  <c r="C1542" i="2" l="1"/>
  <c r="D1542" i="2"/>
  <c r="H1542" i="2"/>
  <c r="B1542" i="2"/>
  <c r="I1542" i="2" l="1"/>
  <c r="K1542" i="2"/>
  <c r="S1542" i="2"/>
  <c r="J1542" i="2"/>
  <c r="L1542" i="2"/>
  <c r="N1542" i="2"/>
  <c r="O1542" i="2" s="1"/>
  <c r="M1542" i="2"/>
  <c r="R1542" i="2" l="1"/>
  <c r="P1542" i="2"/>
  <c r="Q1542" i="2"/>
  <c r="V1542" i="2"/>
  <c r="Y1542" i="2" s="1"/>
  <c r="G1543" i="2" s="1"/>
  <c r="U1542" i="2"/>
  <c r="X1542" i="2" s="1"/>
  <c r="F1543" i="2" s="1"/>
  <c r="T1542" i="2"/>
  <c r="W1542" i="2" s="1"/>
  <c r="E1543" i="2" s="1"/>
  <c r="C1543" i="2" l="1"/>
  <c r="D1543" i="2"/>
  <c r="H1543" i="2"/>
  <c r="L1543" i="2" s="1"/>
  <c r="B1543" i="2"/>
  <c r="I1543" i="2" l="1"/>
  <c r="K1543" i="2"/>
  <c r="J1543" i="2"/>
  <c r="S1543" i="2"/>
  <c r="N1543" i="2"/>
  <c r="O1543" i="2" s="1"/>
  <c r="M1543" i="2"/>
  <c r="R1543" i="2" l="1"/>
  <c r="P1543" i="2"/>
  <c r="Q1543" i="2"/>
  <c r="U1543" i="2" s="1"/>
  <c r="X1543" i="2" s="1"/>
  <c r="F1544" i="2" s="1"/>
  <c r="V1543" i="2"/>
  <c r="T1543" i="2"/>
  <c r="Y1543" i="2"/>
  <c r="G1544" i="2" s="1"/>
  <c r="W1543" i="2"/>
  <c r="E1544" i="2" s="1"/>
  <c r="H1544" i="2" l="1"/>
  <c r="L1544" i="2"/>
  <c r="B1544" i="2"/>
  <c r="M1544" i="2"/>
  <c r="C1544" i="2"/>
  <c r="N1544" i="2"/>
  <c r="O1544" i="2" s="1"/>
  <c r="D1544" i="2"/>
  <c r="R1544" i="2" l="1"/>
  <c r="P1544" i="2"/>
  <c r="Q1544" i="2"/>
  <c r="I1544" i="2"/>
  <c r="K1544" i="2"/>
  <c r="J1544" i="2"/>
  <c r="S1544" i="2"/>
  <c r="V1544" i="2" l="1"/>
  <c r="Y1544" i="2" s="1"/>
  <c r="G1545" i="2" s="1"/>
  <c r="U1544" i="2"/>
  <c r="T1544" i="2"/>
  <c r="X1544" i="2"/>
  <c r="F1545" i="2" s="1"/>
  <c r="W1544" i="2"/>
  <c r="E1545" i="2" s="1"/>
  <c r="D1545" i="2" l="1"/>
  <c r="H1545" i="2"/>
  <c r="B1545" i="2"/>
  <c r="C1545" i="2"/>
  <c r="I1545" i="2" l="1"/>
  <c r="K1545" i="2"/>
  <c r="J1545" i="2"/>
  <c r="S1545" i="2"/>
  <c r="M1545" i="2"/>
  <c r="L1545" i="2"/>
  <c r="N1545" i="2"/>
  <c r="O1545" i="2" s="1"/>
  <c r="R1545" i="2" l="1"/>
  <c r="P1545" i="2"/>
  <c r="Q1545" i="2"/>
  <c r="U1545" i="2" s="1"/>
  <c r="X1545" i="2" s="1"/>
  <c r="F1546" i="2" s="1"/>
  <c r="V1545" i="2"/>
  <c r="T1545" i="2"/>
  <c r="Y1545" i="2"/>
  <c r="G1546" i="2" s="1"/>
  <c r="W1545" i="2"/>
  <c r="E1546" i="2" s="1"/>
  <c r="C1546" i="2" l="1"/>
  <c r="H1546" i="2"/>
  <c r="L1546" i="2" s="1"/>
  <c r="B1546" i="2"/>
  <c r="D1546" i="2"/>
  <c r="N1546" i="2" l="1"/>
  <c r="O1546" i="2" s="1"/>
  <c r="R1546" i="2"/>
  <c r="P1546" i="2"/>
  <c r="I1546" i="2"/>
  <c r="K1546" i="2"/>
  <c r="J1546" i="2"/>
  <c r="S1546" i="2"/>
  <c r="M1546" i="2"/>
  <c r="Q1546" i="2" s="1"/>
  <c r="V1546" i="2" l="1"/>
  <c r="U1546" i="2"/>
  <c r="X1546" i="2" s="1"/>
  <c r="F1547" i="2" s="1"/>
  <c r="T1546" i="2"/>
  <c r="W1546" i="2" s="1"/>
  <c r="E1547" i="2" s="1"/>
  <c r="Y1546" i="2"/>
  <c r="G1547" i="2" s="1"/>
  <c r="H1547" i="2" l="1"/>
  <c r="L1547" i="2"/>
  <c r="B1547" i="2"/>
  <c r="M1547" i="2"/>
  <c r="C1547" i="2"/>
  <c r="N1547" i="2"/>
  <c r="O1547" i="2" s="1"/>
  <c r="D1547" i="2"/>
  <c r="R1547" i="2" l="1"/>
  <c r="P1547" i="2"/>
  <c r="Q1547" i="2"/>
  <c r="K1547" i="2"/>
  <c r="J1547" i="2"/>
  <c r="I1547" i="2"/>
  <c r="S1547" i="2"/>
  <c r="V1547" i="2" l="1"/>
  <c r="Y1547" i="2" s="1"/>
  <c r="G1548" i="2" s="1"/>
  <c r="U1547" i="2"/>
  <c r="T1547" i="2"/>
  <c r="W1547" i="2" s="1"/>
  <c r="E1548" i="2" s="1"/>
  <c r="X1547" i="2"/>
  <c r="F1548" i="2" s="1"/>
  <c r="H1548" i="2" l="1"/>
  <c r="L1548" i="2"/>
  <c r="B1548" i="2"/>
  <c r="N1548" i="2"/>
  <c r="O1548" i="2" s="1"/>
  <c r="D1548" i="2"/>
  <c r="M1548" i="2"/>
  <c r="C1548" i="2"/>
  <c r="R1548" i="2" l="1"/>
  <c r="P1548" i="2"/>
  <c r="Q1548" i="2"/>
  <c r="J1548" i="2"/>
  <c r="I1548" i="2"/>
  <c r="K1548" i="2"/>
  <c r="S1548" i="2"/>
  <c r="V1548" i="2" l="1"/>
  <c r="Y1548" i="2" s="1"/>
  <c r="G1549" i="2" s="1"/>
  <c r="U1548" i="2"/>
  <c r="T1548" i="2"/>
  <c r="W1548" i="2"/>
  <c r="E1549" i="2" s="1"/>
  <c r="X1548" i="2"/>
  <c r="F1549" i="2" s="1"/>
  <c r="D1549" i="2" l="1"/>
  <c r="C1549" i="2"/>
  <c r="H1549" i="2"/>
  <c r="B1549" i="2"/>
  <c r="J1549" i="2" l="1"/>
  <c r="K1549" i="2"/>
  <c r="I1549" i="2"/>
  <c r="S1549" i="2"/>
  <c r="M1549" i="2"/>
  <c r="L1549" i="2"/>
  <c r="N1549" i="2"/>
  <c r="O1549" i="2" s="1"/>
  <c r="R1549" i="2" l="1"/>
  <c r="P1549" i="2"/>
  <c r="Q1549" i="2"/>
  <c r="V1549" i="2"/>
  <c r="Y1549" i="2" s="1"/>
  <c r="G1550" i="2" s="1"/>
  <c r="U1549" i="2"/>
  <c r="T1549" i="2"/>
  <c r="W1549" i="2" s="1"/>
  <c r="E1550" i="2" s="1"/>
  <c r="X1549" i="2"/>
  <c r="F1550" i="2" s="1"/>
  <c r="H1550" i="2" l="1"/>
  <c r="L1550" i="2"/>
  <c r="B1550" i="2"/>
  <c r="N1550" i="2"/>
  <c r="O1550" i="2" s="1"/>
  <c r="D1550" i="2"/>
  <c r="M1550" i="2"/>
  <c r="C1550" i="2"/>
  <c r="R1550" i="2" l="1"/>
  <c r="P1550" i="2"/>
  <c r="Q1550" i="2"/>
  <c r="J1550" i="2"/>
  <c r="K1550" i="2"/>
  <c r="I1550" i="2"/>
  <c r="S1550" i="2"/>
  <c r="V1550" i="2" l="1"/>
  <c r="Y1550" i="2" s="1"/>
  <c r="G1551" i="2" s="1"/>
  <c r="U1550" i="2"/>
  <c r="T1550" i="2"/>
  <c r="W1550" i="2" s="1"/>
  <c r="E1551" i="2" s="1"/>
  <c r="X1550" i="2"/>
  <c r="F1551" i="2" s="1"/>
  <c r="H1551" i="2" l="1"/>
  <c r="L1551" i="2"/>
  <c r="B1551" i="2"/>
  <c r="N1551" i="2"/>
  <c r="O1551" i="2" s="1"/>
  <c r="D1551" i="2"/>
  <c r="M1551" i="2"/>
  <c r="C1551" i="2"/>
  <c r="R1551" i="2" l="1"/>
  <c r="P1551" i="2"/>
  <c r="Q1551" i="2"/>
  <c r="I1551" i="2"/>
  <c r="J1551" i="2"/>
  <c r="K1551" i="2"/>
  <c r="S1551" i="2"/>
  <c r="V1551" i="2" l="1"/>
  <c r="U1551" i="2"/>
  <c r="T1551" i="2"/>
  <c r="Y1551" i="2"/>
  <c r="G1552" i="2" s="1"/>
  <c r="W1551" i="2"/>
  <c r="E1552" i="2" s="1"/>
  <c r="X1551" i="2"/>
  <c r="F1552" i="2" s="1"/>
  <c r="H1552" i="2" l="1"/>
  <c r="L1552" i="2"/>
  <c r="B1552" i="2"/>
  <c r="M1552" i="2"/>
  <c r="C1552" i="2"/>
  <c r="N1552" i="2"/>
  <c r="O1552" i="2" s="1"/>
  <c r="D1552" i="2"/>
  <c r="R1552" i="2" l="1"/>
  <c r="P1552" i="2"/>
  <c r="Q1552" i="2"/>
  <c r="I1552" i="2"/>
  <c r="K1552" i="2"/>
  <c r="J1552" i="2"/>
  <c r="S1552" i="2"/>
  <c r="V1552" i="2" l="1"/>
  <c r="U1552" i="2"/>
  <c r="T1552" i="2"/>
  <c r="X1552" i="2"/>
  <c r="F1553" i="2" s="1"/>
  <c r="Y1552" i="2"/>
  <c r="G1553" i="2" s="1"/>
  <c r="W1552" i="2"/>
  <c r="E1553" i="2" s="1"/>
  <c r="H1553" i="2" l="1"/>
  <c r="L1553" i="2" s="1"/>
  <c r="B1553" i="2"/>
  <c r="N1553" i="2"/>
  <c r="O1553" i="2" s="1"/>
  <c r="D1553" i="2"/>
  <c r="M1553" i="2"/>
  <c r="C1553" i="2"/>
  <c r="R1553" i="2" l="1"/>
  <c r="P1553" i="2"/>
  <c r="Q1553" i="2"/>
  <c r="I1553" i="2"/>
  <c r="K1553" i="2"/>
  <c r="S1553" i="2"/>
  <c r="J1553" i="2"/>
  <c r="V1553" i="2" l="1"/>
  <c r="U1553" i="2"/>
  <c r="T1553" i="2"/>
  <c r="X1553" i="2"/>
  <c r="F1554" i="2" s="1"/>
  <c r="W1553" i="2"/>
  <c r="E1554" i="2" s="1"/>
  <c r="Y1553" i="2"/>
  <c r="G1554" i="2" s="1"/>
  <c r="H1554" i="2" l="1"/>
  <c r="L1554" i="2"/>
  <c r="B1554" i="2"/>
  <c r="N1554" i="2"/>
  <c r="O1554" i="2" s="1"/>
  <c r="D1554" i="2"/>
  <c r="M1554" i="2"/>
  <c r="C1554" i="2"/>
  <c r="R1554" i="2" l="1"/>
  <c r="P1554" i="2"/>
  <c r="Q1554" i="2"/>
  <c r="I1554" i="2"/>
  <c r="K1554" i="2"/>
  <c r="J1554" i="2"/>
  <c r="S1554" i="2"/>
  <c r="V1554" i="2" l="1"/>
  <c r="U1554" i="2"/>
  <c r="X1554" i="2" s="1"/>
  <c r="F1555" i="2" s="1"/>
  <c r="T1554" i="2"/>
  <c r="W1554" i="2" s="1"/>
  <c r="E1555" i="2" s="1"/>
  <c r="Y1554" i="2"/>
  <c r="G1555" i="2" s="1"/>
  <c r="C1555" i="2" l="1"/>
  <c r="D1555" i="2"/>
  <c r="H1555" i="2"/>
  <c r="N1555" i="2" s="1"/>
  <c r="O1555" i="2" s="1"/>
  <c r="B1555" i="2"/>
  <c r="L1555" i="2" l="1"/>
  <c r="R1555" i="2"/>
  <c r="P1555" i="2"/>
  <c r="I1555" i="2"/>
  <c r="K1555" i="2"/>
  <c r="J1555" i="2"/>
  <c r="S1555" i="2"/>
  <c r="M1555" i="2"/>
  <c r="Q1555" i="2" s="1"/>
  <c r="V1555" i="2" l="1"/>
  <c r="U1555" i="2"/>
  <c r="T1555" i="2"/>
  <c r="X1555" i="2"/>
  <c r="F1556" i="2" s="1"/>
  <c r="Y1555" i="2"/>
  <c r="G1556" i="2" s="1"/>
  <c r="W1555" i="2"/>
  <c r="E1556" i="2" s="1"/>
  <c r="H1556" i="2" l="1"/>
  <c r="L1556" i="2"/>
  <c r="B1556" i="2"/>
  <c r="N1556" i="2"/>
  <c r="O1556" i="2" s="1"/>
  <c r="D1556" i="2"/>
  <c r="M1556" i="2"/>
  <c r="C1556" i="2"/>
  <c r="R1556" i="2" l="1"/>
  <c r="P1556" i="2"/>
  <c r="Q1556" i="2"/>
  <c r="I1556" i="2"/>
  <c r="K1556" i="2"/>
  <c r="J1556" i="2"/>
  <c r="S1556" i="2"/>
  <c r="V1556" i="2" l="1"/>
  <c r="U1556" i="2"/>
  <c r="X1556" i="2" s="1"/>
  <c r="F1557" i="2" s="1"/>
  <c r="T1556" i="2"/>
  <c r="W1556" i="2" s="1"/>
  <c r="E1557" i="2" s="1"/>
  <c r="Y1556" i="2"/>
  <c r="G1557" i="2" s="1"/>
  <c r="H1557" i="2" l="1"/>
  <c r="L1557" i="2" s="1"/>
  <c r="B1557" i="2"/>
  <c r="M1557" i="2"/>
  <c r="C1557" i="2"/>
  <c r="N1557" i="2"/>
  <c r="O1557" i="2" s="1"/>
  <c r="D1557" i="2"/>
  <c r="R1557" i="2" l="1"/>
  <c r="P1557" i="2"/>
  <c r="Q1557" i="2"/>
  <c r="I1557" i="2"/>
  <c r="K1557" i="2"/>
  <c r="J1557" i="2"/>
  <c r="S1557" i="2"/>
  <c r="V1557" i="2" l="1"/>
  <c r="Y1557" i="2" s="1"/>
  <c r="G1558" i="2" s="1"/>
  <c r="U1557" i="2"/>
  <c r="T1557" i="2"/>
  <c r="X1557" i="2"/>
  <c r="F1558" i="2" s="1"/>
  <c r="W1557" i="2"/>
  <c r="E1558" i="2" s="1"/>
  <c r="D1558" i="2" l="1"/>
  <c r="H1558" i="2"/>
  <c r="L1558" i="2" s="1"/>
  <c r="B1558" i="2"/>
  <c r="C1558" i="2"/>
  <c r="M1558" i="2" l="1"/>
  <c r="I1558" i="2"/>
  <c r="K1558" i="2"/>
  <c r="J1558" i="2"/>
  <c r="S1558" i="2"/>
  <c r="N1558" i="2"/>
  <c r="O1558" i="2" s="1"/>
  <c r="R1558" i="2" l="1"/>
  <c r="P1558" i="2"/>
  <c r="T1558" i="2" s="1"/>
  <c r="W1558" i="2" s="1"/>
  <c r="E1559" i="2" s="1"/>
  <c r="Q1558" i="2"/>
  <c r="U1558" i="2" s="1"/>
  <c r="X1558" i="2" s="1"/>
  <c r="F1559" i="2" s="1"/>
  <c r="V1558" i="2"/>
  <c r="Y1558" i="2"/>
  <c r="G1559" i="2" s="1"/>
  <c r="H1559" i="2" l="1"/>
  <c r="L1559" i="2" s="1"/>
  <c r="B1559" i="2"/>
  <c r="M1559" i="2"/>
  <c r="C1559" i="2"/>
  <c r="N1559" i="2"/>
  <c r="O1559" i="2" s="1"/>
  <c r="D1559" i="2"/>
  <c r="R1559" i="2" l="1"/>
  <c r="P1559" i="2"/>
  <c r="Q1559" i="2"/>
  <c r="K1559" i="2"/>
  <c r="J1559" i="2"/>
  <c r="I1559" i="2"/>
  <c r="S1559" i="2"/>
  <c r="V1559" i="2" l="1"/>
  <c r="U1559" i="2"/>
  <c r="X1559" i="2" s="1"/>
  <c r="F1560" i="2" s="1"/>
  <c r="T1559" i="2"/>
  <c r="W1559" i="2"/>
  <c r="E1560" i="2" s="1"/>
  <c r="Y1559" i="2"/>
  <c r="G1560" i="2" s="1"/>
  <c r="C1560" i="2" l="1"/>
  <c r="D1560" i="2"/>
  <c r="H1560" i="2"/>
  <c r="L1560" i="2" s="1"/>
  <c r="B1560" i="2"/>
  <c r="J1560" i="2" l="1"/>
  <c r="I1560" i="2"/>
  <c r="K1560" i="2"/>
  <c r="S1560" i="2"/>
  <c r="N1560" i="2"/>
  <c r="O1560" i="2" s="1"/>
  <c r="M1560" i="2"/>
  <c r="R1560" i="2" l="1"/>
  <c r="P1560" i="2"/>
  <c r="Q1560" i="2"/>
  <c r="U1560" i="2" s="1"/>
  <c r="X1560" i="2" s="1"/>
  <c r="F1561" i="2" s="1"/>
  <c r="V1560" i="2"/>
  <c r="T1560" i="2"/>
  <c r="W1560" i="2" s="1"/>
  <c r="E1561" i="2" s="1"/>
  <c r="Y1560" i="2"/>
  <c r="G1561" i="2" s="1"/>
  <c r="H1561" i="2" l="1"/>
  <c r="L1561" i="2" s="1"/>
  <c r="B1561" i="2"/>
  <c r="N1561" i="2"/>
  <c r="O1561" i="2" s="1"/>
  <c r="D1561" i="2"/>
  <c r="M1561" i="2"/>
  <c r="C1561" i="2"/>
  <c r="R1561" i="2" l="1"/>
  <c r="P1561" i="2"/>
  <c r="Q1561" i="2"/>
  <c r="J1561" i="2"/>
  <c r="K1561" i="2"/>
  <c r="I1561" i="2"/>
  <c r="S1561" i="2"/>
  <c r="V1561" i="2" l="1"/>
  <c r="U1561" i="2"/>
  <c r="T1561" i="2"/>
  <c r="X1561" i="2"/>
  <c r="F1562" i="2" s="1"/>
  <c r="W1561" i="2"/>
  <c r="E1562" i="2" s="1"/>
  <c r="Y1561" i="2"/>
  <c r="G1562" i="2" s="1"/>
  <c r="H1562" i="2" l="1"/>
  <c r="L1562" i="2"/>
  <c r="B1562" i="2"/>
  <c r="N1562" i="2"/>
  <c r="O1562" i="2" s="1"/>
  <c r="D1562" i="2"/>
  <c r="M1562" i="2"/>
  <c r="C1562" i="2"/>
  <c r="R1562" i="2" l="1"/>
  <c r="P1562" i="2"/>
  <c r="Q1562" i="2"/>
  <c r="J1562" i="2"/>
  <c r="S1562" i="2"/>
  <c r="K1562" i="2"/>
  <c r="I1562" i="2"/>
  <c r="V1562" i="2" l="1"/>
  <c r="Y1562" i="2" s="1"/>
  <c r="G1563" i="2" s="1"/>
  <c r="U1562" i="2"/>
  <c r="T1562" i="2"/>
  <c r="W1562" i="2" s="1"/>
  <c r="E1563" i="2" s="1"/>
  <c r="X1562" i="2"/>
  <c r="F1563" i="2" s="1"/>
  <c r="D1563" i="2" l="1"/>
  <c r="C1563" i="2"/>
  <c r="H1563" i="2"/>
  <c r="N1563" i="2" s="1"/>
  <c r="O1563" i="2" s="1"/>
  <c r="L1563" i="2"/>
  <c r="B1563" i="2"/>
  <c r="R1563" i="2" l="1"/>
  <c r="P1563" i="2"/>
  <c r="I1563" i="2"/>
  <c r="J1563" i="2"/>
  <c r="S1563" i="2"/>
  <c r="K1563" i="2"/>
  <c r="M1563" i="2"/>
  <c r="Q1563" i="2" s="1"/>
  <c r="V1563" i="2" l="1"/>
  <c r="Y1563" i="2" s="1"/>
  <c r="G1564" i="2" s="1"/>
  <c r="U1563" i="2"/>
  <c r="X1563" i="2" s="1"/>
  <c r="F1564" i="2" s="1"/>
  <c r="T1563" i="2"/>
  <c r="W1563" i="2" s="1"/>
  <c r="E1564" i="2" s="1"/>
  <c r="C1564" i="2" l="1"/>
  <c r="D1564" i="2"/>
  <c r="H1564" i="2"/>
  <c r="M1564" i="2" s="1"/>
  <c r="B1564" i="2"/>
  <c r="L1564" i="2" l="1"/>
  <c r="I1564" i="2"/>
  <c r="K1564" i="2"/>
  <c r="J1564" i="2"/>
  <c r="S1564" i="2"/>
  <c r="N1564" i="2"/>
  <c r="O1564" i="2" s="1"/>
  <c r="R1564" i="2" l="1"/>
  <c r="P1564" i="2"/>
  <c r="T1564" i="2" s="1"/>
  <c r="W1564" i="2" s="1"/>
  <c r="E1565" i="2" s="1"/>
  <c r="Q1564" i="2"/>
  <c r="U1564" i="2" s="1"/>
  <c r="X1564" i="2" s="1"/>
  <c r="F1565" i="2" s="1"/>
  <c r="V1564" i="2"/>
  <c r="Y1564" i="2" s="1"/>
  <c r="G1565" i="2" s="1"/>
  <c r="D1565" i="2" l="1"/>
  <c r="H1565" i="2"/>
  <c r="B1565" i="2"/>
  <c r="C1565" i="2"/>
  <c r="I1565" i="2" l="1"/>
  <c r="K1565" i="2"/>
  <c r="J1565" i="2"/>
  <c r="S1565" i="2"/>
  <c r="M1565" i="2"/>
  <c r="L1565" i="2"/>
  <c r="N1565" i="2"/>
  <c r="O1565" i="2" s="1"/>
  <c r="R1565" i="2" l="1"/>
  <c r="V1565" i="2" s="1"/>
  <c r="Y1565" i="2" s="1"/>
  <c r="G1566" i="2" s="1"/>
  <c r="P1565" i="2"/>
  <c r="T1565" i="2" s="1"/>
  <c r="W1565" i="2" s="1"/>
  <c r="E1566" i="2" s="1"/>
  <c r="Q1565" i="2"/>
  <c r="U1565" i="2" s="1"/>
  <c r="X1565" i="2" s="1"/>
  <c r="F1566" i="2" s="1"/>
  <c r="H1566" i="2" l="1"/>
  <c r="L1566" i="2" s="1"/>
  <c r="B1566" i="2"/>
  <c r="M1566" i="2"/>
  <c r="C1566" i="2"/>
  <c r="N1566" i="2"/>
  <c r="O1566" i="2" s="1"/>
  <c r="D1566" i="2"/>
  <c r="R1566" i="2" l="1"/>
  <c r="P1566" i="2"/>
  <c r="Q1566" i="2"/>
  <c r="I1566" i="2"/>
  <c r="K1566" i="2"/>
  <c r="J1566" i="2"/>
  <c r="S1566" i="2"/>
  <c r="V1566" i="2" l="1"/>
  <c r="U1566" i="2"/>
  <c r="T1566" i="2"/>
  <c r="Y1566" i="2"/>
  <c r="G1567" i="2" s="1"/>
  <c r="X1566" i="2"/>
  <c r="F1567" i="2" s="1"/>
  <c r="W1566" i="2"/>
  <c r="E1567" i="2" s="1"/>
  <c r="C1567" i="2" l="1"/>
  <c r="H1567" i="2"/>
  <c r="B1567" i="2"/>
  <c r="N1567" i="2"/>
  <c r="O1567" i="2" s="1"/>
  <c r="D1567" i="2"/>
  <c r="I1567" i="2" l="1"/>
  <c r="K1567" i="2"/>
  <c r="J1567" i="2"/>
  <c r="S1567" i="2"/>
  <c r="R1567" i="2"/>
  <c r="L1567" i="2"/>
  <c r="P1567" i="2" s="1"/>
  <c r="M1567" i="2"/>
  <c r="Q1567" i="2" s="1"/>
  <c r="V1567" i="2" l="1"/>
  <c r="U1567" i="2"/>
  <c r="T1567" i="2"/>
  <c r="Y1567" i="2"/>
  <c r="G1568" i="2" s="1"/>
  <c r="X1567" i="2"/>
  <c r="F1568" i="2" s="1"/>
  <c r="W1567" i="2"/>
  <c r="E1568" i="2" s="1"/>
  <c r="C1568" i="2" l="1"/>
  <c r="H1568" i="2"/>
  <c r="B1568" i="2"/>
  <c r="N1568" i="2"/>
  <c r="O1568" i="2" s="1"/>
  <c r="D1568" i="2"/>
  <c r="I1568" i="2" l="1"/>
  <c r="K1568" i="2"/>
  <c r="J1568" i="2"/>
  <c r="S1568" i="2"/>
  <c r="R1568" i="2"/>
  <c r="L1568" i="2"/>
  <c r="P1568" i="2" s="1"/>
  <c r="M1568" i="2"/>
  <c r="Q1568" i="2" s="1"/>
  <c r="V1568" i="2" l="1"/>
  <c r="U1568" i="2"/>
  <c r="T1568" i="2"/>
  <c r="Y1568" i="2"/>
  <c r="G1569" i="2" s="1"/>
  <c r="X1568" i="2"/>
  <c r="F1569" i="2" s="1"/>
  <c r="W1568" i="2"/>
  <c r="E1569" i="2" s="1"/>
  <c r="C1569" i="2" l="1"/>
  <c r="H1569" i="2"/>
  <c r="N1569" i="2" s="1"/>
  <c r="O1569" i="2" s="1"/>
  <c r="B1569" i="2"/>
  <c r="D1569" i="2"/>
  <c r="R1569" i="2" l="1"/>
  <c r="I1569" i="2"/>
  <c r="K1569" i="2"/>
  <c r="J1569" i="2"/>
  <c r="S1569" i="2"/>
  <c r="L1569" i="2"/>
  <c r="P1569" i="2" s="1"/>
  <c r="M1569" i="2"/>
  <c r="Q1569" i="2" s="1"/>
  <c r="V1569" i="2" l="1"/>
  <c r="Y1569" i="2" s="1"/>
  <c r="G1570" i="2" s="1"/>
  <c r="U1569" i="2"/>
  <c r="X1569" i="2" s="1"/>
  <c r="F1570" i="2" s="1"/>
  <c r="T1569" i="2"/>
  <c r="W1569" i="2" s="1"/>
  <c r="E1570" i="2" s="1"/>
  <c r="C1570" i="2" l="1"/>
  <c r="D1570" i="2"/>
  <c r="H1570" i="2"/>
  <c r="L1570" i="2" s="1"/>
  <c r="B1570" i="2"/>
  <c r="I1570" i="2" l="1"/>
  <c r="K1570" i="2"/>
  <c r="J1570" i="2"/>
  <c r="S1570" i="2"/>
  <c r="N1570" i="2"/>
  <c r="O1570" i="2" s="1"/>
  <c r="M1570" i="2"/>
  <c r="R1570" i="2" l="1"/>
  <c r="V1570" i="2" s="1"/>
  <c r="Y1570" i="2" s="1"/>
  <c r="G1571" i="2" s="1"/>
  <c r="P1570" i="2"/>
  <c r="T1570" i="2" s="1"/>
  <c r="W1570" i="2" s="1"/>
  <c r="E1571" i="2" s="1"/>
  <c r="Q1570" i="2"/>
  <c r="U1570" i="2" s="1"/>
  <c r="X1570" i="2" s="1"/>
  <c r="F1571" i="2" s="1"/>
  <c r="H1571" i="2" l="1"/>
  <c r="L1571" i="2"/>
  <c r="B1571" i="2"/>
  <c r="M1571" i="2"/>
  <c r="C1571" i="2"/>
  <c r="N1571" i="2"/>
  <c r="O1571" i="2" s="1"/>
  <c r="D1571" i="2"/>
  <c r="R1571" i="2" l="1"/>
  <c r="P1571" i="2"/>
  <c r="Q1571" i="2"/>
  <c r="K1571" i="2"/>
  <c r="J1571" i="2"/>
  <c r="I1571" i="2"/>
  <c r="S1571" i="2"/>
  <c r="V1571" i="2" l="1"/>
  <c r="Y1571" i="2" s="1"/>
  <c r="G1572" i="2" s="1"/>
  <c r="U1571" i="2"/>
  <c r="X1571" i="2" s="1"/>
  <c r="F1572" i="2" s="1"/>
  <c r="T1571" i="2"/>
  <c r="W1571" i="2" s="1"/>
  <c r="E1572" i="2" s="1"/>
  <c r="H1572" i="2" l="1"/>
  <c r="L1572" i="2" s="1"/>
  <c r="B1572" i="2"/>
  <c r="M1572" i="2"/>
  <c r="C1572" i="2"/>
  <c r="N1572" i="2"/>
  <c r="O1572" i="2" s="1"/>
  <c r="D1572" i="2"/>
  <c r="R1572" i="2" l="1"/>
  <c r="P1572" i="2"/>
  <c r="Q1572" i="2"/>
  <c r="J1572" i="2"/>
  <c r="I1572" i="2"/>
  <c r="K1572" i="2"/>
  <c r="S1572" i="2"/>
  <c r="V1572" i="2" l="1"/>
  <c r="Y1572" i="2" s="1"/>
  <c r="G1573" i="2" s="1"/>
  <c r="U1572" i="2"/>
  <c r="X1572" i="2" s="1"/>
  <c r="F1573" i="2" s="1"/>
  <c r="T1572" i="2"/>
  <c r="W1572" i="2"/>
  <c r="E1573" i="2" s="1"/>
  <c r="D1573" i="2" l="1"/>
  <c r="H1573" i="2"/>
  <c r="B1573" i="2"/>
  <c r="M1573" i="2"/>
  <c r="C1573" i="2"/>
  <c r="J1573" i="2" l="1"/>
  <c r="K1573" i="2"/>
  <c r="I1573" i="2"/>
  <c r="S1573" i="2"/>
  <c r="L1573" i="2"/>
  <c r="N1573" i="2"/>
  <c r="O1573" i="2" s="1"/>
  <c r="R1573" i="2" l="1"/>
  <c r="P1573" i="2"/>
  <c r="Q1573" i="2"/>
  <c r="V1573" i="2"/>
  <c r="Y1573" i="2" s="1"/>
  <c r="G1574" i="2" s="1"/>
  <c r="U1573" i="2"/>
  <c r="T1573" i="2"/>
  <c r="W1573" i="2" s="1"/>
  <c r="E1574" i="2" s="1"/>
  <c r="X1573" i="2"/>
  <c r="F1574" i="2" s="1"/>
  <c r="H1574" i="2" l="1"/>
  <c r="L1574" i="2"/>
  <c r="B1574" i="2"/>
  <c r="N1574" i="2"/>
  <c r="O1574" i="2" s="1"/>
  <c r="D1574" i="2"/>
  <c r="M1574" i="2"/>
  <c r="C1574" i="2"/>
  <c r="R1574" i="2" l="1"/>
  <c r="P1574" i="2"/>
  <c r="Q1574" i="2"/>
  <c r="J1574" i="2"/>
  <c r="K1574" i="2"/>
  <c r="S1574" i="2"/>
  <c r="I1574" i="2"/>
  <c r="V1574" i="2" l="1"/>
  <c r="Y1574" i="2" s="1"/>
  <c r="G1575" i="2" s="1"/>
  <c r="U1574" i="2"/>
  <c r="T1574" i="2"/>
  <c r="W1574" i="2"/>
  <c r="E1575" i="2" s="1"/>
  <c r="X1574" i="2"/>
  <c r="F1575" i="2" s="1"/>
  <c r="D1575" i="2" l="1"/>
  <c r="C1575" i="2"/>
  <c r="H1575" i="2"/>
  <c r="B1575" i="2"/>
  <c r="I1575" i="2" l="1"/>
  <c r="J1575" i="2"/>
  <c r="K1575" i="2"/>
  <c r="S1575" i="2"/>
  <c r="L1575" i="2"/>
  <c r="M1575" i="2"/>
  <c r="N1575" i="2"/>
  <c r="O1575" i="2" s="1"/>
  <c r="R1575" i="2" l="1"/>
  <c r="V1575" i="2" s="1"/>
  <c r="Y1575" i="2" s="1"/>
  <c r="G1576" i="2" s="1"/>
  <c r="P1575" i="2"/>
  <c r="T1575" i="2" s="1"/>
  <c r="W1575" i="2" s="1"/>
  <c r="E1576" i="2" s="1"/>
  <c r="Q1575" i="2"/>
  <c r="U1575" i="2" s="1"/>
  <c r="X1575" i="2" s="1"/>
  <c r="F1576" i="2" s="1"/>
  <c r="C1576" i="2" l="1"/>
  <c r="D1576" i="2"/>
  <c r="H1576" i="2"/>
  <c r="B1576" i="2"/>
  <c r="I1576" i="2" l="1"/>
  <c r="K1576" i="2"/>
  <c r="J1576" i="2"/>
  <c r="S1576" i="2"/>
  <c r="L1576" i="2"/>
  <c r="N1576" i="2"/>
  <c r="O1576" i="2" s="1"/>
  <c r="M1576" i="2"/>
  <c r="R1576" i="2" l="1"/>
  <c r="P1576" i="2"/>
  <c r="Q1576" i="2"/>
  <c r="V1576" i="2"/>
  <c r="Y1576" i="2" s="1"/>
  <c r="G1577" i="2" s="1"/>
  <c r="U1576" i="2"/>
  <c r="X1576" i="2" s="1"/>
  <c r="F1577" i="2" s="1"/>
  <c r="T1576" i="2"/>
  <c r="W1576" i="2"/>
  <c r="E1577" i="2" s="1"/>
  <c r="D1577" i="2" l="1"/>
  <c r="C1577" i="2"/>
  <c r="H1577" i="2"/>
  <c r="B1577" i="2"/>
  <c r="I1577" i="2" l="1"/>
  <c r="K1577" i="2"/>
  <c r="J1577" i="2"/>
  <c r="S1577" i="2"/>
  <c r="L1577" i="2"/>
  <c r="M1577" i="2"/>
  <c r="N1577" i="2"/>
  <c r="O1577" i="2" s="1"/>
  <c r="R1577" i="2" l="1"/>
  <c r="P1577" i="2"/>
  <c r="Q1577" i="2"/>
  <c r="U1577" i="2" s="1"/>
  <c r="X1577" i="2" s="1"/>
  <c r="F1578" i="2" s="1"/>
  <c r="V1577" i="2"/>
  <c r="Y1577" i="2" s="1"/>
  <c r="G1578" i="2" s="1"/>
  <c r="T1577" i="2"/>
  <c r="W1577" i="2" s="1"/>
  <c r="E1578" i="2" s="1"/>
  <c r="D1578" i="2" l="1"/>
  <c r="H1578" i="2"/>
  <c r="B1578" i="2"/>
  <c r="M1578" i="2"/>
  <c r="C1578" i="2"/>
  <c r="I1578" i="2" l="1"/>
  <c r="K1578" i="2"/>
  <c r="J1578" i="2"/>
  <c r="S1578" i="2"/>
  <c r="L1578" i="2"/>
  <c r="N1578" i="2"/>
  <c r="O1578" i="2" s="1"/>
  <c r="R1578" i="2" l="1"/>
  <c r="V1578" i="2" s="1"/>
  <c r="Y1578" i="2" s="1"/>
  <c r="G1579" i="2" s="1"/>
  <c r="P1578" i="2"/>
  <c r="T1578" i="2" s="1"/>
  <c r="W1578" i="2" s="1"/>
  <c r="E1579" i="2" s="1"/>
  <c r="Q1578" i="2"/>
  <c r="U1578" i="2" s="1"/>
  <c r="X1578" i="2" s="1"/>
  <c r="F1579" i="2" s="1"/>
  <c r="H1579" i="2" l="1"/>
  <c r="L1579" i="2" s="1"/>
  <c r="B1579" i="2"/>
  <c r="M1579" i="2"/>
  <c r="C1579" i="2"/>
  <c r="N1579" i="2"/>
  <c r="O1579" i="2" s="1"/>
  <c r="D1579" i="2"/>
  <c r="R1579" i="2" l="1"/>
  <c r="P1579" i="2"/>
  <c r="Q1579" i="2"/>
  <c r="I1579" i="2"/>
  <c r="K1579" i="2"/>
  <c r="J1579" i="2"/>
  <c r="S1579" i="2"/>
  <c r="V1579" i="2" l="1"/>
  <c r="U1579" i="2"/>
  <c r="T1579" i="2"/>
  <c r="W1579" i="2"/>
  <c r="E1580" i="2" s="1"/>
  <c r="X1579" i="2"/>
  <c r="F1580" i="2" s="1"/>
  <c r="Y1579" i="2"/>
  <c r="G1580" i="2" s="1"/>
  <c r="H1580" i="2" l="1"/>
  <c r="L1580" i="2" s="1"/>
  <c r="B1580" i="2"/>
  <c r="N1580" i="2"/>
  <c r="O1580" i="2" s="1"/>
  <c r="D1580" i="2"/>
  <c r="M1580" i="2"/>
  <c r="C1580" i="2"/>
  <c r="R1580" i="2" l="1"/>
  <c r="P1580" i="2"/>
  <c r="Q1580" i="2"/>
  <c r="I1580" i="2"/>
  <c r="K1580" i="2"/>
  <c r="J1580" i="2"/>
  <c r="S1580" i="2"/>
  <c r="V1580" i="2" l="1"/>
  <c r="U1580" i="2"/>
  <c r="X1580" i="2" s="1"/>
  <c r="F1581" i="2" s="1"/>
  <c r="T1580" i="2"/>
  <c r="W1580" i="2" s="1"/>
  <c r="E1581" i="2" s="1"/>
  <c r="Y1580" i="2"/>
  <c r="G1581" i="2" s="1"/>
  <c r="C1581" i="2" l="1"/>
  <c r="D1581" i="2"/>
  <c r="H1581" i="2"/>
  <c r="M1581" i="2" s="1"/>
  <c r="B1581" i="2"/>
  <c r="L1581" i="2" l="1"/>
  <c r="N1581" i="2"/>
  <c r="O1581" i="2" s="1"/>
  <c r="I1581" i="2"/>
  <c r="K1581" i="2"/>
  <c r="J1581" i="2"/>
  <c r="S1581" i="2"/>
  <c r="R1581" i="2" l="1"/>
  <c r="V1581" i="2" s="1"/>
  <c r="Y1581" i="2" s="1"/>
  <c r="G1582" i="2" s="1"/>
  <c r="P1581" i="2"/>
  <c r="T1581" i="2" s="1"/>
  <c r="W1581" i="2" s="1"/>
  <c r="E1582" i="2" s="1"/>
  <c r="Q1581" i="2"/>
  <c r="U1581" i="2" s="1"/>
  <c r="X1581" i="2" s="1"/>
  <c r="F1582" i="2" s="1"/>
  <c r="H1582" i="2" l="1"/>
  <c r="L1582" i="2" s="1"/>
  <c r="B1582" i="2"/>
  <c r="C1582" i="2"/>
  <c r="D1582" i="2"/>
  <c r="M1582" i="2" l="1"/>
  <c r="N1582" i="2"/>
  <c r="O1582" i="2" s="1"/>
  <c r="R1582" i="2"/>
  <c r="P1582" i="2"/>
  <c r="Q1582" i="2"/>
  <c r="I1582" i="2"/>
  <c r="K1582" i="2"/>
  <c r="J1582" i="2"/>
  <c r="S1582" i="2"/>
  <c r="V1582" i="2" l="1"/>
  <c r="U1582" i="2"/>
  <c r="X1582" i="2" s="1"/>
  <c r="F1583" i="2" s="1"/>
  <c r="T1582" i="2"/>
  <c r="Y1582" i="2"/>
  <c r="G1583" i="2" s="1"/>
  <c r="W1582" i="2"/>
  <c r="E1583" i="2" s="1"/>
  <c r="C1583" i="2" l="1"/>
  <c r="D1583" i="2"/>
  <c r="H1583" i="2"/>
  <c r="B1583" i="2"/>
  <c r="K1583" i="2" l="1"/>
  <c r="J1583" i="2"/>
  <c r="I1583" i="2"/>
  <c r="S1583" i="2"/>
  <c r="N1583" i="2"/>
  <c r="O1583" i="2" s="1"/>
  <c r="M1583" i="2"/>
  <c r="L1583" i="2"/>
  <c r="R1583" i="2" l="1"/>
  <c r="P1583" i="2"/>
  <c r="Q1583" i="2"/>
  <c r="U1583" i="2" s="1"/>
  <c r="X1583" i="2" s="1"/>
  <c r="F1584" i="2" s="1"/>
  <c r="V1583" i="2"/>
  <c r="T1583" i="2"/>
  <c r="W1583" i="2" s="1"/>
  <c r="E1584" i="2" s="1"/>
  <c r="Y1583" i="2"/>
  <c r="G1584" i="2" s="1"/>
  <c r="C1584" i="2" l="1"/>
  <c r="H1584" i="2"/>
  <c r="N1584" i="2" s="1"/>
  <c r="O1584" i="2" s="1"/>
  <c r="B1584" i="2"/>
  <c r="D1584" i="2"/>
  <c r="R1584" i="2" l="1"/>
  <c r="J1584" i="2"/>
  <c r="I1584" i="2"/>
  <c r="K1584" i="2"/>
  <c r="S1584" i="2"/>
  <c r="L1584" i="2"/>
  <c r="P1584" i="2" s="1"/>
  <c r="M1584" i="2"/>
  <c r="Q1584" i="2" s="1"/>
  <c r="V1584" i="2" l="1"/>
  <c r="U1584" i="2"/>
  <c r="T1584" i="2"/>
  <c r="W1584" i="2"/>
  <c r="E1585" i="2" s="1"/>
  <c r="Y1584" i="2"/>
  <c r="G1585" i="2" s="1"/>
  <c r="X1584" i="2"/>
  <c r="F1585" i="2" s="1"/>
  <c r="D1585" i="2" l="1"/>
  <c r="C1585" i="2"/>
  <c r="H1585" i="2"/>
  <c r="N1585" i="2" s="1"/>
  <c r="O1585" i="2" s="1"/>
  <c r="B1585" i="2"/>
  <c r="R1585" i="2" l="1"/>
  <c r="L1585" i="2"/>
  <c r="P1585" i="2" s="1"/>
  <c r="M1585" i="2"/>
  <c r="Q1585" i="2" s="1"/>
  <c r="J1585" i="2"/>
  <c r="K1585" i="2"/>
  <c r="I1585" i="2"/>
  <c r="S1585" i="2"/>
  <c r="V1585" i="2" l="1"/>
  <c r="U1585" i="2"/>
  <c r="T1585" i="2"/>
  <c r="Y1585" i="2"/>
  <c r="G1586" i="2" s="1"/>
  <c r="W1585" i="2"/>
  <c r="E1586" i="2" s="1"/>
  <c r="X1585" i="2"/>
  <c r="F1586" i="2" s="1"/>
  <c r="H1586" i="2" l="1"/>
  <c r="L1586" i="2"/>
  <c r="B1586" i="2"/>
  <c r="M1586" i="2"/>
  <c r="C1586" i="2"/>
  <c r="N1586" i="2"/>
  <c r="O1586" i="2" s="1"/>
  <c r="D1586" i="2"/>
  <c r="R1586" i="2" l="1"/>
  <c r="P1586" i="2"/>
  <c r="Q1586" i="2"/>
  <c r="J1586" i="2"/>
  <c r="K1586" i="2"/>
  <c r="I1586" i="2"/>
  <c r="S1586" i="2"/>
  <c r="V1586" i="2" l="1"/>
  <c r="U1586" i="2"/>
  <c r="T1586" i="2"/>
  <c r="Y1586" i="2"/>
  <c r="G1587" i="2" s="1"/>
  <c r="W1586" i="2"/>
  <c r="E1587" i="2" s="1"/>
  <c r="X1586" i="2"/>
  <c r="F1587" i="2" s="1"/>
  <c r="H1587" i="2" l="1"/>
  <c r="L1587" i="2"/>
  <c r="B1587" i="2"/>
  <c r="M1587" i="2"/>
  <c r="C1587" i="2"/>
  <c r="N1587" i="2"/>
  <c r="O1587" i="2" s="1"/>
  <c r="D1587" i="2"/>
  <c r="R1587" i="2" l="1"/>
  <c r="P1587" i="2"/>
  <c r="Q1587" i="2"/>
  <c r="I1587" i="2"/>
  <c r="J1587" i="2"/>
  <c r="S1587" i="2"/>
  <c r="K1587" i="2"/>
  <c r="V1587" i="2" l="1"/>
  <c r="Y1587" i="2" s="1"/>
  <c r="G1588" i="2" s="1"/>
  <c r="U1587" i="2"/>
  <c r="X1587" i="2" s="1"/>
  <c r="F1588" i="2" s="1"/>
  <c r="T1587" i="2"/>
  <c r="W1587" i="2" s="1"/>
  <c r="E1588" i="2" s="1"/>
  <c r="C1588" i="2" l="1"/>
  <c r="D1588" i="2"/>
  <c r="H1588" i="2"/>
  <c r="L1588" i="2" s="1"/>
  <c r="B1588" i="2"/>
  <c r="I1588" i="2" l="1"/>
  <c r="K1588" i="2"/>
  <c r="J1588" i="2"/>
  <c r="S1588" i="2"/>
  <c r="N1588" i="2"/>
  <c r="O1588" i="2" s="1"/>
  <c r="M1588" i="2"/>
  <c r="R1588" i="2" l="1"/>
  <c r="P1588" i="2"/>
  <c r="Q1588" i="2"/>
  <c r="U1588" i="2" s="1"/>
  <c r="X1588" i="2" s="1"/>
  <c r="F1589" i="2" s="1"/>
  <c r="V1588" i="2"/>
  <c r="Y1588" i="2" s="1"/>
  <c r="G1589" i="2" s="1"/>
  <c r="T1588" i="2"/>
  <c r="W1588" i="2"/>
  <c r="E1589" i="2" s="1"/>
  <c r="D1589" i="2" l="1"/>
  <c r="H1589" i="2"/>
  <c r="B1589" i="2"/>
  <c r="M1589" i="2"/>
  <c r="C1589" i="2"/>
  <c r="I1589" i="2" l="1"/>
  <c r="K1589" i="2"/>
  <c r="J1589" i="2"/>
  <c r="S1589" i="2"/>
  <c r="L1589" i="2"/>
  <c r="N1589" i="2"/>
  <c r="O1589" i="2" s="1"/>
  <c r="R1589" i="2" l="1"/>
  <c r="P1589" i="2"/>
  <c r="T1589" i="2" s="1"/>
  <c r="W1589" i="2" s="1"/>
  <c r="E1590" i="2" s="1"/>
  <c r="Q1589" i="2"/>
  <c r="U1589" i="2" s="1"/>
  <c r="X1589" i="2" s="1"/>
  <c r="F1590" i="2" s="1"/>
  <c r="V1589" i="2"/>
  <c r="Y1589" i="2" s="1"/>
  <c r="G1590" i="2" s="1"/>
  <c r="D1590" i="2" l="1"/>
  <c r="H1590" i="2"/>
  <c r="B1590" i="2"/>
  <c r="M1590" i="2"/>
  <c r="C1590" i="2"/>
  <c r="I1590" i="2" l="1"/>
  <c r="K1590" i="2"/>
  <c r="J1590" i="2"/>
  <c r="S1590" i="2"/>
  <c r="L1590" i="2"/>
  <c r="N1590" i="2"/>
  <c r="O1590" i="2" s="1"/>
  <c r="R1590" i="2" l="1"/>
  <c r="P1590" i="2"/>
  <c r="Q1590" i="2"/>
  <c r="U1590" i="2" s="1"/>
  <c r="X1590" i="2" s="1"/>
  <c r="F1591" i="2" s="1"/>
  <c r="V1590" i="2"/>
  <c r="Y1590" i="2" s="1"/>
  <c r="G1591" i="2" s="1"/>
  <c r="T1590" i="2"/>
  <c r="W1590" i="2"/>
  <c r="E1591" i="2" s="1"/>
  <c r="D1591" i="2" l="1"/>
  <c r="C1591" i="2"/>
  <c r="H1591" i="2"/>
  <c r="L1591" i="2" s="1"/>
  <c r="B1591" i="2"/>
  <c r="I1591" i="2" l="1"/>
  <c r="K1591" i="2"/>
  <c r="J1591" i="2"/>
  <c r="S1591" i="2"/>
  <c r="M1591" i="2"/>
  <c r="N1591" i="2"/>
  <c r="O1591" i="2" s="1"/>
  <c r="R1591" i="2" l="1"/>
  <c r="P1591" i="2"/>
  <c r="Q1591" i="2"/>
  <c r="U1591" i="2" s="1"/>
  <c r="X1591" i="2" s="1"/>
  <c r="F1592" i="2" s="1"/>
  <c r="V1591" i="2"/>
  <c r="Y1591" i="2" s="1"/>
  <c r="G1592" i="2" s="1"/>
  <c r="T1591" i="2"/>
  <c r="W1591" i="2" s="1"/>
  <c r="E1592" i="2" s="1"/>
  <c r="D1592" i="2" l="1"/>
  <c r="H1592" i="2"/>
  <c r="B1592" i="2"/>
  <c r="M1592" i="2"/>
  <c r="C1592" i="2"/>
  <c r="I1592" i="2" l="1"/>
  <c r="K1592" i="2"/>
  <c r="J1592" i="2"/>
  <c r="S1592" i="2"/>
  <c r="L1592" i="2"/>
  <c r="N1592" i="2"/>
  <c r="O1592" i="2" s="1"/>
  <c r="R1592" i="2" l="1"/>
  <c r="P1592" i="2"/>
  <c r="T1592" i="2" s="1"/>
  <c r="W1592" i="2" s="1"/>
  <c r="E1593" i="2" s="1"/>
  <c r="Q1592" i="2"/>
  <c r="U1592" i="2" s="1"/>
  <c r="X1592" i="2" s="1"/>
  <c r="F1593" i="2" s="1"/>
  <c r="V1592" i="2"/>
  <c r="Y1592" i="2" s="1"/>
  <c r="G1593" i="2" s="1"/>
  <c r="D1593" i="2" l="1"/>
  <c r="H1593" i="2"/>
  <c r="L1593" i="2" s="1"/>
  <c r="B1593" i="2"/>
  <c r="C1593" i="2"/>
  <c r="M1593" i="2" l="1"/>
  <c r="J1593" i="2"/>
  <c r="I1593" i="2"/>
  <c r="K1593" i="2"/>
  <c r="S1593" i="2"/>
  <c r="N1593" i="2"/>
  <c r="O1593" i="2" s="1"/>
  <c r="R1593" i="2" l="1"/>
  <c r="Q1593" i="2"/>
  <c r="U1593" i="2" s="1"/>
  <c r="X1593" i="2" s="1"/>
  <c r="F1594" i="2" s="1"/>
  <c r="P1593" i="2"/>
  <c r="T1593" i="2" s="1"/>
  <c r="W1593" i="2" s="1"/>
  <c r="E1594" i="2" s="1"/>
  <c r="V1593" i="2"/>
  <c r="Y1593" i="2" s="1"/>
  <c r="G1594" i="2" s="1"/>
  <c r="H1594" i="2" l="1"/>
  <c r="B1594" i="2"/>
  <c r="M1594" i="2"/>
  <c r="C1594" i="2"/>
  <c r="N1594" i="2"/>
  <c r="O1594" i="2" s="1"/>
  <c r="D1594" i="2"/>
  <c r="Q1594" i="2" l="1"/>
  <c r="R1594" i="2"/>
  <c r="K1594" i="2"/>
  <c r="J1594" i="2"/>
  <c r="I1594" i="2"/>
  <c r="S1594" i="2"/>
  <c r="L1594" i="2"/>
  <c r="P1594" i="2" s="1"/>
  <c r="V1594" i="2" l="1"/>
  <c r="U1594" i="2"/>
  <c r="X1594" i="2" s="1"/>
  <c r="F1595" i="2" s="1"/>
  <c r="T1594" i="2"/>
  <c r="W1594" i="2" s="1"/>
  <c r="E1595" i="2" s="1"/>
  <c r="Y1594" i="2"/>
  <c r="G1595" i="2" s="1"/>
  <c r="H1595" i="2" l="1"/>
  <c r="M1595" i="2" s="1"/>
  <c r="B1595" i="2"/>
  <c r="C1595" i="2"/>
  <c r="D1595" i="2"/>
  <c r="N1595" i="2" l="1"/>
  <c r="O1595" i="2" s="1"/>
  <c r="R1595" i="2"/>
  <c r="Q1595" i="2"/>
  <c r="K1595" i="2"/>
  <c r="J1595" i="2"/>
  <c r="I1595" i="2"/>
  <c r="S1595" i="2"/>
  <c r="L1595" i="2"/>
  <c r="P1595" i="2" s="1"/>
  <c r="V1595" i="2" l="1"/>
  <c r="Y1595" i="2" s="1"/>
  <c r="G1596" i="2" s="1"/>
  <c r="U1595" i="2"/>
  <c r="T1595" i="2"/>
  <c r="W1595" i="2" s="1"/>
  <c r="E1596" i="2" s="1"/>
  <c r="X1595" i="2"/>
  <c r="F1596" i="2" s="1"/>
  <c r="H1596" i="2" l="1"/>
  <c r="B1596" i="2"/>
  <c r="N1596" i="2"/>
  <c r="O1596" i="2" s="1"/>
  <c r="D1596" i="2"/>
  <c r="M1596" i="2"/>
  <c r="C1596" i="2"/>
  <c r="R1596" i="2" l="1"/>
  <c r="Q1596" i="2"/>
  <c r="K1596" i="2"/>
  <c r="I1596" i="2"/>
  <c r="S1596" i="2"/>
  <c r="J1596" i="2"/>
  <c r="L1596" i="2"/>
  <c r="P1596" i="2" s="1"/>
  <c r="V1596" i="2" l="1"/>
  <c r="U1596" i="2"/>
  <c r="X1596" i="2" s="1"/>
  <c r="F1597" i="2" s="1"/>
  <c r="T1596" i="2"/>
  <c r="W1596" i="2" s="1"/>
  <c r="E1597" i="2" s="1"/>
  <c r="Y1596" i="2"/>
  <c r="G1597" i="2" s="1"/>
  <c r="H1597" i="2" l="1"/>
  <c r="B1597" i="2"/>
  <c r="M1597" i="2"/>
  <c r="C1597" i="2"/>
  <c r="N1597" i="2"/>
  <c r="O1597" i="2" s="1"/>
  <c r="D1597" i="2"/>
  <c r="Q1597" i="2" l="1"/>
  <c r="R1597" i="2"/>
  <c r="K1597" i="2"/>
  <c r="J1597" i="2"/>
  <c r="S1597" i="2"/>
  <c r="I1597" i="2"/>
  <c r="L1597" i="2"/>
  <c r="P1597" i="2" s="1"/>
  <c r="V1597" i="2" l="1"/>
  <c r="U1597" i="2"/>
  <c r="X1597" i="2" s="1"/>
  <c r="F1598" i="2" s="1"/>
  <c r="T1597" i="2"/>
  <c r="W1597" i="2" s="1"/>
  <c r="E1598" i="2" s="1"/>
  <c r="Y1597" i="2"/>
  <c r="G1598" i="2" s="1"/>
  <c r="H1598" i="2" l="1"/>
  <c r="B1598" i="2"/>
  <c r="M1598" i="2"/>
  <c r="C1598" i="2"/>
  <c r="N1598" i="2"/>
  <c r="O1598" i="2" s="1"/>
  <c r="D1598" i="2"/>
  <c r="R1598" i="2" l="1"/>
  <c r="Q1598" i="2"/>
  <c r="J1598" i="2"/>
  <c r="I1598" i="2"/>
  <c r="K1598" i="2"/>
  <c r="S1598" i="2"/>
  <c r="L1598" i="2"/>
  <c r="P1598" i="2" s="1"/>
  <c r="V1598" i="2" l="1"/>
  <c r="U1598" i="2"/>
  <c r="X1598" i="2" s="1"/>
  <c r="F1599" i="2" s="1"/>
  <c r="T1598" i="2"/>
  <c r="Y1598" i="2"/>
  <c r="G1599" i="2" s="1"/>
  <c r="W1598" i="2"/>
  <c r="E1599" i="2" s="1"/>
  <c r="C1599" i="2" l="1"/>
  <c r="H1599" i="2"/>
  <c r="B1599" i="2"/>
  <c r="N1599" i="2"/>
  <c r="O1599" i="2" s="1"/>
  <c r="D1599" i="2"/>
  <c r="R1599" i="2" l="1"/>
  <c r="J1599" i="2"/>
  <c r="I1599" i="2"/>
  <c r="S1599" i="2"/>
  <c r="K1599" i="2"/>
  <c r="L1599" i="2"/>
  <c r="P1599" i="2" s="1"/>
  <c r="M1599" i="2"/>
  <c r="Q1599" i="2" s="1"/>
  <c r="V1599" i="2" l="1"/>
  <c r="Y1599" i="2" s="1"/>
  <c r="G1600" i="2" s="1"/>
  <c r="U1599" i="2"/>
  <c r="X1599" i="2" s="1"/>
  <c r="F1600" i="2" s="1"/>
  <c r="T1599" i="2"/>
  <c r="W1599" i="2" s="1"/>
  <c r="E1600" i="2" s="1"/>
  <c r="H1600" i="2" l="1"/>
  <c r="B1600" i="2"/>
  <c r="N1600" i="2"/>
  <c r="O1600" i="2" s="1"/>
  <c r="D1600" i="2"/>
  <c r="M1600" i="2"/>
  <c r="C1600" i="2"/>
  <c r="R1600" i="2" l="1"/>
  <c r="Q1600" i="2"/>
  <c r="J1600" i="2"/>
  <c r="I1600" i="2"/>
  <c r="K1600" i="2"/>
  <c r="S1600" i="2"/>
  <c r="L1600" i="2"/>
  <c r="P1600" i="2" s="1"/>
  <c r="V1600" i="2" l="1"/>
  <c r="U1600" i="2"/>
  <c r="T1600" i="2"/>
  <c r="W1600" i="2" s="1"/>
  <c r="E1601" i="2" s="1"/>
  <c r="Y1600" i="2"/>
  <c r="G1601" i="2" s="1"/>
  <c r="X1600" i="2"/>
  <c r="F1601" i="2" s="1"/>
  <c r="H1601" i="2" l="1"/>
  <c r="M1601" i="2" s="1"/>
  <c r="B1601" i="2"/>
  <c r="C1601" i="2"/>
  <c r="N1601" i="2"/>
  <c r="O1601" i="2" s="1"/>
  <c r="D1601" i="2"/>
  <c r="R1601" i="2" l="1"/>
  <c r="Q1601" i="2"/>
  <c r="J1601" i="2"/>
  <c r="I1601" i="2"/>
  <c r="K1601" i="2"/>
  <c r="S1601" i="2"/>
  <c r="L1601" i="2"/>
  <c r="P1601" i="2" s="1"/>
  <c r="V1601" i="2" l="1"/>
  <c r="U1601" i="2"/>
  <c r="T1601" i="2"/>
  <c r="W1601" i="2" s="1"/>
  <c r="E1602" i="2" s="1"/>
  <c r="Y1601" i="2"/>
  <c r="G1602" i="2" s="1"/>
  <c r="X1601" i="2"/>
  <c r="F1602" i="2" s="1"/>
  <c r="H1602" i="2" l="1"/>
  <c r="B1602" i="2"/>
  <c r="M1602" i="2"/>
  <c r="C1602" i="2"/>
  <c r="N1602" i="2"/>
  <c r="O1602" i="2" s="1"/>
  <c r="D1602" i="2"/>
  <c r="R1602" i="2" l="1"/>
  <c r="Q1602" i="2"/>
  <c r="J1602" i="2"/>
  <c r="I1602" i="2"/>
  <c r="K1602" i="2"/>
  <c r="S1602" i="2"/>
  <c r="L1602" i="2"/>
  <c r="P1602" i="2" s="1"/>
  <c r="V1602" i="2" l="1"/>
  <c r="Y1602" i="2" s="1"/>
  <c r="G1603" i="2" s="1"/>
  <c r="U1602" i="2"/>
  <c r="X1602" i="2" s="1"/>
  <c r="F1603" i="2" s="1"/>
  <c r="T1602" i="2"/>
  <c r="W1602" i="2" s="1"/>
  <c r="E1603" i="2" s="1"/>
  <c r="C1603" i="2" l="1"/>
  <c r="D1603" i="2"/>
  <c r="H1603" i="2"/>
  <c r="N1603" i="2" s="1"/>
  <c r="O1603" i="2" s="1"/>
  <c r="B1603" i="2"/>
  <c r="R1603" i="2" l="1"/>
  <c r="L1603" i="2"/>
  <c r="P1603" i="2" s="1"/>
  <c r="J1603" i="2"/>
  <c r="I1603" i="2"/>
  <c r="K1603" i="2"/>
  <c r="S1603" i="2"/>
  <c r="M1603" i="2"/>
  <c r="Q1603" i="2" s="1"/>
  <c r="V1603" i="2" l="1"/>
  <c r="Y1603" i="2" s="1"/>
  <c r="G1604" i="2" s="1"/>
  <c r="U1603" i="2"/>
  <c r="T1603" i="2"/>
  <c r="W1603" i="2" s="1"/>
  <c r="E1604" i="2" s="1"/>
  <c r="X1603" i="2"/>
  <c r="F1604" i="2" s="1"/>
  <c r="D1604" i="2" l="1"/>
  <c r="C1604" i="2"/>
  <c r="H1604" i="2"/>
  <c r="B1604" i="2"/>
  <c r="J1604" i="2" l="1"/>
  <c r="I1604" i="2"/>
  <c r="K1604" i="2"/>
  <c r="S1604" i="2"/>
  <c r="L1604" i="2"/>
  <c r="M1604" i="2"/>
  <c r="N1604" i="2"/>
  <c r="O1604" i="2" s="1"/>
  <c r="R1604" i="2" l="1"/>
  <c r="Q1604" i="2"/>
  <c r="P1604" i="2"/>
  <c r="T1604" i="2" s="1"/>
  <c r="W1604" i="2" s="1"/>
  <c r="E1605" i="2" s="1"/>
  <c r="V1604" i="2"/>
  <c r="Y1604" i="2" s="1"/>
  <c r="G1605" i="2" s="1"/>
  <c r="U1604" i="2"/>
  <c r="X1604" i="2"/>
  <c r="F1605" i="2" s="1"/>
  <c r="H1605" i="2" l="1"/>
  <c r="B1605" i="2"/>
  <c r="N1605" i="2"/>
  <c r="O1605" i="2" s="1"/>
  <c r="D1605" i="2"/>
  <c r="M1605" i="2"/>
  <c r="C1605" i="2"/>
  <c r="R1605" i="2" l="1"/>
  <c r="Q1605" i="2"/>
  <c r="J1605" i="2"/>
  <c r="I1605" i="2"/>
  <c r="K1605" i="2"/>
  <c r="S1605" i="2"/>
  <c r="L1605" i="2"/>
  <c r="P1605" i="2" s="1"/>
  <c r="V1605" i="2" l="1"/>
  <c r="U1605" i="2"/>
  <c r="T1605" i="2"/>
  <c r="X1605" i="2"/>
  <c r="F1606" i="2" s="1"/>
  <c r="Y1605" i="2"/>
  <c r="G1606" i="2" s="1"/>
  <c r="W1605" i="2"/>
  <c r="E1606" i="2" s="1"/>
  <c r="H1606" i="2" l="1"/>
  <c r="B1606" i="2"/>
  <c r="M1606" i="2"/>
  <c r="C1606" i="2"/>
  <c r="N1606" i="2"/>
  <c r="O1606" i="2" s="1"/>
  <c r="D1606" i="2"/>
  <c r="R1606" i="2" l="1"/>
  <c r="Q1606" i="2"/>
  <c r="K1606" i="2"/>
  <c r="J1606" i="2"/>
  <c r="I1606" i="2"/>
  <c r="S1606" i="2"/>
  <c r="L1606" i="2"/>
  <c r="P1606" i="2" s="1"/>
  <c r="V1606" i="2" l="1"/>
  <c r="U1606" i="2"/>
  <c r="X1606" i="2" s="1"/>
  <c r="F1607" i="2" s="1"/>
  <c r="T1606" i="2"/>
  <c r="W1606" i="2" s="1"/>
  <c r="E1607" i="2" s="1"/>
  <c r="Y1606" i="2"/>
  <c r="G1607" i="2" s="1"/>
  <c r="H1607" i="2" l="1"/>
  <c r="B1607" i="2"/>
  <c r="M1607" i="2"/>
  <c r="C1607" i="2"/>
  <c r="N1607" i="2"/>
  <c r="O1607" i="2" s="1"/>
  <c r="D1607" i="2"/>
  <c r="K1607" i="2" l="1"/>
  <c r="J1607" i="2"/>
  <c r="I1607" i="2"/>
  <c r="S1607" i="2"/>
  <c r="R1607" i="2"/>
  <c r="Q1607" i="2"/>
  <c r="L1607" i="2"/>
  <c r="P1607" i="2" s="1"/>
  <c r="V1607" i="2" l="1"/>
  <c r="U1607" i="2"/>
  <c r="T1607" i="2"/>
  <c r="Y1607" i="2"/>
  <c r="G1608" i="2" s="1"/>
  <c r="W1607" i="2"/>
  <c r="E1608" i="2" s="1"/>
  <c r="X1607" i="2"/>
  <c r="F1608" i="2" s="1"/>
  <c r="H1608" i="2" l="1"/>
  <c r="B1608" i="2"/>
  <c r="M1608" i="2"/>
  <c r="C1608" i="2"/>
  <c r="N1608" i="2"/>
  <c r="O1608" i="2" s="1"/>
  <c r="D1608" i="2"/>
  <c r="R1608" i="2" l="1"/>
  <c r="Q1608" i="2"/>
  <c r="K1608" i="2"/>
  <c r="J1608" i="2"/>
  <c r="S1608" i="2"/>
  <c r="I1608" i="2"/>
  <c r="L1608" i="2"/>
  <c r="P1608" i="2" s="1"/>
  <c r="V1608" i="2" l="1"/>
  <c r="U1608" i="2"/>
  <c r="T1608" i="2"/>
  <c r="W1608" i="2"/>
  <c r="E1609" i="2" s="1"/>
  <c r="X1608" i="2"/>
  <c r="F1609" i="2" s="1"/>
  <c r="Y1608" i="2"/>
  <c r="G1609" i="2" s="1"/>
  <c r="C1609" i="2" l="1"/>
  <c r="D1609" i="2"/>
  <c r="H1609" i="2"/>
  <c r="B1609" i="2"/>
  <c r="K1609" i="2" l="1"/>
  <c r="J1609" i="2"/>
  <c r="S1609" i="2"/>
  <c r="I1609" i="2"/>
  <c r="L1609" i="2"/>
  <c r="N1609" i="2"/>
  <c r="O1609" i="2" s="1"/>
  <c r="M1609" i="2"/>
  <c r="R1609" i="2" l="1"/>
  <c r="Q1609" i="2"/>
  <c r="U1609" i="2" s="1"/>
  <c r="X1609" i="2" s="1"/>
  <c r="F1610" i="2" s="1"/>
  <c r="P1609" i="2"/>
  <c r="T1609" i="2" s="1"/>
  <c r="W1609" i="2" s="1"/>
  <c r="E1610" i="2" s="1"/>
  <c r="V1609" i="2"/>
  <c r="Y1609" i="2"/>
  <c r="G1610" i="2" s="1"/>
  <c r="H1610" i="2" l="1"/>
  <c r="B1610" i="2"/>
  <c r="M1610" i="2"/>
  <c r="C1610" i="2"/>
  <c r="N1610" i="2"/>
  <c r="O1610" i="2" s="1"/>
  <c r="D1610" i="2"/>
  <c r="R1610" i="2" l="1"/>
  <c r="Q1610" i="2"/>
  <c r="J1610" i="2"/>
  <c r="I1610" i="2"/>
  <c r="K1610" i="2"/>
  <c r="S1610" i="2"/>
  <c r="L1610" i="2"/>
  <c r="P1610" i="2" s="1"/>
  <c r="V1610" i="2" l="1"/>
  <c r="U1610" i="2"/>
  <c r="T1610" i="2"/>
  <c r="W1610" i="2"/>
  <c r="E1611" i="2" s="1"/>
  <c r="Y1610" i="2"/>
  <c r="G1611" i="2" s="1"/>
  <c r="X1610" i="2"/>
  <c r="F1611" i="2" s="1"/>
  <c r="H1611" i="2" l="1"/>
  <c r="B1611" i="2"/>
  <c r="M1611" i="2"/>
  <c r="C1611" i="2"/>
  <c r="N1611" i="2"/>
  <c r="O1611" i="2" s="1"/>
  <c r="D1611" i="2"/>
  <c r="R1611" i="2" l="1"/>
  <c r="Q1611" i="2"/>
  <c r="J1611" i="2"/>
  <c r="I1611" i="2"/>
  <c r="S1611" i="2"/>
  <c r="K1611" i="2"/>
  <c r="L1611" i="2"/>
  <c r="P1611" i="2" s="1"/>
  <c r="V1611" i="2" l="1"/>
  <c r="Y1611" i="2" s="1"/>
  <c r="G1612" i="2" s="1"/>
  <c r="U1611" i="2"/>
  <c r="T1611" i="2"/>
  <c r="W1611" i="2" s="1"/>
  <c r="E1612" i="2" s="1"/>
  <c r="X1611" i="2"/>
  <c r="F1612" i="2" s="1"/>
  <c r="H1612" i="2" l="1"/>
  <c r="B1612" i="2"/>
  <c r="N1612" i="2"/>
  <c r="O1612" i="2" s="1"/>
  <c r="D1612" i="2"/>
  <c r="M1612" i="2"/>
  <c r="C1612" i="2"/>
  <c r="R1612" i="2" l="1"/>
  <c r="Q1612" i="2"/>
  <c r="J1612" i="2"/>
  <c r="I1612" i="2"/>
  <c r="K1612" i="2"/>
  <c r="S1612" i="2"/>
  <c r="L1612" i="2"/>
  <c r="P1612" i="2" s="1"/>
  <c r="V1612" i="2" l="1"/>
  <c r="U1612" i="2"/>
  <c r="T1612" i="2"/>
  <c r="Y1612" i="2"/>
  <c r="G1613" i="2" s="1"/>
  <c r="X1612" i="2"/>
  <c r="F1613" i="2" s="1"/>
  <c r="W1612" i="2"/>
  <c r="E1613" i="2" s="1"/>
  <c r="H1613" i="2" l="1"/>
  <c r="B1613" i="2"/>
  <c r="M1613" i="2"/>
  <c r="C1613" i="2"/>
  <c r="N1613" i="2"/>
  <c r="O1613" i="2" s="1"/>
  <c r="D1613" i="2"/>
  <c r="R1613" i="2" l="1"/>
  <c r="Q1613" i="2"/>
  <c r="J1613" i="2"/>
  <c r="I1613" i="2"/>
  <c r="K1613" i="2"/>
  <c r="S1613" i="2"/>
  <c r="L1613" i="2"/>
  <c r="P1613" i="2" s="1"/>
  <c r="V1613" i="2" l="1"/>
  <c r="U1613" i="2"/>
  <c r="T1613" i="2"/>
  <c r="W1613" i="2"/>
  <c r="E1614" i="2" s="1"/>
  <c r="Y1613" i="2"/>
  <c r="G1614" i="2" s="1"/>
  <c r="X1613" i="2"/>
  <c r="F1614" i="2" s="1"/>
  <c r="D1614" i="2" l="1"/>
  <c r="C1614" i="2"/>
  <c r="H1614" i="2"/>
  <c r="N1614" i="2" s="1"/>
  <c r="O1614" i="2" s="1"/>
  <c r="B1614" i="2"/>
  <c r="R1614" i="2" l="1"/>
  <c r="M1614" i="2"/>
  <c r="Q1614" i="2" s="1"/>
  <c r="J1614" i="2"/>
  <c r="I1614" i="2"/>
  <c r="K1614" i="2"/>
  <c r="S1614" i="2"/>
  <c r="L1614" i="2"/>
  <c r="P1614" i="2" s="1"/>
  <c r="V1614" i="2" l="1"/>
  <c r="U1614" i="2"/>
  <c r="T1614" i="2"/>
  <c r="W1614" i="2" s="1"/>
  <c r="E1615" i="2" s="1"/>
  <c r="Y1614" i="2"/>
  <c r="G1615" i="2" s="1"/>
  <c r="X1614" i="2"/>
  <c r="F1615" i="2" s="1"/>
  <c r="H1615" i="2" l="1"/>
  <c r="B1615" i="2"/>
  <c r="M1615" i="2"/>
  <c r="C1615" i="2"/>
  <c r="N1615" i="2"/>
  <c r="O1615" i="2" s="1"/>
  <c r="D1615" i="2"/>
  <c r="R1615" i="2" l="1"/>
  <c r="Q1615" i="2"/>
  <c r="J1615" i="2"/>
  <c r="I1615" i="2"/>
  <c r="K1615" i="2"/>
  <c r="S1615" i="2"/>
  <c r="L1615" i="2"/>
  <c r="P1615" i="2" s="1"/>
  <c r="V1615" i="2" l="1"/>
  <c r="U1615" i="2"/>
  <c r="T1615" i="2"/>
  <c r="W1615" i="2"/>
  <c r="E1616" i="2" s="1"/>
  <c r="Y1615" i="2"/>
  <c r="G1616" i="2" s="1"/>
  <c r="X1615" i="2"/>
  <c r="F1616" i="2" s="1"/>
  <c r="D1616" i="2" l="1"/>
  <c r="C1616" i="2"/>
  <c r="H1616" i="2"/>
  <c r="B1616" i="2"/>
  <c r="J1616" i="2" l="1"/>
  <c r="I1616" i="2"/>
  <c r="K1616" i="2"/>
  <c r="S1616" i="2"/>
  <c r="L1616" i="2"/>
  <c r="M1616" i="2"/>
  <c r="N1616" i="2"/>
  <c r="O1616" i="2" s="1"/>
  <c r="R1616" i="2" l="1"/>
  <c r="Q1616" i="2"/>
  <c r="U1616" i="2" s="1"/>
  <c r="X1616" i="2" s="1"/>
  <c r="F1617" i="2" s="1"/>
  <c r="P1616" i="2"/>
  <c r="T1616" i="2" s="1"/>
  <c r="W1616" i="2" s="1"/>
  <c r="E1617" i="2" s="1"/>
  <c r="V1616" i="2"/>
  <c r="Y1616" i="2" s="1"/>
  <c r="G1617" i="2" s="1"/>
  <c r="H1617" i="2" l="1"/>
  <c r="B1617" i="2"/>
  <c r="M1617" i="2"/>
  <c r="C1617" i="2"/>
  <c r="N1617" i="2"/>
  <c r="O1617" i="2" s="1"/>
  <c r="D1617" i="2"/>
  <c r="R1617" i="2" l="1"/>
  <c r="Q1617" i="2"/>
  <c r="J1617" i="2"/>
  <c r="I1617" i="2"/>
  <c r="K1617" i="2"/>
  <c r="S1617" i="2"/>
  <c r="L1617" i="2"/>
  <c r="P1617" i="2" s="1"/>
  <c r="V1617" i="2" l="1"/>
  <c r="Y1617" i="2" s="1"/>
  <c r="G1618" i="2" s="1"/>
  <c r="U1617" i="2"/>
  <c r="T1617" i="2"/>
  <c r="X1617" i="2"/>
  <c r="F1618" i="2" s="1"/>
  <c r="W1617" i="2"/>
  <c r="E1618" i="2" s="1"/>
  <c r="D1618" i="2" l="1"/>
  <c r="H1618" i="2"/>
  <c r="L1618" i="2" s="1"/>
  <c r="B1618" i="2"/>
  <c r="C1618" i="2"/>
  <c r="M1618" i="2" l="1"/>
  <c r="K1618" i="2"/>
  <c r="J1618" i="2"/>
  <c r="I1618" i="2"/>
  <c r="S1618" i="2"/>
  <c r="N1618" i="2"/>
  <c r="O1618" i="2" s="1"/>
  <c r="R1618" i="2" l="1"/>
  <c r="Q1618" i="2"/>
  <c r="U1618" i="2" s="1"/>
  <c r="X1618" i="2" s="1"/>
  <c r="F1619" i="2" s="1"/>
  <c r="P1618" i="2"/>
  <c r="T1618" i="2" s="1"/>
  <c r="W1618" i="2" s="1"/>
  <c r="E1619" i="2" s="1"/>
  <c r="V1618" i="2"/>
  <c r="Y1618" i="2"/>
  <c r="G1619" i="2" s="1"/>
  <c r="H1619" i="2" l="1"/>
  <c r="B1619" i="2"/>
  <c r="N1619" i="2"/>
  <c r="O1619" i="2" s="1"/>
  <c r="D1619" i="2"/>
  <c r="M1619" i="2"/>
  <c r="C1619" i="2"/>
  <c r="R1619" i="2" l="1"/>
  <c r="Q1619" i="2"/>
  <c r="K1619" i="2"/>
  <c r="J1619" i="2"/>
  <c r="I1619" i="2"/>
  <c r="S1619" i="2"/>
  <c r="L1619" i="2"/>
  <c r="P1619" i="2" s="1"/>
  <c r="V1619" i="2" l="1"/>
  <c r="U1619" i="2"/>
  <c r="T1619" i="2"/>
  <c r="W1619" i="2"/>
  <c r="E1620" i="2" s="1"/>
  <c r="X1619" i="2"/>
  <c r="F1620" i="2" s="1"/>
  <c r="Y1619" i="2"/>
  <c r="G1620" i="2" s="1"/>
  <c r="C1620" i="2" l="1"/>
  <c r="D1620" i="2"/>
  <c r="H1620" i="2"/>
  <c r="N1620" i="2" s="1"/>
  <c r="O1620" i="2" s="1"/>
  <c r="B1620" i="2"/>
  <c r="R1620" i="2" l="1"/>
  <c r="L1620" i="2"/>
  <c r="P1620" i="2" s="1"/>
  <c r="K1620" i="2"/>
  <c r="J1620" i="2"/>
  <c r="S1620" i="2"/>
  <c r="I1620" i="2"/>
  <c r="M1620" i="2"/>
  <c r="Q1620" i="2" s="1"/>
  <c r="V1620" i="2" l="1"/>
  <c r="U1620" i="2"/>
  <c r="X1620" i="2" s="1"/>
  <c r="F1621" i="2" s="1"/>
  <c r="T1620" i="2"/>
  <c r="W1620" i="2" s="1"/>
  <c r="E1621" i="2" s="1"/>
  <c r="Y1620" i="2"/>
  <c r="G1621" i="2" s="1"/>
  <c r="D1621" i="2" l="1"/>
  <c r="H1621" i="2"/>
  <c r="B1621" i="2"/>
  <c r="C1621" i="2"/>
  <c r="K1621" i="2" l="1"/>
  <c r="J1621" i="2"/>
  <c r="S1621" i="2"/>
  <c r="I1621" i="2"/>
  <c r="M1621" i="2"/>
  <c r="L1621" i="2"/>
  <c r="N1621" i="2"/>
  <c r="O1621" i="2" s="1"/>
  <c r="R1621" i="2" l="1"/>
  <c r="Q1621" i="2"/>
  <c r="U1621" i="2" s="1"/>
  <c r="X1621" i="2" s="1"/>
  <c r="F1622" i="2" s="1"/>
  <c r="P1621" i="2"/>
  <c r="T1621" i="2" s="1"/>
  <c r="W1621" i="2" s="1"/>
  <c r="E1622" i="2" s="1"/>
  <c r="V1621" i="2"/>
  <c r="Y1621" i="2"/>
  <c r="G1622" i="2" s="1"/>
  <c r="H1622" i="2" l="1"/>
  <c r="B1622" i="2"/>
  <c r="M1622" i="2"/>
  <c r="C1622" i="2"/>
  <c r="N1622" i="2"/>
  <c r="O1622" i="2" s="1"/>
  <c r="D1622" i="2"/>
  <c r="R1622" i="2" l="1"/>
  <c r="Q1622" i="2"/>
  <c r="J1622" i="2"/>
  <c r="I1622" i="2"/>
  <c r="K1622" i="2"/>
  <c r="S1622" i="2"/>
  <c r="L1622" i="2"/>
  <c r="P1622" i="2" s="1"/>
  <c r="V1622" i="2" l="1"/>
  <c r="U1622" i="2"/>
  <c r="T1622" i="2"/>
  <c r="Y1622" i="2"/>
  <c r="G1623" i="2" s="1"/>
  <c r="X1622" i="2"/>
  <c r="F1623" i="2" s="1"/>
  <c r="W1622" i="2"/>
  <c r="E1623" i="2" s="1"/>
  <c r="H1623" i="2" l="1"/>
  <c r="M1623" i="2" s="1"/>
  <c r="B1623" i="2"/>
  <c r="C1623" i="2"/>
  <c r="N1623" i="2"/>
  <c r="O1623" i="2" s="1"/>
  <c r="D1623" i="2"/>
  <c r="R1623" i="2" l="1"/>
  <c r="Q1623" i="2"/>
  <c r="I1623" i="2"/>
  <c r="J1623" i="2"/>
  <c r="K1623" i="2"/>
  <c r="S1623" i="2"/>
  <c r="L1623" i="2"/>
  <c r="P1623" i="2" s="1"/>
  <c r="V1623" i="2" l="1"/>
  <c r="Y1623" i="2" s="1"/>
  <c r="G1624" i="2" s="1"/>
  <c r="U1623" i="2"/>
  <c r="X1623" i="2" s="1"/>
  <c r="F1624" i="2" s="1"/>
  <c r="T1623" i="2"/>
  <c r="W1623" i="2" s="1"/>
  <c r="E1624" i="2" s="1"/>
  <c r="C1624" i="2" l="1"/>
  <c r="D1624" i="2"/>
  <c r="H1624" i="2"/>
  <c r="B1624" i="2"/>
  <c r="K1624" i="2" l="1"/>
  <c r="I1624" i="2"/>
  <c r="J1624" i="2"/>
  <c r="S1624" i="2"/>
  <c r="L1624" i="2"/>
  <c r="N1624" i="2"/>
  <c r="O1624" i="2" s="1"/>
  <c r="M1624" i="2"/>
  <c r="R1624" i="2" l="1"/>
  <c r="V1624" i="2" s="1"/>
  <c r="Y1624" i="2" s="1"/>
  <c r="G1625" i="2" s="1"/>
  <c r="Q1624" i="2"/>
  <c r="U1624" i="2" s="1"/>
  <c r="X1624" i="2" s="1"/>
  <c r="F1625" i="2" s="1"/>
  <c r="P1624" i="2"/>
  <c r="T1624" i="2" s="1"/>
  <c r="W1624" i="2" s="1"/>
  <c r="E1625" i="2" s="1"/>
  <c r="C1625" i="2" l="1"/>
  <c r="H1625" i="2"/>
  <c r="L1625" i="2" s="1"/>
  <c r="B1625" i="2"/>
  <c r="D1625" i="2"/>
  <c r="N1625" i="2" l="1"/>
  <c r="O1625" i="2" s="1"/>
  <c r="R1625" i="2"/>
  <c r="P1625" i="2"/>
  <c r="K1625" i="2"/>
  <c r="S1625" i="2"/>
  <c r="J1625" i="2"/>
  <c r="I1625" i="2"/>
  <c r="M1625" i="2"/>
  <c r="Q1625" i="2" s="1"/>
  <c r="V1625" i="2" l="1"/>
  <c r="Y1625" i="2" s="1"/>
  <c r="G1626" i="2" s="1"/>
  <c r="U1625" i="2"/>
  <c r="X1625" i="2" s="1"/>
  <c r="F1626" i="2" s="1"/>
  <c r="T1625" i="2"/>
  <c r="W1625" i="2" s="1"/>
  <c r="E1626" i="2" s="1"/>
  <c r="H1626" i="2" l="1"/>
  <c r="B1626" i="2"/>
  <c r="M1626" i="2"/>
  <c r="C1626" i="2"/>
  <c r="N1626" i="2"/>
  <c r="O1626" i="2" s="1"/>
  <c r="D1626" i="2"/>
  <c r="R1626" i="2" l="1"/>
  <c r="Q1626" i="2"/>
  <c r="I1626" i="2"/>
  <c r="K1626" i="2"/>
  <c r="J1626" i="2"/>
  <c r="S1626" i="2"/>
  <c r="L1626" i="2"/>
  <c r="P1626" i="2" s="1"/>
  <c r="V1626" i="2" l="1"/>
  <c r="Y1626" i="2" s="1"/>
  <c r="G1627" i="2" s="1"/>
  <c r="U1626" i="2"/>
  <c r="X1626" i="2" s="1"/>
  <c r="F1627" i="2" s="1"/>
  <c r="T1626" i="2"/>
  <c r="W1626" i="2" s="1"/>
  <c r="E1627" i="2" s="1"/>
  <c r="C1627" i="2" l="1"/>
  <c r="D1627" i="2"/>
  <c r="H1627" i="2"/>
  <c r="L1627" i="2" s="1"/>
  <c r="B1627" i="2"/>
  <c r="I1627" i="2" l="1"/>
  <c r="K1627" i="2"/>
  <c r="J1627" i="2"/>
  <c r="S1627" i="2"/>
  <c r="N1627" i="2"/>
  <c r="O1627" i="2" s="1"/>
  <c r="M1627" i="2"/>
  <c r="R1627" i="2" l="1"/>
  <c r="Q1627" i="2"/>
  <c r="P1627" i="2"/>
  <c r="V1627" i="2"/>
  <c r="Y1627" i="2" s="1"/>
  <c r="G1628" i="2" s="1"/>
  <c r="T1627" i="2"/>
  <c r="U1627" i="2"/>
  <c r="X1627" i="2" s="1"/>
  <c r="F1628" i="2" s="1"/>
  <c r="W1627" i="2"/>
  <c r="E1628" i="2" s="1"/>
  <c r="D1628" i="2" l="1"/>
  <c r="H1628" i="2"/>
  <c r="M1628" i="2" s="1"/>
  <c r="B1628" i="2"/>
  <c r="C1628" i="2"/>
  <c r="J1628" i="2" l="1"/>
  <c r="I1628" i="2"/>
  <c r="K1628" i="2"/>
  <c r="S1628" i="2"/>
  <c r="L1628" i="2"/>
  <c r="N1628" i="2"/>
  <c r="O1628" i="2" s="1"/>
  <c r="R1628" i="2" l="1"/>
  <c r="Q1628" i="2"/>
  <c r="P1628" i="2"/>
  <c r="T1628" i="2" s="1"/>
  <c r="W1628" i="2" s="1"/>
  <c r="E1629" i="2" s="1"/>
  <c r="V1628" i="2"/>
  <c r="U1628" i="2"/>
  <c r="Y1628" i="2"/>
  <c r="G1629" i="2" s="1"/>
  <c r="X1628" i="2"/>
  <c r="F1629" i="2" s="1"/>
  <c r="H1629" i="2" l="1"/>
  <c r="B1629" i="2"/>
  <c r="M1629" i="2"/>
  <c r="C1629" i="2"/>
  <c r="N1629" i="2"/>
  <c r="O1629" i="2" s="1"/>
  <c r="D1629" i="2"/>
  <c r="R1629" i="2" l="1"/>
  <c r="Q1629" i="2"/>
  <c r="I1629" i="2"/>
  <c r="J1629" i="2"/>
  <c r="K1629" i="2"/>
  <c r="S1629" i="2"/>
  <c r="L1629" i="2"/>
  <c r="P1629" i="2" s="1"/>
  <c r="V1629" i="2" l="1"/>
  <c r="U1629" i="2"/>
  <c r="X1629" i="2" s="1"/>
  <c r="F1630" i="2" s="1"/>
  <c r="T1629" i="2"/>
  <c r="W1629" i="2" s="1"/>
  <c r="E1630" i="2" s="1"/>
  <c r="Y1629" i="2"/>
  <c r="G1630" i="2" s="1"/>
  <c r="C1630" i="2" l="1"/>
  <c r="H1630" i="2"/>
  <c r="L1630" i="2" s="1"/>
  <c r="B1630" i="2"/>
  <c r="D1630" i="2"/>
  <c r="N1630" i="2" l="1"/>
  <c r="O1630" i="2" s="1"/>
  <c r="R1630" i="2"/>
  <c r="P1630" i="2"/>
  <c r="I1630" i="2"/>
  <c r="J1630" i="2"/>
  <c r="K1630" i="2"/>
  <c r="S1630" i="2"/>
  <c r="M1630" i="2"/>
  <c r="Q1630" i="2" s="1"/>
  <c r="V1630" i="2" l="1"/>
  <c r="U1630" i="2"/>
  <c r="T1630" i="2"/>
  <c r="W1630" i="2"/>
  <c r="E1631" i="2" s="1"/>
  <c r="Y1630" i="2"/>
  <c r="G1631" i="2" s="1"/>
  <c r="X1630" i="2"/>
  <c r="F1631" i="2" s="1"/>
  <c r="C1631" i="2" l="1"/>
  <c r="D1631" i="2"/>
  <c r="H1631" i="2"/>
  <c r="B1631" i="2"/>
  <c r="J1631" i="2" l="1"/>
  <c r="K1631" i="2"/>
  <c r="I1631" i="2"/>
  <c r="S1631" i="2"/>
  <c r="L1631" i="2"/>
  <c r="N1631" i="2"/>
  <c r="O1631" i="2" s="1"/>
  <c r="M1631" i="2"/>
  <c r="Q1631" i="2" l="1"/>
  <c r="U1631" i="2" s="1"/>
  <c r="X1631" i="2" s="1"/>
  <c r="F1632" i="2" s="1"/>
  <c r="P1631" i="2"/>
  <c r="R1631" i="2"/>
  <c r="V1631" i="2"/>
  <c r="Y1631" i="2" s="1"/>
  <c r="G1632" i="2" s="1"/>
  <c r="T1631" i="2"/>
  <c r="W1631" i="2" s="1"/>
  <c r="E1632" i="2" s="1"/>
  <c r="D1632" i="2" l="1"/>
  <c r="H1632" i="2"/>
  <c r="B1632" i="2"/>
  <c r="C1632" i="2"/>
  <c r="I1632" i="2" l="1"/>
  <c r="J1632" i="2"/>
  <c r="K1632" i="2"/>
  <c r="S1632" i="2"/>
  <c r="M1632" i="2"/>
  <c r="L1632" i="2"/>
  <c r="N1632" i="2"/>
  <c r="O1632" i="2" s="1"/>
  <c r="R1632" i="2" l="1"/>
  <c r="Q1632" i="2"/>
  <c r="U1632" i="2" s="1"/>
  <c r="X1632" i="2" s="1"/>
  <c r="F1633" i="2" s="1"/>
  <c r="P1632" i="2"/>
  <c r="V1632" i="2"/>
  <c r="T1632" i="2"/>
  <c r="Y1632" i="2"/>
  <c r="G1633" i="2" s="1"/>
  <c r="W1632" i="2"/>
  <c r="E1633" i="2" s="1"/>
  <c r="C1633" i="2" l="1"/>
  <c r="H1633" i="2"/>
  <c r="L1633" i="2" s="1"/>
  <c r="B1633" i="2"/>
  <c r="D1633" i="2"/>
  <c r="N1633" i="2" l="1"/>
  <c r="O1633" i="2" s="1"/>
  <c r="R1633" i="2"/>
  <c r="P1633" i="2"/>
  <c r="J1633" i="2"/>
  <c r="I1633" i="2"/>
  <c r="K1633" i="2"/>
  <c r="S1633" i="2"/>
  <c r="M1633" i="2"/>
  <c r="Q1633" i="2" s="1"/>
  <c r="V1633" i="2" l="1"/>
  <c r="U1633" i="2"/>
  <c r="T1633" i="2"/>
  <c r="X1633" i="2"/>
  <c r="F1634" i="2" s="1"/>
  <c r="Y1633" i="2"/>
  <c r="G1634" i="2" s="1"/>
  <c r="W1633" i="2"/>
  <c r="E1634" i="2" s="1"/>
  <c r="D1634" i="2" l="1"/>
  <c r="H1634" i="2"/>
  <c r="B1634" i="2"/>
  <c r="C1634" i="2"/>
  <c r="J1634" i="2" l="1"/>
  <c r="I1634" i="2"/>
  <c r="S1634" i="2"/>
  <c r="K1634" i="2"/>
  <c r="L1634" i="2"/>
  <c r="M1634" i="2"/>
  <c r="N1634" i="2"/>
  <c r="O1634" i="2" s="1"/>
  <c r="R1634" i="2" l="1"/>
  <c r="Q1634" i="2"/>
  <c r="U1634" i="2" s="1"/>
  <c r="X1634" i="2" s="1"/>
  <c r="F1635" i="2" s="1"/>
  <c r="P1634" i="2"/>
  <c r="T1634" i="2" s="1"/>
  <c r="W1634" i="2" s="1"/>
  <c r="E1635" i="2" s="1"/>
  <c r="V1634" i="2"/>
  <c r="Y1634" i="2" s="1"/>
  <c r="G1635" i="2" s="1"/>
  <c r="D1635" i="2" l="1"/>
  <c r="C1635" i="2"/>
  <c r="H1635" i="2"/>
  <c r="B1635" i="2"/>
  <c r="K1635" i="2" l="1"/>
  <c r="I1635" i="2"/>
  <c r="J1635" i="2"/>
  <c r="S1635" i="2"/>
  <c r="L1635" i="2"/>
  <c r="M1635" i="2"/>
  <c r="N1635" i="2"/>
  <c r="O1635" i="2" s="1"/>
  <c r="R1635" i="2" l="1"/>
  <c r="Q1635" i="2"/>
  <c r="P1635" i="2"/>
  <c r="T1635" i="2" s="1"/>
  <c r="W1635" i="2" s="1"/>
  <c r="E1636" i="2" s="1"/>
  <c r="V1635" i="2"/>
  <c r="U1635" i="2"/>
  <c r="X1635" i="2" s="1"/>
  <c r="F1636" i="2" s="1"/>
  <c r="Y1635" i="2"/>
  <c r="G1636" i="2" s="1"/>
  <c r="H1636" i="2" l="1"/>
  <c r="B1636" i="2"/>
  <c r="N1636" i="2"/>
  <c r="O1636" i="2" s="1"/>
  <c r="D1636" i="2"/>
  <c r="M1636" i="2"/>
  <c r="C1636" i="2"/>
  <c r="R1636" i="2" l="1"/>
  <c r="Q1636" i="2"/>
  <c r="I1636" i="2"/>
  <c r="K1636" i="2"/>
  <c r="J1636" i="2"/>
  <c r="S1636" i="2"/>
  <c r="L1636" i="2"/>
  <c r="P1636" i="2" s="1"/>
  <c r="V1636" i="2" l="1"/>
  <c r="Y1636" i="2" s="1"/>
  <c r="G1637" i="2" s="1"/>
  <c r="U1636" i="2"/>
  <c r="T1636" i="2"/>
  <c r="X1636" i="2"/>
  <c r="F1637" i="2" s="1"/>
  <c r="W1636" i="2"/>
  <c r="E1637" i="2" s="1"/>
  <c r="D1637" i="2" l="1"/>
  <c r="H1637" i="2"/>
  <c r="M1637" i="2" s="1"/>
  <c r="B1637" i="2"/>
  <c r="C1637" i="2"/>
  <c r="I1637" i="2" l="1"/>
  <c r="K1637" i="2"/>
  <c r="J1637" i="2"/>
  <c r="S1637" i="2"/>
  <c r="L1637" i="2"/>
  <c r="N1637" i="2"/>
  <c r="O1637" i="2" s="1"/>
  <c r="R1637" i="2" l="1"/>
  <c r="Q1637" i="2"/>
  <c r="P1637" i="2"/>
  <c r="V1637" i="2"/>
  <c r="Y1637" i="2" s="1"/>
  <c r="G1638" i="2" s="1"/>
  <c r="U1637" i="2"/>
  <c r="X1637" i="2" s="1"/>
  <c r="F1638" i="2" s="1"/>
  <c r="T1637" i="2"/>
  <c r="W1637" i="2"/>
  <c r="E1638" i="2" s="1"/>
  <c r="D1638" i="2" l="1"/>
  <c r="H1638" i="2"/>
  <c r="B1638" i="2"/>
  <c r="M1638" i="2"/>
  <c r="C1638" i="2"/>
  <c r="I1638" i="2" l="1"/>
  <c r="K1638" i="2"/>
  <c r="J1638" i="2"/>
  <c r="S1638" i="2"/>
  <c r="L1638" i="2"/>
  <c r="N1638" i="2"/>
  <c r="O1638" i="2" s="1"/>
  <c r="Q1638" i="2" l="1"/>
  <c r="R1638" i="2"/>
  <c r="V1638" i="2" s="1"/>
  <c r="Y1638" i="2" s="1"/>
  <c r="G1639" i="2" s="1"/>
  <c r="P1638" i="2"/>
  <c r="T1638" i="2" s="1"/>
  <c r="W1638" i="2" s="1"/>
  <c r="E1639" i="2" s="1"/>
  <c r="U1638" i="2"/>
  <c r="X1638" i="2" s="1"/>
  <c r="F1639" i="2" s="1"/>
  <c r="C1639" i="2" l="1"/>
  <c r="D1639" i="2"/>
  <c r="H1639" i="2"/>
  <c r="N1639" i="2" s="1"/>
  <c r="O1639" i="2" s="1"/>
  <c r="B1639" i="2"/>
  <c r="R1639" i="2" l="1"/>
  <c r="J1639" i="2"/>
  <c r="I1639" i="2"/>
  <c r="K1639" i="2"/>
  <c r="S1639" i="2"/>
  <c r="L1639" i="2"/>
  <c r="P1639" i="2" s="1"/>
  <c r="M1639" i="2"/>
  <c r="Q1639" i="2" s="1"/>
  <c r="V1639" i="2" l="1"/>
  <c r="U1639" i="2"/>
  <c r="T1639" i="2"/>
  <c r="W1639" i="2" s="1"/>
  <c r="E1640" i="2" s="1"/>
  <c r="Y1639" i="2"/>
  <c r="G1640" i="2" s="1"/>
  <c r="X1639" i="2"/>
  <c r="F1640" i="2" s="1"/>
  <c r="H1640" i="2" l="1"/>
  <c r="B1640" i="2"/>
  <c r="M1640" i="2"/>
  <c r="C1640" i="2"/>
  <c r="N1640" i="2"/>
  <c r="O1640" i="2" s="1"/>
  <c r="D1640" i="2"/>
  <c r="Q1640" i="2" l="1"/>
  <c r="R1640" i="2"/>
  <c r="I1640" i="2"/>
  <c r="J1640" i="2"/>
  <c r="K1640" i="2"/>
  <c r="S1640" i="2"/>
  <c r="L1640" i="2"/>
  <c r="P1640" i="2" s="1"/>
  <c r="V1640" i="2" l="1"/>
  <c r="Y1640" i="2" s="1"/>
  <c r="G1641" i="2" s="1"/>
  <c r="T1640" i="2"/>
  <c r="W1640" i="2" s="1"/>
  <c r="E1641" i="2" s="1"/>
  <c r="U1640" i="2"/>
  <c r="X1640" i="2" s="1"/>
  <c r="F1641" i="2" s="1"/>
  <c r="C1641" i="2" l="1"/>
  <c r="D1641" i="2"/>
  <c r="H1641" i="2"/>
  <c r="B1641" i="2"/>
  <c r="K1641" i="2" l="1"/>
  <c r="I1641" i="2"/>
  <c r="J1641" i="2"/>
  <c r="S1641" i="2"/>
  <c r="N1641" i="2"/>
  <c r="O1641" i="2" s="1"/>
  <c r="L1641" i="2"/>
  <c r="M1641" i="2"/>
  <c r="Q1641" i="2" l="1"/>
  <c r="R1641" i="2"/>
  <c r="P1641" i="2"/>
  <c r="T1641" i="2" s="1"/>
  <c r="W1641" i="2" s="1"/>
  <c r="E1642" i="2" s="1"/>
  <c r="V1641" i="2"/>
  <c r="U1641" i="2"/>
  <c r="X1641" i="2" s="1"/>
  <c r="F1642" i="2" s="1"/>
  <c r="Y1641" i="2"/>
  <c r="G1642" i="2" s="1"/>
  <c r="H1642" i="2" l="1"/>
  <c r="L1642" i="2"/>
  <c r="B1642" i="2"/>
  <c r="M1642" i="2"/>
  <c r="C1642" i="2"/>
  <c r="N1642" i="2"/>
  <c r="O1642" i="2" s="1"/>
  <c r="D1642" i="2"/>
  <c r="Q1642" i="2" l="1"/>
  <c r="P1642" i="2"/>
  <c r="R1642" i="2"/>
  <c r="K1642" i="2"/>
  <c r="J1642" i="2"/>
  <c r="I1642" i="2"/>
  <c r="S1642" i="2"/>
  <c r="V1642" i="2" l="1"/>
  <c r="U1642" i="2"/>
  <c r="T1642" i="2"/>
  <c r="X1642" i="2"/>
  <c r="F1643" i="2" s="1"/>
  <c r="W1642" i="2"/>
  <c r="E1643" i="2" s="1"/>
  <c r="Y1642" i="2"/>
  <c r="G1643" i="2" s="1"/>
  <c r="H1643" i="2" l="1"/>
  <c r="L1643" i="2"/>
  <c r="B1643" i="2"/>
  <c r="N1643" i="2"/>
  <c r="O1643" i="2" s="1"/>
  <c r="D1643" i="2"/>
  <c r="M1643" i="2"/>
  <c r="C1643" i="2"/>
  <c r="Q1643" i="2" l="1"/>
  <c r="R1643" i="2"/>
  <c r="P1643" i="2"/>
  <c r="K1643" i="2"/>
  <c r="J1643" i="2"/>
  <c r="I1643" i="2"/>
  <c r="S1643" i="2"/>
  <c r="V1643" i="2" l="1"/>
  <c r="Y1643" i="2" s="1"/>
  <c r="G1644" i="2" s="1"/>
  <c r="U1643" i="2"/>
  <c r="T1643" i="2"/>
  <c r="W1643" i="2"/>
  <c r="E1644" i="2" s="1"/>
  <c r="X1643" i="2"/>
  <c r="F1644" i="2" s="1"/>
  <c r="C1644" i="2" l="1"/>
  <c r="D1644" i="2"/>
  <c r="H1644" i="2"/>
  <c r="N1644" i="2" s="1"/>
  <c r="O1644" i="2" s="1"/>
  <c r="B1644" i="2"/>
  <c r="R1644" i="2" l="1"/>
  <c r="K1644" i="2"/>
  <c r="J1644" i="2"/>
  <c r="I1644" i="2"/>
  <c r="S1644" i="2"/>
  <c r="L1644" i="2"/>
  <c r="P1644" i="2" s="1"/>
  <c r="M1644" i="2"/>
  <c r="Q1644" i="2" s="1"/>
  <c r="U1644" i="2" l="1"/>
  <c r="X1644" i="2" s="1"/>
  <c r="F1645" i="2" s="1"/>
  <c r="V1644" i="2"/>
  <c r="T1644" i="2"/>
  <c r="W1644" i="2" s="1"/>
  <c r="E1645" i="2" s="1"/>
  <c r="Y1644" i="2"/>
  <c r="G1645" i="2" s="1"/>
  <c r="C1645" i="2" l="1"/>
  <c r="D1645" i="2"/>
  <c r="H1645" i="2"/>
  <c r="B1645" i="2"/>
  <c r="J1645" i="2" l="1"/>
  <c r="K1645" i="2"/>
  <c r="I1645" i="2"/>
  <c r="S1645" i="2"/>
  <c r="N1645" i="2"/>
  <c r="O1645" i="2" s="1"/>
  <c r="L1645" i="2"/>
  <c r="M1645" i="2"/>
  <c r="Q1645" i="2" l="1"/>
  <c r="R1645" i="2"/>
  <c r="V1645" i="2" s="1"/>
  <c r="Y1645" i="2" s="1"/>
  <c r="G1646" i="2" s="1"/>
  <c r="P1645" i="2"/>
  <c r="T1645" i="2" s="1"/>
  <c r="W1645" i="2" s="1"/>
  <c r="E1646" i="2" s="1"/>
  <c r="U1645" i="2"/>
  <c r="X1645" i="2"/>
  <c r="F1646" i="2" s="1"/>
  <c r="H1646" i="2" l="1"/>
  <c r="B1646" i="2"/>
  <c r="N1646" i="2"/>
  <c r="O1646" i="2" s="1"/>
  <c r="D1646" i="2"/>
  <c r="M1646" i="2"/>
  <c r="C1646" i="2"/>
  <c r="Q1646" i="2" l="1"/>
  <c r="R1646" i="2"/>
  <c r="K1646" i="2"/>
  <c r="J1646" i="2"/>
  <c r="I1646" i="2"/>
  <c r="S1646" i="2"/>
  <c r="L1646" i="2"/>
  <c r="P1646" i="2" s="1"/>
  <c r="V1646" i="2" l="1"/>
  <c r="U1646" i="2"/>
  <c r="T1646" i="2"/>
  <c r="W1646" i="2" s="1"/>
  <c r="E1647" i="2" s="1"/>
  <c r="X1646" i="2"/>
  <c r="F1647" i="2" s="1"/>
  <c r="Y1646" i="2"/>
  <c r="G1647" i="2" s="1"/>
  <c r="H1647" i="2" l="1"/>
  <c r="B1647" i="2"/>
  <c r="N1647" i="2"/>
  <c r="O1647" i="2" s="1"/>
  <c r="D1647" i="2"/>
  <c r="M1647" i="2"/>
  <c r="C1647" i="2"/>
  <c r="Q1647" i="2" l="1"/>
  <c r="R1647" i="2"/>
  <c r="K1647" i="2"/>
  <c r="I1647" i="2"/>
  <c r="J1647" i="2"/>
  <c r="S1647" i="2"/>
  <c r="L1647" i="2"/>
  <c r="P1647" i="2" s="1"/>
  <c r="T1647" i="2" l="1"/>
  <c r="V1647" i="2"/>
  <c r="U1647" i="2"/>
  <c r="X1647" i="2" s="1"/>
  <c r="F1648" i="2" s="1"/>
  <c r="W1647" i="2"/>
  <c r="E1648" i="2" s="1"/>
  <c r="Y1647" i="2"/>
  <c r="G1648" i="2" s="1"/>
  <c r="C1648" i="2" l="1"/>
  <c r="D1648" i="2"/>
  <c r="H1648" i="2"/>
  <c r="L1648" i="2" s="1"/>
  <c r="B1648" i="2"/>
  <c r="J1648" i="2" l="1"/>
  <c r="I1648" i="2"/>
  <c r="K1648" i="2"/>
  <c r="S1648" i="2"/>
  <c r="N1648" i="2"/>
  <c r="O1648" i="2" s="1"/>
  <c r="M1648" i="2"/>
  <c r="Q1648" i="2" l="1"/>
  <c r="P1648" i="2"/>
  <c r="T1648" i="2" s="1"/>
  <c r="W1648" i="2" s="1"/>
  <c r="E1649" i="2" s="1"/>
  <c r="R1648" i="2"/>
  <c r="V1648" i="2" s="1"/>
  <c r="Y1648" i="2" s="1"/>
  <c r="G1649" i="2" s="1"/>
  <c r="U1648" i="2"/>
  <c r="X1648" i="2"/>
  <c r="F1649" i="2" s="1"/>
  <c r="H1649" i="2" l="1"/>
  <c r="L1649" i="2"/>
  <c r="B1649" i="2"/>
  <c r="N1649" i="2"/>
  <c r="O1649" i="2" s="1"/>
  <c r="D1649" i="2"/>
  <c r="M1649" i="2"/>
  <c r="C1649" i="2"/>
  <c r="Q1649" i="2" l="1"/>
  <c r="P1649" i="2"/>
  <c r="R1649" i="2"/>
  <c r="K1649" i="2"/>
  <c r="J1649" i="2"/>
  <c r="I1649" i="2"/>
  <c r="S1649" i="2"/>
  <c r="V1649" i="2" l="1"/>
  <c r="U1649" i="2"/>
  <c r="X1649" i="2" s="1"/>
  <c r="F1650" i="2" s="1"/>
  <c r="T1649" i="2"/>
  <c r="W1649" i="2" s="1"/>
  <c r="E1650" i="2" s="1"/>
  <c r="Y1649" i="2"/>
  <c r="G1650" i="2" s="1"/>
  <c r="C1650" i="2" l="1"/>
  <c r="D1650" i="2"/>
  <c r="H1650" i="2"/>
  <c r="B1650" i="2"/>
  <c r="K1650" i="2" l="1"/>
  <c r="J1650" i="2"/>
  <c r="I1650" i="2"/>
  <c r="S1650" i="2"/>
  <c r="L1650" i="2"/>
  <c r="N1650" i="2"/>
  <c r="O1650" i="2" s="1"/>
  <c r="M1650" i="2"/>
  <c r="Q1650" i="2" l="1"/>
  <c r="R1650" i="2"/>
  <c r="V1650" i="2" s="1"/>
  <c r="Y1650" i="2" s="1"/>
  <c r="G1651" i="2" s="1"/>
  <c r="P1650" i="2"/>
  <c r="T1650" i="2" s="1"/>
  <c r="W1650" i="2" s="1"/>
  <c r="E1651" i="2" s="1"/>
  <c r="U1650" i="2"/>
  <c r="X1650" i="2" s="1"/>
  <c r="F1651" i="2" s="1"/>
  <c r="H1651" i="2" l="1"/>
  <c r="B1651" i="2"/>
  <c r="N1651" i="2"/>
  <c r="O1651" i="2" s="1"/>
  <c r="D1651" i="2"/>
  <c r="M1651" i="2"/>
  <c r="C1651" i="2"/>
  <c r="Q1651" i="2" l="1"/>
  <c r="R1651" i="2"/>
  <c r="K1651" i="2"/>
  <c r="J1651" i="2"/>
  <c r="I1651" i="2"/>
  <c r="S1651" i="2"/>
  <c r="L1651" i="2"/>
  <c r="P1651" i="2" s="1"/>
  <c r="U1651" i="2" l="1"/>
  <c r="X1651" i="2" s="1"/>
  <c r="F1652" i="2" s="1"/>
  <c r="V1651" i="2"/>
  <c r="T1651" i="2"/>
  <c r="W1651" i="2" s="1"/>
  <c r="E1652" i="2" s="1"/>
  <c r="Y1651" i="2"/>
  <c r="G1652" i="2" s="1"/>
  <c r="C1652" i="2" l="1"/>
  <c r="D1652" i="2"/>
  <c r="H1652" i="2"/>
  <c r="B1652" i="2"/>
  <c r="K1652" i="2" l="1"/>
  <c r="J1652" i="2"/>
  <c r="I1652" i="2"/>
  <c r="S1652" i="2"/>
  <c r="L1652" i="2"/>
  <c r="N1652" i="2"/>
  <c r="O1652" i="2" s="1"/>
  <c r="M1652" i="2"/>
  <c r="Q1652" i="2" l="1"/>
  <c r="R1652" i="2"/>
  <c r="P1652" i="2"/>
  <c r="T1652" i="2" s="1"/>
  <c r="W1652" i="2" s="1"/>
  <c r="E1653" i="2" s="1"/>
  <c r="V1652" i="2"/>
  <c r="U1652" i="2"/>
  <c r="X1652" i="2" s="1"/>
  <c r="F1653" i="2" s="1"/>
  <c r="Y1652" i="2"/>
  <c r="G1653" i="2" s="1"/>
  <c r="D1653" i="2" l="1"/>
  <c r="C1653" i="2"/>
  <c r="H1653" i="2"/>
  <c r="B1653" i="2"/>
  <c r="I1653" i="2" l="1"/>
  <c r="K1653" i="2"/>
  <c r="J1653" i="2"/>
  <c r="S1653" i="2"/>
  <c r="L1653" i="2"/>
  <c r="M1653" i="2"/>
  <c r="N1653" i="2"/>
  <c r="O1653" i="2" s="1"/>
  <c r="Q1653" i="2" l="1"/>
  <c r="U1653" i="2" s="1"/>
  <c r="X1653" i="2" s="1"/>
  <c r="F1654" i="2" s="1"/>
  <c r="R1653" i="2"/>
  <c r="V1653" i="2" s="1"/>
  <c r="Y1653" i="2" s="1"/>
  <c r="G1654" i="2" s="1"/>
  <c r="P1653" i="2"/>
  <c r="T1653" i="2" s="1"/>
  <c r="W1653" i="2" s="1"/>
  <c r="E1654" i="2" s="1"/>
  <c r="D1654" i="2" l="1"/>
  <c r="H1654" i="2"/>
  <c r="B1654" i="2"/>
  <c r="M1654" i="2"/>
  <c r="C1654" i="2"/>
  <c r="I1654" i="2" l="1"/>
  <c r="K1654" i="2"/>
  <c r="J1654" i="2"/>
  <c r="S1654" i="2"/>
  <c r="L1654" i="2"/>
  <c r="N1654" i="2"/>
  <c r="O1654" i="2" s="1"/>
  <c r="Q1654" i="2" l="1"/>
  <c r="U1654" i="2" s="1"/>
  <c r="X1654" i="2" s="1"/>
  <c r="F1655" i="2" s="1"/>
  <c r="P1654" i="2"/>
  <c r="T1654" i="2" s="1"/>
  <c r="W1654" i="2" s="1"/>
  <c r="E1655" i="2" s="1"/>
  <c r="R1654" i="2"/>
  <c r="V1654" i="2" s="1"/>
  <c r="Y1654" i="2" s="1"/>
  <c r="G1655" i="2" s="1"/>
  <c r="D1655" i="2" l="1"/>
  <c r="H1655" i="2"/>
  <c r="L1655" i="2" s="1"/>
  <c r="B1655" i="2"/>
  <c r="C1655" i="2"/>
  <c r="M1655" i="2" l="1"/>
  <c r="J1655" i="2"/>
  <c r="I1655" i="2"/>
  <c r="K1655" i="2"/>
  <c r="S1655" i="2"/>
  <c r="N1655" i="2"/>
  <c r="O1655" i="2" s="1"/>
  <c r="Q1655" i="2" l="1"/>
  <c r="P1655" i="2"/>
  <c r="T1655" i="2" s="1"/>
  <c r="W1655" i="2" s="1"/>
  <c r="E1656" i="2" s="1"/>
  <c r="R1655" i="2"/>
  <c r="V1655" i="2" s="1"/>
  <c r="Y1655" i="2" s="1"/>
  <c r="G1656" i="2" s="1"/>
  <c r="U1655" i="2"/>
  <c r="X1655" i="2" s="1"/>
  <c r="F1656" i="2" s="1"/>
  <c r="H1656" i="2" l="1"/>
  <c r="B1656" i="2"/>
  <c r="M1656" i="2"/>
  <c r="C1656" i="2"/>
  <c r="N1656" i="2"/>
  <c r="O1656" i="2" s="1"/>
  <c r="D1656" i="2"/>
  <c r="Q1656" i="2" l="1"/>
  <c r="R1656" i="2"/>
  <c r="K1656" i="2"/>
  <c r="J1656" i="2"/>
  <c r="S1656" i="2"/>
  <c r="I1656" i="2"/>
  <c r="L1656" i="2"/>
  <c r="P1656" i="2" s="1"/>
  <c r="U1656" i="2" l="1"/>
  <c r="X1656" i="2" s="1"/>
  <c r="F1657" i="2" s="1"/>
  <c r="V1656" i="2"/>
  <c r="Y1656" i="2" s="1"/>
  <c r="G1657" i="2" s="1"/>
  <c r="T1656" i="2"/>
  <c r="W1656" i="2" s="1"/>
  <c r="E1657" i="2" s="1"/>
  <c r="H1657" i="2" l="1"/>
  <c r="B1657" i="2"/>
  <c r="N1657" i="2"/>
  <c r="O1657" i="2" s="1"/>
  <c r="D1657" i="2"/>
  <c r="M1657" i="2"/>
  <c r="C1657" i="2"/>
  <c r="Q1657" i="2" l="1"/>
  <c r="R1657" i="2"/>
  <c r="K1657" i="2"/>
  <c r="I1657" i="2"/>
  <c r="J1657" i="2"/>
  <c r="S1657" i="2"/>
  <c r="L1657" i="2"/>
  <c r="P1657" i="2" s="1"/>
  <c r="U1657" i="2" l="1"/>
  <c r="X1657" i="2" s="1"/>
  <c r="F1658" i="2" s="1"/>
  <c r="V1657" i="2"/>
  <c r="T1657" i="2"/>
  <c r="Y1657" i="2"/>
  <c r="G1658" i="2" s="1"/>
  <c r="W1657" i="2"/>
  <c r="E1658" i="2" s="1"/>
  <c r="C1658" i="2" l="1"/>
  <c r="H1658" i="2"/>
  <c r="N1658" i="2" s="1"/>
  <c r="O1658" i="2" s="1"/>
  <c r="B1658" i="2"/>
  <c r="D1658" i="2"/>
  <c r="R1658" i="2" l="1"/>
  <c r="I1658" i="2"/>
  <c r="J1658" i="2"/>
  <c r="K1658" i="2"/>
  <c r="S1658" i="2"/>
  <c r="L1658" i="2"/>
  <c r="P1658" i="2" s="1"/>
  <c r="M1658" i="2"/>
  <c r="Q1658" i="2" s="1"/>
  <c r="V1658" i="2" l="1"/>
  <c r="U1658" i="2"/>
  <c r="T1658" i="2"/>
  <c r="X1658" i="2"/>
  <c r="F1659" i="2" s="1"/>
  <c r="Y1658" i="2"/>
  <c r="G1659" i="2" s="1"/>
  <c r="W1658" i="2"/>
  <c r="E1659" i="2" s="1"/>
  <c r="D1659" i="2" l="1"/>
  <c r="H1659" i="2"/>
  <c r="M1659" i="2" s="1"/>
  <c r="B1659" i="2"/>
  <c r="C1659" i="2"/>
  <c r="J1659" i="2" l="1"/>
  <c r="I1659" i="2"/>
  <c r="K1659" i="2"/>
  <c r="S1659" i="2"/>
  <c r="L1659" i="2"/>
  <c r="N1659" i="2"/>
  <c r="O1659" i="2" s="1"/>
  <c r="Q1659" i="2" l="1"/>
  <c r="R1659" i="2"/>
  <c r="V1659" i="2" s="1"/>
  <c r="Y1659" i="2" s="1"/>
  <c r="G1660" i="2" s="1"/>
  <c r="P1659" i="2"/>
  <c r="T1659" i="2" s="1"/>
  <c r="W1659" i="2" s="1"/>
  <c r="E1660" i="2" s="1"/>
  <c r="U1659" i="2"/>
  <c r="X1659" i="2"/>
  <c r="F1660" i="2" s="1"/>
  <c r="D1660" i="2" l="1"/>
  <c r="H1660" i="2"/>
  <c r="L1660" i="2" s="1"/>
  <c r="B1660" i="2"/>
  <c r="C1660" i="2"/>
  <c r="M1660" i="2" l="1"/>
  <c r="J1660" i="2"/>
  <c r="K1660" i="2"/>
  <c r="I1660" i="2"/>
  <c r="S1660" i="2"/>
  <c r="N1660" i="2"/>
  <c r="O1660" i="2" s="1"/>
  <c r="Q1660" i="2" l="1"/>
  <c r="R1660" i="2"/>
  <c r="P1660" i="2"/>
  <c r="T1660" i="2" s="1"/>
  <c r="W1660" i="2" s="1"/>
  <c r="E1661" i="2" s="1"/>
  <c r="V1660" i="2"/>
  <c r="Y1660" i="2" s="1"/>
  <c r="G1661" i="2" s="1"/>
  <c r="U1660" i="2"/>
  <c r="X1660" i="2" s="1"/>
  <c r="F1661" i="2" s="1"/>
  <c r="H1661" i="2" l="1"/>
  <c r="L1661" i="2" s="1"/>
  <c r="B1661" i="2"/>
  <c r="M1661" i="2"/>
  <c r="C1661" i="2"/>
  <c r="N1661" i="2"/>
  <c r="O1661" i="2" s="1"/>
  <c r="D1661" i="2"/>
  <c r="Q1661" i="2" l="1"/>
  <c r="P1661" i="2"/>
  <c r="R1661" i="2"/>
  <c r="J1661" i="2"/>
  <c r="I1661" i="2"/>
  <c r="S1661" i="2"/>
  <c r="K1661" i="2"/>
  <c r="V1661" i="2" l="1"/>
  <c r="Y1661" i="2" s="1"/>
  <c r="G1662" i="2" s="1"/>
  <c r="U1661" i="2"/>
  <c r="T1661" i="2"/>
  <c r="W1661" i="2" s="1"/>
  <c r="E1662" i="2" s="1"/>
  <c r="X1661" i="2"/>
  <c r="F1662" i="2" s="1"/>
  <c r="H1662" i="2" l="1"/>
  <c r="B1662" i="2"/>
  <c r="N1662" i="2"/>
  <c r="O1662" i="2" s="1"/>
  <c r="D1662" i="2"/>
  <c r="M1662" i="2"/>
  <c r="C1662" i="2"/>
  <c r="Q1662" i="2" l="1"/>
  <c r="R1662" i="2"/>
  <c r="K1662" i="2"/>
  <c r="I1662" i="2"/>
  <c r="J1662" i="2"/>
  <c r="S1662" i="2"/>
  <c r="L1662" i="2"/>
  <c r="P1662" i="2" s="1"/>
  <c r="U1662" i="2" l="1"/>
  <c r="V1662" i="2"/>
  <c r="T1662" i="2"/>
  <c r="W1662" i="2" s="1"/>
  <c r="E1663" i="2" s="1"/>
  <c r="X1662" i="2"/>
  <c r="F1663" i="2" s="1"/>
  <c r="Y1662" i="2"/>
  <c r="G1663" i="2" s="1"/>
  <c r="H1663" i="2" l="1"/>
  <c r="N1663" i="2" s="1"/>
  <c r="O1663" i="2" s="1"/>
  <c r="B1663" i="2"/>
  <c r="D1663" i="2"/>
  <c r="C1663" i="2"/>
  <c r="M1663" i="2" l="1"/>
  <c r="Q1663" i="2"/>
  <c r="R1663" i="2"/>
  <c r="K1663" i="2"/>
  <c r="I1663" i="2"/>
  <c r="J1663" i="2"/>
  <c r="S1663" i="2"/>
  <c r="L1663" i="2"/>
  <c r="P1663" i="2" s="1"/>
  <c r="V1663" i="2" l="1"/>
  <c r="U1663" i="2"/>
  <c r="X1663" i="2" s="1"/>
  <c r="F1664" i="2" s="1"/>
  <c r="T1663" i="2"/>
  <c r="W1663" i="2" s="1"/>
  <c r="E1664" i="2" s="1"/>
  <c r="Y1663" i="2"/>
  <c r="G1664" i="2" s="1"/>
  <c r="C1664" i="2" l="1"/>
  <c r="D1664" i="2"/>
  <c r="H1664" i="2"/>
  <c r="L1664" i="2" s="1"/>
  <c r="B1664" i="2"/>
  <c r="I1664" i="2" l="1"/>
  <c r="J1664" i="2"/>
  <c r="K1664" i="2"/>
  <c r="S1664" i="2"/>
  <c r="N1664" i="2"/>
  <c r="O1664" i="2" s="1"/>
  <c r="M1664" i="2"/>
  <c r="Q1664" i="2" l="1"/>
  <c r="P1664" i="2"/>
  <c r="R1664" i="2"/>
  <c r="V1664" i="2" s="1"/>
  <c r="Y1664" i="2" s="1"/>
  <c r="G1665" i="2" s="1"/>
  <c r="U1664" i="2"/>
  <c r="T1664" i="2"/>
  <c r="X1664" i="2"/>
  <c r="F1665" i="2" s="1"/>
  <c r="W1664" i="2"/>
  <c r="E1665" i="2" s="1"/>
  <c r="D1665" i="2" l="1"/>
  <c r="H1665" i="2"/>
  <c r="B1665" i="2"/>
  <c r="C1665" i="2"/>
  <c r="K1665" i="2" l="1"/>
  <c r="J1665" i="2"/>
  <c r="I1665" i="2"/>
  <c r="S1665" i="2"/>
  <c r="M1665" i="2"/>
  <c r="L1665" i="2"/>
  <c r="N1665" i="2"/>
  <c r="O1665" i="2" s="1"/>
  <c r="Q1665" i="2" l="1"/>
  <c r="P1665" i="2"/>
  <c r="R1665" i="2"/>
  <c r="V1665" i="2" s="1"/>
  <c r="Y1665" i="2" s="1"/>
  <c r="G1666" i="2" s="1"/>
  <c r="U1665" i="2"/>
  <c r="T1665" i="2"/>
  <c r="W1665" i="2" s="1"/>
  <c r="E1666" i="2" s="1"/>
  <c r="X1665" i="2"/>
  <c r="F1666" i="2" s="1"/>
  <c r="C1666" i="2" l="1"/>
  <c r="D1666" i="2"/>
  <c r="H1666" i="2"/>
  <c r="B1666" i="2"/>
  <c r="I1666" i="2" l="1"/>
  <c r="J1666" i="2"/>
  <c r="K1666" i="2"/>
  <c r="S1666" i="2"/>
  <c r="L1666" i="2"/>
  <c r="N1666" i="2"/>
  <c r="O1666" i="2" s="1"/>
  <c r="M1666" i="2"/>
  <c r="Q1666" i="2" l="1"/>
  <c r="P1666" i="2"/>
  <c r="T1666" i="2" s="1"/>
  <c r="W1666" i="2" s="1"/>
  <c r="E1667" i="2" s="1"/>
  <c r="R1666" i="2"/>
  <c r="V1666" i="2" s="1"/>
  <c r="Y1666" i="2" s="1"/>
  <c r="G1667" i="2" s="1"/>
  <c r="U1666" i="2"/>
  <c r="X1666" i="2"/>
  <c r="F1667" i="2" s="1"/>
  <c r="D1667" i="2" l="1"/>
  <c r="H1667" i="2"/>
  <c r="M1667" i="2" s="1"/>
  <c r="B1667" i="2"/>
  <c r="C1667" i="2"/>
  <c r="K1667" i="2" l="1"/>
  <c r="J1667" i="2"/>
  <c r="I1667" i="2"/>
  <c r="S1667" i="2"/>
  <c r="L1667" i="2"/>
  <c r="N1667" i="2"/>
  <c r="O1667" i="2" s="1"/>
  <c r="Q1667" i="2" l="1"/>
  <c r="P1667" i="2"/>
  <c r="R1667" i="2"/>
  <c r="V1667" i="2" s="1"/>
  <c r="Y1667" i="2" s="1"/>
  <c r="G1668" i="2" s="1"/>
  <c r="U1667" i="2"/>
  <c r="T1667" i="2"/>
  <c r="W1667" i="2" s="1"/>
  <c r="E1668" i="2" s="1"/>
  <c r="X1667" i="2"/>
  <c r="F1668" i="2" s="1"/>
  <c r="H1668" i="2" l="1"/>
  <c r="B1668" i="2"/>
  <c r="N1668" i="2"/>
  <c r="O1668" i="2" s="1"/>
  <c r="D1668" i="2"/>
  <c r="M1668" i="2"/>
  <c r="C1668" i="2"/>
  <c r="Q1668" i="2" l="1"/>
  <c r="R1668" i="2"/>
  <c r="J1668" i="2"/>
  <c r="I1668" i="2"/>
  <c r="K1668" i="2"/>
  <c r="S1668" i="2"/>
  <c r="L1668" i="2"/>
  <c r="P1668" i="2" s="1"/>
  <c r="U1668" i="2" l="1"/>
  <c r="X1668" i="2" s="1"/>
  <c r="F1669" i="2" s="1"/>
  <c r="V1668" i="2"/>
  <c r="T1668" i="2"/>
  <c r="Y1668" i="2"/>
  <c r="G1669" i="2" s="1"/>
  <c r="W1668" i="2"/>
  <c r="E1669" i="2" s="1"/>
  <c r="C1669" i="2" l="1"/>
  <c r="H1669" i="2"/>
  <c r="B1669" i="2"/>
  <c r="N1669" i="2"/>
  <c r="O1669" i="2" s="1"/>
  <c r="D1669" i="2"/>
  <c r="R1669" i="2" l="1"/>
  <c r="J1669" i="2"/>
  <c r="I1669" i="2"/>
  <c r="K1669" i="2"/>
  <c r="S1669" i="2"/>
  <c r="L1669" i="2"/>
  <c r="P1669" i="2" s="1"/>
  <c r="M1669" i="2"/>
  <c r="Q1669" i="2" s="1"/>
  <c r="V1669" i="2" l="1"/>
  <c r="U1669" i="2"/>
  <c r="T1669" i="2"/>
  <c r="X1669" i="2"/>
  <c r="F1670" i="2" s="1"/>
  <c r="Y1669" i="2"/>
  <c r="G1670" i="2" s="1"/>
  <c r="W1669" i="2"/>
  <c r="E1670" i="2" s="1"/>
  <c r="H1670" i="2" l="1"/>
  <c r="B1670" i="2"/>
  <c r="N1670" i="2"/>
  <c r="O1670" i="2" s="1"/>
  <c r="D1670" i="2"/>
  <c r="M1670" i="2"/>
  <c r="C1670" i="2"/>
  <c r="Q1670" i="2" l="1"/>
  <c r="R1670" i="2"/>
  <c r="I1670" i="2"/>
  <c r="J1670" i="2"/>
  <c r="K1670" i="2"/>
  <c r="S1670" i="2"/>
  <c r="L1670" i="2"/>
  <c r="P1670" i="2" s="1"/>
  <c r="U1670" i="2" l="1"/>
  <c r="V1670" i="2"/>
  <c r="T1670" i="2"/>
  <c r="X1670" i="2"/>
  <c r="F1671" i="2" s="1"/>
  <c r="Y1670" i="2"/>
  <c r="G1671" i="2" s="1"/>
  <c r="W1670" i="2"/>
  <c r="E1671" i="2" s="1"/>
  <c r="H1671" i="2" l="1"/>
  <c r="L1671" i="2" s="1"/>
  <c r="B1671" i="2"/>
  <c r="D1671" i="2"/>
  <c r="M1671" i="2"/>
  <c r="C1671" i="2"/>
  <c r="N1671" i="2" l="1"/>
  <c r="O1671" i="2" s="1"/>
  <c r="J1671" i="2"/>
  <c r="I1671" i="2"/>
  <c r="K1671" i="2"/>
  <c r="S1671" i="2"/>
  <c r="Q1671" i="2" l="1"/>
  <c r="U1671" i="2" s="1"/>
  <c r="X1671" i="2" s="1"/>
  <c r="F1672" i="2" s="1"/>
  <c r="P1671" i="2"/>
  <c r="T1671" i="2" s="1"/>
  <c r="W1671" i="2" s="1"/>
  <c r="E1672" i="2" s="1"/>
  <c r="R1671" i="2"/>
  <c r="V1671" i="2" s="1"/>
  <c r="Y1671" i="2" s="1"/>
  <c r="G1672" i="2" s="1"/>
  <c r="D1672" i="2" l="1"/>
  <c r="H1672" i="2"/>
  <c r="B1672" i="2"/>
  <c r="M1672" i="2"/>
  <c r="C1672" i="2"/>
  <c r="K1672" i="2" l="1"/>
  <c r="J1672" i="2"/>
  <c r="I1672" i="2"/>
  <c r="S1672" i="2"/>
  <c r="L1672" i="2"/>
  <c r="N1672" i="2"/>
  <c r="O1672" i="2" s="1"/>
  <c r="Q1672" i="2" l="1"/>
  <c r="P1672" i="2"/>
  <c r="R1672" i="2"/>
  <c r="U1672" i="2"/>
  <c r="V1672" i="2"/>
  <c r="T1672" i="2"/>
  <c r="W1672" i="2" s="1"/>
  <c r="E1673" i="2" s="1"/>
  <c r="X1672" i="2"/>
  <c r="F1673" i="2" s="1"/>
  <c r="Y1672" i="2"/>
  <c r="G1673" i="2" s="1"/>
  <c r="H1673" i="2" l="1"/>
  <c r="B1673" i="2"/>
  <c r="N1673" i="2"/>
  <c r="O1673" i="2" s="1"/>
  <c r="D1673" i="2"/>
  <c r="M1673" i="2"/>
  <c r="C1673" i="2"/>
  <c r="Q1673" i="2" l="1"/>
  <c r="R1673" i="2"/>
  <c r="J1673" i="2"/>
  <c r="I1673" i="2"/>
  <c r="K1673" i="2"/>
  <c r="S1673" i="2"/>
  <c r="L1673" i="2"/>
  <c r="P1673" i="2" s="1"/>
  <c r="V1673" i="2" l="1"/>
  <c r="Y1673" i="2" s="1"/>
  <c r="G1674" i="2" s="1"/>
  <c r="U1673" i="2"/>
  <c r="T1673" i="2"/>
  <c r="W1673" i="2" s="1"/>
  <c r="E1674" i="2" s="1"/>
  <c r="X1673" i="2"/>
  <c r="F1674" i="2" s="1"/>
  <c r="D1674" i="2" l="1"/>
  <c r="C1674" i="2"/>
  <c r="H1674" i="2"/>
  <c r="L1674" i="2" s="1"/>
  <c r="B1674" i="2"/>
  <c r="K1674" i="2" l="1"/>
  <c r="J1674" i="2"/>
  <c r="I1674" i="2"/>
  <c r="S1674" i="2"/>
  <c r="M1674" i="2"/>
  <c r="N1674" i="2"/>
  <c r="O1674" i="2" s="1"/>
  <c r="Q1674" i="2" l="1"/>
  <c r="P1674" i="2"/>
  <c r="R1674" i="2"/>
  <c r="V1674" i="2" s="1"/>
  <c r="Y1674" i="2" s="1"/>
  <c r="G1675" i="2" s="1"/>
  <c r="U1674" i="2"/>
  <c r="X1674" i="2" s="1"/>
  <c r="F1675" i="2" s="1"/>
  <c r="T1674" i="2"/>
  <c r="W1674" i="2" s="1"/>
  <c r="E1675" i="2" s="1"/>
  <c r="C1675" i="2" l="1"/>
  <c r="D1675" i="2"/>
  <c r="H1675" i="2"/>
  <c r="B1675" i="2"/>
  <c r="I1675" i="2" l="1"/>
  <c r="J1675" i="2"/>
  <c r="K1675" i="2"/>
  <c r="S1675" i="2"/>
  <c r="L1675" i="2"/>
  <c r="N1675" i="2"/>
  <c r="O1675" i="2" s="1"/>
  <c r="M1675" i="2"/>
  <c r="Q1675" i="2" l="1"/>
  <c r="U1675" i="2" s="1"/>
  <c r="X1675" i="2" s="1"/>
  <c r="F1676" i="2" s="1"/>
  <c r="P1675" i="2"/>
  <c r="T1675" i="2" s="1"/>
  <c r="W1675" i="2" s="1"/>
  <c r="E1676" i="2" s="1"/>
  <c r="R1675" i="2"/>
  <c r="V1675" i="2" s="1"/>
  <c r="Y1675" i="2" s="1"/>
  <c r="G1676" i="2" s="1"/>
  <c r="D1676" i="2" l="1"/>
  <c r="H1676" i="2"/>
  <c r="M1676" i="2" s="1"/>
  <c r="B1676" i="2"/>
  <c r="C1676" i="2"/>
  <c r="K1676" i="2" l="1"/>
  <c r="I1676" i="2"/>
  <c r="J1676" i="2"/>
  <c r="S1676" i="2"/>
  <c r="L1676" i="2"/>
  <c r="N1676" i="2"/>
  <c r="O1676" i="2" s="1"/>
  <c r="Q1676" i="2" l="1"/>
  <c r="P1676" i="2"/>
  <c r="R1676" i="2"/>
  <c r="V1676" i="2" s="1"/>
  <c r="Y1676" i="2" s="1"/>
  <c r="G1677" i="2" s="1"/>
  <c r="U1676" i="2"/>
  <c r="T1676" i="2"/>
  <c r="W1676" i="2" s="1"/>
  <c r="E1677" i="2" s="1"/>
  <c r="X1676" i="2"/>
  <c r="F1677" i="2" s="1"/>
  <c r="D1677" i="2" l="1"/>
  <c r="C1677" i="2"/>
  <c r="H1677" i="2"/>
  <c r="B1677" i="2"/>
  <c r="K1677" i="2" l="1"/>
  <c r="J1677" i="2"/>
  <c r="I1677" i="2"/>
  <c r="S1677" i="2"/>
  <c r="M1677" i="2"/>
  <c r="L1677" i="2"/>
  <c r="N1677" i="2"/>
  <c r="O1677" i="2" s="1"/>
  <c r="Q1677" i="2" l="1"/>
  <c r="P1677" i="2"/>
  <c r="R1677" i="2"/>
  <c r="V1677" i="2" s="1"/>
  <c r="Y1677" i="2" s="1"/>
  <c r="G1678" i="2" s="1"/>
  <c r="U1677" i="2"/>
  <c r="T1677" i="2"/>
  <c r="W1677" i="2" s="1"/>
  <c r="E1678" i="2" s="1"/>
  <c r="X1677" i="2"/>
  <c r="F1678" i="2" s="1"/>
  <c r="D1678" i="2" l="1"/>
  <c r="C1678" i="2"/>
  <c r="H1678" i="2"/>
  <c r="B1678" i="2"/>
  <c r="K1678" i="2" l="1"/>
  <c r="I1678" i="2"/>
  <c r="J1678" i="2"/>
  <c r="S1678" i="2"/>
  <c r="L1678" i="2"/>
  <c r="M1678" i="2"/>
  <c r="N1678" i="2"/>
  <c r="O1678" i="2" s="1"/>
  <c r="Q1678" i="2" l="1"/>
  <c r="U1678" i="2" s="1"/>
  <c r="X1678" i="2" s="1"/>
  <c r="F1679" i="2" s="1"/>
  <c r="P1678" i="2"/>
  <c r="T1678" i="2" s="1"/>
  <c r="W1678" i="2" s="1"/>
  <c r="E1679" i="2" s="1"/>
  <c r="R1678" i="2"/>
  <c r="V1678" i="2" s="1"/>
  <c r="Y1678" i="2" s="1"/>
  <c r="G1679" i="2" s="1"/>
  <c r="C1679" i="2" l="1"/>
  <c r="D1679" i="2"/>
  <c r="H1679" i="2"/>
  <c r="N1679" i="2" s="1"/>
  <c r="O1679" i="2" s="1"/>
  <c r="B1679" i="2"/>
  <c r="R1679" i="2" l="1"/>
  <c r="I1679" i="2"/>
  <c r="K1679" i="2"/>
  <c r="S1679" i="2"/>
  <c r="J1679" i="2"/>
  <c r="L1679" i="2"/>
  <c r="P1679" i="2" s="1"/>
  <c r="M1679" i="2"/>
  <c r="Q1679" i="2" s="1"/>
  <c r="V1679" i="2" l="1"/>
  <c r="Y1679" i="2" s="1"/>
  <c r="G1680" i="2" s="1"/>
  <c r="U1679" i="2"/>
  <c r="X1679" i="2" s="1"/>
  <c r="F1680" i="2" s="1"/>
  <c r="T1679" i="2"/>
  <c r="W1679" i="2" s="1"/>
  <c r="E1680" i="2" s="1"/>
  <c r="C1680" i="2" l="1"/>
  <c r="D1680" i="2"/>
  <c r="H1680" i="2"/>
  <c r="N1680" i="2" s="1"/>
  <c r="O1680" i="2" s="1"/>
  <c r="B1680" i="2"/>
  <c r="R1680" i="2" l="1"/>
  <c r="L1680" i="2"/>
  <c r="P1680" i="2" s="1"/>
  <c r="K1680" i="2"/>
  <c r="I1680" i="2"/>
  <c r="J1680" i="2"/>
  <c r="S1680" i="2"/>
  <c r="M1680" i="2"/>
  <c r="Q1680" i="2" s="1"/>
  <c r="U1680" i="2" l="1"/>
  <c r="X1680" i="2" s="1"/>
  <c r="F1681" i="2" s="1"/>
  <c r="V1680" i="2"/>
  <c r="T1680" i="2"/>
  <c r="W1680" i="2" s="1"/>
  <c r="E1681" i="2" s="1"/>
  <c r="Y1680" i="2"/>
  <c r="G1681" i="2" s="1"/>
  <c r="H1681" i="2" l="1"/>
  <c r="L1681" i="2" s="1"/>
  <c r="B1681" i="2"/>
  <c r="D1681" i="2"/>
  <c r="C1681" i="2"/>
  <c r="N1681" i="2" l="1"/>
  <c r="O1681" i="2" s="1"/>
  <c r="M1681" i="2"/>
  <c r="Q1681" i="2"/>
  <c r="R1681" i="2"/>
  <c r="P1681" i="2"/>
  <c r="I1681" i="2"/>
  <c r="J1681" i="2"/>
  <c r="K1681" i="2"/>
  <c r="S1681" i="2"/>
  <c r="V1681" i="2" l="1"/>
  <c r="Y1681" i="2" s="1"/>
  <c r="G1682" i="2" s="1"/>
  <c r="U1681" i="2"/>
  <c r="T1681" i="2"/>
  <c r="X1681" i="2"/>
  <c r="F1682" i="2" s="1"/>
  <c r="W1681" i="2"/>
  <c r="E1682" i="2" s="1"/>
  <c r="H1682" i="2" l="1"/>
  <c r="L1682" i="2" s="1"/>
  <c r="B1682" i="2"/>
  <c r="N1682" i="2"/>
  <c r="O1682" i="2" s="1"/>
  <c r="D1682" i="2"/>
  <c r="M1682" i="2"/>
  <c r="C1682" i="2"/>
  <c r="Q1682" i="2" l="1"/>
  <c r="P1682" i="2"/>
  <c r="R1682" i="2"/>
  <c r="J1682" i="2"/>
  <c r="K1682" i="2"/>
  <c r="I1682" i="2"/>
  <c r="S1682" i="2"/>
  <c r="U1682" i="2" l="1"/>
  <c r="T1682" i="2"/>
  <c r="W1682" i="2" s="1"/>
  <c r="E1683" i="2" s="1"/>
  <c r="V1682" i="2"/>
  <c r="Y1682" i="2" s="1"/>
  <c r="G1683" i="2" s="1"/>
  <c r="X1682" i="2"/>
  <c r="F1683" i="2" s="1"/>
  <c r="H1683" i="2" l="1"/>
  <c r="L1683" i="2" s="1"/>
  <c r="B1683" i="2"/>
  <c r="M1683" i="2"/>
  <c r="C1683" i="2"/>
  <c r="N1683" i="2"/>
  <c r="O1683" i="2" s="1"/>
  <c r="D1683" i="2"/>
  <c r="Q1683" i="2" l="1"/>
  <c r="R1683" i="2"/>
  <c r="P1683" i="2"/>
  <c r="K1683" i="2"/>
  <c r="I1683" i="2"/>
  <c r="J1683" i="2"/>
  <c r="S1683" i="2"/>
  <c r="V1683" i="2" l="1"/>
  <c r="U1683" i="2"/>
  <c r="T1683" i="2"/>
  <c r="W1683" i="2" s="1"/>
  <c r="E1684" i="2" s="1"/>
  <c r="X1683" i="2"/>
  <c r="F1684" i="2" s="1"/>
  <c r="Y1683" i="2"/>
  <c r="G1684" i="2" s="1"/>
  <c r="H1684" i="2" l="1"/>
  <c r="L1684" i="2" s="1"/>
  <c r="B1684" i="2"/>
  <c r="N1684" i="2"/>
  <c r="O1684" i="2" s="1"/>
  <c r="D1684" i="2"/>
  <c r="M1684" i="2"/>
  <c r="C1684" i="2"/>
  <c r="Q1684" i="2" l="1"/>
  <c r="R1684" i="2"/>
  <c r="P1684" i="2"/>
  <c r="I1684" i="2"/>
  <c r="K1684" i="2"/>
  <c r="J1684" i="2"/>
  <c r="S1684" i="2"/>
  <c r="U1684" i="2" l="1"/>
  <c r="X1684" i="2" s="1"/>
  <c r="F1685" i="2" s="1"/>
  <c r="T1684" i="2"/>
  <c r="W1684" i="2" s="1"/>
  <c r="E1685" i="2" s="1"/>
  <c r="V1684" i="2"/>
  <c r="Y1684" i="2" s="1"/>
  <c r="G1685" i="2" s="1"/>
  <c r="H1685" i="2" l="1"/>
  <c r="L1685" i="2" s="1"/>
  <c r="B1685" i="2"/>
  <c r="M1685" i="2"/>
  <c r="C1685" i="2"/>
  <c r="N1685" i="2"/>
  <c r="O1685" i="2" s="1"/>
  <c r="D1685" i="2"/>
  <c r="Q1685" i="2" l="1"/>
  <c r="P1685" i="2"/>
  <c r="R1685" i="2"/>
  <c r="K1685" i="2"/>
  <c r="I1685" i="2"/>
  <c r="J1685" i="2"/>
  <c r="S1685" i="2"/>
  <c r="V1685" i="2" l="1"/>
  <c r="U1685" i="2"/>
  <c r="X1685" i="2" s="1"/>
  <c r="F1686" i="2" s="1"/>
  <c r="T1685" i="2"/>
  <c r="Y1685" i="2"/>
  <c r="G1686" i="2" s="1"/>
  <c r="W1685" i="2"/>
  <c r="E1686" i="2" s="1"/>
  <c r="C1686" i="2" l="1"/>
  <c r="H1686" i="2"/>
  <c r="N1686" i="2" s="1"/>
  <c r="O1686" i="2" s="1"/>
  <c r="B1686" i="2"/>
  <c r="D1686" i="2"/>
  <c r="R1686" i="2" l="1"/>
  <c r="J1686" i="2"/>
  <c r="K1686" i="2"/>
  <c r="I1686" i="2"/>
  <c r="S1686" i="2"/>
  <c r="M1686" i="2"/>
  <c r="Q1686" i="2" s="1"/>
  <c r="L1686" i="2"/>
  <c r="P1686" i="2" s="1"/>
  <c r="V1686" i="2" l="1"/>
  <c r="U1686" i="2"/>
  <c r="T1686" i="2"/>
  <c r="Y1686" i="2"/>
  <c r="G1687" i="2" s="1"/>
  <c r="W1686" i="2"/>
  <c r="E1687" i="2" s="1"/>
  <c r="X1686" i="2"/>
  <c r="F1687" i="2" s="1"/>
  <c r="H1687" i="2" l="1"/>
  <c r="L1687" i="2" s="1"/>
  <c r="B1687" i="2"/>
  <c r="M1687" i="2"/>
  <c r="C1687" i="2"/>
  <c r="N1687" i="2"/>
  <c r="O1687" i="2" s="1"/>
  <c r="D1687" i="2"/>
  <c r="Q1687" i="2" l="1"/>
  <c r="R1687" i="2"/>
  <c r="P1687" i="2"/>
  <c r="I1687" i="2"/>
  <c r="K1687" i="2"/>
  <c r="J1687" i="2"/>
  <c r="S1687" i="2"/>
  <c r="U1687" i="2" l="1"/>
  <c r="X1687" i="2" s="1"/>
  <c r="F1688" i="2" s="1"/>
  <c r="T1687" i="2"/>
  <c r="V1687" i="2"/>
  <c r="Y1687" i="2" s="1"/>
  <c r="G1688" i="2" s="1"/>
  <c r="W1687" i="2"/>
  <c r="E1688" i="2" s="1"/>
  <c r="C1688" i="2" l="1"/>
  <c r="H1688" i="2"/>
  <c r="B1688" i="2"/>
  <c r="N1688" i="2"/>
  <c r="O1688" i="2" s="1"/>
  <c r="D1688" i="2"/>
  <c r="R1688" i="2" l="1"/>
  <c r="K1688" i="2"/>
  <c r="I1688" i="2"/>
  <c r="J1688" i="2"/>
  <c r="S1688" i="2"/>
  <c r="M1688" i="2"/>
  <c r="Q1688" i="2" s="1"/>
  <c r="L1688" i="2"/>
  <c r="P1688" i="2" s="1"/>
  <c r="U1688" i="2" l="1"/>
  <c r="T1688" i="2"/>
  <c r="W1688" i="2" s="1"/>
  <c r="E1689" i="2" s="1"/>
  <c r="V1688" i="2"/>
  <c r="X1688" i="2"/>
  <c r="F1689" i="2" s="1"/>
  <c r="Y1688" i="2"/>
  <c r="G1689" i="2" s="1"/>
  <c r="H1689" i="2" l="1"/>
  <c r="B1689" i="2"/>
  <c r="N1689" i="2"/>
  <c r="O1689" i="2" s="1"/>
  <c r="D1689" i="2"/>
  <c r="M1689" i="2"/>
  <c r="C1689" i="2"/>
  <c r="Q1689" i="2" l="1"/>
  <c r="R1689" i="2"/>
  <c r="I1689" i="2"/>
  <c r="J1689" i="2"/>
  <c r="K1689" i="2"/>
  <c r="S1689" i="2"/>
  <c r="L1689" i="2"/>
  <c r="P1689" i="2" s="1"/>
  <c r="V1689" i="2" l="1"/>
  <c r="U1689" i="2"/>
  <c r="X1689" i="2" s="1"/>
  <c r="F1690" i="2" s="1"/>
  <c r="T1689" i="2"/>
  <c r="Y1689" i="2"/>
  <c r="G1690" i="2" s="1"/>
  <c r="W1689" i="2"/>
  <c r="E1690" i="2" s="1"/>
  <c r="C1690" i="2" l="1"/>
  <c r="H1690" i="2"/>
  <c r="N1690" i="2" s="1"/>
  <c r="O1690" i="2" s="1"/>
  <c r="B1690" i="2"/>
  <c r="D1690" i="2"/>
  <c r="R1690" i="2" l="1"/>
  <c r="K1690" i="2"/>
  <c r="J1690" i="2"/>
  <c r="I1690" i="2"/>
  <c r="S1690" i="2"/>
  <c r="L1690" i="2"/>
  <c r="P1690" i="2" s="1"/>
  <c r="M1690" i="2"/>
  <c r="Q1690" i="2" s="1"/>
  <c r="V1690" i="2" l="1"/>
  <c r="U1690" i="2"/>
  <c r="X1690" i="2" s="1"/>
  <c r="F1691" i="2" s="1"/>
  <c r="T1690" i="2"/>
  <c r="W1690" i="2" s="1"/>
  <c r="E1691" i="2" s="1"/>
  <c r="Y1690" i="2"/>
  <c r="G1691" i="2" s="1"/>
  <c r="C1691" i="2" l="1"/>
  <c r="D1691" i="2"/>
  <c r="H1691" i="2"/>
  <c r="M1691" i="2" s="1"/>
  <c r="B1691" i="2"/>
  <c r="N1691" i="2" l="1"/>
  <c r="O1691" i="2" s="1"/>
  <c r="I1691" i="2"/>
  <c r="K1691" i="2"/>
  <c r="J1691" i="2"/>
  <c r="S1691" i="2"/>
  <c r="L1691" i="2"/>
  <c r="Q1691" i="2" l="1"/>
  <c r="U1691" i="2" s="1"/>
  <c r="X1691" i="2" s="1"/>
  <c r="F1692" i="2" s="1"/>
  <c r="P1691" i="2"/>
  <c r="T1691" i="2" s="1"/>
  <c r="W1691" i="2" s="1"/>
  <c r="E1692" i="2" s="1"/>
  <c r="R1691" i="2"/>
  <c r="V1691" i="2" s="1"/>
  <c r="Y1691" i="2" s="1"/>
  <c r="G1692" i="2" s="1"/>
  <c r="H1692" i="2" l="1"/>
  <c r="B1692" i="2"/>
  <c r="N1692" i="2"/>
  <c r="O1692" i="2" s="1"/>
  <c r="D1692" i="2"/>
  <c r="M1692" i="2"/>
  <c r="C1692" i="2"/>
  <c r="J1692" i="2" l="1"/>
  <c r="I1692" i="2"/>
  <c r="S1692" i="2"/>
  <c r="K1692" i="2"/>
  <c r="Q1692" i="2"/>
  <c r="R1692" i="2"/>
  <c r="L1692" i="2"/>
  <c r="P1692" i="2" s="1"/>
  <c r="T1692" i="2" l="1"/>
  <c r="U1692" i="2"/>
  <c r="X1692" i="2" s="1"/>
  <c r="F1693" i="2" s="1"/>
  <c r="V1692" i="2"/>
  <c r="Y1692" i="2" s="1"/>
  <c r="G1693" i="2" s="1"/>
  <c r="W1692" i="2"/>
  <c r="E1693" i="2" s="1"/>
  <c r="D1693" i="2" l="1"/>
  <c r="C1693" i="2"/>
  <c r="H1693" i="2"/>
  <c r="N1693" i="2" s="1"/>
  <c r="O1693" i="2" s="1"/>
  <c r="B1693" i="2"/>
  <c r="L1693" i="2" l="1"/>
  <c r="P1693" i="2"/>
  <c r="R1693" i="2"/>
  <c r="I1693" i="2"/>
  <c r="J1693" i="2"/>
  <c r="S1693" i="2"/>
  <c r="K1693" i="2"/>
  <c r="M1693" i="2"/>
  <c r="Q1693" i="2" s="1"/>
  <c r="V1693" i="2" l="1"/>
  <c r="Y1693" i="2" s="1"/>
  <c r="G1694" i="2" s="1"/>
  <c r="T1693" i="2"/>
  <c r="W1693" i="2" s="1"/>
  <c r="E1694" i="2" s="1"/>
  <c r="U1693" i="2"/>
  <c r="X1693" i="2" s="1"/>
  <c r="F1694" i="2" s="1"/>
  <c r="H1694" i="2" l="1"/>
  <c r="L1694" i="2" s="1"/>
  <c r="B1694" i="2"/>
  <c r="M1694" i="2"/>
  <c r="C1694" i="2"/>
  <c r="N1694" i="2"/>
  <c r="O1694" i="2" s="1"/>
  <c r="D1694" i="2"/>
  <c r="Q1694" i="2" l="1"/>
  <c r="P1694" i="2"/>
  <c r="R1694" i="2"/>
  <c r="I1694" i="2"/>
  <c r="K1694" i="2"/>
  <c r="J1694" i="2"/>
  <c r="S1694" i="2"/>
  <c r="V1694" i="2" l="1"/>
  <c r="Y1694" i="2" s="1"/>
  <c r="G1695" i="2" s="1"/>
  <c r="U1694" i="2"/>
  <c r="X1694" i="2" s="1"/>
  <c r="F1695" i="2" s="1"/>
  <c r="T1694" i="2"/>
  <c r="W1694" i="2" s="1"/>
  <c r="E1695" i="2" s="1"/>
  <c r="D1695" i="2" l="1"/>
  <c r="H1695" i="2"/>
  <c r="B1695" i="2"/>
  <c r="C1695" i="2"/>
  <c r="I1695" i="2" l="1"/>
  <c r="J1695" i="2"/>
  <c r="S1695" i="2"/>
  <c r="K1695" i="2"/>
  <c r="L1695" i="2"/>
  <c r="M1695" i="2"/>
  <c r="N1695" i="2"/>
  <c r="O1695" i="2" s="1"/>
  <c r="Q1695" i="2" l="1"/>
  <c r="P1695" i="2"/>
  <c r="T1695" i="2" s="1"/>
  <c r="W1695" i="2" s="1"/>
  <c r="E1696" i="2" s="1"/>
  <c r="R1695" i="2"/>
  <c r="V1695" i="2" s="1"/>
  <c r="Y1695" i="2" s="1"/>
  <c r="G1696" i="2" s="1"/>
  <c r="U1695" i="2"/>
  <c r="X1695" i="2" s="1"/>
  <c r="F1696" i="2" s="1"/>
  <c r="C1696" i="2" l="1"/>
  <c r="D1696" i="2"/>
  <c r="H1696" i="2"/>
  <c r="L1696" i="2" s="1"/>
  <c r="B1696" i="2"/>
  <c r="I1696" i="2" l="1"/>
  <c r="J1696" i="2"/>
  <c r="K1696" i="2"/>
  <c r="S1696" i="2"/>
  <c r="N1696" i="2"/>
  <c r="O1696" i="2" s="1"/>
  <c r="M1696" i="2"/>
  <c r="Q1696" i="2" l="1"/>
  <c r="P1696" i="2"/>
  <c r="R1696" i="2"/>
  <c r="V1696" i="2" s="1"/>
  <c r="Y1696" i="2" s="1"/>
  <c r="G1697" i="2" s="1"/>
  <c r="T1696" i="2"/>
  <c r="U1696" i="2"/>
  <c r="X1696" i="2" s="1"/>
  <c r="F1697" i="2" s="1"/>
  <c r="W1696" i="2"/>
  <c r="E1697" i="2" s="1"/>
  <c r="H1697" i="2" l="1"/>
  <c r="B1697" i="2"/>
  <c r="N1697" i="2"/>
  <c r="O1697" i="2" s="1"/>
  <c r="D1697" i="2"/>
  <c r="M1697" i="2"/>
  <c r="C1697" i="2"/>
  <c r="Q1697" i="2" l="1"/>
  <c r="R1697" i="2"/>
  <c r="K1697" i="2"/>
  <c r="I1697" i="2"/>
  <c r="S1697" i="2"/>
  <c r="J1697" i="2"/>
  <c r="L1697" i="2"/>
  <c r="P1697" i="2" s="1"/>
  <c r="V1697" i="2" l="1"/>
  <c r="U1697" i="2"/>
  <c r="X1697" i="2" s="1"/>
  <c r="F1698" i="2" s="1"/>
  <c r="T1697" i="2"/>
  <c r="Y1697" i="2"/>
  <c r="G1698" i="2" s="1"/>
  <c r="W1697" i="2"/>
  <c r="E1698" i="2" s="1"/>
  <c r="C1698" i="2" l="1"/>
  <c r="D1698" i="2"/>
  <c r="H1698" i="2"/>
  <c r="N1698" i="2" s="1"/>
  <c r="O1698" i="2" s="1"/>
  <c r="B1698" i="2"/>
  <c r="R1698" i="2" l="1"/>
  <c r="J1698" i="2"/>
  <c r="I1698" i="2"/>
  <c r="K1698" i="2"/>
  <c r="S1698" i="2"/>
  <c r="L1698" i="2"/>
  <c r="P1698" i="2" s="1"/>
  <c r="M1698" i="2"/>
  <c r="Q1698" i="2" s="1"/>
  <c r="T1698" i="2" l="1"/>
  <c r="V1698" i="2"/>
  <c r="Y1698" i="2" s="1"/>
  <c r="G1699" i="2" s="1"/>
  <c r="U1698" i="2"/>
  <c r="X1698" i="2" s="1"/>
  <c r="F1699" i="2" s="1"/>
  <c r="W1698" i="2"/>
  <c r="E1699" i="2" s="1"/>
  <c r="C1699" i="2" l="1"/>
  <c r="D1699" i="2"/>
  <c r="H1699" i="2"/>
  <c r="N1699" i="2" s="1"/>
  <c r="O1699" i="2" s="1"/>
  <c r="B1699" i="2"/>
  <c r="R1699" i="2" l="1"/>
  <c r="L1699" i="2"/>
  <c r="P1699" i="2" s="1"/>
  <c r="K1699" i="2"/>
  <c r="J1699" i="2"/>
  <c r="I1699" i="2"/>
  <c r="S1699" i="2"/>
  <c r="M1699" i="2"/>
  <c r="Q1699" i="2" s="1"/>
  <c r="V1699" i="2" l="1"/>
  <c r="T1699" i="2"/>
  <c r="W1699" i="2" s="1"/>
  <c r="E1700" i="2" s="1"/>
  <c r="U1699" i="2"/>
  <c r="X1699" i="2" s="1"/>
  <c r="F1700" i="2" s="1"/>
  <c r="Y1699" i="2"/>
  <c r="G1700" i="2" s="1"/>
  <c r="H1700" i="2" l="1"/>
  <c r="B1700" i="2"/>
  <c r="M1700" i="2"/>
  <c r="C1700" i="2"/>
  <c r="N1700" i="2"/>
  <c r="O1700" i="2" s="1"/>
  <c r="D1700" i="2"/>
  <c r="Q1700" i="2" l="1"/>
  <c r="R1700" i="2"/>
  <c r="I1700" i="2"/>
  <c r="K1700" i="2"/>
  <c r="J1700" i="2"/>
  <c r="S1700" i="2"/>
  <c r="L1700" i="2"/>
  <c r="P1700" i="2" s="1"/>
  <c r="V1700" i="2" l="1"/>
  <c r="Y1700" i="2" s="1"/>
  <c r="G1701" i="2" s="1"/>
  <c r="U1700" i="2"/>
  <c r="X1700" i="2" s="1"/>
  <c r="F1701" i="2" s="1"/>
  <c r="T1700" i="2"/>
  <c r="W1700" i="2" s="1"/>
  <c r="E1701" i="2" s="1"/>
  <c r="C1701" i="2" l="1"/>
  <c r="H1701" i="2"/>
  <c r="B1701" i="2"/>
  <c r="D1701" i="2"/>
  <c r="K1701" i="2" l="1"/>
  <c r="J1701" i="2"/>
  <c r="I1701" i="2"/>
  <c r="S1701" i="2"/>
  <c r="L1701" i="2"/>
  <c r="N1701" i="2"/>
  <c r="O1701" i="2" s="1"/>
  <c r="M1701" i="2"/>
  <c r="Q1701" i="2" l="1"/>
  <c r="U1701" i="2" s="1"/>
  <c r="X1701" i="2" s="1"/>
  <c r="F1702" i="2" s="1"/>
  <c r="P1701" i="2"/>
  <c r="T1701" i="2" s="1"/>
  <c r="W1701" i="2" s="1"/>
  <c r="E1702" i="2" s="1"/>
  <c r="R1701" i="2"/>
  <c r="V1701" i="2" s="1"/>
  <c r="Y1701" i="2" s="1"/>
  <c r="G1702" i="2" s="1"/>
  <c r="D1702" i="2" l="1"/>
  <c r="H1702" i="2"/>
  <c r="L1702" i="2" s="1"/>
  <c r="B1702" i="2"/>
  <c r="M1702" i="2"/>
  <c r="C1702" i="2"/>
  <c r="J1702" i="2" l="1"/>
  <c r="K1702" i="2"/>
  <c r="I1702" i="2"/>
  <c r="S1702" i="2"/>
  <c r="N1702" i="2"/>
  <c r="O1702" i="2" s="1"/>
  <c r="Q1702" i="2" l="1"/>
  <c r="U1702" i="2" s="1"/>
  <c r="X1702" i="2" s="1"/>
  <c r="F1703" i="2" s="1"/>
  <c r="P1702" i="2"/>
  <c r="T1702" i="2" s="1"/>
  <c r="W1702" i="2" s="1"/>
  <c r="E1703" i="2" s="1"/>
  <c r="R1702" i="2"/>
  <c r="V1702" i="2" s="1"/>
  <c r="Y1702" i="2" s="1"/>
  <c r="G1703" i="2" s="1"/>
  <c r="D1703" i="2" l="1"/>
  <c r="H1703" i="2"/>
  <c r="B1703" i="2"/>
  <c r="M1703" i="2"/>
  <c r="C1703" i="2"/>
  <c r="J1703" i="2" l="1"/>
  <c r="I1703" i="2"/>
  <c r="K1703" i="2"/>
  <c r="S1703" i="2"/>
  <c r="L1703" i="2"/>
  <c r="N1703" i="2"/>
  <c r="O1703" i="2" s="1"/>
  <c r="Q1703" i="2" l="1"/>
  <c r="P1703" i="2"/>
  <c r="T1703" i="2" s="1"/>
  <c r="W1703" i="2" s="1"/>
  <c r="E1704" i="2" s="1"/>
  <c r="R1703" i="2"/>
  <c r="V1703" i="2" s="1"/>
  <c r="Y1703" i="2" s="1"/>
  <c r="G1704" i="2" s="1"/>
  <c r="U1703" i="2"/>
  <c r="X1703" i="2"/>
  <c r="F1704" i="2" s="1"/>
  <c r="H1704" i="2" l="1"/>
  <c r="L1704" i="2" s="1"/>
  <c r="B1704" i="2"/>
  <c r="N1704" i="2"/>
  <c r="O1704" i="2" s="1"/>
  <c r="D1704" i="2"/>
  <c r="M1704" i="2"/>
  <c r="C1704" i="2"/>
  <c r="Q1704" i="2" l="1"/>
  <c r="P1704" i="2"/>
  <c r="R1704" i="2"/>
  <c r="J1704" i="2"/>
  <c r="K1704" i="2"/>
  <c r="I1704" i="2"/>
  <c r="S1704" i="2"/>
  <c r="T1704" i="2" l="1"/>
  <c r="V1704" i="2"/>
  <c r="Y1704" i="2" s="1"/>
  <c r="G1705" i="2" s="1"/>
  <c r="U1704" i="2"/>
  <c r="W1704" i="2"/>
  <c r="E1705" i="2" s="1"/>
  <c r="X1704" i="2"/>
  <c r="F1705" i="2" s="1"/>
  <c r="D1705" i="2" l="1"/>
  <c r="H1705" i="2"/>
  <c r="N1705" i="2" s="1"/>
  <c r="O1705" i="2" s="1"/>
  <c r="B1705" i="2"/>
  <c r="M1705" i="2"/>
  <c r="C1705" i="2"/>
  <c r="Q1705" i="2" l="1"/>
  <c r="R1705" i="2"/>
  <c r="L1705" i="2"/>
  <c r="P1705" i="2" s="1"/>
  <c r="J1705" i="2"/>
  <c r="K1705" i="2"/>
  <c r="I1705" i="2"/>
  <c r="S1705" i="2"/>
  <c r="V1705" i="2" l="1"/>
  <c r="T1705" i="2"/>
  <c r="U1705" i="2"/>
  <c r="X1705" i="2"/>
  <c r="F1706" i="2" s="1"/>
  <c r="W1705" i="2"/>
  <c r="E1706" i="2" s="1"/>
  <c r="Y1705" i="2"/>
  <c r="G1706" i="2" s="1"/>
  <c r="C1706" i="2" l="1"/>
  <c r="D1706" i="2"/>
  <c r="H1706" i="2"/>
  <c r="N1706" i="2" s="1"/>
  <c r="O1706" i="2" s="1"/>
  <c r="B1706" i="2"/>
  <c r="R1706" i="2" l="1"/>
  <c r="J1706" i="2"/>
  <c r="K1706" i="2"/>
  <c r="S1706" i="2"/>
  <c r="I1706" i="2"/>
  <c r="L1706" i="2"/>
  <c r="P1706" i="2" s="1"/>
  <c r="M1706" i="2"/>
  <c r="Q1706" i="2" s="1"/>
  <c r="V1706" i="2" l="1"/>
  <c r="Y1706" i="2" s="1"/>
  <c r="G1707" i="2" s="1"/>
  <c r="T1706" i="2"/>
  <c r="W1706" i="2" s="1"/>
  <c r="E1707" i="2" s="1"/>
  <c r="U1706" i="2"/>
  <c r="X1706" i="2" s="1"/>
  <c r="F1707" i="2" s="1"/>
  <c r="H1707" i="2" l="1"/>
  <c r="B1707" i="2"/>
  <c r="M1707" i="2"/>
  <c r="C1707" i="2"/>
  <c r="N1707" i="2"/>
  <c r="O1707" i="2" s="1"/>
  <c r="D1707" i="2"/>
  <c r="I1707" i="2" l="1"/>
  <c r="K1707" i="2"/>
  <c r="J1707" i="2"/>
  <c r="S1707" i="2"/>
  <c r="Q1707" i="2"/>
  <c r="R1707" i="2"/>
  <c r="L1707" i="2"/>
  <c r="P1707" i="2" s="1"/>
  <c r="V1707" i="2" l="1"/>
  <c r="U1707" i="2"/>
  <c r="T1707" i="2"/>
  <c r="W1707" i="2"/>
  <c r="E1708" i="2" s="1"/>
  <c r="X1707" i="2"/>
  <c r="F1708" i="2" s="1"/>
  <c r="Y1707" i="2"/>
  <c r="G1708" i="2" s="1"/>
  <c r="C1708" i="2" l="1"/>
  <c r="D1708" i="2"/>
  <c r="H1708" i="2"/>
  <c r="B1708" i="2"/>
  <c r="K1708" i="2" l="1"/>
  <c r="J1708" i="2"/>
  <c r="I1708" i="2"/>
  <c r="S1708" i="2"/>
  <c r="L1708" i="2"/>
  <c r="N1708" i="2"/>
  <c r="O1708" i="2" s="1"/>
  <c r="M1708" i="2"/>
  <c r="Q1708" i="2" l="1"/>
  <c r="P1708" i="2"/>
  <c r="T1708" i="2" s="1"/>
  <c r="W1708" i="2" s="1"/>
  <c r="E1709" i="2" s="1"/>
  <c r="R1708" i="2"/>
  <c r="V1708" i="2" s="1"/>
  <c r="Y1708" i="2" s="1"/>
  <c r="G1709" i="2" s="1"/>
  <c r="U1708" i="2"/>
  <c r="X1708" i="2" s="1"/>
  <c r="F1709" i="2" s="1"/>
  <c r="C1709" i="2" l="1"/>
  <c r="H1709" i="2"/>
  <c r="N1709" i="2" s="1"/>
  <c r="O1709" i="2" s="1"/>
  <c r="B1709" i="2"/>
  <c r="D1709" i="2"/>
  <c r="I1709" i="2" l="1"/>
  <c r="J1709" i="2"/>
  <c r="K1709" i="2"/>
  <c r="S1709" i="2"/>
  <c r="R1709" i="2"/>
  <c r="L1709" i="2"/>
  <c r="P1709" i="2" s="1"/>
  <c r="M1709" i="2"/>
  <c r="Q1709" i="2" s="1"/>
  <c r="V1709" i="2" l="1"/>
  <c r="U1709" i="2"/>
  <c r="T1709" i="2"/>
  <c r="W1709" i="2"/>
  <c r="E1710" i="2" s="1"/>
  <c r="Y1709" i="2"/>
  <c r="G1710" i="2" s="1"/>
  <c r="X1709" i="2"/>
  <c r="F1710" i="2" s="1"/>
  <c r="H1710" i="2" l="1"/>
  <c r="L1710" i="2" s="1"/>
  <c r="B1710" i="2"/>
  <c r="C1710" i="2"/>
  <c r="D1710" i="2"/>
  <c r="N1710" i="2" l="1"/>
  <c r="O1710" i="2" s="1"/>
  <c r="M1710" i="2"/>
  <c r="Q1710" i="2"/>
  <c r="P1710" i="2"/>
  <c r="R1710" i="2"/>
  <c r="J1710" i="2"/>
  <c r="K1710" i="2"/>
  <c r="I1710" i="2"/>
  <c r="S1710" i="2"/>
  <c r="V1710" i="2" l="1"/>
  <c r="U1710" i="2"/>
  <c r="T1710" i="2"/>
  <c r="Y1710" i="2"/>
  <c r="G1711" i="2" s="1"/>
  <c r="W1710" i="2"/>
  <c r="E1711" i="2" s="1"/>
  <c r="X1710" i="2"/>
  <c r="F1711" i="2" s="1"/>
  <c r="H1711" i="2" l="1"/>
  <c r="B1711" i="2"/>
  <c r="M1711" i="2"/>
  <c r="C1711" i="2"/>
  <c r="N1711" i="2"/>
  <c r="O1711" i="2" s="1"/>
  <c r="D1711" i="2"/>
  <c r="K1711" i="2" l="1"/>
  <c r="J1711" i="2"/>
  <c r="I1711" i="2"/>
  <c r="S1711" i="2"/>
  <c r="Q1711" i="2"/>
  <c r="R1711" i="2"/>
  <c r="L1711" i="2"/>
  <c r="P1711" i="2" s="1"/>
  <c r="V1711" i="2" l="1"/>
  <c r="U1711" i="2"/>
  <c r="T1711" i="2"/>
  <c r="Y1711" i="2"/>
  <c r="G1712" i="2" s="1"/>
  <c r="W1711" i="2"/>
  <c r="E1712" i="2" s="1"/>
  <c r="X1711" i="2"/>
  <c r="F1712" i="2" s="1"/>
  <c r="H1712" i="2" l="1"/>
  <c r="B1712" i="2"/>
  <c r="M1712" i="2"/>
  <c r="C1712" i="2"/>
  <c r="N1712" i="2"/>
  <c r="O1712" i="2" s="1"/>
  <c r="D1712" i="2"/>
  <c r="Q1712" i="2" l="1"/>
  <c r="R1712" i="2"/>
  <c r="K1712" i="2"/>
  <c r="J1712" i="2"/>
  <c r="I1712" i="2"/>
  <c r="S1712" i="2"/>
  <c r="L1712" i="2"/>
  <c r="P1712" i="2" s="1"/>
  <c r="V1712" i="2" l="1"/>
  <c r="U1712" i="2"/>
  <c r="T1712" i="2"/>
  <c r="X1712" i="2"/>
  <c r="F1713" i="2" s="1"/>
  <c r="W1712" i="2"/>
  <c r="E1713" i="2" s="1"/>
  <c r="Y1712" i="2"/>
  <c r="G1713" i="2" s="1"/>
  <c r="H1713" i="2" l="1"/>
  <c r="L1713" i="2" s="1"/>
  <c r="B1713" i="2"/>
  <c r="N1713" i="2"/>
  <c r="O1713" i="2" s="1"/>
  <c r="D1713" i="2"/>
  <c r="M1713" i="2"/>
  <c r="C1713" i="2"/>
  <c r="Q1713" i="2" l="1"/>
  <c r="P1713" i="2"/>
  <c r="R1713" i="2"/>
  <c r="I1713" i="2"/>
  <c r="J1713" i="2"/>
  <c r="K1713" i="2"/>
  <c r="S1713" i="2"/>
  <c r="V1713" i="2" l="1"/>
  <c r="U1713" i="2"/>
  <c r="T1713" i="2"/>
  <c r="X1713" i="2"/>
  <c r="F1714" i="2" s="1"/>
  <c r="Y1713" i="2"/>
  <c r="G1714" i="2" s="1"/>
  <c r="W1713" i="2"/>
  <c r="E1714" i="2" s="1"/>
  <c r="D1714" i="2" l="1"/>
  <c r="H1714" i="2"/>
  <c r="B1714" i="2"/>
  <c r="C1714" i="2"/>
  <c r="J1714" i="2" l="1"/>
  <c r="K1714" i="2"/>
  <c r="I1714" i="2"/>
  <c r="S1714" i="2"/>
  <c r="M1714" i="2"/>
  <c r="L1714" i="2"/>
  <c r="N1714" i="2"/>
  <c r="O1714" i="2" s="1"/>
  <c r="Q1714" i="2" l="1"/>
  <c r="P1714" i="2"/>
  <c r="R1714" i="2"/>
  <c r="V1714" i="2"/>
  <c r="U1714" i="2"/>
  <c r="X1714" i="2" s="1"/>
  <c r="F1715" i="2" s="1"/>
  <c r="T1714" i="2"/>
  <c r="W1714" i="2" s="1"/>
  <c r="E1715" i="2" s="1"/>
  <c r="Y1714" i="2"/>
  <c r="G1715" i="2" s="1"/>
  <c r="C1715" i="2" l="1"/>
  <c r="H1715" i="2"/>
  <c r="N1715" i="2" s="1"/>
  <c r="O1715" i="2" s="1"/>
  <c r="B1715" i="2"/>
  <c r="D1715" i="2"/>
  <c r="R1715" i="2" l="1"/>
  <c r="J1715" i="2"/>
  <c r="K1715" i="2"/>
  <c r="I1715" i="2"/>
  <c r="S1715" i="2"/>
  <c r="L1715" i="2"/>
  <c r="P1715" i="2" s="1"/>
  <c r="M1715" i="2"/>
  <c r="Q1715" i="2" s="1"/>
  <c r="V1715" i="2" l="1"/>
  <c r="T1715" i="2"/>
  <c r="U1715" i="2"/>
  <c r="W1715" i="2"/>
  <c r="E1716" i="2" s="1"/>
  <c r="Y1715" i="2"/>
  <c r="G1716" i="2" s="1"/>
  <c r="X1715" i="2"/>
  <c r="F1716" i="2" s="1"/>
  <c r="D1716" i="2" l="1"/>
  <c r="C1716" i="2"/>
  <c r="H1716" i="2"/>
  <c r="N1716" i="2" s="1"/>
  <c r="O1716" i="2" s="1"/>
  <c r="B1716" i="2"/>
  <c r="R1716" i="2" l="1"/>
  <c r="M1716" i="2"/>
  <c r="Q1716" i="2" s="1"/>
  <c r="J1716" i="2"/>
  <c r="I1716" i="2"/>
  <c r="K1716" i="2"/>
  <c r="S1716" i="2"/>
  <c r="L1716" i="2"/>
  <c r="P1716" i="2" s="1"/>
  <c r="V1716" i="2" l="1"/>
  <c r="U1716" i="2"/>
  <c r="T1716" i="2"/>
  <c r="W1716" i="2"/>
  <c r="E1717" i="2" s="1"/>
  <c r="Y1716" i="2"/>
  <c r="G1717" i="2" s="1"/>
  <c r="X1716" i="2"/>
  <c r="F1717" i="2" s="1"/>
  <c r="D1717" i="2" l="1"/>
  <c r="C1717" i="2"/>
  <c r="H1717" i="2"/>
  <c r="B1717" i="2"/>
  <c r="J1717" i="2" l="1"/>
  <c r="I1717" i="2"/>
  <c r="K1717" i="2"/>
  <c r="S1717" i="2"/>
  <c r="L1717" i="2"/>
  <c r="M1717" i="2"/>
  <c r="N1717" i="2"/>
  <c r="O1717" i="2" s="1"/>
  <c r="Q1717" i="2" l="1"/>
  <c r="P1717" i="2"/>
  <c r="T1717" i="2" s="1"/>
  <c r="W1717" i="2" s="1"/>
  <c r="E1718" i="2" s="1"/>
  <c r="R1717" i="2"/>
  <c r="V1717" i="2" s="1"/>
  <c r="Y1717" i="2" s="1"/>
  <c r="G1718" i="2" s="1"/>
  <c r="U1717" i="2"/>
  <c r="X1717" i="2" s="1"/>
  <c r="F1718" i="2" s="1"/>
  <c r="H1718" i="2" l="1"/>
  <c r="L1718" i="2" s="1"/>
  <c r="B1718" i="2"/>
  <c r="M1718" i="2"/>
  <c r="C1718" i="2"/>
  <c r="N1718" i="2"/>
  <c r="O1718" i="2" s="1"/>
  <c r="D1718" i="2"/>
  <c r="Q1718" i="2" l="1"/>
  <c r="P1718" i="2"/>
  <c r="R1718" i="2"/>
  <c r="J1718" i="2"/>
  <c r="K1718" i="2"/>
  <c r="I1718" i="2"/>
  <c r="S1718" i="2"/>
  <c r="V1718" i="2" l="1"/>
  <c r="U1718" i="2"/>
  <c r="T1718" i="2"/>
  <c r="Y1718" i="2"/>
  <c r="G1719" i="2" s="1"/>
  <c r="W1718" i="2"/>
  <c r="E1719" i="2" s="1"/>
  <c r="X1718" i="2"/>
  <c r="F1719" i="2" s="1"/>
  <c r="H1719" i="2" l="1"/>
  <c r="L1719" i="2" s="1"/>
  <c r="B1719" i="2"/>
  <c r="M1719" i="2"/>
  <c r="C1719" i="2"/>
  <c r="N1719" i="2"/>
  <c r="O1719" i="2" s="1"/>
  <c r="D1719" i="2"/>
  <c r="Q1719" i="2" l="1"/>
  <c r="P1719" i="2"/>
  <c r="R1719" i="2"/>
  <c r="J1719" i="2"/>
  <c r="I1719" i="2"/>
  <c r="K1719" i="2"/>
  <c r="S1719" i="2"/>
  <c r="U1719" i="2" l="1"/>
  <c r="T1719" i="2"/>
  <c r="V1719" i="2"/>
  <c r="Y1719" i="2"/>
  <c r="G1720" i="2" s="1"/>
  <c r="W1719" i="2"/>
  <c r="E1720" i="2" s="1"/>
  <c r="X1719" i="2"/>
  <c r="F1720" i="2" s="1"/>
  <c r="H1720" i="2" l="1"/>
  <c r="B1720" i="2"/>
  <c r="M1720" i="2"/>
  <c r="C1720" i="2"/>
  <c r="N1720" i="2"/>
  <c r="O1720" i="2" s="1"/>
  <c r="D1720" i="2"/>
  <c r="K1720" i="2" l="1"/>
  <c r="J1720" i="2"/>
  <c r="I1720" i="2"/>
  <c r="S1720" i="2"/>
  <c r="Q1720" i="2"/>
  <c r="R1720" i="2"/>
  <c r="L1720" i="2"/>
  <c r="P1720" i="2" s="1"/>
  <c r="U1720" i="2" l="1"/>
  <c r="T1720" i="2"/>
  <c r="V1720" i="2"/>
  <c r="Y1720" i="2"/>
  <c r="G1721" i="2" s="1"/>
  <c r="W1720" i="2"/>
  <c r="E1721" i="2" s="1"/>
  <c r="X1720" i="2"/>
  <c r="F1721" i="2" s="1"/>
  <c r="H1721" i="2" l="1"/>
  <c r="L1721" i="2" s="1"/>
  <c r="B1721" i="2"/>
  <c r="M1721" i="2"/>
  <c r="C1721" i="2"/>
  <c r="N1721" i="2"/>
  <c r="O1721" i="2" s="1"/>
  <c r="D1721" i="2"/>
  <c r="Q1721" i="2" l="1"/>
  <c r="P1721" i="2"/>
  <c r="R1721" i="2"/>
  <c r="K1721" i="2"/>
  <c r="J1721" i="2"/>
  <c r="I1721" i="2"/>
  <c r="S1721" i="2"/>
  <c r="V1721" i="2" l="1"/>
  <c r="U1721" i="2"/>
  <c r="T1721" i="2"/>
  <c r="X1721" i="2"/>
  <c r="F1722" i="2" s="1"/>
  <c r="W1721" i="2"/>
  <c r="E1722" i="2" s="1"/>
  <c r="Y1721" i="2"/>
  <c r="G1722" i="2" s="1"/>
  <c r="C1722" i="2" l="1"/>
  <c r="D1722" i="2"/>
  <c r="H1722" i="2"/>
  <c r="N1722" i="2" s="1"/>
  <c r="O1722" i="2" s="1"/>
  <c r="B1722" i="2"/>
  <c r="R1722" i="2" l="1"/>
  <c r="L1722" i="2"/>
  <c r="P1722" i="2" s="1"/>
  <c r="J1722" i="2"/>
  <c r="I1722" i="2"/>
  <c r="K1722" i="2"/>
  <c r="S1722" i="2"/>
  <c r="M1722" i="2"/>
  <c r="Q1722" i="2" s="1"/>
  <c r="V1722" i="2" l="1"/>
  <c r="U1722" i="2"/>
  <c r="X1722" i="2" s="1"/>
  <c r="F1723" i="2" s="1"/>
  <c r="T1722" i="2"/>
  <c r="Y1722" i="2"/>
  <c r="G1723" i="2" s="1"/>
  <c r="W1722" i="2"/>
  <c r="E1723" i="2" s="1"/>
  <c r="C1723" i="2" l="1"/>
  <c r="H1723" i="2"/>
  <c r="B1723" i="2"/>
  <c r="N1723" i="2"/>
  <c r="O1723" i="2" s="1"/>
  <c r="D1723" i="2"/>
  <c r="K1723" i="2" l="1"/>
  <c r="I1723" i="2"/>
  <c r="J1723" i="2"/>
  <c r="S1723" i="2"/>
  <c r="R1723" i="2"/>
  <c r="L1723" i="2"/>
  <c r="P1723" i="2" s="1"/>
  <c r="M1723" i="2"/>
  <c r="Q1723" i="2" s="1"/>
  <c r="U1723" i="2" l="1"/>
  <c r="T1723" i="2"/>
  <c r="V1723" i="2"/>
  <c r="Y1723" i="2" s="1"/>
  <c r="G1724" i="2" s="1"/>
  <c r="X1723" i="2"/>
  <c r="F1724" i="2" s="1"/>
  <c r="W1723" i="2"/>
  <c r="E1724" i="2" s="1"/>
  <c r="D1724" i="2" l="1"/>
  <c r="H1724" i="2"/>
  <c r="M1724" i="2" s="1"/>
  <c r="B1724" i="2"/>
  <c r="C1724" i="2"/>
  <c r="I1724" i="2" l="1"/>
  <c r="K1724" i="2"/>
  <c r="J1724" i="2"/>
  <c r="S1724" i="2"/>
  <c r="L1724" i="2"/>
  <c r="N1724" i="2"/>
  <c r="O1724" i="2" s="1"/>
  <c r="Q1724" i="2" l="1"/>
  <c r="P1724" i="2"/>
  <c r="R1724" i="2"/>
  <c r="V1724" i="2"/>
  <c r="Y1724" i="2" s="1"/>
  <c r="G1725" i="2" s="1"/>
  <c r="U1724" i="2"/>
  <c r="X1724" i="2" s="1"/>
  <c r="F1725" i="2" s="1"/>
  <c r="T1724" i="2"/>
  <c r="W1724" i="2" s="1"/>
  <c r="E1725" i="2" s="1"/>
  <c r="D1725" i="2" l="1"/>
  <c r="H1725" i="2"/>
  <c r="M1725" i="2" s="1"/>
  <c r="B1725" i="2"/>
  <c r="C1725" i="2"/>
  <c r="K1725" i="2" l="1"/>
  <c r="J1725" i="2"/>
  <c r="I1725" i="2"/>
  <c r="S1725" i="2"/>
  <c r="L1725" i="2"/>
  <c r="N1725" i="2"/>
  <c r="O1725" i="2" s="1"/>
  <c r="Q1725" i="2" l="1"/>
  <c r="P1725" i="2"/>
  <c r="T1725" i="2" s="1"/>
  <c r="W1725" i="2" s="1"/>
  <c r="E1726" i="2" s="1"/>
  <c r="R1725" i="2"/>
  <c r="V1725" i="2" s="1"/>
  <c r="Y1725" i="2" s="1"/>
  <c r="G1726" i="2" s="1"/>
  <c r="U1725" i="2"/>
  <c r="X1725" i="2" s="1"/>
  <c r="F1726" i="2" s="1"/>
  <c r="D1726" i="2" l="1"/>
  <c r="C1726" i="2"/>
  <c r="H1726" i="2"/>
  <c r="N1726" i="2" s="1"/>
  <c r="O1726" i="2" s="1"/>
  <c r="B1726" i="2"/>
  <c r="R1726" i="2" l="1"/>
  <c r="M1726" i="2"/>
  <c r="Q1726" i="2" s="1"/>
  <c r="K1726" i="2"/>
  <c r="I1726" i="2"/>
  <c r="J1726" i="2"/>
  <c r="S1726" i="2"/>
  <c r="L1726" i="2"/>
  <c r="P1726" i="2" s="1"/>
  <c r="U1726" i="2" l="1"/>
  <c r="T1726" i="2"/>
  <c r="V1726" i="2"/>
  <c r="Y1726" i="2"/>
  <c r="G1727" i="2" s="1"/>
  <c r="X1726" i="2"/>
  <c r="F1727" i="2" s="1"/>
  <c r="W1726" i="2"/>
  <c r="E1727" i="2" s="1"/>
  <c r="C1727" i="2" l="1"/>
  <c r="H1727" i="2"/>
  <c r="B1727" i="2"/>
  <c r="D1727" i="2"/>
  <c r="J1727" i="2" l="1"/>
  <c r="I1727" i="2"/>
  <c r="K1727" i="2"/>
  <c r="S1727" i="2"/>
  <c r="L1727" i="2"/>
  <c r="N1727" i="2"/>
  <c r="O1727" i="2" s="1"/>
  <c r="M1727" i="2"/>
  <c r="Q1727" i="2" l="1"/>
  <c r="P1727" i="2"/>
  <c r="R1727" i="2"/>
  <c r="V1727" i="2"/>
  <c r="U1727" i="2"/>
  <c r="T1727" i="2"/>
  <c r="W1727" i="2" s="1"/>
  <c r="E1728" i="2" s="1"/>
  <c r="Y1727" i="2"/>
  <c r="G1728" i="2" s="1"/>
  <c r="X1727" i="2"/>
  <c r="F1728" i="2" s="1"/>
  <c r="H1728" i="2" l="1"/>
  <c r="B1728" i="2"/>
  <c r="N1728" i="2"/>
  <c r="O1728" i="2" s="1"/>
  <c r="D1728" i="2"/>
  <c r="M1728" i="2"/>
  <c r="C1728" i="2"/>
  <c r="Q1728" i="2" l="1"/>
  <c r="R1728" i="2"/>
  <c r="K1728" i="2"/>
  <c r="J1728" i="2"/>
  <c r="S1728" i="2"/>
  <c r="I1728" i="2"/>
  <c r="L1728" i="2"/>
  <c r="P1728" i="2" s="1"/>
  <c r="V1728" i="2" l="1"/>
  <c r="U1728" i="2"/>
  <c r="X1728" i="2" s="1"/>
  <c r="F1729" i="2" s="1"/>
  <c r="T1728" i="2"/>
  <c r="W1728" i="2" s="1"/>
  <c r="E1729" i="2" s="1"/>
  <c r="Y1728" i="2"/>
  <c r="G1729" i="2" s="1"/>
  <c r="H1729" i="2" l="1"/>
  <c r="L1729" i="2" s="1"/>
  <c r="B1729" i="2"/>
  <c r="M1729" i="2"/>
  <c r="C1729" i="2"/>
  <c r="N1729" i="2"/>
  <c r="O1729" i="2" s="1"/>
  <c r="D1729" i="2"/>
  <c r="Q1729" i="2" l="1"/>
  <c r="P1729" i="2"/>
  <c r="R1729" i="2"/>
  <c r="K1729" i="2"/>
  <c r="I1729" i="2"/>
  <c r="J1729" i="2"/>
  <c r="S1729" i="2"/>
  <c r="U1729" i="2" l="1"/>
  <c r="T1729" i="2"/>
  <c r="W1729" i="2" s="1"/>
  <c r="E1730" i="2" s="1"/>
  <c r="V1729" i="2"/>
  <c r="X1729" i="2"/>
  <c r="F1730" i="2" s="1"/>
  <c r="Y1729" i="2"/>
  <c r="G1730" i="2" s="1"/>
  <c r="H1730" i="2" l="1"/>
  <c r="L1730" i="2" s="1"/>
  <c r="B1730" i="2"/>
  <c r="N1730" i="2"/>
  <c r="O1730" i="2" s="1"/>
  <c r="D1730" i="2"/>
  <c r="M1730" i="2"/>
  <c r="C1730" i="2"/>
  <c r="R1730" i="2" l="1"/>
  <c r="Q1730" i="2"/>
  <c r="P1730" i="2"/>
  <c r="J1730" i="2"/>
  <c r="K1730" i="2"/>
  <c r="I1730" i="2"/>
  <c r="S1730" i="2"/>
  <c r="U1730" i="2" l="1"/>
  <c r="T1730" i="2"/>
  <c r="W1730" i="2" s="1"/>
  <c r="E1731" i="2" s="1"/>
  <c r="V1730" i="2"/>
  <c r="Y1730" i="2"/>
  <c r="G1731" i="2" s="1"/>
  <c r="X1730" i="2"/>
  <c r="F1731" i="2" s="1"/>
  <c r="H1731" i="2" l="1"/>
  <c r="L1731" i="2" s="1"/>
  <c r="B1731" i="2"/>
  <c r="C1731" i="2"/>
  <c r="N1731" i="2"/>
  <c r="O1731" i="2" s="1"/>
  <c r="D1731" i="2"/>
  <c r="M1731" i="2" l="1"/>
  <c r="R1731" i="2"/>
  <c r="P1731" i="2"/>
  <c r="Q1731" i="2"/>
  <c r="J1731" i="2"/>
  <c r="I1731" i="2"/>
  <c r="K1731" i="2"/>
  <c r="S1731" i="2"/>
  <c r="U1731" i="2" l="1"/>
  <c r="T1731" i="2"/>
  <c r="V1731" i="2"/>
  <c r="W1731" i="2"/>
  <c r="E1732" i="2" s="1"/>
  <c r="Y1731" i="2"/>
  <c r="G1732" i="2" s="1"/>
  <c r="X1731" i="2"/>
  <c r="F1732" i="2" s="1"/>
  <c r="D1732" i="2" l="1"/>
  <c r="C1732" i="2"/>
  <c r="H1732" i="2"/>
  <c r="N1732" i="2" s="1"/>
  <c r="O1732" i="2" s="1"/>
  <c r="B1732" i="2"/>
  <c r="L1732" i="2" l="1"/>
  <c r="R1732" i="2"/>
  <c r="P1732" i="2"/>
  <c r="M1732" i="2"/>
  <c r="Q1732" i="2" s="1"/>
  <c r="I1732" i="2"/>
  <c r="S1732" i="2"/>
  <c r="K1732" i="2"/>
  <c r="J1732" i="2"/>
  <c r="U1732" i="2" l="1"/>
  <c r="V1732" i="2"/>
  <c r="T1732" i="2"/>
  <c r="X1732" i="2"/>
  <c r="F1733" i="2" s="1"/>
  <c r="Y1732" i="2"/>
  <c r="G1733" i="2" s="1"/>
  <c r="W1732" i="2"/>
  <c r="E1733" i="2" s="1"/>
  <c r="D1733" i="2" l="1"/>
  <c r="H1733" i="2"/>
  <c r="L1733" i="2" s="1"/>
  <c r="B1733" i="2"/>
  <c r="C1733" i="2"/>
  <c r="M1733" i="2" l="1"/>
  <c r="I1733" i="2"/>
  <c r="K1733" i="2"/>
  <c r="J1733" i="2"/>
  <c r="S1733" i="2"/>
  <c r="N1733" i="2"/>
  <c r="O1733" i="2" s="1"/>
  <c r="P1733" i="2" l="1"/>
  <c r="R1733" i="2"/>
  <c r="Q1733" i="2"/>
  <c r="U1733" i="2" s="1"/>
  <c r="X1733" i="2" s="1"/>
  <c r="F1734" i="2" s="1"/>
  <c r="T1733" i="2"/>
  <c r="V1733" i="2"/>
  <c r="Y1733" i="2" s="1"/>
  <c r="G1734" i="2" s="1"/>
  <c r="W1733" i="2"/>
  <c r="E1734" i="2" s="1"/>
  <c r="D1734" i="2" l="1"/>
  <c r="C1734" i="2"/>
  <c r="H1734" i="2"/>
  <c r="M1734" i="2" s="1"/>
  <c r="B1734" i="2"/>
  <c r="I1734" i="2" l="1"/>
  <c r="K1734" i="2"/>
  <c r="J1734" i="2"/>
  <c r="S1734" i="2"/>
  <c r="L1734" i="2"/>
  <c r="N1734" i="2"/>
  <c r="O1734" i="2" s="1"/>
  <c r="R1734" i="2" l="1"/>
  <c r="Q1734" i="2"/>
  <c r="U1734" i="2" s="1"/>
  <c r="X1734" i="2" s="1"/>
  <c r="F1735" i="2" s="1"/>
  <c r="P1734" i="2"/>
  <c r="T1734" i="2" s="1"/>
  <c r="W1734" i="2" s="1"/>
  <c r="E1735" i="2" s="1"/>
  <c r="V1734" i="2"/>
  <c r="Y1734" i="2" s="1"/>
  <c r="G1735" i="2" s="1"/>
  <c r="D1735" i="2" l="1"/>
  <c r="H1735" i="2"/>
  <c r="B1735" i="2"/>
  <c r="C1735" i="2"/>
  <c r="I1735" i="2" l="1"/>
  <c r="J1735" i="2"/>
  <c r="K1735" i="2"/>
  <c r="S1735" i="2"/>
  <c r="L1735" i="2"/>
  <c r="M1735" i="2"/>
  <c r="N1735" i="2"/>
  <c r="O1735" i="2" s="1"/>
  <c r="P1735" i="2" l="1"/>
  <c r="R1735" i="2"/>
  <c r="Q1735" i="2"/>
  <c r="U1735" i="2"/>
  <c r="X1735" i="2" s="1"/>
  <c r="F1736" i="2" s="1"/>
  <c r="T1735" i="2"/>
  <c r="V1735" i="2"/>
  <c r="Y1735" i="2"/>
  <c r="G1736" i="2" s="1"/>
  <c r="W1735" i="2"/>
  <c r="E1736" i="2" s="1"/>
  <c r="C1736" i="2" l="1"/>
  <c r="H1736" i="2"/>
  <c r="B1736" i="2"/>
  <c r="N1736" i="2"/>
  <c r="O1736" i="2" s="1"/>
  <c r="D1736" i="2"/>
  <c r="R1736" i="2" l="1"/>
  <c r="K1736" i="2"/>
  <c r="I1736" i="2"/>
  <c r="S1736" i="2"/>
  <c r="J1736" i="2"/>
  <c r="M1736" i="2"/>
  <c r="Q1736" i="2" s="1"/>
  <c r="L1736" i="2"/>
  <c r="P1736" i="2" s="1"/>
  <c r="U1736" i="2" l="1"/>
  <c r="X1736" i="2" s="1"/>
  <c r="F1737" i="2" s="1"/>
  <c r="T1736" i="2"/>
  <c r="W1736" i="2" s="1"/>
  <c r="E1737" i="2" s="1"/>
  <c r="V1736" i="2"/>
  <c r="Y1736" i="2" s="1"/>
  <c r="G1737" i="2" s="1"/>
  <c r="H1737" i="2" l="1"/>
  <c r="L1737" i="2" s="1"/>
  <c r="B1737" i="2"/>
  <c r="M1737" i="2"/>
  <c r="C1737" i="2"/>
  <c r="N1737" i="2"/>
  <c r="O1737" i="2" s="1"/>
  <c r="D1737" i="2"/>
  <c r="R1737" i="2" l="1"/>
  <c r="P1737" i="2"/>
  <c r="Q1737" i="2"/>
  <c r="J1737" i="2"/>
  <c r="K1737" i="2"/>
  <c r="I1737" i="2"/>
  <c r="S1737" i="2"/>
  <c r="U1737" i="2" l="1"/>
  <c r="X1737" i="2" s="1"/>
  <c r="F1738" i="2" s="1"/>
  <c r="T1737" i="2"/>
  <c r="W1737" i="2" s="1"/>
  <c r="E1738" i="2" s="1"/>
  <c r="V1737" i="2"/>
  <c r="Y1737" i="2" s="1"/>
  <c r="G1738" i="2" s="1"/>
  <c r="H1738" i="2" l="1"/>
  <c r="L1738" i="2"/>
  <c r="B1738" i="2"/>
  <c r="N1738" i="2"/>
  <c r="O1738" i="2" s="1"/>
  <c r="D1738" i="2"/>
  <c r="M1738" i="2"/>
  <c r="C1738" i="2"/>
  <c r="R1738" i="2" l="1"/>
  <c r="Q1738" i="2"/>
  <c r="P1738" i="2"/>
  <c r="I1738" i="2"/>
  <c r="K1738" i="2"/>
  <c r="J1738" i="2"/>
  <c r="S1738" i="2"/>
  <c r="U1738" i="2" l="1"/>
  <c r="V1738" i="2"/>
  <c r="T1738" i="2"/>
  <c r="Y1738" i="2"/>
  <c r="G1739" i="2" s="1"/>
  <c r="X1738" i="2"/>
  <c r="F1739" i="2" s="1"/>
  <c r="W1738" i="2"/>
  <c r="E1739" i="2" s="1"/>
  <c r="C1739" i="2" l="1"/>
  <c r="H1739" i="2"/>
  <c r="M1739" i="2" s="1"/>
  <c r="B1739" i="2"/>
  <c r="N1739" i="2"/>
  <c r="O1739" i="2" s="1"/>
  <c r="D1739" i="2"/>
  <c r="R1739" i="2" l="1"/>
  <c r="Q1739" i="2"/>
  <c r="L1739" i="2"/>
  <c r="P1739" i="2" s="1"/>
  <c r="K1739" i="2"/>
  <c r="J1739" i="2"/>
  <c r="I1739" i="2"/>
  <c r="S1739" i="2"/>
  <c r="U1739" i="2" l="1"/>
  <c r="T1739" i="2"/>
  <c r="W1739" i="2" s="1"/>
  <c r="E1740" i="2" s="1"/>
  <c r="V1739" i="2"/>
  <c r="X1739" i="2"/>
  <c r="F1740" i="2" s="1"/>
  <c r="Y1739" i="2"/>
  <c r="G1740" i="2" s="1"/>
  <c r="H1740" i="2" l="1"/>
  <c r="B1740" i="2"/>
  <c r="N1740" i="2"/>
  <c r="O1740" i="2" s="1"/>
  <c r="D1740" i="2"/>
  <c r="M1740" i="2"/>
  <c r="C1740" i="2"/>
  <c r="I1740" i="2" l="1"/>
  <c r="S1740" i="2"/>
  <c r="J1740" i="2"/>
  <c r="K1740" i="2"/>
  <c r="R1740" i="2"/>
  <c r="Q1740" i="2"/>
  <c r="L1740" i="2"/>
  <c r="P1740" i="2" s="1"/>
  <c r="U1740" i="2" l="1"/>
  <c r="X1740" i="2" s="1"/>
  <c r="F1741" i="2" s="1"/>
  <c r="V1740" i="2"/>
  <c r="Y1740" i="2" s="1"/>
  <c r="G1741" i="2" s="1"/>
  <c r="T1740" i="2"/>
  <c r="W1740" i="2" s="1"/>
  <c r="E1741" i="2" s="1"/>
  <c r="D1741" i="2" l="1"/>
  <c r="H1741" i="2"/>
  <c r="L1741" i="2" s="1"/>
  <c r="B1741" i="2"/>
  <c r="C1741" i="2"/>
  <c r="M1741" i="2" l="1"/>
  <c r="K1741" i="2"/>
  <c r="I1741" i="2"/>
  <c r="J1741" i="2"/>
  <c r="S1741" i="2"/>
  <c r="N1741" i="2"/>
  <c r="O1741" i="2" s="1"/>
  <c r="P1741" i="2" l="1"/>
  <c r="R1741" i="2"/>
  <c r="V1741" i="2" s="1"/>
  <c r="Y1741" i="2" s="1"/>
  <c r="G1742" i="2" s="1"/>
  <c r="Q1741" i="2"/>
  <c r="U1741" i="2" s="1"/>
  <c r="X1741" i="2" s="1"/>
  <c r="F1742" i="2" s="1"/>
  <c r="T1741" i="2"/>
  <c r="W1741" i="2" s="1"/>
  <c r="E1742" i="2" s="1"/>
  <c r="H1742" i="2" l="1"/>
  <c r="L1742" i="2" s="1"/>
  <c r="B1742" i="2"/>
  <c r="N1742" i="2"/>
  <c r="O1742" i="2" s="1"/>
  <c r="D1742" i="2"/>
  <c r="M1742" i="2"/>
  <c r="C1742" i="2"/>
  <c r="R1742" i="2" l="1"/>
  <c r="Q1742" i="2"/>
  <c r="P1742" i="2"/>
  <c r="I1742" i="2"/>
  <c r="J1742" i="2"/>
  <c r="K1742" i="2"/>
  <c r="S1742" i="2"/>
  <c r="U1742" i="2" l="1"/>
  <c r="V1742" i="2"/>
  <c r="Y1742" i="2" s="1"/>
  <c r="G1743" i="2" s="1"/>
  <c r="T1742" i="2"/>
  <c r="X1742" i="2"/>
  <c r="F1743" i="2" s="1"/>
  <c r="W1742" i="2"/>
  <c r="E1743" i="2" s="1"/>
  <c r="D1743" i="2" l="1"/>
  <c r="H1743" i="2"/>
  <c r="N1743" i="2" s="1"/>
  <c r="O1743" i="2" s="1"/>
  <c r="B1743" i="2"/>
  <c r="M1743" i="2"/>
  <c r="C1743" i="2"/>
  <c r="R1743" i="2" l="1"/>
  <c r="Q1743" i="2"/>
  <c r="L1743" i="2"/>
  <c r="P1743" i="2" s="1"/>
  <c r="I1743" i="2"/>
  <c r="K1743" i="2"/>
  <c r="J1743" i="2"/>
  <c r="S1743" i="2"/>
  <c r="U1743" i="2" l="1"/>
  <c r="T1743" i="2"/>
  <c r="V1743" i="2"/>
  <c r="W1743" i="2"/>
  <c r="E1744" i="2" s="1"/>
  <c r="X1743" i="2"/>
  <c r="F1744" i="2" s="1"/>
  <c r="Y1743" i="2"/>
  <c r="G1744" i="2" s="1"/>
  <c r="H1744" i="2" l="1"/>
  <c r="L1744" i="2"/>
  <c r="B1744" i="2"/>
  <c r="N1744" i="2"/>
  <c r="O1744" i="2" s="1"/>
  <c r="D1744" i="2"/>
  <c r="M1744" i="2"/>
  <c r="C1744" i="2"/>
  <c r="R1744" i="2" l="1"/>
  <c r="Q1744" i="2"/>
  <c r="P1744" i="2"/>
  <c r="I1744" i="2"/>
  <c r="J1744" i="2"/>
  <c r="K1744" i="2"/>
  <c r="S1744" i="2"/>
  <c r="U1744" i="2" l="1"/>
  <c r="V1744" i="2"/>
  <c r="T1744" i="2"/>
  <c r="Y1744" i="2"/>
  <c r="G1745" i="2" s="1"/>
  <c r="X1744" i="2"/>
  <c r="F1745" i="2" s="1"/>
  <c r="W1744" i="2"/>
  <c r="E1745" i="2" s="1"/>
  <c r="C1745" i="2" l="1"/>
  <c r="H1745" i="2"/>
  <c r="B1745" i="2"/>
  <c r="N1745" i="2"/>
  <c r="O1745" i="2" s="1"/>
  <c r="D1745" i="2"/>
  <c r="R1745" i="2" l="1"/>
  <c r="K1745" i="2"/>
  <c r="I1745" i="2"/>
  <c r="J1745" i="2"/>
  <c r="S1745" i="2"/>
  <c r="L1745" i="2"/>
  <c r="P1745" i="2" s="1"/>
  <c r="M1745" i="2"/>
  <c r="Q1745" i="2" s="1"/>
  <c r="U1745" i="2" l="1"/>
  <c r="T1745" i="2"/>
  <c r="V1745" i="2"/>
  <c r="W1745" i="2"/>
  <c r="E1746" i="2" s="1"/>
  <c r="X1745" i="2"/>
  <c r="F1746" i="2" s="1"/>
  <c r="Y1745" i="2"/>
  <c r="G1746" i="2" s="1"/>
  <c r="H1746" i="2" l="1"/>
  <c r="N1746" i="2" s="1"/>
  <c r="O1746" i="2" s="1"/>
  <c r="B1746" i="2"/>
  <c r="D1746" i="2"/>
  <c r="M1746" i="2"/>
  <c r="C1746" i="2"/>
  <c r="R1746" i="2" l="1"/>
  <c r="Q1746" i="2"/>
  <c r="I1746" i="2"/>
  <c r="K1746" i="2"/>
  <c r="J1746" i="2"/>
  <c r="S1746" i="2"/>
  <c r="L1746" i="2"/>
  <c r="P1746" i="2" s="1"/>
  <c r="U1746" i="2" l="1"/>
  <c r="V1746" i="2"/>
  <c r="T1746" i="2"/>
  <c r="Y1746" i="2"/>
  <c r="G1747" i="2" s="1"/>
  <c r="X1746" i="2"/>
  <c r="F1747" i="2" s="1"/>
  <c r="W1746" i="2"/>
  <c r="E1747" i="2" s="1"/>
  <c r="C1747" i="2" l="1"/>
  <c r="H1747" i="2"/>
  <c r="B1747" i="2"/>
  <c r="D1747" i="2"/>
  <c r="I1747" i="2" l="1"/>
  <c r="K1747" i="2"/>
  <c r="J1747" i="2"/>
  <c r="S1747" i="2"/>
  <c r="N1747" i="2"/>
  <c r="O1747" i="2" s="1"/>
  <c r="L1747" i="2"/>
  <c r="M1747" i="2"/>
  <c r="P1747" i="2" l="1"/>
  <c r="Q1747" i="2"/>
  <c r="U1747" i="2" s="1"/>
  <c r="X1747" i="2" s="1"/>
  <c r="F1748" i="2" s="1"/>
  <c r="R1747" i="2"/>
  <c r="V1747" i="2" s="1"/>
  <c r="Y1747" i="2" s="1"/>
  <c r="G1748" i="2" s="1"/>
  <c r="T1747" i="2"/>
  <c r="W1747" i="2"/>
  <c r="E1748" i="2" s="1"/>
  <c r="C1748" i="2" l="1"/>
  <c r="H1748" i="2"/>
  <c r="B1748" i="2"/>
  <c r="N1748" i="2"/>
  <c r="O1748" i="2" s="1"/>
  <c r="D1748" i="2"/>
  <c r="R1748" i="2" l="1"/>
  <c r="J1748" i="2"/>
  <c r="K1748" i="2"/>
  <c r="I1748" i="2"/>
  <c r="S1748" i="2"/>
  <c r="L1748" i="2"/>
  <c r="P1748" i="2" s="1"/>
  <c r="M1748" i="2"/>
  <c r="Q1748" i="2" s="1"/>
  <c r="U1748" i="2" l="1"/>
  <c r="X1748" i="2" s="1"/>
  <c r="F1749" i="2" s="1"/>
  <c r="V1748" i="2"/>
  <c r="T1748" i="2"/>
  <c r="W1748" i="2" s="1"/>
  <c r="E1749" i="2" s="1"/>
  <c r="Y1748" i="2"/>
  <c r="G1749" i="2" s="1"/>
  <c r="C1749" i="2" l="1"/>
  <c r="D1749" i="2"/>
  <c r="H1749" i="2"/>
  <c r="B1749" i="2"/>
  <c r="J1749" i="2" l="1"/>
  <c r="I1749" i="2"/>
  <c r="K1749" i="2"/>
  <c r="S1749" i="2"/>
  <c r="L1749" i="2"/>
  <c r="N1749" i="2"/>
  <c r="O1749" i="2" s="1"/>
  <c r="M1749" i="2"/>
  <c r="R1749" i="2" l="1"/>
  <c r="V1749" i="2" s="1"/>
  <c r="Y1749" i="2" s="1"/>
  <c r="G1750" i="2" s="1"/>
  <c r="P1749" i="2"/>
  <c r="Q1749" i="2"/>
  <c r="U1749" i="2" s="1"/>
  <c r="X1749" i="2" s="1"/>
  <c r="F1750" i="2" s="1"/>
  <c r="T1749" i="2"/>
  <c r="W1749" i="2" s="1"/>
  <c r="E1750" i="2" s="1"/>
  <c r="H1750" i="2" l="1"/>
  <c r="L1750" i="2" s="1"/>
  <c r="B1750" i="2"/>
  <c r="C1750" i="2"/>
  <c r="N1750" i="2"/>
  <c r="O1750" i="2" s="1"/>
  <c r="D1750" i="2"/>
  <c r="M1750" i="2" l="1"/>
  <c r="R1750" i="2"/>
  <c r="Q1750" i="2"/>
  <c r="P1750" i="2"/>
  <c r="J1750" i="2"/>
  <c r="K1750" i="2"/>
  <c r="I1750" i="2"/>
  <c r="S1750" i="2"/>
  <c r="U1750" i="2" l="1"/>
  <c r="V1750" i="2"/>
  <c r="Y1750" i="2" s="1"/>
  <c r="G1751" i="2" s="1"/>
  <c r="T1750" i="2"/>
  <c r="W1750" i="2"/>
  <c r="E1751" i="2" s="1"/>
  <c r="X1750" i="2"/>
  <c r="F1751" i="2" s="1"/>
  <c r="D1751" i="2" l="1"/>
  <c r="C1751" i="2"/>
  <c r="H1751" i="2"/>
  <c r="L1751" i="2" s="1"/>
  <c r="B1751" i="2"/>
  <c r="K1751" i="2" l="1"/>
  <c r="S1751" i="2"/>
  <c r="J1751" i="2"/>
  <c r="I1751" i="2"/>
  <c r="M1751" i="2"/>
  <c r="N1751" i="2"/>
  <c r="O1751" i="2" s="1"/>
  <c r="R1751" i="2" l="1"/>
  <c r="V1751" i="2" s="1"/>
  <c r="Y1751" i="2" s="1"/>
  <c r="G1752" i="2" s="1"/>
  <c r="Q1751" i="2"/>
  <c r="U1751" i="2" s="1"/>
  <c r="X1751" i="2" s="1"/>
  <c r="F1752" i="2" s="1"/>
  <c r="P1751" i="2"/>
  <c r="T1751" i="2" s="1"/>
  <c r="W1751" i="2" s="1"/>
  <c r="E1752" i="2" s="1"/>
  <c r="C1752" i="2" l="1"/>
  <c r="H1752" i="2"/>
  <c r="L1752" i="2" s="1"/>
  <c r="B1752" i="2"/>
  <c r="D1752" i="2"/>
  <c r="N1752" i="2" l="1"/>
  <c r="O1752" i="2" s="1"/>
  <c r="K1752" i="2"/>
  <c r="I1752" i="2"/>
  <c r="J1752" i="2"/>
  <c r="S1752" i="2"/>
  <c r="M1752" i="2"/>
  <c r="R1752" i="2" l="1"/>
  <c r="V1752" i="2" s="1"/>
  <c r="Y1752" i="2" s="1"/>
  <c r="G1753" i="2" s="1"/>
  <c r="Q1752" i="2"/>
  <c r="U1752" i="2" s="1"/>
  <c r="X1752" i="2" s="1"/>
  <c r="F1753" i="2" s="1"/>
  <c r="P1752" i="2"/>
  <c r="T1752" i="2" s="1"/>
  <c r="W1752" i="2" s="1"/>
  <c r="E1753" i="2" s="1"/>
  <c r="C1753" i="2" l="1"/>
  <c r="H1753" i="2"/>
  <c r="B1753" i="2"/>
  <c r="D1753" i="2"/>
  <c r="K1753" i="2" l="1"/>
  <c r="J1753" i="2"/>
  <c r="I1753" i="2"/>
  <c r="S1753" i="2"/>
  <c r="L1753" i="2"/>
  <c r="M1753" i="2"/>
  <c r="N1753" i="2"/>
  <c r="O1753" i="2" s="1"/>
  <c r="P1753" i="2" l="1"/>
  <c r="R1753" i="2"/>
  <c r="V1753" i="2" s="1"/>
  <c r="Y1753" i="2" s="1"/>
  <c r="G1754" i="2" s="1"/>
  <c r="Q1753" i="2"/>
  <c r="U1753" i="2" s="1"/>
  <c r="X1753" i="2" s="1"/>
  <c r="F1754" i="2" s="1"/>
  <c r="T1753" i="2"/>
  <c r="W1753" i="2"/>
  <c r="E1754" i="2" s="1"/>
  <c r="C1754" i="2" l="1"/>
  <c r="D1754" i="2"/>
  <c r="H1754" i="2"/>
  <c r="B1754" i="2"/>
  <c r="K1754" i="2" l="1"/>
  <c r="I1754" i="2"/>
  <c r="J1754" i="2"/>
  <c r="S1754" i="2"/>
  <c r="L1754" i="2"/>
  <c r="N1754" i="2"/>
  <c r="O1754" i="2" s="1"/>
  <c r="M1754" i="2"/>
  <c r="R1754" i="2" l="1"/>
  <c r="Q1754" i="2"/>
  <c r="U1754" i="2" s="1"/>
  <c r="X1754" i="2" s="1"/>
  <c r="F1755" i="2" s="1"/>
  <c r="P1754" i="2"/>
  <c r="T1754" i="2" s="1"/>
  <c r="W1754" i="2" s="1"/>
  <c r="E1755" i="2" s="1"/>
  <c r="V1754" i="2"/>
  <c r="Y1754" i="2" s="1"/>
  <c r="G1755" i="2" s="1"/>
  <c r="C1755" i="2" l="1"/>
  <c r="D1755" i="2"/>
  <c r="H1755" i="2"/>
  <c r="B1755" i="2"/>
  <c r="J1755" i="2" l="1"/>
  <c r="K1755" i="2"/>
  <c r="I1755" i="2"/>
  <c r="S1755" i="2"/>
  <c r="L1755" i="2"/>
  <c r="N1755" i="2"/>
  <c r="O1755" i="2" s="1"/>
  <c r="M1755" i="2"/>
  <c r="R1755" i="2" l="1"/>
  <c r="P1755" i="2"/>
  <c r="Q1755" i="2"/>
  <c r="U1755" i="2" s="1"/>
  <c r="X1755" i="2" s="1"/>
  <c r="F1756" i="2" s="1"/>
  <c r="T1755" i="2"/>
  <c r="V1755" i="2"/>
  <c r="Y1755" i="2" s="1"/>
  <c r="G1756" i="2" s="1"/>
  <c r="W1755" i="2"/>
  <c r="E1756" i="2" s="1"/>
  <c r="D1756" i="2" l="1"/>
  <c r="C1756" i="2"/>
  <c r="H1756" i="2"/>
  <c r="M1756" i="2" s="1"/>
  <c r="B1756" i="2"/>
  <c r="L1756" i="2" l="1"/>
  <c r="I1756" i="2"/>
  <c r="J1756" i="2"/>
  <c r="K1756" i="2"/>
  <c r="S1756" i="2"/>
  <c r="N1756" i="2"/>
  <c r="O1756" i="2" s="1"/>
  <c r="R1756" i="2" l="1"/>
  <c r="V1756" i="2" s="1"/>
  <c r="Y1756" i="2" s="1"/>
  <c r="G1757" i="2" s="1"/>
  <c r="Q1756" i="2"/>
  <c r="U1756" i="2" s="1"/>
  <c r="X1756" i="2" s="1"/>
  <c r="F1757" i="2" s="1"/>
  <c r="P1756" i="2"/>
  <c r="T1756" i="2" s="1"/>
  <c r="W1756" i="2" s="1"/>
  <c r="E1757" i="2" s="1"/>
  <c r="C1757" i="2" l="1"/>
  <c r="H1757" i="2"/>
  <c r="L1757" i="2" s="1"/>
  <c r="B1757" i="2"/>
  <c r="D1757" i="2"/>
  <c r="N1757" i="2" l="1"/>
  <c r="O1757" i="2" s="1"/>
  <c r="R1757" i="2"/>
  <c r="P1757" i="2"/>
  <c r="I1757" i="2"/>
  <c r="J1757" i="2"/>
  <c r="K1757" i="2"/>
  <c r="S1757" i="2"/>
  <c r="M1757" i="2"/>
  <c r="Q1757" i="2" s="1"/>
  <c r="U1757" i="2" l="1"/>
  <c r="X1757" i="2" s="1"/>
  <c r="F1758" i="2" s="1"/>
  <c r="T1757" i="2"/>
  <c r="V1757" i="2"/>
  <c r="Y1757" i="2"/>
  <c r="G1758" i="2" s="1"/>
  <c r="W1757" i="2"/>
  <c r="E1758" i="2" s="1"/>
  <c r="C1758" i="2" l="1"/>
  <c r="H1758" i="2"/>
  <c r="N1758" i="2" s="1"/>
  <c r="O1758" i="2" s="1"/>
  <c r="B1758" i="2"/>
  <c r="D1758" i="2"/>
  <c r="R1758" i="2" l="1"/>
  <c r="I1758" i="2"/>
  <c r="J1758" i="2"/>
  <c r="K1758" i="2"/>
  <c r="S1758" i="2"/>
  <c r="L1758" i="2"/>
  <c r="P1758" i="2" s="1"/>
  <c r="M1758" i="2"/>
  <c r="Q1758" i="2" s="1"/>
  <c r="U1758" i="2" l="1"/>
  <c r="X1758" i="2" s="1"/>
  <c r="F1759" i="2" s="1"/>
  <c r="V1758" i="2"/>
  <c r="Y1758" i="2" s="1"/>
  <c r="G1759" i="2" s="1"/>
  <c r="T1758" i="2"/>
  <c r="W1758" i="2" s="1"/>
  <c r="E1759" i="2" s="1"/>
  <c r="D1759" i="2" l="1"/>
  <c r="C1759" i="2"/>
  <c r="H1759" i="2"/>
  <c r="B1759" i="2"/>
  <c r="I1759" i="2" l="1"/>
  <c r="K1759" i="2"/>
  <c r="J1759" i="2"/>
  <c r="S1759" i="2"/>
  <c r="L1759" i="2"/>
  <c r="M1759" i="2"/>
  <c r="N1759" i="2"/>
  <c r="O1759" i="2" s="1"/>
  <c r="Q1759" i="2" l="1"/>
  <c r="U1759" i="2" s="1"/>
  <c r="X1759" i="2" s="1"/>
  <c r="F1760" i="2" s="1"/>
  <c r="P1759" i="2"/>
  <c r="T1759" i="2" s="1"/>
  <c r="W1759" i="2" s="1"/>
  <c r="E1760" i="2" s="1"/>
  <c r="R1759" i="2"/>
  <c r="V1759" i="2" s="1"/>
  <c r="Y1759" i="2" s="1"/>
  <c r="G1760" i="2" s="1"/>
  <c r="H1760" i="2" l="1"/>
  <c r="L1760" i="2" s="1"/>
  <c r="B1760" i="2"/>
  <c r="N1760" i="2"/>
  <c r="O1760" i="2" s="1"/>
  <c r="D1760" i="2"/>
  <c r="M1760" i="2"/>
  <c r="C1760" i="2"/>
  <c r="Q1760" i="2" l="1"/>
  <c r="P1760" i="2"/>
  <c r="R1760" i="2"/>
  <c r="J1760" i="2"/>
  <c r="K1760" i="2"/>
  <c r="I1760" i="2"/>
  <c r="S1760" i="2"/>
  <c r="U1760" i="2" l="1"/>
  <c r="X1760" i="2" s="1"/>
  <c r="F1761" i="2" s="1"/>
  <c r="T1760" i="2"/>
  <c r="W1760" i="2" s="1"/>
  <c r="E1761" i="2" s="1"/>
  <c r="V1760" i="2"/>
  <c r="Y1760" i="2" s="1"/>
  <c r="G1761" i="2" s="1"/>
  <c r="H1761" i="2" l="1"/>
  <c r="L1761" i="2"/>
  <c r="B1761" i="2"/>
  <c r="N1761" i="2"/>
  <c r="O1761" i="2" s="1"/>
  <c r="D1761" i="2"/>
  <c r="M1761" i="2"/>
  <c r="C1761" i="2"/>
  <c r="Q1761" i="2" l="1"/>
  <c r="P1761" i="2"/>
  <c r="R1761" i="2"/>
  <c r="J1761" i="2"/>
  <c r="I1761" i="2"/>
  <c r="K1761" i="2"/>
  <c r="S1761" i="2"/>
  <c r="U1761" i="2" l="1"/>
  <c r="T1761" i="2"/>
  <c r="V1761" i="2"/>
  <c r="W1761" i="2"/>
  <c r="E1762" i="2" s="1"/>
  <c r="Y1761" i="2"/>
  <c r="G1762" i="2" s="1"/>
  <c r="X1761" i="2"/>
  <c r="F1762" i="2" s="1"/>
  <c r="H1762" i="2" l="1"/>
  <c r="L1762" i="2"/>
  <c r="B1762" i="2"/>
  <c r="M1762" i="2"/>
  <c r="C1762" i="2"/>
  <c r="N1762" i="2"/>
  <c r="O1762" i="2" s="1"/>
  <c r="D1762" i="2"/>
  <c r="Q1762" i="2" l="1"/>
  <c r="P1762" i="2"/>
  <c r="R1762" i="2"/>
  <c r="J1762" i="2"/>
  <c r="K1762" i="2"/>
  <c r="I1762" i="2"/>
  <c r="S1762" i="2"/>
  <c r="U1762" i="2" l="1"/>
  <c r="T1762" i="2"/>
  <c r="W1762" i="2" s="1"/>
  <c r="E1763" i="2" s="1"/>
  <c r="V1762" i="2"/>
  <c r="X1762" i="2"/>
  <c r="F1763" i="2" s="1"/>
  <c r="Y1762" i="2"/>
  <c r="G1763" i="2" s="1"/>
  <c r="H1763" i="2" l="1"/>
  <c r="L1763" i="2"/>
  <c r="B1763" i="2"/>
  <c r="N1763" i="2"/>
  <c r="O1763" i="2" s="1"/>
  <c r="D1763" i="2"/>
  <c r="M1763" i="2"/>
  <c r="C1763" i="2"/>
  <c r="Q1763" i="2" l="1"/>
  <c r="P1763" i="2"/>
  <c r="R1763" i="2"/>
  <c r="J1763" i="2"/>
  <c r="K1763" i="2"/>
  <c r="I1763" i="2"/>
  <c r="S1763" i="2"/>
  <c r="U1763" i="2" l="1"/>
  <c r="X1763" i="2" s="1"/>
  <c r="F1764" i="2" s="1"/>
  <c r="T1763" i="2"/>
  <c r="W1763" i="2" s="1"/>
  <c r="E1764" i="2" s="1"/>
  <c r="V1763" i="2"/>
  <c r="Y1763" i="2" s="1"/>
  <c r="G1764" i="2" s="1"/>
  <c r="H1764" i="2" l="1"/>
  <c r="L1764" i="2"/>
  <c r="B1764" i="2"/>
  <c r="N1764" i="2"/>
  <c r="O1764" i="2" s="1"/>
  <c r="D1764" i="2"/>
  <c r="M1764" i="2"/>
  <c r="C1764" i="2"/>
  <c r="Q1764" i="2" l="1"/>
  <c r="P1764" i="2"/>
  <c r="R1764" i="2"/>
  <c r="J1764" i="2"/>
  <c r="K1764" i="2"/>
  <c r="I1764" i="2"/>
  <c r="S1764" i="2"/>
  <c r="U1764" i="2" l="1"/>
  <c r="T1764" i="2"/>
  <c r="W1764" i="2" s="1"/>
  <c r="E1765" i="2" s="1"/>
  <c r="V1764" i="2"/>
  <c r="Y1764" i="2" s="1"/>
  <c r="G1765" i="2" s="1"/>
  <c r="X1764" i="2"/>
  <c r="F1765" i="2" s="1"/>
  <c r="D1765" i="2" l="1"/>
  <c r="H1765" i="2"/>
  <c r="M1765" i="2" s="1"/>
  <c r="B1765" i="2"/>
  <c r="C1765" i="2"/>
  <c r="J1765" i="2" l="1"/>
  <c r="I1765" i="2"/>
  <c r="K1765" i="2"/>
  <c r="S1765" i="2"/>
  <c r="L1765" i="2"/>
  <c r="N1765" i="2"/>
  <c r="O1765" i="2" s="1"/>
  <c r="Q1765" i="2" l="1"/>
  <c r="P1765" i="2"/>
  <c r="R1765" i="2"/>
  <c r="V1765" i="2" s="1"/>
  <c r="Y1765" i="2" s="1"/>
  <c r="G1766" i="2" s="1"/>
  <c r="U1765" i="2"/>
  <c r="T1765" i="2"/>
  <c r="W1765" i="2" s="1"/>
  <c r="E1766" i="2" s="1"/>
  <c r="X1765" i="2"/>
  <c r="F1766" i="2" s="1"/>
  <c r="H1766" i="2" l="1"/>
  <c r="L1766" i="2" s="1"/>
  <c r="B1766" i="2"/>
  <c r="M1766" i="2"/>
  <c r="C1766" i="2"/>
  <c r="N1766" i="2"/>
  <c r="O1766" i="2" s="1"/>
  <c r="D1766" i="2"/>
  <c r="Q1766" i="2" l="1"/>
  <c r="P1766" i="2"/>
  <c r="R1766" i="2"/>
  <c r="J1766" i="2"/>
  <c r="I1766" i="2"/>
  <c r="K1766" i="2"/>
  <c r="S1766" i="2"/>
  <c r="U1766" i="2" l="1"/>
  <c r="T1766" i="2"/>
  <c r="V1766" i="2"/>
  <c r="Y1766" i="2" s="1"/>
  <c r="G1767" i="2" s="1"/>
  <c r="X1766" i="2"/>
  <c r="F1767" i="2" s="1"/>
  <c r="W1766" i="2"/>
  <c r="E1767" i="2" s="1"/>
  <c r="D1767" i="2" l="1"/>
  <c r="H1767" i="2"/>
  <c r="M1767" i="2" s="1"/>
  <c r="B1767" i="2"/>
  <c r="C1767" i="2"/>
  <c r="K1767" i="2" l="1"/>
  <c r="J1767" i="2"/>
  <c r="I1767" i="2"/>
  <c r="S1767" i="2"/>
  <c r="L1767" i="2"/>
  <c r="N1767" i="2"/>
  <c r="O1767" i="2" s="1"/>
  <c r="Q1767" i="2" l="1"/>
  <c r="P1767" i="2"/>
  <c r="T1767" i="2" s="1"/>
  <c r="W1767" i="2" s="1"/>
  <c r="E1768" i="2" s="1"/>
  <c r="R1767" i="2"/>
  <c r="V1767" i="2" s="1"/>
  <c r="Y1767" i="2" s="1"/>
  <c r="G1768" i="2" s="1"/>
  <c r="U1767" i="2"/>
  <c r="X1767" i="2" s="1"/>
  <c r="F1768" i="2" s="1"/>
  <c r="C1768" i="2" l="1"/>
  <c r="H1768" i="2"/>
  <c r="N1768" i="2" s="1"/>
  <c r="O1768" i="2" s="1"/>
  <c r="B1768" i="2"/>
  <c r="D1768" i="2"/>
  <c r="I1768" i="2" l="1"/>
  <c r="J1768" i="2"/>
  <c r="K1768" i="2"/>
  <c r="S1768" i="2"/>
  <c r="R1768" i="2"/>
  <c r="L1768" i="2"/>
  <c r="P1768" i="2" s="1"/>
  <c r="M1768" i="2"/>
  <c r="Q1768" i="2" s="1"/>
  <c r="U1768" i="2" l="1"/>
  <c r="T1768" i="2"/>
  <c r="V1768" i="2"/>
  <c r="W1768" i="2"/>
  <c r="E1769" i="2" s="1"/>
  <c r="Y1768" i="2"/>
  <c r="G1769" i="2" s="1"/>
  <c r="X1768" i="2"/>
  <c r="F1769" i="2" s="1"/>
  <c r="H1769" i="2" l="1"/>
  <c r="L1769" i="2"/>
  <c r="B1769" i="2"/>
  <c r="M1769" i="2"/>
  <c r="C1769" i="2"/>
  <c r="N1769" i="2"/>
  <c r="O1769" i="2" s="1"/>
  <c r="D1769" i="2"/>
  <c r="Q1769" i="2" l="1"/>
  <c r="P1769" i="2"/>
  <c r="R1769" i="2"/>
  <c r="J1769" i="2"/>
  <c r="I1769" i="2"/>
  <c r="K1769" i="2"/>
  <c r="S1769" i="2"/>
  <c r="U1769" i="2" l="1"/>
  <c r="T1769" i="2"/>
  <c r="V1769" i="2"/>
  <c r="Y1769" i="2" s="1"/>
  <c r="G1770" i="2" s="1"/>
  <c r="W1769" i="2"/>
  <c r="E1770" i="2" s="1"/>
  <c r="X1769" i="2"/>
  <c r="F1770" i="2" s="1"/>
  <c r="D1770" i="2" l="1"/>
  <c r="C1770" i="2"/>
  <c r="H1770" i="2"/>
  <c r="L1770" i="2" s="1"/>
  <c r="B1770" i="2"/>
  <c r="K1770" i="2" l="1"/>
  <c r="I1770" i="2"/>
  <c r="J1770" i="2"/>
  <c r="S1770" i="2"/>
  <c r="M1770" i="2"/>
  <c r="N1770" i="2"/>
  <c r="O1770" i="2" s="1"/>
  <c r="Q1770" i="2" l="1"/>
  <c r="P1770" i="2"/>
  <c r="T1770" i="2" s="1"/>
  <c r="W1770" i="2" s="1"/>
  <c r="E1771" i="2" s="1"/>
  <c r="R1770" i="2"/>
  <c r="V1770" i="2" s="1"/>
  <c r="Y1770" i="2" s="1"/>
  <c r="G1771" i="2" s="1"/>
  <c r="U1770" i="2"/>
  <c r="X1770" i="2"/>
  <c r="F1771" i="2" s="1"/>
  <c r="H1771" i="2" l="1"/>
  <c r="L1771" i="2"/>
  <c r="B1771" i="2"/>
  <c r="M1771" i="2"/>
  <c r="C1771" i="2"/>
  <c r="N1771" i="2"/>
  <c r="O1771" i="2" s="1"/>
  <c r="D1771" i="2"/>
  <c r="P1771" i="2" l="1"/>
  <c r="R1771" i="2"/>
  <c r="Q1771" i="2"/>
  <c r="J1771" i="2"/>
  <c r="I1771" i="2"/>
  <c r="K1771" i="2"/>
  <c r="S1771" i="2"/>
  <c r="V1771" i="2" l="1"/>
  <c r="Y1771" i="2" s="1"/>
  <c r="G1772" i="2" s="1"/>
  <c r="U1771" i="2"/>
  <c r="T1771" i="2"/>
  <c r="W1771" i="2" s="1"/>
  <c r="E1772" i="2" s="1"/>
  <c r="X1771" i="2"/>
  <c r="F1772" i="2" s="1"/>
  <c r="D1772" i="2" l="1"/>
  <c r="C1772" i="2"/>
  <c r="H1772" i="2"/>
  <c r="M1772" i="2" s="1"/>
  <c r="B1772" i="2"/>
  <c r="L1772" i="2" l="1"/>
  <c r="K1772" i="2"/>
  <c r="I1772" i="2"/>
  <c r="J1772" i="2"/>
  <c r="S1772" i="2"/>
  <c r="N1772" i="2"/>
  <c r="O1772" i="2" s="1"/>
  <c r="P1772" i="2" l="1"/>
  <c r="T1772" i="2" s="1"/>
  <c r="W1772" i="2" s="1"/>
  <c r="E1773" i="2" s="1"/>
  <c r="R1772" i="2"/>
  <c r="V1772" i="2" s="1"/>
  <c r="Y1772" i="2" s="1"/>
  <c r="G1773" i="2" s="1"/>
  <c r="Q1772" i="2"/>
  <c r="U1772" i="2" s="1"/>
  <c r="X1772" i="2" s="1"/>
  <c r="F1773" i="2" s="1"/>
  <c r="C1773" i="2" l="1"/>
  <c r="D1773" i="2"/>
  <c r="H1773" i="2"/>
  <c r="L1773" i="2" s="1"/>
  <c r="B1773" i="2"/>
  <c r="J1773" i="2" l="1"/>
  <c r="I1773" i="2"/>
  <c r="K1773" i="2"/>
  <c r="S1773" i="2"/>
  <c r="N1773" i="2"/>
  <c r="O1773" i="2" s="1"/>
  <c r="M1773" i="2"/>
  <c r="P1773" i="2" l="1"/>
  <c r="T1773" i="2" s="1"/>
  <c r="W1773" i="2" s="1"/>
  <c r="E1774" i="2" s="1"/>
  <c r="R1773" i="2"/>
  <c r="V1773" i="2" s="1"/>
  <c r="Y1773" i="2" s="1"/>
  <c r="G1774" i="2" s="1"/>
  <c r="Q1773" i="2"/>
  <c r="U1773" i="2" s="1"/>
  <c r="X1773" i="2" s="1"/>
  <c r="F1774" i="2" s="1"/>
  <c r="D1774" i="2" l="1"/>
  <c r="C1774" i="2"/>
  <c r="H1774" i="2"/>
  <c r="M1774" i="2" s="1"/>
  <c r="B1774" i="2"/>
  <c r="L1774" i="2" l="1"/>
  <c r="I1774" i="2"/>
  <c r="K1774" i="2"/>
  <c r="J1774" i="2"/>
  <c r="S1774" i="2"/>
  <c r="N1774" i="2"/>
  <c r="O1774" i="2" s="1"/>
  <c r="P1774" i="2" l="1"/>
  <c r="T1774" i="2" s="1"/>
  <c r="W1774" i="2" s="1"/>
  <c r="E1775" i="2" s="1"/>
  <c r="Q1774" i="2"/>
  <c r="U1774" i="2" s="1"/>
  <c r="X1774" i="2" s="1"/>
  <c r="F1775" i="2" s="1"/>
  <c r="R1774" i="2"/>
  <c r="V1774" i="2" s="1"/>
  <c r="Y1774" i="2" s="1"/>
  <c r="G1775" i="2" s="1"/>
  <c r="C1775" i="2" l="1"/>
  <c r="D1775" i="2"/>
  <c r="H1775" i="2"/>
  <c r="B1775" i="2"/>
  <c r="K1775" i="2" l="1"/>
  <c r="J1775" i="2"/>
  <c r="I1775" i="2"/>
  <c r="S1775" i="2"/>
  <c r="L1775" i="2"/>
  <c r="N1775" i="2"/>
  <c r="O1775" i="2" s="1"/>
  <c r="M1775" i="2"/>
  <c r="P1775" i="2" l="1"/>
  <c r="R1775" i="2"/>
  <c r="Q1775" i="2"/>
  <c r="U1775" i="2" s="1"/>
  <c r="X1775" i="2" s="1"/>
  <c r="F1776" i="2" s="1"/>
  <c r="T1775" i="2"/>
  <c r="W1775" i="2" s="1"/>
  <c r="E1776" i="2" s="1"/>
  <c r="V1775" i="2"/>
  <c r="Y1775" i="2"/>
  <c r="G1776" i="2" s="1"/>
  <c r="C1776" i="2" l="1"/>
  <c r="D1776" i="2"/>
  <c r="H1776" i="2"/>
  <c r="B1776" i="2"/>
  <c r="I1776" i="2" l="1"/>
  <c r="K1776" i="2"/>
  <c r="J1776" i="2"/>
  <c r="S1776" i="2"/>
  <c r="L1776" i="2"/>
  <c r="N1776" i="2"/>
  <c r="O1776" i="2" s="1"/>
  <c r="M1776" i="2"/>
  <c r="P1776" i="2" l="1"/>
  <c r="Q1776" i="2"/>
  <c r="U1776" i="2" s="1"/>
  <c r="X1776" i="2" s="1"/>
  <c r="F1777" i="2" s="1"/>
  <c r="R1776" i="2"/>
  <c r="V1776" i="2" s="1"/>
  <c r="Y1776" i="2" s="1"/>
  <c r="G1777" i="2" s="1"/>
  <c r="T1776" i="2"/>
  <c r="W1776" i="2" s="1"/>
  <c r="E1777" i="2" s="1"/>
  <c r="D1777" i="2" l="1"/>
  <c r="C1777" i="2"/>
  <c r="H1777" i="2"/>
  <c r="B1777" i="2"/>
  <c r="I1777" i="2" l="1"/>
  <c r="K1777" i="2"/>
  <c r="J1777" i="2"/>
  <c r="S1777" i="2"/>
  <c r="L1777" i="2"/>
  <c r="M1777" i="2"/>
  <c r="N1777" i="2"/>
  <c r="O1777" i="2" s="1"/>
  <c r="P1777" i="2" l="1"/>
  <c r="R1777" i="2"/>
  <c r="V1777" i="2" s="1"/>
  <c r="Y1777" i="2" s="1"/>
  <c r="G1778" i="2" s="1"/>
  <c r="Q1777" i="2"/>
  <c r="U1777" i="2" s="1"/>
  <c r="X1777" i="2" s="1"/>
  <c r="F1778" i="2" s="1"/>
  <c r="T1777" i="2"/>
  <c r="W1777" i="2" s="1"/>
  <c r="E1778" i="2" s="1"/>
  <c r="D1778" i="2" l="1"/>
  <c r="C1778" i="2"/>
  <c r="H1778" i="2"/>
  <c r="B1778" i="2"/>
  <c r="J1778" i="2" l="1"/>
  <c r="I1778" i="2"/>
  <c r="K1778" i="2"/>
  <c r="S1778" i="2"/>
  <c r="M1778" i="2"/>
  <c r="L1778" i="2"/>
  <c r="N1778" i="2"/>
  <c r="O1778" i="2" s="1"/>
  <c r="P1778" i="2" l="1"/>
  <c r="R1778" i="2"/>
  <c r="Q1778" i="2"/>
  <c r="U1778" i="2" s="1"/>
  <c r="X1778" i="2" s="1"/>
  <c r="F1779" i="2" s="1"/>
  <c r="T1778" i="2"/>
  <c r="W1778" i="2" s="1"/>
  <c r="E1779" i="2" s="1"/>
  <c r="V1778" i="2"/>
  <c r="Y1778" i="2" s="1"/>
  <c r="G1779" i="2" s="1"/>
  <c r="H1779" i="2" l="1"/>
  <c r="B1779" i="2"/>
  <c r="M1779" i="2"/>
  <c r="C1779" i="2"/>
  <c r="N1779" i="2"/>
  <c r="O1779" i="2" s="1"/>
  <c r="D1779" i="2"/>
  <c r="R1779" i="2" l="1"/>
  <c r="Q1779" i="2"/>
  <c r="K1779" i="2"/>
  <c r="J1779" i="2"/>
  <c r="I1779" i="2"/>
  <c r="S1779" i="2"/>
  <c r="L1779" i="2"/>
  <c r="P1779" i="2" s="1"/>
  <c r="V1779" i="2" l="1"/>
  <c r="T1779" i="2"/>
  <c r="U1779" i="2"/>
  <c r="X1779" i="2" s="1"/>
  <c r="F1780" i="2" s="1"/>
  <c r="W1779" i="2"/>
  <c r="E1780" i="2" s="1"/>
  <c r="Y1779" i="2"/>
  <c r="G1780" i="2" s="1"/>
  <c r="C1780" i="2" l="1"/>
  <c r="D1780" i="2"/>
  <c r="H1780" i="2"/>
  <c r="L1780" i="2" s="1"/>
  <c r="B1780" i="2"/>
  <c r="K1780" i="2" l="1"/>
  <c r="J1780" i="2"/>
  <c r="I1780" i="2"/>
  <c r="S1780" i="2"/>
  <c r="N1780" i="2"/>
  <c r="O1780" i="2" s="1"/>
  <c r="M1780" i="2"/>
  <c r="P1780" i="2" l="1"/>
  <c r="Q1780" i="2"/>
  <c r="U1780" i="2" s="1"/>
  <c r="X1780" i="2" s="1"/>
  <c r="F1781" i="2" s="1"/>
  <c r="R1780" i="2"/>
  <c r="V1780" i="2" s="1"/>
  <c r="Y1780" i="2" s="1"/>
  <c r="G1781" i="2" s="1"/>
  <c r="T1780" i="2"/>
  <c r="W1780" i="2" s="1"/>
  <c r="E1781" i="2" s="1"/>
  <c r="C1781" i="2" l="1"/>
  <c r="D1781" i="2"/>
  <c r="H1781" i="2"/>
  <c r="B1781" i="2"/>
  <c r="K1781" i="2" l="1"/>
  <c r="J1781" i="2"/>
  <c r="I1781" i="2"/>
  <c r="S1781" i="2"/>
  <c r="L1781" i="2"/>
  <c r="N1781" i="2"/>
  <c r="O1781" i="2" s="1"/>
  <c r="M1781" i="2"/>
  <c r="P1781" i="2" l="1"/>
  <c r="R1781" i="2"/>
  <c r="Q1781" i="2"/>
  <c r="V1781" i="2"/>
  <c r="U1781" i="2"/>
  <c r="T1781" i="2"/>
  <c r="W1781" i="2" s="1"/>
  <c r="E1782" i="2" s="1"/>
  <c r="X1781" i="2"/>
  <c r="F1782" i="2" s="1"/>
  <c r="Y1781" i="2"/>
  <c r="G1782" i="2" s="1"/>
  <c r="H1782" i="2" l="1"/>
  <c r="L1782" i="2" s="1"/>
  <c r="B1782" i="2"/>
  <c r="N1782" i="2"/>
  <c r="O1782" i="2" s="1"/>
  <c r="D1782" i="2"/>
  <c r="M1782" i="2"/>
  <c r="C1782" i="2"/>
  <c r="P1782" i="2" l="1"/>
  <c r="Q1782" i="2"/>
  <c r="R1782" i="2"/>
  <c r="K1782" i="2"/>
  <c r="J1782" i="2"/>
  <c r="I1782" i="2"/>
  <c r="S1782" i="2"/>
  <c r="U1782" i="2" l="1"/>
  <c r="T1782" i="2"/>
  <c r="V1782" i="2"/>
  <c r="X1782" i="2"/>
  <c r="F1783" i="2" s="1"/>
  <c r="W1782" i="2"/>
  <c r="E1783" i="2" s="1"/>
  <c r="Y1782" i="2"/>
  <c r="G1783" i="2" s="1"/>
  <c r="D1783" i="2" l="1"/>
  <c r="H1783" i="2"/>
  <c r="B1783" i="2"/>
  <c r="M1783" i="2"/>
  <c r="C1783" i="2"/>
  <c r="K1783" i="2" l="1"/>
  <c r="J1783" i="2"/>
  <c r="I1783" i="2"/>
  <c r="S1783" i="2"/>
  <c r="L1783" i="2"/>
  <c r="N1783" i="2"/>
  <c r="O1783" i="2" s="1"/>
  <c r="P1783" i="2" l="1"/>
  <c r="T1783" i="2" s="1"/>
  <c r="W1783" i="2" s="1"/>
  <c r="E1784" i="2" s="1"/>
  <c r="R1783" i="2"/>
  <c r="V1783" i="2" s="1"/>
  <c r="Y1783" i="2" s="1"/>
  <c r="G1784" i="2" s="1"/>
  <c r="Q1783" i="2"/>
  <c r="U1783" i="2" s="1"/>
  <c r="X1783" i="2" s="1"/>
  <c r="F1784" i="2" s="1"/>
  <c r="C1784" i="2" l="1"/>
  <c r="D1784" i="2"/>
  <c r="H1784" i="2"/>
  <c r="N1784" i="2" s="1"/>
  <c r="O1784" i="2" s="1"/>
  <c r="B1784" i="2"/>
  <c r="R1784" i="2" l="1"/>
  <c r="L1784" i="2"/>
  <c r="P1784" i="2" s="1"/>
  <c r="I1784" i="2"/>
  <c r="S1784" i="2"/>
  <c r="K1784" i="2"/>
  <c r="J1784" i="2"/>
  <c r="M1784" i="2"/>
  <c r="Q1784" i="2" s="1"/>
  <c r="U1784" i="2" l="1"/>
  <c r="T1784" i="2"/>
  <c r="V1784" i="2"/>
  <c r="Y1784" i="2" s="1"/>
  <c r="G1785" i="2" s="1"/>
  <c r="W1784" i="2"/>
  <c r="E1785" i="2" s="1"/>
  <c r="X1784" i="2"/>
  <c r="F1785" i="2" s="1"/>
  <c r="D1785" i="2" l="1"/>
  <c r="C1785" i="2"/>
  <c r="H1785" i="2"/>
  <c r="B1785" i="2"/>
  <c r="J1785" i="2" l="1"/>
  <c r="I1785" i="2"/>
  <c r="K1785" i="2"/>
  <c r="S1785" i="2"/>
  <c r="L1785" i="2"/>
  <c r="M1785" i="2"/>
  <c r="N1785" i="2"/>
  <c r="O1785" i="2" s="1"/>
  <c r="P1785" i="2" l="1"/>
  <c r="T1785" i="2" s="1"/>
  <c r="W1785" i="2" s="1"/>
  <c r="E1786" i="2" s="1"/>
  <c r="R1785" i="2"/>
  <c r="V1785" i="2" s="1"/>
  <c r="Y1785" i="2" s="1"/>
  <c r="G1786" i="2" s="1"/>
  <c r="Q1785" i="2"/>
  <c r="U1785" i="2" s="1"/>
  <c r="X1785" i="2" s="1"/>
  <c r="F1786" i="2" s="1"/>
  <c r="D1786" i="2" l="1"/>
  <c r="C1786" i="2"/>
  <c r="H1786" i="2"/>
  <c r="B1786" i="2"/>
  <c r="K1786" i="2" l="1"/>
  <c r="J1786" i="2"/>
  <c r="I1786" i="2"/>
  <c r="S1786" i="2"/>
  <c r="L1786" i="2"/>
  <c r="M1786" i="2"/>
  <c r="N1786" i="2"/>
  <c r="O1786" i="2" s="1"/>
  <c r="P1786" i="2" l="1"/>
  <c r="Q1786" i="2"/>
  <c r="R1786" i="2"/>
  <c r="V1786" i="2"/>
  <c r="U1786" i="2"/>
  <c r="X1786" i="2" s="1"/>
  <c r="F1787" i="2" s="1"/>
  <c r="T1786" i="2"/>
  <c r="W1786" i="2" s="1"/>
  <c r="E1787" i="2" s="1"/>
  <c r="Y1786" i="2"/>
  <c r="G1787" i="2" s="1"/>
  <c r="C1787" i="2" l="1"/>
  <c r="D1787" i="2"/>
  <c r="H1787" i="2"/>
  <c r="N1787" i="2" s="1"/>
  <c r="O1787" i="2" s="1"/>
  <c r="B1787" i="2"/>
  <c r="R1787" i="2" l="1"/>
  <c r="K1787" i="2"/>
  <c r="J1787" i="2"/>
  <c r="S1787" i="2"/>
  <c r="I1787" i="2"/>
  <c r="L1787" i="2"/>
  <c r="P1787" i="2" s="1"/>
  <c r="M1787" i="2"/>
  <c r="Q1787" i="2" s="1"/>
  <c r="V1787" i="2" l="1"/>
  <c r="Y1787" i="2" s="1"/>
  <c r="G1788" i="2" s="1"/>
  <c r="U1787" i="2"/>
  <c r="T1787" i="2"/>
  <c r="W1787" i="2" s="1"/>
  <c r="E1788" i="2" s="1"/>
  <c r="X1787" i="2"/>
  <c r="F1788" i="2" s="1"/>
  <c r="H1788" i="2" l="1"/>
  <c r="L1788" i="2"/>
  <c r="B1788" i="2"/>
  <c r="N1788" i="2"/>
  <c r="O1788" i="2" s="1"/>
  <c r="D1788" i="2"/>
  <c r="M1788" i="2"/>
  <c r="C1788" i="2"/>
  <c r="P1788" i="2" l="1"/>
  <c r="Q1788" i="2"/>
  <c r="R1788" i="2"/>
  <c r="J1788" i="2"/>
  <c r="K1788" i="2"/>
  <c r="S1788" i="2"/>
  <c r="I1788" i="2"/>
  <c r="U1788" i="2" l="1"/>
  <c r="T1788" i="2"/>
  <c r="W1788" i="2" s="1"/>
  <c r="E1789" i="2" s="1"/>
  <c r="V1788" i="2"/>
  <c r="Y1788" i="2" s="1"/>
  <c r="G1789" i="2" s="1"/>
  <c r="X1788" i="2"/>
  <c r="F1789" i="2" s="1"/>
  <c r="D1789" i="2" l="1"/>
  <c r="H1789" i="2"/>
  <c r="B1789" i="2"/>
  <c r="C1789" i="2"/>
  <c r="K1789" i="2" l="1"/>
  <c r="S1789" i="2"/>
  <c r="I1789" i="2"/>
  <c r="J1789" i="2"/>
  <c r="L1789" i="2"/>
  <c r="M1789" i="2"/>
  <c r="N1789" i="2"/>
  <c r="O1789" i="2" s="1"/>
  <c r="P1789" i="2" l="1"/>
  <c r="R1789" i="2"/>
  <c r="Q1789" i="2"/>
  <c r="U1789" i="2" s="1"/>
  <c r="X1789" i="2" s="1"/>
  <c r="F1790" i="2" s="1"/>
  <c r="V1789" i="2"/>
  <c r="T1789" i="2"/>
  <c r="W1789" i="2" s="1"/>
  <c r="E1790" i="2" s="1"/>
  <c r="Y1789" i="2"/>
  <c r="G1790" i="2" s="1"/>
  <c r="C1790" i="2" l="1"/>
  <c r="D1790" i="2"/>
  <c r="H1790" i="2"/>
  <c r="M1790" i="2" s="1"/>
  <c r="B1790" i="2"/>
  <c r="I1790" i="2" l="1"/>
  <c r="K1790" i="2"/>
  <c r="J1790" i="2"/>
  <c r="S1790" i="2"/>
  <c r="L1790" i="2"/>
  <c r="N1790" i="2"/>
  <c r="O1790" i="2" s="1"/>
  <c r="P1790" i="2" l="1"/>
  <c r="R1790" i="2"/>
  <c r="Q1790" i="2"/>
  <c r="U1790" i="2" s="1"/>
  <c r="X1790" i="2" s="1"/>
  <c r="F1791" i="2" s="1"/>
  <c r="T1790" i="2"/>
  <c r="V1790" i="2"/>
  <c r="Y1790" i="2" s="1"/>
  <c r="G1791" i="2" s="1"/>
  <c r="W1790" i="2"/>
  <c r="E1791" i="2" s="1"/>
  <c r="D1791" i="2" l="1"/>
  <c r="C1791" i="2"/>
  <c r="H1791" i="2"/>
  <c r="M1791" i="2" s="1"/>
  <c r="B1791" i="2"/>
  <c r="I1791" i="2" l="1"/>
  <c r="J1791" i="2"/>
  <c r="K1791" i="2"/>
  <c r="S1791" i="2"/>
  <c r="L1791" i="2"/>
  <c r="N1791" i="2"/>
  <c r="O1791" i="2" s="1"/>
  <c r="P1791" i="2" l="1"/>
  <c r="Q1791" i="2"/>
  <c r="R1791" i="2"/>
  <c r="V1791" i="2" s="1"/>
  <c r="Y1791" i="2" s="1"/>
  <c r="G1792" i="2" s="1"/>
  <c r="U1791" i="2"/>
  <c r="X1791" i="2" s="1"/>
  <c r="F1792" i="2" s="1"/>
  <c r="T1791" i="2"/>
  <c r="W1791" i="2" s="1"/>
  <c r="E1792" i="2" s="1"/>
  <c r="C1792" i="2" l="1"/>
  <c r="H1792" i="2"/>
  <c r="N1792" i="2" s="1"/>
  <c r="O1792" i="2" s="1"/>
  <c r="B1792" i="2"/>
  <c r="D1792" i="2"/>
  <c r="B45" i="3" l="1"/>
  <c r="C45" i="3"/>
  <c r="D45" i="3"/>
  <c r="D46" i="3"/>
  <c r="C46" i="3"/>
  <c r="B46" i="3"/>
  <c r="J1792" i="2"/>
  <c r="K1792" i="2"/>
  <c r="I1792" i="2"/>
  <c r="S1792" i="2"/>
  <c r="L1792" i="2"/>
  <c r="P1792" i="2" s="1"/>
  <c r="M1792" i="2"/>
  <c r="Q1792" i="2" s="1"/>
  <c r="R1792" i="2"/>
  <c r="V1792" i="2" l="1"/>
  <c r="U1792" i="2"/>
  <c r="T1792" i="2"/>
  <c r="W1792" i="2" s="1"/>
  <c r="E1793" i="2" s="1"/>
  <c r="Y1792" i="2"/>
  <c r="G1793" i="2" s="1"/>
  <c r="X1792" i="2"/>
  <c r="F1793" i="2" s="1"/>
  <c r="C1793" i="2" l="1"/>
  <c r="H1793" i="2"/>
  <c r="N1793" i="2" s="1"/>
  <c r="O1793" i="2" s="1"/>
  <c r="B1793" i="2"/>
  <c r="D1793" i="2"/>
  <c r="R1793" i="2" l="1"/>
  <c r="I1793" i="2"/>
  <c r="J1793" i="2"/>
  <c r="K1793" i="2"/>
  <c r="S1793" i="2"/>
  <c r="L1793" i="2"/>
  <c r="P1793" i="2" s="1"/>
  <c r="M1793" i="2"/>
  <c r="Q1793" i="2" s="1"/>
  <c r="U1793" i="2" l="1"/>
  <c r="X1793" i="2" s="1"/>
  <c r="F1794" i="2" s="1"/>
  <c r="T1793" i="2"/>
  <c r="V1793" i="2"/>
  <c r="Y1793" i="2" s="1"/>
  <c r="G1794" i="2" s="1"/>
  <c r="W1793" i="2"/>
  <c r="E1794" i="2" s="1"/>
  <c r="D1794" i="2" l="1"/>
  <c r="C1794" i="2"/>
  <c r="H1794" i="2"/>
  <c r="M1794" i="2" s="1"/>
  <c r="B1794" i="2"/>
  <c r="L1794" i="2" l="1"/>
  <c r="J1794" i="2"/>
  <c r="K1794" i="2"/>
  <c r="I1794" i="2"/>
  <c r="S1794" i="2"/>
  <c r="N1794" i="2"/>
  <c r="O1794" i="2" s="1"/>
  <c r="P1794" i="2" l="1"/>
  <c r="Q1794" i="2"/>
  <c r="U1794" i="2" s="1"/>
  <c r="X1794" i="2" s="1"/>
  <c r="F1795" i="2" s="1"/>
  <c r="R1794" i="2"/>
  <c r="V1794" i="2" s="1"/>
  <c r="Y1794" i="2" s="1"/>
  <c r="G1795" i="2" s="1"/>
  <c r="T1794" i="2"/>
  <c r="W1794" i="2"/>
  <c r="E1795" i="2" s="1"/>
  <c r="C1795" i="2" l="1"/>
  <c r="D1795" i="2"/>
  <c r="H1795" i="2"/>
  <c r="M1795" i="2" s="1"/>
  <c r="B1795" i="2"/>
  <c r="L1795" i="2" l="1"/>
  <c r="N1795" i="2"/>
  <c r="O1795" i="2" s="1"/>
  <c r="K1795" i="2"/>
  <c r="I1795" i="2"/>
  <c r="S1795" i="2"/>
  <c r="J1795" i="2"/>
  <c r="P1795" i="2" l="1"/>
  <c r="T1795" i="2" s="1"/>
  <c r="W1795" i="2" s="1"/>
  <c r="E1796" i="2" s="1"/>
  <c r="R1795" i="2"/>
  <c r="V1795" i="2" s="1"/>
  <c r="Y1795" i="2" s="1"/>
  <c r="G1796" i="2" s="1"/>
  <c r="Q1795" i="2"/>
  <c r="U1795" i="2" s="1"/>
  <c r="X1795" i="2" s="1"/>
  <c r="F1796" i="2" s="1"/>
  <c r="D1796" i="2" l="1"/>
  <c r="C1796" i="2"/>
  <c r="H1796" i="2"/>
  <c r="M1796" i="2" s="1"/>
  <c r="B1796" i="2"/>
  <c r="K1796" i="2" l="1"/>
  <c r="S1796" i="2"/>
  <c r="I1796" i="2"/>
  <c r="J1796" i="2"/>
  <c r="L1796" i="2"/>
  <c r="N1796" i="2"/>
  <c r="O1796" i="2" s="1"/>
  <c r="P1796" i="2" l="1"/>
  <c r="Q1796" i="2"/>
  <c r="R1796" i="2"/>
  <c r="U1796" i="2"/>
  <c r="T1796" i="2"/>
  <c r="W1796" i="2" s="1"/>
  <c r="E1797" i="2" s="1"/>
  <c r="V1796" i="2"/>
  <c r="X1796" i="2"/>
  <c r="F1797" i="2" s="1"/>
  <c r="Y1796" i="2"/>
  <c r="G1797" i="2" s="1"/>
  <c r="H1797" i="2" l="1"/>
  <c r="L1797" i="2" s="1"/>
  <c r="B1797" i="2"/>
  <c r="M1797" i="2"/>
  <c r="C1797" i="2"/>
  <c r="N1797" i="2"/>
  <c r="O1797" i="2" s="1"/>
  <c r="D1797" i="2"/>
  <c r="P1797" i="2" l="1"/>
  <c r="Q1797" i="2"/>
  <c r="R1797" i="2"/>
  <c r="K1797" i="2"/>
  <c r="I1797" i="2"/>
  <c r="J1797" i="2"/>
  <c r="S1797" i="2"/>
  <c r="U1797" i="2" l="1"/>
  <c r="X1797" i="2" s="1"/>
  <c r="F1798" i="2" s="1"/>
  <c r="T1797" i="2"/>
  <c r="W1797" i="2" s="1"/>
  <c r="E1798" i="2" s="1"/>
  <c r="V1797" i="2"/>
  <c r="Y1797" i="2"/>
  <c r="G1798" i="2" s="1"/>
  <c r="C1798" i="2" l="1"/>
  <c r="D1798" i="2"/>
  <c r="H1798" i="2"/>
  <c r="B1798" i="2"/>
  <c r="I1798" i="2" l="1"/>
  <c r="K1798" i="2"/>
  <c r="J1798" i="2"/>
  <c r="S1798" i="2"/>
  <c r="L1798" i="2"/>
  <c r="N1798" i="2"/>
  <c r="O1798" i="2" s="1"/>
  <c r="M1798" i="2"/>
  <c r="P1798" i="2" l="1"/>
  <c r="T1798" i="2" s="1"/>
  <c r="W1798" i="2" s="1"/>
  <c r="E1799" i="2" s="1"/>
  <c r="Q1798" i="2"/>
  <c r="U1798" i="2" s="1"/>
  <c r="X1798" i="2" s="1"/>
  <c r="F1799" i="2" s="1"/>
  <c r="R1798" i="2"/>
  <c r="V1798" i="2" s="1"/>
  <c r="Y1798" i="2" s="1"/>
  <c r="G1799" i="2" s="1"/>
  <c r="D1799" i="2" l="1"/>
  <c r="C1799" i="2"/>
  <c r="H1799" i="2"/>
  <c r="B1799" i="2"/>
  <c r="J1799" i="2" l="1"/>
  <c r="K1799" i="2"/>
  <c r="S1799" i="2"/>
  <c r="I1799" i="2"/>
  <c r="L1799" i="2"/>
  <c r="M1799" i="2"/>
  <c r="N1799" i="2"/>
  <c r="O1799" i="2" s="1"/>
  <c r="P1799" i="2" l="1"/>
  <c r="T1799" i="2" s="1"/>
  <c r="W1799" i="2" s="1"/>
  <c r="E1800" i="2" s="1"/>
  <c r="R1799" i="2"/>
  <c r="V1799" i="2" s="1"/>
  <c r="Y1799" i="2" s="1"/>
  <c r="G1800" i="2" s="1"/>
  <c r="Q1799" i="2"/>
  <c r="U1799" i="2" s="1"/>
  <c r="X1799" i="2" s="1"/>
  <c r="F1800" i="2" s="1"/>
  <c r="C1800" i="2" l="1"/>
  <c r="D1800" i="2"/>
  <c r="H1800" i="2"/>
  <c r="N1800" i="2" s="1"/>
  <c r="O1800" i="2" s="1"/>
  <c r="B1800" i="2"/>
  <c r="R1800" i="2" l="1"/>
  <c r="L1800" i="2"/>
  <c r="P1800" i="2" s="1"/>
  <c r="I1800" i="2"/>
  <c r="K1800" i="2"/>
  <c r="J1800" i="2"/>
  <c r="S1800" i="2"/>
  <c r="M1800" i="2"/>
  <c r="Q1800" i="2" s="1"/>
  <c r="V1800" i="2" l="1"/>
  <c r="U1800" i="2"/>
  <c r="T1800" i="2"/>
  <c r="Y1800" i="2"/>
  <c r="G1801" i="2" s="1"/>
  <c r="X1800" i="2"/>
  <c r="F1801" i="2" s="1"/>
  <c r="W1800" i="2"/>
  <c r="E1801" i="2" s="1"/>
  <c r="H1801" i="2" l="1"/>
  <c r="B1801" i="2"/>
  <c r="M1801" i="2"/>
  <c r="C1801" i="2"/>
  <c r="N1801" i="2"/>
  <c r="O1801" i="2" s="1"/>
  <c r="D1801" i="2"/>
  <c r="R1801" i="2" l="1"/>
  <c r="Q1801" i="2"/>
  <c r="J1801" i="2"/>
  <c r="I1801" i="2"/>
  <c r="S1801" i="2"/>
  <c r="K1801" i="2"/>
  <c r="L1801" i="2"/>
  <c r="P1801" i="2" s="1"/>
  <c r="V1801" i="2" l="1"/>
  <c r="Y1801" i="2" s="1"/>
  <c r="G1802" i="2" s="1"/>
  <c r="U1801" i="2"/>
  <c r="X1801" i="2" s="1"/>
  <c r="F1802" i="2" s="1"/>
  <c r="T1801" i="2"/>
  <c r="W1801" i="2" s="1"/>
  <c r="E1802" i="2" s="1"/>
  <c r="C1802" i="2" l="1"/>
  <c r="D1802" i="2"/>
  <c r="H1802" i="2"/>
  <c r="L1802" i="2" s="1"/>
  <c r="B1802" i="2"/>
  <c r="K1802" i="2" l="1"/>
  <c r="J1802" i="2"/>
  <c r="I1802" i="2"/>
  <c r="S1802" i="2"/>
  <c r="N1802" i="2"/>
  <c r="O1802" i="2" s="1"/>
  <c r="M1802" i="2"/>
  <c r="P1802" i="2" l="1"/>
  <c r="R1802" i="2"/>
  <c r="V1802" i="2" s="1"/>
  <c r="Y1802" i="2" s="1"/>
  <c r="G1803" i="2" s="1"/>
  <c r="Q1802" i="2"/>
  <c r="U1802" i="2" s="1"/>
  <c r="X1802" i="2" s="1"/>
  <c r="F1803" i="2" s="1"/>
  <c r="T1802" i="2"/>
  <c r="W1802" i="2" s="1"/>
  <c r="E1803" i="2" s="1"/>
  <c r="H1803" i="2" l="1"/>
  <c r="B1803" i="2"/>
  <c r="N1803" i="2"/>
  <c r="O1803" i="2" s="1"/>
  <c r="D1803" i="2"/>
  <c r="M1803" i="2"/>
  <c r="C1803" i="2"/>
  <c r="R1803" i="2" l="1"/>
  <c r="Q1803" i="2"/>
  <c r="K1803" i="2"/>
  <c r="J1803" i="2"/>
  <c r="I1803" i="2"/>
  <c r="S1803" i="2"/>
  <c r="L1803" i="2"/>
  <c r="P1803" i="2" s="1"/>
  <c r="V1803" i="2" l="1"/>
  <c r="U1803" i="2"/>
  <c r="T1803" i="2"/>
  <c r="W1803" i="2" s="1"/>
  <c r="E1804" i="2" s="1"/>
  <c r="X1803" i="2"/>
  <c r="F1804" i="2" s="1"/>
  <c r="Y1803" i="2"/>
  <c r="G1804" i="2" s="1"/>
  <c r="H1804" i="2" l="1"/>
  <c r="B1804" i="2"/>
  <c r="N1804" i="2"/>
  <c r="O1804" i="2" s="1"/>
  <c r="D1804" i="2"/>
  <c r="M1804" i="2"/>
  <c r="C1804" i="2"/>
  <c r="R1804" i="2" l="1"/>
  <c r="Q1804" i="2"/>
  <c r="J1804" i="2"/>
  <c r="K1804" i="2"/>
  <c r="I1804" i="2"/>
  <c r="S1804" i="2"/>
  <c r="L1804" i="2"/>
  <c r="P1804" i="2" s="1"/>
  <c r="V1804" i="2" l="1"/>
  <c r="U1804" i="2"/>
  <c r="T1804" i="2"/>
  <c r="Y1804" i="2"/>
  <c r="G1805" i="2" s="1"/>
  <c r="W1804" i="2"/>
  <c r="E1805" i="2" s="1"/>
  <c r="X1804" i="2"/>
  <c r="F1805" i="2" s="1"/>
  <c r="D1805" i="2" l="1"/>
  <c r="C1805" i="2"/>
  <c r="H1805" i="2"/>
  <c r="N1805" i="2" s="1"/>
  <c r="O1805" i="2" s="1"/>
  <c r="B1805" i="2"/>
  <c r="R1805" i="2" l="1"/>
  <c r="J1805" i="2"/>
  <c r="I1805" i="2"/>
  <c r="K1805" i="2"/>
  <c r="S1805" i="2"/>
  <c r="L1805" i="2"/>
  <c r="P1805" i="2" s="1"/>
  <c r="M1805" i="2"/>
  <c r="Q1805" i="2" s="1"/>
  <c r="V1805" i="2" l="1"/>
  <c r="Y1805" i="2" s="1"/>
  <c r="G1806" i="2" s="1"/>
  <c r="U1805" i="2"/>
  <c r="T1805" i="2"/>
  <c r="W1805" i="2" s="1"/>
  <c r="E1806" i="2" s="1"/>
  <c r="X1805" i="2"/>
  <c r="F1806" i="2" s="1"/>
  <c r="H1806" i="2" l="1"/>
  <c r="M1806" i="2" s="1"/>
  <c r="B1806" i="2"/>
  <c r="C1806" i="2"/>
  <c r="D1806" i="2"/>
  <c r="N1806" i="2" l="1"/>
  <c r="O1806" i="2" s="1"/>
  <c r="R1806" i="2"/>
  <c r="Q1806" i="2"/>
  <c r="K1806" i="2"/>
  <c r="J1806" i="2"/>
  <c r="S1806" i="2"/>
  <c r="I1806" i="2"/>
  <c r="L1806" i="2"/>
  <c r="P1806" i="2" s="1"/>
  <c r="V1806" i="2" l="1"/>
  <c r="T1806" i="2"/>
  <c r="W1806" i="2" s="1"/>
  <c r="E1807" i="2" s="1"/>
  <c r="U1806" i="2"/>
  <c r="X1806" i="2" s="1"/>
  <c r="F1807" i="2" s="1"/>
  <c r="Y1806" i="2"/>
  <c r="G1807" i="2" s="1"/>
  <c r="C1807" i="2" l="1"/>
  <c r="H1807" i="2"/>
  <c r="L1807" i="2" s="1"/>
  <c r="B1807" i="2"/>
  <c r="D1807" i="2"/>
  <c r="N1807" i="2" l="1"/>
  <c r="O1807" i="2" s="1"/>
  <c r="P1807" i="2"/>
  <c r="R1807" i="2"/>
  <c r="I1807" i="2"/>
  <c r="J1807" i="2"/>
  <c r="K1807" i="2"/>
  <c r="S1807" i="2"/>
  <c r="M1807" i="2"/>
  <c r="Q1807" i="2" s="1"/>
  <c r="V1807" i="2" l="1"/>
  <c r="U1807" i="2"/>
  <c r="X1807" i="2" s="1"/>
  <c r="F1808" i="2" s="1"/>
  <c r="T1807" i="2"/>
  <c r="Y1807" i="2"/>
  <c r="G1808" i="2" s="1"/>
  <c r="W1807" i="2"/>
  <c r="E1808" i="2" s="1"/>
  <c r="C1808" i="2" l="1"/>
  <c r="H1808" i="2"/>
  <c r="B1808" i="2"/>
  <c r="D1808" i="2"/>
  <c r="J1808" i="2" l="1"/>
  <c r="K1808" i="2"/>
  <c r="I1808" i="2"/>
  <c r="S1808" i="2"/>
  <c r="L1808" i="2"/>
  <c r="M1808" i="2"/>
  <c r="N1808" i="2"/>
  <c r="O1808" i="2" s="1"/>
  <c r="P1808" i="2" l="1"/>
  <c r="T1808" i="2" s="1"/>
  <c r="W1808" i="2" s="1"/>
  <c r="E1809" i="2" s="1"/>
  <c r="R1808" i="2"/>
  <c r="V1808" i="2" s="1"/>
  <c r="Y1808" i="2" s="1"/>
  <c r="G1809" i="2" s="1"/>
  <c r="Q1808" i="2"/>
  <c r="U1808" i="2" s="1"/>
  <c r="X1808" i="2" s="1"/>
  <c r="F1809" i="2" s="1"/>
  <c r="D1809" i="2" l="1"/>
  <c r="C1809" i="2"/>
  <c r="H1809" i="2"/>
  <c r="M1809" i="2" s="1"/>
  <c r="B1809" i="2"/>
  <c r="J1809" i="2" l="1"/>
  <c r="K1809" i="2"/>
  <c r="I1809" i="2"/>
  <c r="S1809" i="2"/>
  <c r="L1809" i="2"/>
  <c r="N1809" i="2"/>
  <c r="O1809" i="2" s="1"/>
  <c r="P1809" i="2" l="1"/>
  <c r="R1809" i="2"/>
  <c r="Q1809" i="2"/>
  <c r="V1809" i="2"/>
  <c r="Y1809" i="2" s="1"/>
  <c r="G1810" i="2" s="1"/>
  <c r="U1809" i="2"/>
  <c r="T1809" i="2"/>
  <c r="W1809" i="2" s="1"/>
  <c r="E1810" i="2" s="1"/>
  <c r="X1809" i="2"/>
  <c r="F1810" i="2" s="1"/>
  <c r="D1810" i="2" l="1"/>
  <c r="C1810" i="2"/>
  <c r="H1810" i="2"/>
  <c r="B1810" i="2"/>
  <c r="K1810" i="2" l="1"/>
  <c r="J1810" i="2"/>
  <c r="I1810" i="2"/>
  <c r="S1810" i="2"/>
  <c r="L1810" i="2"/>
  <c r="M1810" i="2"/>
  <c r="N1810" i="2"/>
  <c r="O1810" i="2" s="1"/>
  <c r="P1810" i="2" l="1"/>
  <c r="R1810" i="2"/>
  <c r="V1810" i="2" s="1"/>
  <c r="Y1810" i="2" s="1"/>
  <c r="G1811" i="2" s="1"/>
  <c r="Q1810" i="2"/>
  <c r="U1810" i="2" s="1"/>
  <c r="X1810" i="2" s="1"/>
  <c r="F1811" i="2" s="1"/>
  <c r="T1810" i="2"/>
  <c r="W1810" i="2" s="1"/>
  <c r="E1811" i="2" s="1"/>
  <c r="C1811" i="2" l="1"/>
  <c r="D1811" i="2"/>
  <c r="H1811" i="2"/>
  <c r="B1811" i="2"/>
  <c r="J1811" i="2" l="1"/>
  <c r="K1811" i="2"/>
  <c r="I1811" i="2"/>
  <c r="S1811" i="2"/>
  <c r="L1811" i="2"/>
  <c r="N1811" i="2"/>
  <c r="O1811" i="2" s="1"/>
  <c r="M1811" i="2"/>
  <c r="P1811" i="2" l="1"/>
  <c r="R1811" i="2"/>
  <c r="V1811" i="2" s="1"/>
  <c r="Y1811" i="2" s="1"/>
  <c r="G1812" i="2" s="1"/>
  <c r="Q1811" i="2"/>
  <c r="U1811" i="2" s="1"/>
  <c r="X1811" i="2" s="1"/>
  <c r="F1812" i="2" s="1"/>
  <c r="T1811" i="2"/>
  <c r="W1811" i="2" s="1"/>
  <c r="E1812" i="2" s="1"/>
  <c r="D1812" i="2" l="1"/>
  <c r="H1812" i="2"/>
  <c r="M1812" i="2" s="1"/>
  <c r="B1812" i="2"/>
  <c r="C1812" i="2"/>
  <c r="K1812" i="2" l="1"/>
  <c r="I1812" i="2"/>
  <c r="J1812" i="2"/>
  <c r="S1812" i="2"/>
  <c r="L1812" i="2"/>
  <c r="N1812" i="2"/>
  <c r="O1812" i="2" s="1"/>
  <c r="P1812" i="2" l="1"/>
  <c r="R1812" i="2"/>
  <c r="Q1812" i="2"/>
  <c r="U1812" i="2" s="1"/>
  <c r="X1812" i="2" s="1"/>
  <c r="F1813" i="2" s="1"/>
  <c r="V1812" i="2"/>
  <c r="T1812" i="2"/>
  <c r="W1812" i="2" s="1"/>
  <c r="E1813" i="2" s="1"/>
  <c r="Y1812" i="2"/>
  <c r="G1813" i="2" s="1"/>
  <c r="H1813" i="2" l="1"/>
  <c r="B1813" i="2"/>
  <c r="M1813" i="2"/>
  <c r="C1813" i="2"/>
  <c r="N1813" i="2"/>
  <c r="O1813" i="2" s="1"/>
  <c r="D1813" i="2"/>
  <c r="R1813" i="2" l="1"/>
  <c r="Q1813" i="2"/>
  <c r="J1813" i="2"/>
  <c r="K1813" i="2"/>
  <c r="I1813" i="2"/>
  <c r="S1813" i="2"/>
  <c r="L1813" i="2"/>
  <c r="P1813" i="2" s="1"/>
  <c r="V1813" i="2" l="1"/>
  <c r="Y1813" i="2" s="1"/>
  <c r="G1814" i="2" s="1"/>
  <c r="U1813" i="2"/>
  <c r="T1813" i="2"/>
  <c r="W1813" i="2" s="1"/>
  <c r="E1814" i="2" s="1"/>
  <c r="X1813" i="2"/>
  <c r="F1814" i="2" s="1"/>
  <c r="H1814" i="2" l="1"/>
  <c r="B1814" i="2"/>
  <c r="N1814" i="2"/>
  <c r="O1814" i="2" s="1"/>
  <c r="D1814" i="2"/>
  <c r="M1814" i="2"/>
  <c r="C1814" i="2"/>
  <c r="R1814" i="2" l="1"/>
  <c r="Q1814" i="2"/>
  <c r="K1814" i="2"/>
  <c r="I1814" i="2"/>
  <c r="J1814" i="2"/>
  <c r="S1814" i="2"/>
  <c r="L1814" i="2"/>
  <c r="P1814" i="2" s="1"/>
  <c r="V1814" i="2" l="1"/>
  <c r="T1814" i="2"/>
  <c r="U1814" i="2"/>
  <c r="X1814" i="2" s="1"/>
  <c r="F1815" i="2" s="1"/>
  <c r="Y1814" i="2"/>
  <c r="G1815" i="2" s="1"/>
  <c r="W1814" i="2"/>
  <c r="E1815" i="2" s="1"/>
  <c r="C1815" i="2" l="1"/>
  <c r="H1815" i="2"/>
  <c r="B1815" i="2"/>
  <c r="D1815" i="2"/>
  <c r="I1815" i="2" l="1"/>
  <c r="J1815" i="2"/>
  <c r="S1815" i="2"/>
  <c r="K1815" i="2"/>
  <c r="L1815" i="2"/>
  <c r="N1815" i="2"/>
  <c r="O1815" i="2" s="1"/>
  <c r="M1815" i="2"/>
  <c r="P1815" i="2" l="1"/>
  <c r="R1815" i="2"/>
  <c r="Q1815" i="2"/>
  <c r="U1815" i="2" s="1"/>
  <c r="X1815" i="2" s="1"/>
  <c r="F1816" i="2" s="1"/>
  <c r="V1815" i="2"/>
  <c r="Y1815" i="2" s="1"/>
  <c r="G1816" i="2" s="1"/>
  <c r="T1815" i="2"/>
  <c r="W1815" i="2" s="1"/>
  <c r="E1816" i="2" s="1"/>
  <c r="D1816" i="2" l="1"/>
  <c r="H1816" i="2"/>
  <c r="L1816" i="2" s="1"/>
  <c r="B1816" i="2"/>
  <c r="C1816" i="2"/>
  <c r="M1816" i="2" l="1"/>
  <c r="K1816" i="2"/>
  <c r="J1816" i="2"/>
  <c r="I1816" i="2"/>
  <c r="S1816" i="2"/>
  <c r="N1816" i="2"/>
  <c r="O1816" i="2" s="1"/>
  <c r="P1816" i="2" l="1"/>
  <c r="T1816" i="2" s="1"/>
  <c r="W1816" i="2" s="1"/>
  <c r="E1817" i="2" s="1"/>
  <c r="R1816" i="2"/>
  <c r="V1816" i="2" s="1"/>
  <c r="Y1816" i="2" s="1"/>
  <c r="G1817" i="2" s="1"/>
  <c r="Q1816" i="2"/>
  <c r="U1816" i="2" s="1"/>
  <c r="X1816" i="2" s="1"/>
  <c r="F1817" i="2" s="1"/>
  <c r="D1817" i="2" l="1"/>
  <c r="C1817" i="2"/>
  <c r="H1817" i="2"/>
  <c r="B1817" i="2"/>
  <c r="K1817" i="2" l="1"/>
  <c r="J1817" i="2"/>
  <c r="I1817" i="2"/>
  <c r="S1817" i="2"/>
  <c r="L1817" i="2"/>
  <c r="M1817" i="2"/>
  <c r="N1817" i="2"/>
  <c r="O1817" i="2" s="1"/>
  <c r="P1817" i="2" l="1"/>
  <c r="R1817" i="2"/>
  <c r="V1817" i="2" s="1"/>
  <c r="Y1817" i="2" s="1"/>
  <c r="G1818" i="2" s="1"/>
  <c r="Q1817" i="2"/>
  <c r="U1817" i="2" s="1"/>
  <c r="X1817" i="2" s="1"/>
  <c r="F1818" i="2" s="1"/>
  <c r="T1817" i="2"/>
  <c r="W1817" i="2" s="1"/>
  <c r="E1818" i="2" s="1"/>
  <c r="C1818" i="2" l="1"/>
  <c r="D1818" i="2"/>
  <c r="H1818" i="2"/>
  <c r="B1818" i="2"/>
  <c r="J1818" i="2" l="1"/>
  <c r="I1818" i="2"/>
  <c r="K1818" i="2"/>
  <c r="S1818" i="2"/>
  <c r="L1818" i="2"/>
  <c r="N1818" i="2"/>
  <c r="O1818" i="2" s="1"/>
  <c r="M1818" i="2"/>
  <c r="P1818" i="2" l="1"/>
  <c r="R1818" i="2"/>
  <c r="Q1818" i="2"/>
  <c r="U1818" i="2" s="1"/>
  <c r="X1818" i="2" s="1"/>
  <c r="F1819" i="2" s="1"/>
  <c r="T1818" i="2"/>
  <c r="W1818" i="2" s="1"/>
  <c r="E1819" i="2" s="1"/>
  <c r="V1818" i="2"/>
  <c r="Y1818" i="2"/>
  <c r="G1819" i="2" s="1"/>
  <c r="C1819" i="2" l="1"/>
  <c r="H1819" i="2"/>
  <c r="L1819" i="2" s="1"/>
  <c r="B1819" i="2"/>
  <c r="D1819" i="2"/>
  <c r="N1819" i="2" l="1"/>
  <c r="O1819" i="2" s="1"/>
  <c r="P1819" i="2"/>
  <c r="R1819" i="2"/>
  <c r="I1819" i="2"/>
  <c r="K1819" i="2"/>
  <c r="J1819" i="2"/>
  <c r="S1819" i="2"/>
  <c r="M1819" i="2"/>
  <c r="Q1819" i="2" s="1"/>
  <c r="V1819" i="2" l="1"/>
  <c r="Y1819" i="2" s="1"/>
  <c r="G1820" i="2" s="1"/>
  <c r="U1819" i="2"/>
  <c r="T1819" i="2"/>
  <c r="W1819" i="2" s="1"/>
  <c r="E1820" i="2" s="1"/>
  <c r="X1819" i="2"/>
  <c r="F1820" i="2" s="1"/>
  <c r="H1820" i="2" l="1"/>
  <c r="B1820" i="2"/>
  <c r="N1820" i="2"/>
  <c r="O1820" i="2" s="1"/>
  <c r="D1820" i="2"/>
  <c r="M1820" i="2"/>
  <c r="C1820" i="2"/>
  <c r="R1820" i="2" l="1"/>
  <c r="Q1820" i="2"/>
  <c r="K1820" i="2"/>
  <c r="J1820" i="2"/>
  <c r="I1820" i="2"/>
  <c r="S1820" i="2"/>
  <c r="L1820" i="2"/>
  <c r="P1820" i="2" s="1"/>
  <c r="V1820" i="2" l="1"/>
  <c r="Y1820" i="2" s="1"/>
  <c r="G1821" i="2" s="1"/>
  <c r="T1820" i="2"/>
  <c r="W1820" i="2" s="1"/>
  <c r="E1821" i="2" s="1"/>
  <c r="U1820" i="2"/>
  <c r="X1820" i="2" s="1"/>
  <c r="F1821" i="2" s="1"/>
  <c r="H1821" i="2" l="1"/>
  <c r="B1821" i="2"/>
  <c r="N1821" i="2"/>
  <c r="O1821" i="2" s="1"/>
  <c r="D1821" i="2"/>
  <c r="M1821" i="2"/>
  <c r="C1821" i="2"/>
  <c r="R1821" i="2" l="1"/>
  <c r="Q1821" i="2"/>
  <c r="I1821" i="2"/>
  <c r="K1821" i="2"/>
  <c r="J1821" i="2"/>
  <c r="S1821" i="2"/>
  <c r="L1821" i="2"/>
  <c r="P1821" i="2" s="1"/>
  <c r="T1821" i="2" l="1"/>
  <c r="V1821" i="2"/>
  <c r="U1821" i="2"/>
  <c r="X1821" i="2" s="1"/>
  <c r="F1822" i="2" s="1"/>
  <c r="W1821" i="2"/>
  <c r="E1822" i="2" s="1"/>
  <c r="Y1821" i="2"/>
  <c r="G1822" i="2" s="1"/>
  <c r="C1822" i="2" l="1"/>
  <c r="D1822" i="2"/>
  <c r="H1822" i="2"/>
  <c r="L1822" i="2" s="1"/>
  <c r="B1822" i="2"/>
  <c r="K1822" i="2" l="1"/>
  <c r="J1822" i="2"/>
  <c r="I1822" i="2"/>
  <c r="S1822" i="2"/>
  <c r="N1822" i="2"/>
  <c r="O1822" i="2" s="1"/>
  <c r="M1822" i="2"/>
  <c r="P1822" i="2" l="1"/>
  <c r="R1822" i="2"/>
  <c r="V1822" i="2" s="1"/>
  <c r="Y1822" i="2" s="1"/>
  <c r="G1823" i="2" s="1"/>
  <c r="Q1822" i="2"/>
  <c r="U1822" i="2" s="1"/>
  <c r="X1822" i="2" s="1"/>
  <c r="F1823" i="2" s="1"/>
  <c r="T1822" i="2"/>
  <c r="W1822" i="2" s="1"/>
  <c r="E1823" i="2" s="1"/>
  <c r="C1823" i="2" l="1"/>
  <c r="D1823" i="2"/>
  <c r="H1823" i="2"/>
  <c r="B1823" i="2"/>
  <c r="I1823" i="2" l="1"/>
  <c r="J1823" i="2"/>
  <c r="K1823" i="2"/>
  <c r="S1823" i="2"/>
  <c r="L1823" i="2"/>
  <c r="N1823" i="2"/>
  <c r="O1823" i="2" s="1"/>
  <c r="M1823" i="2"/>
  <c r="P1823" i="2" l="1"/>
  <c r="T1823" i="2" s="1"/>
  <c r="W1823" i="2" s="1"/>
  <c r="E1824" i="2" s="1"/>
  <c r="R1823" i="2"/>
  <c r="Q1823" i="2"/>
  <c r="U1823" i="2" s="1"/>
  <c r="X1823" i="2" s="1"/>
  <c r="F1824" i="2" s="1"/>
  <c r="V1823" i="2"/>
  <c r="Y1823" i="2" s="1"/>
  <c r="G1824" i="2" s="1"/>
  <c r="C1824" i="2" l="1"/>
  <c r="D1824" i="2"/>
  <c r="H1824" i="2"/>
  <c r="N1824" i="2" s="1"/>
  <c r="O1824" i="2" s="1"/>
  <c r="B1824" i="2"/>
  <c r="R1824" i="2" l="1"/>
  <c r="L1824" i="2"/>
  <c r="P1824" i="2" s="1"/>
  <c r="K1824" i="2"/>
  <c r="J1824" i="2"/>
  <c r="I1824" i="2"/>
  <c r="S1824" i="2"/>
  <c r="M1824" i="2"/>
  <c r="Q1824" i="2" s="1"/>
  <c r="T1824" i="2" l="1"/>
  <c r="W1824" i="2" s="1"/>
  <c r="E1825" i="2" s="1"/>
  <c r="V1824" i="2"/>
  <c r="U1824" i="2"/>
  <c r="X1824" i="2" s="1"/>
  <c r="F1825" i="2" s="1"/>
  <c r="Y1824" i="2"/>
  <c r="G1825" i="2" s="1"/>
  <c r="C1825" i="2" l="1"/>
  <c r="H1825" i="2"/>
  <c r="B1825" i="2"/>
  <c r="D1825" i="2"/>
  <c r="K1825" i="2" l="1"/>
  <c r="I1825" i="2"/>
  <c r="J1825" i="2"/>
  <c r="S1825" i="2"/>
  <c r="L1825" i="2"/>
  <c r="N1825" i="2"/>
  <c r="O1825" i="2" s="1"/>
  <c r="M1825" i="2"/>
  <c r="P1825" i="2" l="1"/>
  <c r="R1825" i="2"/>
  <c r="V1825" i="2" s="1"/>
  <c r="Y1825" i="2" s="1"/>
  <c r="G1826" i="2" s="1"/>
  <c r="Q1825" i="2"/>
  <c r="U1825" i="2" s="1"/>
  <c r="X1825" i="2" s="1"/>
  <c r="F1826" i="2" s="1"/>
  <c r="T1825" i="2"/>
  <c r="W1825" i="2" s="1"/>
  <c r="E1826" i="2" s="1"/>
  <c r="H1826" i="2" l="1"/>
  <c r="B1826" i="2"/>
  <c r="N1826" i="2"/>
  <c r="O1826" i="2" s="1"/>
  <c r="D1826" i="2"/>
  <c r="M1826" i="2"/>
  <c r="C1826" i="2"/>
  <c r="R1826" i="2" l="1"/>
  <c r="Q1826" i="2"/>
  <c r="K1826" i="2"/>
  <c r="I1826" i="2"/>
  <c r="J1826" i="2"/>
  <c r="S1826" i="2"/>
  <c r="L1826" i="2"/>
  <c r="P1826" i="2" s="1"/>
  <c r="V1826" i="2" l="1"/>
  <c r="U1826" i="2"/>
  <c r="X1826" i="2" s="1"/>
  <c r="F1827" i="2" s="1"/>
  <c r="T1826" i="2"/>
  <c r="W1826" i="2" s="1"/>
  <c r="E1827" i="2" s="1"/>
  <c r="Y1826" i="2"/>
  <c r="G1827" i="2" s="1"/>
  <c r="C1827" i="2" l="1"/>
  <c r="D1827" i="2"/>
  <c r="H1827" i="2"/>
  <c r="B1827" i="2"/>
  <c r="I1827" i="2" l="1"/>
  <c r="J1827" i="2"/>
  <c r="S1827" i="2"/>
  <c r="K1827" i="2"/>
  <c r="L1827" i="2"/>
  <c r="N1827" i="2"/>
  <c r="O1827" i="2" s="1"/>
  <c r="M1827" i="2"/>
  <c r="R1827" i="2" l="1"/>
  <c r="V1827" i="2" s="1"/>
  <c r="Y1827" i="2" s="1"/>
  <c r="G1828" i="2" s="1"/>
  <c r="P1827" i="2"/>
  <c r="T1827" i="2" s="1"/>
  <c r="W1827" i="2" s="1"/>
  <c r="E1828" i="2" s="1"/>
  <c r="Q1827" i="2"/>
  <c r="U1827" i="2" s="1"/>
  <c r="X1827" i="2" s="1"/>
  <c r="F1828" i="2" s="1"/>
  <c r="D1828" i="2" l="1"/>
  <c r="C1828" i="2"/>
  <c r="H1828" i="2"/>
  <c r="L1828" i="2" s="1"/>
  <c r="B1828" i="2"/>
  <c r="I1828" i="2" l="1"/>
  <c r="J1828" i="2"/>
  <c r="S1828" i="2"/>
  <c r="K1828" i="2"/>
  <c r="M1828" i="2"/>
  <c r="N1828" i="2"/>
  <c r="O1828" i="2" s="1"/>
  <c r="R1828" i="2" l="1"/>
  <c r="Q1828" i="2"/>
  <c r="P1828" i="2"/>
  <c r="V1828" i="2"/>
  <c r="Y1828" i="2" s="1"/>
  <c r="G1829" i="2" s="1"/>
  <c r="U1828" i="2"/>
  <c r="T1828" i="2"/>
  <c r="X1828" i="2"/>
  <c r="F1829" i="2" s="1"/>
  <c r="W1828" i="2"/>
  <c r="E1829" i="2" s="1"/>
  <c r="D1829" i="2" l="1"/>
  <c r="C1829" i="2"/>
  <c r="H1829" i="2"/>
  <c r="N1829" i="2" s="1"/>
  <c r="O1829" i="2" s="1"/>
  <c r="B1829" i="2"/>
  <c r="R1829" i="2" l="1"/>
  <c r="M1829" i="2"/>
  <c r="Q1829" i="2" s="1"/>
  <c r="J1829" i="2"/>
  <c r="I1829" i="2"/>
  <c r="K1829" i="2"/>
  <c r="S1829" i="2"/>
  <c r="L1829" i="2"/>
  <c r="P1829" i="2" s="1"/>
  <c r="V1829" i="2" l="1"/>
  <c r="Y1829" i="2" s="1"/>
  <c r="G1830" i="2" s="1"/>
  <c r="T1829" i="2"/>
  <c r="U1829" i="2"/>
  <c r="X1829" i="2" s="1"/>
  <c r="F1830" i="2" s="1"/>
  <c r="W1829" i="2"/>
  <c r="E1830" i="2" s="1"/>
  <c r="D1830" i="2" l="1"/>
  <c r="C1830" i="2"/>
  <c r="H1830" i="2"/>
  <c r="M1830" i="2" s="1"/>
  <c r="B1830" i="2"/>
  <c r="K1830" i="2" l="1"/>
  <c r="I1830" i="2"/>
  <c r="J1830" i="2"/>
  <c r="S1830" i="2"/>
  <c r="L1830" i="2"/>
  <c r="N1830" i="2"/>
  <c r="O1830" i="2" s="1"/>
  <c r="Q1830" i="2" l="1"/>
  <c r="P1830" i="2"/>
  <c r="R1830" i="2"/>
  <c r="V1830" i="2" s="1"/>
  <c r="Y1830" i="2" s="1"/>
  <c r="G1831" i="2" s="1"/>
  <c r="U1830" i="2"/>
  <c r="T1830" i="2"/>
  <c r="W1830" i="2" s="1"/>
  <c r="E1831" i="2" s="1"/>
  <c r="X1830" i="2"/>
  <c r="F1831" i="2" s="1"/>
  <c r="H1831" i="2" l="1"/>
  <c r="B1831" i="2"/>
  <c r="M1831" i="2"/>
  <c r="C1831" i="2"/>
  <c r="N1831" i="2"/>
  <c r="O1831" i="2" s="1"/>
  <c r="D1831" i="2"/>
  <c r="Q1831" i="2" l="1"/>
  <c r="R1831" i="2"/>
  <c r="K1831" i="2"/>
  <c r="J1831" i="2"/>
  <c r="I1831" i="2"/>
  <c r="S1831" i="2"/>
  <c r="L1831" i="2"/>
  <c r="P1831" i="2" s="1"/>
  <c r="U1831" i="2" l="1"/>
  <c r="X1831" i="2" s="1"/>
  <c r="F1832" i="2" s="1"/>
  <c r="T1831" i="2"/>
  <c r="W1831" i="2" s="1"/>
  <c r="E1832" i="2" s="1"/>
  <c r="V1831" i="2"/>
  <c r="Y1831" i="2" s="1"/>
  <c r="G1832" i="2" s="1"/>
  <c r="H1832" i="2" l="1"/>
  <c r="B1832" i="2"/>
  <c r="M1832" i="2"/>
  <c r="C1832" i="2"/>
  <c r="N1832" i="2"/>
  <c r="O1832" i="2" s="1"/>
  <c r="D1832" i="2"/>
  <c r="R1832" i="2" l="1"/>
  <c r="Q1832" i="2"/>
  <c r="J1832" i="2"/>
  <c r="K1832" i="2"/>
  <c r="I1832" i="2"/>
  <c r="S1832" i="2"/>
  <c r="L1832" i="2"/>
  <c r="P1832" i="2" s="1"/>
  <c r="V1832" i="2" l="1"/>
  <c r="Y1832" i="2" s="1"/>
  <c r="G1833" i="2" s="1"/>
  <c r="U1832" i="2"/>
  <c r="T1832" i="2"/>
  <c r="W1832" i="2"/>
  <c r="E1833" i="2" s="1"/>
  <c r="X1832" i="2"/>
  <c r="F1833" i="2" s="1"/>
  <c r="D1833" i="2" l="1"/>
  <c r="H1833" i="2"/>
  <c r="M1833" i="2" s="1"/>
  <c r="B1833" i="2"/>
  <c r="C1833" i="2"/>
  <c r="K1833" i="2" l="1"/>
  <c r="I1833" i="2"/>
  <c r="J1833" i="2"/>
  <c r="S1833" i="2"/>
  <c r="L1833" i="2"/>
  <c r="N1833" i="2"/>
  <c r="O1833" i="2" s="1"/>
  <c r="R1833" i="2" l="1"/>
  <c r="P1833" i="2"/>
  <c r="T1833" i="2" s="1"/>
  <c r="W1833" i="2" s="1"/>
  <c r="E1834" i="2" s="1"/>
  <c r="Q1833" i="2"/>
  <c r="U1833" i="2" s="1"/>
  <c r="X1833" i="2" s="1"/>
  <c r="F1834" i="2" s="1"/>
  <c r="V1833" i="2"/>
  <c r="Y1833" i="2" s="1"/>
  <c r="G1834" i="2" s="1"/>
  <c r="H1834" i="2" l="1"/>
  <c r="B1834" i="2"/>
  <c r="N1834" i="2"/>
  <c r="O1834" i="2" s="1"/>
  <c r="D1834" i="2"/>
  <c r="M1834" i="2"/>
  <c r="C1834" i="2"/>
  <c r="R1834" i="2" l="1"/>
  <c r="Q1834" i="2"/>
  <c r="I1834" i="2"/>
  <c r="K1834" i="2"/>
  <c r="J1834" i="2"/>
  <c r="S1834" i="2"/>
  <c r="L1834" i="2"/>
  <c r="P1834" i="2" s="1"/>
  <c r="V1834" i="2" l="1"/>
  <c r="U1834" i="2"/>
  <c r="X1834" i="2" s="1"/>
  <c r="F1835" i="2" s="1"/>
  <c r="T1834" i="2"/>
  <c r="Y1834" i="2"/>
  <c r="G1835" i="2" s="1"/>
  <c r="W1834" i="2"/>
  <c r="E1835" i="2" s="1"/>
  <c r="D1835" i="2" l="1"/>
  <c r="H1835" i="2"/>
  <c r="B1835" i="2"/>
  <c r="C1835" i="2"/>
  <c r="K1835" i="2" l="1"/>
  <c r="J1835" i="2"/>
  <c r="I1835" i="2"/>
  <c r="S1835" i="2"/>
  <c r="L1835" i="2"/>
  <c r="M1835" i="2"/>
  <c r="N1835" i="2"/>
  <c r="O1835" i="2" s="1"/>
  <c r="R1835" i="2" l="1"/>
  <c r="P1835" i="2"/>
  <c r="T1835" i="2" s="1"/>
  <c r="W1835" i="2" s="1"/>
  <c r="E1836" i="2" s="1"/>
  <c r="Q1835" i="2"/>
  <c r="U1835" i="2" s="1"/>
  <c r="X1835" i="2" s="1"/>
  <c r="F1836" i="2" s="1"/>
  <c r="V1835" i="2"/>
  <c r="Y1835" i="2" s="1"/>
  <c r="G1836" i="2" s="1"/>
  <c r="C1836" i="2" l="1"/>
  <c r="H1836" i="2"/>
  <c r="N1836" i="2" s="1"/>
  <c r="O1836" i="2" s="1"/>
  <c r="B1836" i="2"/>
  <c r="D1836" i="2"/>
  <c r="R1836" i="2" l="1"/>
  <c r="K1836" i="2"/>
  <c r="I1836" i="2"/>
  <c r="J1836" i="2"/>
  <c r="S1836" i="2"/>
  <c r="L1836" i="2"/>
  <c r="P1836" i="2" s="1"/>
  <c r="M1836" i="2"/>
  <c r="Q1836" i="2" s="1"/>
  <c r="V1836" i="2" l="1"/>
  <c r="Y1836" i="2" s="1"/>
  <c r="G1837" i="2" s="1"/>
  <c r="U1836" i="2"/>
  <c r="X1836" i="2" s="1"/>
  <c r="F1837" i="2" s="1"/>
  <c r="T1836" i="2"/>
  <c r="W1836" i="2"/>
  <c r="E1837" i="2" s="1"/>
  <c r="C1837" i="2" l="1"/>
  <c r="D1837" i="2"/>
  <c r="H1837" i="2"/>
  <c r="L1837" i="2" s="1"/>
  <c r="B1837" i="2"/>
  <c r="K1837" i="2" l="1"/>
  <c r="J1837" i="2"/>
  <c r="I1837" i="2"/>
  <c r="S1837" i="2"/>
  <c r="N1837" i="2"/>
  <c r="O1837" i="2" s="1"/>
  <c r="M1837" i="2"/>
  <c r="P1837" i="2" l="1"/>
  <c r="R1837" i="2"/>
  <c r="V1837" i="2" s="1"/>
  <c r="Y1837" i="2" s="1"/>
  <c r="G1838" i="2" s="1"/>
  <c r="Q1837" i="2"/>
  <c r="U1837" i="2" s="1"/>
  <c r="X1837" i="2" s="1"/>
  <c r="F1838" i="2" s="1"/>
  <c r="T1837" i="2"/>
  <c r="W1837" i="2" s="1"/>
  <c r="E1838" i="2" s="1"/>
  <c r="C1838" i="2" l="1"/>
  <c r="D1838" i="2"/>
  <c r="H1838" i="2"/>
  <c r="B1838" i="2"/>
  <c r="I1838" i="2" l="1"/>
  <c r="K1838" i="2"/>
  <c r="J1838" i="2"/>
  <c r="S1838" i="2"/>
  <c r="L1838" i="2"/>
  <c r="N1838" i="2"/>
  <c r="O1838" i="2" s="1"/>
  <c r="M1838" i="2"/>
  <c r="R1838" i="2" l="1"/>
  <c r="Q1838" i="2"/>
  <c r="P1838" i="2"/>
  <c r="T1838" i="2" s="1"/>
  <c r="W1838" i="2" s="1"/>
  <c r="E1839" i="2" s="1"/>
  <c r="V1838" i="2"/>
  <c r="U1838" i="2"/>
  <c r="X1838" i="2" s="1"/>
  <c r="F1839" i="2" s="1"/>
  <c r="Y1838" i="2"/>
  <c r="G1839" i="2" s="1"/>
  <c r="C1839" i="2" l="1"/>
  <c r="H1839" i="2"/>
  <c r="B1839" i="2"/>
  <c r="D1839" i="2"/>
  <c r="K1839" i="2" l="1"/>
  <c r="I1839" i="2"/>
  <c r="J1839" i="2"/>
  <c r="S1839" i="2"/>
  <c r="L1839" i="2"/>
  <c r="N1839" i="2"/>
  <c r="O1839" i="2" s="1"/>
  <c r="M1839" i="2"/>
  <c r="R1839" i="2" l="1"/>
  <c r="P1839" i="2"/>
  <c r="T1839" i="2" s="1"/>
  <c r="W1839" i="2" s="1"/>
  <c r="E1840" i="2" s="1"/>
  <c r="Q1839" i="2"/>
  <c r="U1839" i="2" s="1"/>
  <c r="X1839" i="2" s="1"/>
  <c r="F1840" i="2" s="1"/>
  <c r="V1839" i="2"/>
  <c r="Y1839" i="2"/>
  <c r="G1840" i="2" s="1"/>
  <c r="H1840" i="2" l="1"/>
  <c r="N1840" i="2" s="1"/>
  <c r="O1840" i="2" s="1"/>
  <c r="B1840" i="2"/>
  <c r="D1840" i="2"/>
  <c r="M1840" i="2"/>
  <c r="C1840" i="2"/>
  <c r="J1840" i="2" l="1"/>
  <c r="K1840" i="2"/>
  <c r="I1840" i="2"/>
  <c r="S1840" i="2"/>
  <c r="R1840" i="2"/>
  <c r="Q1840" i="2"/>
  <c r="L1840" i="2"/>
  <c r="P1840" i="2" s="1"/>
  <c r="U1840" i="2" l="1"/>
  <c r="T1840" i="2"/>
  <c r="V1840" i="2"/>
  <c r="X1840" i="2"/>
  <c r="F1841" i="2" s="1"/>
  <c r="W1840" i="2"/>
  <c r="E1841" i="2" s="1"/>
  <c r="Y1840" i="2"/>
  <c r="G1841" i="2" s="1"/>
  <c r="H1841" i="2" l="1"/>
  <c r="B1841" i="2"/>
  <c r="N1841" i="2"/>
  <c r="O1841" i="2" s="1"/>
  <c r="D1841" i="2"/>
  <c r="M1841" i="2"/>
  <c r="C1841" i="2"/>
  <c r="R1841" i="2" l="1"/>
  <c r="Q1841" i="2"/>
  <c r="K1841" i="2"/>
  <c r="I1841" i="2"/>
  <c r="J1841" i="2"/>
  <c r="S1841" i="2"/>
  <c r="L1841" i="2"/>
  <c r="P1841" i="2" s="1"/>
  <c r="V1841" i="2" l="1"/>
  <c r="U1841" i="2"/>
  <c r="T1841" i="2"/>
  <c r="W1841" i="2"/>
  <c r="E1842" i="2" s="1"/>
  <c r="X1841" i="2"/>
  <c r="F1842" i="2" s="1"/>
  <c r="Y1841" i="2"/>
  <c r="G1842" i="2" s="1"/>
  <c r="H1842" i="2" l="1"/>
  <c r="B1842" i="2"/>
  <c r="N1842" i="2"/>
  <c r="O1842" i="2" s="1"/>
  <c r="D1842" i="2"/>
  <c r="M1842" i="2"/>
  <c r="C1842" i="2"/>
  <c r="R1842" i="2" l="1"/>
  <c r="Q1842" i="2"/>
  <c r="K1842" i="2"/>
  <c r="J1842" i="2"/>
  <c r="I1842" i="2"/>
  <c r="S1842" i="2"/>
  <c r="L1842" i="2"/>
  <c r="P1842" i="2" s="1"/>
  <c r="U1842" i="2" l="1"/>
  <c r="T1842" i="2"/>
  <c r="W1842" i="2" s="1"/>
  <c r="E1843" i="2" s="1"/>
  <c r="V1842" i="2"/>
  <c r="X1842" i="2"/>
  <c r="F1843" i="2" s="1"/>
  <c r="Y1842" i="2"/>
  <c r="G1843" i="2" s="1"/>
  <c r="H1843" i="2" l="1"/>
  <c r="B1843" i="2"/>
  <c r="N1843" i="2"/>
  <c r="O1843" i="2" s="1"/>
  <c r="D1843" i="2"/>
  <c r="M1843" i="2"/>
  <c r="C1843" i="2"/>
  <c r="R1843" i="2" l="1"/>
  <c r="Q1843" i="2"/>
  <c r="K1843" i="2"/>
  <c r="J1843" i="2"/>
  <c r="I1843" i="2"/>
  <c r="S1843" i="2"/>
  <c r="L1843" i="2"/>
  <c r="P1843" i="2" s="1"/>
  <c r="V1843" i="2" l="1"/>
  <c r="U1843" i="2"/>
  <c r="X1843" i="2" s="1"/>
  <c r="F1844" i="2" s="1"/>
  <c r="T1843" i="2"/>
  <c r="W1843" i="2" s="1"/>
  <c r="E1844" i="2" s="1"/>
  <c r="Y1843" i="2"/>
  <c r="G1844" i="2" s="1"/>
  <c r="H1844" i="2" l="1"/>
  <c r="B1844" i="2"/>
  <c r="M1844" i="2"/>
  <c r="C1844" i="2"/>
  <c r="N1844" i="2"/>
  <c r="O1844" i="2" s="1"/>
  <c r="D1844" i="2"/>
  <c r="R1844" i="2" l="1"/>
  <c r="Q1844" i="2"/>
  <c r="K1844" i="2"/>
  <c r="J1844" i="2"/>
  <c r="I1844" i="2"/>
  <c r="S1844" i="2"/>
  <c r="L1844" i="2"/>
  <c r="P1844" i="2" s="1"/>
  <c r="U1844" i="2" l="1"/>
  <c r="T1844" i="2"/>
  <c r="V1844" i="2"/>
  <c r="X1844" i="2"/>
  <c r="F1845" i="2" s="1"/>
  <c r="W1844" i="2"/>
  <c r="E1845" i="2" s="1"/>
  <c r="Y1844" i="2"/>
  <c r="G1845" i="2" s="1"/>
  <c r="D1845" i="2" l="1"/>
  <c r="H1845" i="2"/>
  <c r="B1845" i="2"/>
  <c r="C1845" i="2"/>
  <c r="K1845" i="2" l="1"/>
  <c r="J1845" i="2"/>
  <c r="I1845" i="2"/>
  <c r="S1845" i="2"/>
  <c r="L1845" i="2"/>
  <c r="M1845" i="2"/>
  <c r="N1845" i="2"/>
  <c r="O1845" i="2" s="1"/>
  <c r="R1845" i="2" l="1"/>
  <c r="Q1845" i="2"/>
  <c r="P1845" i="2"/>
  <c r="V1845" i="2"/>
  <c r="U1845" i="2"/>
  <c r="X1845" i="2" s="1"/>
  <c r="F1846" i="2" s="1"/>
  <c r="T1845" i="2"/>
  <c r="W1845" i="2" s="1"/>
  <c r="E1846" i="2" s="1"/>
  <c r="Y1845" i="2"/>
  <c r="G1846" i="2" s="1"/>
  <c r="C1846" i="2" l="1"/>
  <c r="D1846" i="2"/>
  <c r="H1846" i="2"/>
  <c r="N1846" i="2" s="1"/>
  <c r="O1846" i="2" s="1"/>
  <c r="B1846" i="2"/>
  <c r="R1846" i="2" l="1"/>
  <c r="I1846" i="2"/>
  <c r="K1846" i="2"/>
  <c r="J1846" i="2"/>
  <c r="S1846" i="2"/>
  <c r="L1846" i="2"/>
  <c r="P1846" i="2" s="1"/>
  <c r="M1846" i="2"/>
  <c r="Q1846" i="2" s="1"/>
  <c r="U1846" i="2" l="1"/>
  <c r="T1846" i="2"/>
  <c r="V1846" i="2"/>
  <c r="W1846" i="2"/>
  <c r="E1847" i="2" s="1"/>
  <c r="X1846" i="2"/>
  <c r="F1847" i="2" s="1"/>
  <c r="Y1846" i="2"/>
  <c r="G1847" i="2" s="1"/>
  <c r="H1847" i="2" l="1"/>
  <c r="B1847" i="2"/>
  <c r="N1847" i="2"/>
  <c r="O1847" i="2" s="1"/>
  <c r="D1847" i="2"/>
  <c r="M1847" i="2"/>
  <c r="C1847" i="2"/>
  <c r="R1847" i="2" l="1"/>
  <c r="Q1847" i="2"/>
  <c r="J1847" i="2"/>
  <c r="K1847" i="2"/>
  <c r="I1847" i="2"/>
  <c r="S1847" i="2"/>
  <c r="L1847" i="2"/>
  <c r="P1847" i="2" s="1"/>
  <c r="U1847" i="2" l="1"/>
  <c r="T1847" i="2"/>
  <c r="V1847" i="2"/>
  <c r="Y1847" i="2"/>
  <c r="G1848" i="2" s="1"/>
  <c r="W1847" i="2"/>
  <c r="E1848" i="2" s="1"/>
  <c r="X1847" i="2"/>
  <c r="F1848" i="2" s="1"/>
  <c r="H1848" i="2" l="1"/>
  <c r="B1848" i="2"/>
  <c r="M1848" i="2"/>
  <c r="C1848" i="2"/>
  <c r="N1848" i="2"/>
  <c r="O1848" i="2" s="1"/>
  <c r="D1848" i="2"/>
  <c r="R1848" i="2" l="1"/>
  <c r="Q1848" i="2"/>
  <c r="I1848" i="2"/>
  <c r="J1848" i="2"/>
  <c r="K1848" i="2"/>
  <c r="S1848" i="2"/>
  <c r="L1848" i="2"/>
  <c r="P1848" i="2" s="1"/>
  <c r="U1848" i="2" l="1"/>
  <c r="X1848" i="2" s="1"/>
  <c r="F1849" i="2" s="1"/>
  <c r="T1848" i="2"/>
  <c r="V1848" i="2"/>
  <c r="Y1848" i="2" s="1"/>
  <c r="G1849" i="2" s="1"/>
  <c r="W1848" i="2"/>
  <c r="E1849" i="2" s="1"/>
  <c r="C1849" i="2" l="1"/>
  <c r="H1849" i="2"/>
  <c r="L1849" i="2" s="1"/>
  <c r="B1849" i="2"/>
  <c r="D1849" i="2"/>
  <c r="N1849" i="2" l="1"/>
  <c r="O1849" i="2" s="1"/>
  <c r="R1849" i="2"/>
  <c r="P1849" i="2"/>
  <c r="J1849" i="2"/>
  <c r="I1849" i="2"/>
  <c r="K1849" i="2"/>
  <c r="S1849" i="2"/>
  <c r="M1849" i="2"/>
  <c r="Q1849" i="2" s="1"/>
  <c r="V1849" i="2" l="1"/>
  <c r="U1849" i="2"/>
  <c r="T1849" i="2"/>
  <c r="X1849" i="2"/>
  <c r="F1850" i="2" s="1"/>
  <c r="Y1849" i="2"/>
  <c r="G1850" i="2" s="1"/>
  <c r="W1849" i="2"/>
  <c r="E1850" i="2" s="1"/>
  <c r="D1850" i="2" l="1"/>
  <c r="H1850" i="2"/>
  <c r="B1850" i="2"/>
  <c r="C1850" i="2"/>
  <c r="I1850" i="2" l="1"/>
  <c r="K1850" i="2"/>
  <c r="J1850" i="2"/>
  <c r="S1850" i="2"/>
  <c r="L1850" i="2"/>
  <c r="M1850" i="2"/>
  <c r="N1850" i="2"/>
  <c r="O1850" i="2" s="1"/>
  <c r="R1850" i="2" l="1"/>
  <c r="Q1850" i="2"/>
  <c r="P1850" i="2"/>
  <c r="T1850" i="2" s="1"/>
  <c r="W1850" i="2" s="1"/>
  <c r="E1851" i="2" s="1"/>
  <c r="U1850" i="2"/>
  <c r="V1850" i="2"/>
  <c r="Y1850" i="2" s="1"/>
  <c r="G1851" i="2" s="1"/>
  <c r="X1850" i="2"/>
  <c r="F1851" i="2" s="1"/>
  <c r="D1851" i="2" l="1"/>
  <c r="C1851" i="2"/>
  <c r="H1851" i="2"/>
  <c r="M1851" i="2" s="1"/>
  <c r="B1851" i="2"/>
  <c r="J1851" i="2" l="1"/>
  <c r="K1851" i="2"/>
  <c r="I1851" i="2"/>
  <c r="S1851" i="2"/>
  <c r="L1851" i="2"/>
  <c r="N1851" i="2"/>
  <c r="O1851" i="2" s="1"/>
  <c r="R1851" i="2" l="1"/>
  <c r="Q1851" i="2"/>
  <c r="P1851" i="2"/>
  <c r="V1851" i="2"/>
  <c r="Y1851" i="2" s="1"/>
  <c r="G1852" i="2" s="1"/>
  <c r="U1851" i="2"/>
  <c r="T1851" i="2"/>
  <c r="W1851" i="2" s="1"/>
  <c r="E1852" i="2" s="1"/>
  <c r="X1851" i="2"/>
  <c r="F1852" i="2" s="1"/>
  <c r="D1852" i="2" l="1"/>
  <c r="H1852" i="2"/>
  <c r="L1852" i="2" s="1"/>
  <c r="B1852" i="2"/>
  <c r="C1852" i="2"/>
  <c r="M1852" i="2" l="1"/>
  <c r="I1852" i="2"/>
  <c r="K1852" i="2"/>
  <c r="J1852" i="2"/>
  <c r="S1852" i="2"/>
  <c r="N1852" i="2"/>
  <c r="O1852" i="2" s="1"/>
  <c r="R1852" i="2" l="1"/>
  <c r="P1852" i="2"/>
  <c r="T1852" i="2" s="1"/>
  <c r="W1852" i="2" s="1"/>
  <c r="E1853" i="2" s="1"/>
  <c r="Q1852" i="2"/>
  <c r="U1852" i="2" s="1"/>
  <c r="X1852" i="2" s="1"/>
  <c r="F1853" i="2" s="1"/>
  <c r="V1852" i="2"/>
  <c r="Y1852" i="2" s="1"/>
  <c r="G1853" i="2" s="1"/>
  <c r="D1853" i="2" l="1"/>
  <c r="H1853" i="2"/>
  <c r="L1853" i="2" s="1"/>
  <c r="B1853" i="2"/>
  <c r="C1853" i="2"/>
  <c r="M1853" i="2" l="1"/>
  <c r="J1853" i="2"/>
  <c r="I1853" i="2"/>
  <c r="K1853" i="2"/>
  <c r="S1853" i="2"/>
  <c r="N1853" i="2"/>
  <c r="O1853" i="2" s="1"/>
  <c r="R1853" i="2" l="1"/>
  <c r="Q1853" i="2"/>
  <c r="P1853" i="2"/>
  <c r="T1853" i="2" s="1"/>
  <c r="W1853" i="2" s="1"/>
  <c r="E1854" i="2" s="1"/>
  <c r="V1853" i="2"/>
  <c r="Y1853" i="2" s="1"/>
  <c r="G1854" i="2" s="1"/>
  <c r="U1853" i="2"/>
  <c r="X1853" i="2"/>
  <c r="F1854" i="2" s="1"/>
  <c r="H1854" i="2" l="1"/>
  <c r="B1854" i="2"/>
  <c r="N1854" i="2"/>
  <c r="O1854" i="2" s="1"/>
  <c r="D1854" i="2"/>
  <c r="M1854" i="2"/>
  <c r="C1854" i="2"/>
  <c r="R1854" i="2" l="1"/>
  <c r="Q1854" i="2"/>
  <c r="K1854" i="2"/>
  <c r="I1854" i="2"/>
  <c r="J1854" i="2"/>
  <c r="S1854" i="2"/>
  <c r="L1854" i="2"/>
  <c r="P1854" i="2" s="1"/>
  <c r="U1854" i="2" l="1"/>
  <c r="X1854" i="2" s="1"/>
  <c r="F1855" i="2" s="1"/>
  <c r="T1854" i="2"/>
  <c r="W1854" i="2" s="1"/>
  <c r="E1855" i="2" s="1"/>
  <c r="V1854" i="2"/>
  <c r="Y1854" i="2" s="1"/>
  <c r="G1855" i="2" s="1"/>
  <c r="H1855" i="2" l="1"/>
  <c r="B1855" i="2"/>
  <c r="M1855" i="2"/>
  <c r="C1855" i="2"/>
  <c r="N1855" i="2"/>
  <c r="O1855" i="2" s="1"/>
  <c r="D1855" i="2"/>
  <c r="R1855" i="2" l="1"/>
  <c r="Q1855" i="2"/>
  <c r="K1855" i="2"/>
  <c r="I1855" i="2"/>
  <c r="J1855" i="2"/>
  <c r="S1855" i="2"/>
  <c r="L1855" i="2"/>
  <c r="P1855" i="2" s="1"/>
  <c r="U1855" i="2" l="1"/>
  <c r="X1855" i="2" s="1"/>
  <c r="F1856" i="2" s="1"/>
  <c r="T1855" i="2"/>
  <c r="V1855" i="2"/>
  <c r="Y1855" i="2"/>
  <c r="G1856" i="2" s="1"/>
  <c r="W1855" i="2"/>
  <c r="E1856" i="2" s="1"/>
  <c r="C1856" i="2" l="1"/>
  <c r="H1856" i="2"/>
  <c r="N1856" i="2" s="1"/>
  <c r="O1856" i="2" s="1"/>
  <c r="B1856" i="2"/>
  <c r="D1856" i="2"/>
  <c r="K1856" i="2" l="1"/>
  <c r="I1856" i="2"/>
  <c r="J1856" i="2"/>
  <c r="S1856" i="2"/>
  <c r="L1856" i="2"/>
  <c r="M1856" i="2"/>
  <c r="R1856" i="2"/>
  <c r="P1856" i="2"/>
  <c r="Q1856" i="2"/>
  <c r="U1856" i="2" l="1"/>
  <c r="T1856" i="2"/>
  <c r="W1856" i="2" s="1"/>
  <c r="E1857" i="2" s="1"/>
  <c r="V1856" i="2"/>
  <c r="X1856" i="2"/>
  <c r="F1857" i="2" s="1"/>
  <c r="Y1856" i="2"/>
  <c r="G1857" i="2" s="1"/>
  <c r="H1857" i="2" l="1"/>
  <c r="B1857" i="2"/>
  <c r="M1857" i="2"/>
  <c r="C1857" i="2"/>
  <c r="N1857" i="2"/>
  <c r="O1857" i="2" s="1"/>
  <c r="D1857" i="2"/>
  <c r="R1857" i="2" l="1"/>
  <c r="Q1857" i="2"/>
  <c r="K1857" i="2"/>
  <c r="I1857" i="2"/>
  <c r="J1857" i="2"/>
  <c r="S1857" i="2"/>
  <c r="L1857" i="2"/>
  <c r="P1857" i="2" s="1"/>
  <c r="V1857" i="2" l="1"/>
  <c r="Y1857" i="2" s="1"/>
  <c r="G1858" i="2" s="1"/>
  <c r="U1857" i="2"/>
  <c r="T1857" i="2"/>
  <c r="W1857" i="2" s="1"/>
  <c r="E1858" i="2" s="1"/>
  <c r="X1857" i="2"/>
  <c r="F1858" i="2" s="1"/>
  <c r="H1858" i="2" l="1"/>
  <c r="B1858" i="2"/>
  <c r="N1858" i="2"/>
  <c r="O1858" i="2" s="1"/>
  <c r="D1858" i="2"/>
  <c r="M1858" i="2"/>
  <c r="C1858" i="2"/>
  <c r="R1858" i="2" l="1"/>
  <c r="Q1858" i="2"/>
  <c r="I1858" i="2"/>
  <c r="J1858" i="2"/>
  <c r="K1858" i="2"/>
  <c r="S1858" i="2"/>
  <c r="L1858" i="2"/>
  <c r="P1858" i="2" s="1"/>
  <c r="U1858" i="2" l="1"/>
  <c r="X1858" i="2" s="1"/>
  <c r="F1859" i="2" s="1"/>
  <c r="T1858" i="2"/>
  <c r="V1858" i="2"/>
  <c r="Y1858" i="2" s="1"/>
  <c r="G1859" i="2" s="1"/>
  <c r="W1858" i="2"/>
  <c r="E1859" i="2" s="1"/>
  <c r="D1859" i="2" l="1"/>
  <c r="C1859" i="2"/>
  <c r="H1859" i="2"/>
  <c r="L1859" i="2" s="1"/>
  <c r="B1859" i="2"/>
  <c r="I1859" i="2" l="1"/>
  <c r="K1859" i="2"/>
  <c r="J1859" i="2"/>
  <c r="S1859" i="2"/>
  <c r="M1859" i="2"/>
  <c r="N1859" i="2"/>
  <c r="O1859" i="2" s="1"/>
  <c r="R1859" i="2" l="1"/>
  <c r="Q1859" i="2"/>
  <c r="U1859" i="2" s="1"/>
  <c r="X1859" i="2" s="1"/>
  <c r="F1860" i="2" s="1"/>
  <c r="P1859" i="2"/>
  <c r="T1859" i="2" s="1"/>
  <c r="W1859" i="2" s="1"/>
  <c r="E1860" i="2" s="1"/>
  <c r="V1859" i="2"/>
  <c r="Y1859" i="2" s="1"/>
  <c r="G1860" i="2" s="1"/>
  <c r="D1860" i="2" l="1"/>
  <c r="C1860" i="2"/>
  <c r="H1860" i="2"/>
  <c r="B1860" i="2"/>
  <c r="I1860" i="2" l="1"/>
  <c r="J1860" i="2"/>
  <c r="K1860" i="2"/>
  <c r="S1860" i="2"/>
  <c r="L1860" i="2"/>
  <c r="M1860" i="2"/>
  <c r="N1860" i="2"/>
  <c r="O1860" i="2" s="1"/>
  <c r="R1860" i="2" l="1"/>
  <c r="P1860" i="2"/>
  <c r="T1860" i="2" s="1"/>
  <c r="W1860" i="2" s="1"/>
  <c r="E1861" i="2" s="1"/>
  <c r="Q1860" i="2"/>
  <c r="U1860" i="2"/>
  <c r="V1860" i="2"/>
  <c r="Y1860" i="2" s="1"/>
  <c r="G1861" i="2" s="1"/>
  <c r="X1860" i="2"/>
  <c r="F1861" i="2" s="1"/>
  <c r="C1861" i="2" l="1"/>
  <c r="H1861" i="2"/>
  <c r="N1861" i="2" s="1"/>
  <c r="O1861" i="2" s="1"/>
  <c r="B1861" i="2"/>
  <c r="D1861" i="2"/>
  <c r="R1861" i="2" l="1"/>
  <c r="I1861" i="2"/>
  <c r="K1861" i="2"/>
  <c r="J1861" i="2"/>
  <c r="S1861" i="2"/>
  <c r="L1861" i="2"/>
  <c r="P1861" i="2" s="1"/>
  <c r="M1861" i="2"/>
  <c r="Q1861" i="2" s="1"/>
  <c r="V1861" i="2" l="1"/>
  <c r="U1861" i="2"/>
  <c r="X1861" i="2" s="1"/>
  <c r="F1862" i="2" s="1"/>
  <c r="T1861" i="2"/>
  <c r="W1861" i="2" s="1"/>
  <c r="E1862" i="2" s="1"/>
  <c r="Y1861" i="2"/>
  <c r="G1862" i="2" s="1"/>
  <c r="C1862" i="2" l="1"/>
  <c r="H1862" i="2"/>
  <c r="N1862" i="2" s="1"/>
  <c r="O1862" i="2" s="1"/>
  <c r="B1862" i="2"/>
  <c r="D1862" i="2"/>
  <c r="I1862" i="2" l="1"/>
  <c r="K1862" i="2"/>
  <c r="J1862" i="2"/>
  <c r="S1862" i="2"/>
  <c r="L1862" i="2"/>
  <c r="P1862" i="2" s="1"/>
  <c r="R1862" i="2"/>
  <c r="M1862" i="2"/>
  <c r="Q1862" i="2" s="1"/>
  <c r="V1862" i="2" l="1"/>
  <c r="U1862" i="2"/>
  <c r="T1862" i="2"/>
  <c r="Y1862" i="2"/>
  <c r="G1863" i="2" s="1"/>
  <c r="X1862" i="2"/>
  <c r="F1863" i="2" s="1"/>
  <c r="W1862" i="2"/>
  <c r="E1863" i="2" s="1"/>
  <c r="C1863" i="2" l="1"/>
  <c r="H1863" i="2"/>
  <c r="N1863" i="2" s="1"/>
  <c r="O1863" i="2" s="1"/>
  <c r="B1863" i="2"/>
  <c r="D1863" i="2"/>
  <c r="R1863" i="2" l="1"/>
  <c r="K1863" i="2"/>
  <c r="I1863" i="2"/>
  <c r="J1863" i="2"/>
  <c r="S1863" i="2"/>
  <c r="M1863" i="2"/>
  <c r="Q1863" i="2" s="1"/>
  <c r="L1863" i="2"/>
  <c r="P1863" i="2" s="1"/>
  <c r="U1863" i="2" l="1"/>
  <c r="T1863" i="2"/>
  <c r="V1863" i="2"/>
  <c r="Y1863" i="2"/>
  <c r="G1864" i="2" s="1"/>
  <c r="X1863" i="2"/>
  <c r="F1864" i="2" s="1"/>
  <c r="W1863" i="2"/>
  <c r="E1864" i="2" s="1"/>
  <c r="C1864" i="2" l="1"/>
  <c r="H1864" i="2"/>
  <c r="L1864" i="2" s="1"/>
  <c r="B1864" i="2"/>
  <c r="N1864" i="2"/>
  <c r="O1864" i="2" s="1"/>
  <c r="D1864" i="2"/>
  <c r="P1864" i="2" l="1"/>
  <c r="R1864" i="2"/>
  <c r="I1864" i="2"/>
  <c r="K1864" i="2"/>
  <c r="J1864" i="2"/>
  <c r="S1864" i="2"/>
  <c r="M1864" i="2"/>
  <c r="Q1864" i="2" s="1"/>
  <c r="V1864" i="2" l="1"/>
  <c r="U1864" i="2"/>
  <c r="T1864" i="2"/>
  <c r="Y1864" i="2"/>
  <c r="G1865" i="2" s="1"/>
  <c r="X1864" i="2"/>
  <c r="F1865" i="2" s="1"/>
  <c r="W1864" i="2"/>
  <c r="E1865" i="2" s="1"/>
  <c r="C1865" i="2" l="1"/>
  <c r="H1865" i="2"/>
  <c r="N1865" i="2" s="1"/>
  <c r="O1865" i="2" s="1"/>
  <c r="B1865" i="2"/>
  <c r="D1865" i="2"/>
  <c r="R1865" i="2" l="1"/>
  <c r="I1865" i="2"/>
  <c r="J1865" i="2"/>
  <c r="K1865" i="2"/>
  <c r="S1865" i="2"/>
  <c r="L1865" i="2"/>
  <c r="P1865" i="2" s="1"/>
  <c r="M1865" i="2"/>
  <c r="Q1865" i="2" s="1"/>
  <c r="T1865" i="2" l="1"/>
  <c r="U1865" i="2"/>
  <c r="V1865" i="2"/>
  <c r="X1865" i="2"/>
  <c r="F1866" i="2" s="1"/>
  <c r="Y1865" i="2"/>
  <c r="G1866" i="2" s="1"/>
  <c r="W1865" i="2"/>
  <c r="E1866" i="2" s="1"/>
  <c r="C1866" i="2" l="1"/>
  <c r="H1866" i="2"/>
  <c r="N1866" i="2" s="1"/>
  <c r="O1866" i="2" s="1"/>
  <c r="B1866" i="2"/>
  <c r="D1866" i="2"/>
  <c r="R1866" i="2" l="1"/>
  <c r="I1866" i="2"/>
  <c r="K1866" i="2"/>
  <c r="J1866" i="2"/>
  <c r="S1866" i="2"/>
  <c r="M1866" i="2"/>
  <c r="Q1866" i="2" s="1"/>
  <c r="L1866" i="2"/>
  <c r="P1866" i="2" s="1"/>
  <c r="V1866" i="2" l="1"/>
  <c r="U1866" i="2"/>
  <c r="T1866" i="2"/>
  <c r="Y1866" i="2"/>
  <c r="G1867" i="2" s="1"/>
  <c r="X1866" i="2"/>
  <c r="F1867" i="2" s="1"/>
  <c r="W1866" i="2"/>
  <c r="E1867" i="2" s="1"/>
  <c r="C1867" i="2" l="1"/>
  <c r="H1867" i="2"/>
  <c r="N1867" i="2" s="1"/>
  <c r="O1867" i="2" s="1"/>
  <c r="B1867" i="2"/>
  <c r="D1867" i="2"/>
  <c r="K1867" i="2" l="1"/>
  <c r="J1867" i="2"/>
  <c r="I1867" i="2"/>
  <c r="S1867" i="2"/>
  <c r="L1867" i="2"/>
  <c r="M1867" i="2"/>
  <c r="P1867" i="2"/>
  <c r="R1867" i="2"/>
  <c r="Q1867" i="2"/>
  <c r="T1867" i="2" l="1"/>
  <c r="V1867" i="2"/>
  <c r="U1867" i="2"/>
  <c r="Y1867" i="2"/>
  <c r="G1868" i="2" s="1"/>
  <c r="W1867" i="2"/>
  <c r="E1868" i="2" s="1"/>
  <c r="X1867" i="2"/>
  <c r="F1868" i="2" s="1"/>
  <c r="H1868" i="2" l="1"/>
  <c r="B1868" i="2"/>
  <c r="M1868" i="2"/>
  <c r="C1868" i="2"/>
  <c r="N1868" i="2"/>
  <c r="O1868" i="2" s="1"/>
  <c r="D1868" i="2"/>
  <c r="R1868" i="2" l="1"/>
  <c r="Q1868" i="2"/>
  <c r="I1868" i="2"/>
  <c r="J1868" i="2"/>
  <c r="K1868" i="2"/>
  <c r="S1868" i="2"/>
  <c r="L1868" i="2"/>
  <c r="P1868" i="2" s="1"/>
  <c r="V1868" i="2" l="1"/>
  <c r="U1868" i="2"/>
  <c r="T1868" i="2"/>
  <c r="X1868" i="2"/>
  <c r="F1869" i="2" s="1"/>
  <c r="Y1868" i="2"/>
  <c r="G1869" i="2" s="1"/>
  <c r="W1868" i="2"/>
  <c r="E1869" i="2" s="1"/>
  <c r="D1869" i="2" l="1"/>
  <c r="H1869" i="2"/>
  <c r="L1869" i="2" s="1"/>
  <c r="B1869" i="2"/>
  <c r="C1869" i="2"/>
  <c r="M1869" i="2" l="1"/>
  <c r="K1869" i="2"/>
  <c r="J1869" i="2"/>
  <c r="I1869" i="2"/>
  <c r="S1869" i="2"/>
  <c r="N1869" i="2"/>
  <c r="O1869" i="2" s="1"/>
  <c r="P1869" i="2" l="1"/>
  <c r="Q1869" i="2"/>
  <c r="U1869" i="2" s="1"/>
  <c r="X1869" i="2" s="1"/>
  <c r="F1870" i="2" s="1"/>
  <c r="R1869" i="2"/>
  <c r="V1869" i="2" s="1"/>
  <c r="Y1869" i="2" s="1"/>
  <c r="G1870" i="2" s="1"/>
  <c r="T1869" i="2"/>
  <c r="W1869" i="2" s="1"/>
  <c r="E1870" i="2" s="1"/>
  <c r="C1870" i="2" l="1"/>
  <c r="H1870" i="2"/>
  <c r="N1870" i="2" s="1"/>
  <c r="O1870" i="2" s="1"/>
  <c r="B1870" i="2"/>
  <c r="D1870" i="2"/>
  <c r="R1870" i="2" l="1"/>
  <c r="K1870" i="2"/>
  <c r="I1870" i="2"/>
  <c r="S1870" i="2"/>
  <c r="J1870" i="2"/>
  <c r="L1870" i="2"/>
  <c r="P1870" i="2" s="1"/>
  <c r="M1870" i="2"/>
  <c r="Q1870" i="2" s="1"/>
  <c r="T1870" i="2" l="1"/>
  <c r="V1870" i="2"/>
  <c r="U1870" i="2"/>
  <c r="X1870" i="2" s="1"/>
  <c r="F1871" i="2" s="1"/>
  <c r="W1870" i="2"/>
  <c r="E1871" i="2" s="1"/>
  <c r="Y1870" i="2"/>
  <c r="G1871" i="2" s="1"/>
  <c r="C1871" i="2" l="1"/>
  <c r="D1871" i="2"/>
  <c r="H1871" i="2"/>
  <c r="B1871" i="2"/>
  <c r="K1871" i="2" l="1"/>
  <c r="I1871" i="2"/>
  <c r="J1871" i="2"/>
  <c r="S1871" i="2"/>
  <c r="L1871" i="2"/>
  <c r="N1871" i="2"/>
  <c r="O1871" i="2" s="1"/>
  <c r="M1871" i="2"/>
  <c r="P1871" i="2" l="1"/>
  <c r="R1871" i="2"/>
  <c r="Q1871" i="2"/>
  <c r="T1871" i="2"/>
  <c r="W1871" i="2" s="1"/>
  <c r="E1872" i="2" s="1"/>
  <c r="V1871" i="2"/>
  <c r="U1871" i="2"/>
  <c r="X1871" i="2" s="1"/>
  <c r="F1872" i="2" s="1"/>
  <c r="Y1871" i="2"/>
  <c r="G1872" i="2" s="1"/>
  <c r="H1872" i="2" l="1"/>
  <c r="L1872" i="2" s="1"/>
  <c r="B1872" i="2"/>
  <c r="M1872" i="2"/>
  <c r="C1872" i="2"/>
  <c r="N1872" i="2"/>
  <c r="O1872" i="2" s="1"/>
  <c r="D1872" i="2"/>
  <c r="P1872" i="2" l="1"/>
  <c r="R1872" i="2"/>
  <c r="Q1872" i="2"/>
  <c r="I1872" i="2"/>
  <c r="K1872" i="2"/>
  <c r="J1872" i="2"/>
  <c r="S1872" i="2"/>
  <c r="V1872" i="2" l="1"/>
  <c r="U1872" i="2"/>
  <c r="T1872" i="2"/>
  <c r="Y1872" i="2"/>
  <c r="G1873" i="2" s="1"/>
  <c r="X1872" i="2"/>
  <c r="F1873" i="2" s="1"/>
  <c r="W1872" i="2"/>
  <c r="E1873" i="2" s="1"/>
  <c r="H1873" i="2" l="1"/>
  <c r="B1873" i="2"/>
  <c r="M1873" i="2"/>
  <c r="C1873" i="2"/>
  <c r="N1873" i="2"/>
  <c r="O1873" i="2" s="1"/>
  <c r="D1873" i="2"/>
  <c r="R1873" i="2" l="1"/>
  <c r="Q1873" i="2"/>
  <c r="I1873" i="2"/>
  <c r="J1873" i="2"/>
  <c r="K1873" i="2"/>
  <c r="S1873" i="2"/>
  <c r="L1873" i="2"/>
  <c r="P1873" i="2" s="1"/>
  <c r="T1873" i="2" l="1"/>
  <c r="V1873" i="2"/>
  <c r="U1873" i="2"/>
  <c r="X1873" i="2"/>
  <c r="F1874" i="2" s="1"/>
  <c r="Y1873" i="2"/>
  <c r="G1874" i="2" s="1"/>
  <c r="W1873" i="2"/>
  <c r="E1874" i="2" s="1"/>
  <c r="D1874" i="2" l="1"/>
  <c r="H1874" i="2"/>
  <c r="M1874" i="2" s="1"/>
  <c r="B1874" i="2"/>
  <c r="C1874" i="2"/>
  <c r="I1874" i="2" l="1"/>
  <c r="K1874" i="2"/>
  <c r="J1874" i="2"/>
  <c r="S1874" i="2"/>
  <c r="L1874" i="2"/>
  <c r="N1874" i="2"/>
  <c r="O1874" i="2" s="1"/>
  <c r="P1874" i="2" l="1"/>
  <c r="Q1874" i="2"/>
  <c r="R1874" i="2"/>
  <c r="V1874" i="2" s="1"/>
  <c r="Y1874" i="2" s="1"/>
  <c r="G1875" i="2" s="1"/>
  <c r="U1874" i="2"/>
  <c r="X1874" i="2" s="1"/>
  <c r="F1875" i="2" s="1"/>
  <c r="T1874" i="2"/>
  <c r="W1874" i="2" s="1"/>
  <c r="E1875" i="2" s="1"/>
  <c r="C1875" i="2" l="1"/>
  <c r="D1875" i="2"/>
  <c r="H1875" i="2"/>
  <c r="M1875" i="2" s="1"/>
  <c r="B1875" i="2"/>
  <c r="L1875" i="2" l="1"/>
  <c r="J1875" i="2"/>
  <c r="I1875" i="2"/>
  <c r="K1875" i="2"/>
  <c r="S1875" i="2"/>
  <c r="N1875" i="2"/>
  <c r="O1875" i="2" s="1"/>
  <c r="P1875" i="2" l="1"/>
  <c r="R1875" i="2"/>
  <c r="Q1875" i="2"/>
  <c r="U1875" i="2" s="1"/>
  <c r="X1875" i="2" s="1"/>
  <c r="F1876" i="2" s="1"/>
  <c r="V1875" i="2"/>
  <c r="T1875" i="2"/>
  <c r="W1875" i="2" s="1"/>
  <c r="E1876" i="2" s="1"/>
  <c r="Y1875" i="2"/>
  <c r="G1876" i="2" s="1"/>
  <c r="H1876" i="2" l="1"/>
  <c r="B1876" i="2"/>
  <c r="M1876" i="2"/>
  <c r="C1876" i="2"/>
  <c r="N1876" i="2"/>
  <c r="O1876" i="2" s="1"/>
  <c r="D1876" i="2"/>
  <c r="R1876" i="2" l="1"/>
  <c r="Q1876" i="2"/>
  <c r="I1876" i="2"/>
  <c r="K1876" i="2"/>
  <c r="S1876" i="2"/>
  <c r="J1876" i="2"/>
  <c r="L1876" i="2"/>
  <c r="P1876" i="2" s="1"/>
  <c r="V1876" i="2" l="1"/>
  <c r="Y1876" i="2" s="1"/>
  <c r="G1877" i="2" s="1"/>
  <c r="U1876" i="2"/>
  <c r="X1876" i="2" s="1"/>
  <c r="F1877" i="2" s="1"/>
  <c r="T1876" i="2"/>
  <c r="W1876" i="2" s="1"/>
  <c r="E1877" i="2" s="1"/>
  <c r="H1877" i="2" l="1"/>
  <c r="L1877" i="2" s="1"/>
  <c r="B1877" i="2"/>
  <c r="M1877" i="2"/>
  <c r="C1877" i="2"/>
  <c r="N1877" i="2"/>
  <c r="O1877" i="2" s="1"/>
  <c r="D1877" i="2"/>
  <c r="P1877" i="2" l="1"/>
  <c r="R1877" i="2"/>
  <c r="Q1877" i="2"/>
  <c r="K1877" i="2"/>
  <c r="I1877" i="2"/>
  <c r="S1877" i="2"/>
  <c r="J1877" i="2"/>
  <c r="T1877" i="2" l="1"/>
  <c r="V1877" i="2"/>
  <c r="Y1877" i="2" s="1"/>
  <c r="G1878" i="2" s="1"/>
  <c r="U1877" i="2"/>
  <c r="X1877" i="2" s="1"/>
  <c r="F1878" i="2" s="1"/>
  <c r="W1877" i="2"/>
  <c r="E1878" i="2" s="1"/>
  <c r="C1878" i="2" l="1"/>
  <c r="D1878" i="2"/>
  <c r="H1878" i="2"/>
  <c r="L1878" i="2" s="1"/>
  <c r="B1878" i="2"/>
  <c r="J1878" i="2" l="1"/>
  <c r="K1878" i="2"/>
  <c r="I1878" i="2"/>
  <c r="S1878" i="2"/>
  <c r="N1878" i="2"/>
  <c r="O1878" i="2" s="1"/>
  <c r="M1878" i="2"/>
  <c r="P1878" i="2" l="1"/>
  <c r="R1878" i="2"/>
  <c r="V1878" i="2" s="1"/>
  <c r="Y1878" i="2" s="1"/>
  <c r="G1879" i="2" s="1"/>
  <c r="Q1878" i="2"/>
  <c r="U1878" i="2" s="1"/>
  <c r="X1878" i="2" s="1"/>
  <c r="F1879" i="2" s="1"/>
  <c r="T1878" i="2"/>
  <c r="W1878" i="2" s="1"/>
  <c r="E1879" i="2" s="1"/>
  <c r="H1879" i="2" l="1"/>
  <c r="L1879" i="2"/>
  <c r="B1879" i="2"/>
  <c r="N1879" i="2"/>
  <c r="O1879" i="2" s="1"/>
  <c r="D1879" i="2"/>
  <c r="M1879" i="2"/>
  <c r="C1879" i="2"/>
  <c r="P1879" i="2" l="1"/>
  <c r="R1879" i="2"/>
  <c r="Q1879" i="2"/>
  <c r="I1879" i="2"/>
  <c r="J1879" i="2"/>
  <c r="S1879" i="2"/>
  <c r="K1879" i="2"/>
  <c r="V1879" i="2" l="1"/>
  <c r="Y1879" i="2" s="1"/>
  <c r="G1880" i="2" s="1"/>
  <c r="T1879" i="2"/>
  <c r="W1879" i="2" s="1"/>
  <c r="E1880" i="2" s="1"/>
  <c r="U1879" i="2"/>
  <c r="X1879" i="2" s="1"/>
  <c r="F1880" i="2" s="1"/>
  <c r="H1880" i="2" l="1"/>
  <c r="B1880" i="2"/>
  <c r="C1880" i="2"/>
  <c r="N1880" i="2"/>
  <c r="O1880" i="2" s="1"/>
  <c r="D1880" i="2"/>
  <c r="R1880" i="2" l="1"/>
  <c r="K1880" i="2"/>
  <c r="J1880" i="2"/>
  <c r="I1880" i="2"/>
  <c r="S1880" i="2"/>
  <c r="M1880" i="2"/>
  <c r="Q1880" i="2" s="1"/>
  <c r="L1880" i="2"/>
  <c r="P1880" i="2" s="1"/>
  <c r="V1880" i="2" l="1"/>
  <c r="U1880" i="2"/>
  <c r="X1880" i="2" s="1"/>
  <c r="F1881" i="2" s="1"/>
  <c r="T1880" i="2"/>
  <c r="W1880" i="2" s="1"/>
  <c r="E1881" i="2" s="1"/>
  <c r="Y1880" i="2"/>
  <c r="G1881" i="2" s="1"/>
  <c r="H1881" i="2" l="1"/>
  <c r="L1881" i="2" s="1"/>
  <c r="B1881" i="2"/>
  <c r="M1881" i="2"/>
  <c r="C1881" i="2"/>
  <c r="N1881" i="2"/>
  <c r="O1881" i="2" s="1"/>
  <c r="D1881" i="2"/>
  <c r="P1881" i="2" l="1"/>
  <c r="R1881" i="2"/>
  <c r="Q1881" i="2"/>
  <c r="J1881" i="2"/>
  <c r="I1881" i="2"/>
  <c r="K1881" i="2"/>
  <c r="S1881" i="2"/>
  <c r="V1881" i="2" l="1"/>
  <c r="Y1881" i="2" s="1"/>
  <c r="G1882" i="2" s="1"/>
  <c r="T1881" i="2"/>
  <c r="W1881" i="2" s="1"/>
  <c r="E1882" i="2" s="1"/>
  <c r="U1881" i="2"/>
  <c r="X1881" i="2" s="1"/>
  <c r="F1882" i="2" s="1"/>
  <c r="H1882" i="2" l="1"/>
  <c r="B1882" i="2"/>
  <c r="M1882" i="2"/>
  <c r="C1882" i="2"/>
  <c r="N1882" i="2"/>
  <c r="O1882" i="2" s="1"/>
  <c r="D1882" i="2"/>
  <c r="R1882" i="2" l="1"/>
  <c r="Q1882" i="2"/>
  <c r="K1882" i="2"/>
  <c r="J1882" i="2"/>
  <c r="I1882" i="2"/>
  <c r="S1882" i="2"/>
  <c r="L1882" i="2"/>
  <c r="P1882" i="2" s="1"/>
  <c r="V1882" i="2" l="1"/>
  <c r="U1882" i="2"/>
  <c r="T1882" i="2"/>
  <c r="Y1882" i="2"/>
  <c r="G1883" i="2" s="1"/>
  <c r="W1882" i="2"/>
  <c r="E1883" i="2" s="1"/>
  <c r="X1882" i="2"/>
  <c r="F1883" i="2" s="1"/>
  <c r="H1883" i="2" l="1"/>
  <c r="B1883" i="2"/>
  <c r="M1883" i="2"/>
  <c r="C1883" i="2"/>
  <c r="N1883" i="2"/>
  <c r="O1883" i="2" s="1"/>
  <c r="D1883" i="2"/>
  <c r="R1883" i="2" l="1"/>
  <c r="Q1883" i="2"/>
  <c r="K1883" i="2"/>
  <c r="I1883" i="2"/>
  <c r="J1883" i="2"/>
  <c r="S1883" i="2"/>
  <c r="L1883" i="2"/>
  <c r="P1883" i="2" s="1"/>
  <c r="T1883" i="2" l="1"/>
  <c r="V1883" i="2"/>
  <c r="Y1883" i="2" s="1"/>
  <c r="G1884" i="2" s="1"/>
  <c r="U1883" i="2"/>
  <c r="X1883" i="2" s="1"/>
  <c r="F1884" i="2" s="1"/>
  <c r="W1883" i="2"/>
  <c r="E1884" i="2" s="1"/>
  <c r="D1884" i="2" l="1"/>
  <c r="H1884" i="2"/>
  <c r="M1884" i="2" s="1"/>
  <c r="B1884" i="2"/>
  <c r="C1884" i="2"/>
  <c r="K1884" i="2" l="1"/>
  <c r="J1884" i="2"/>
  <c r="S1884" i="2"/>
  <c r="I1884" i="2"/>
  <c r="L1884" i="2"/>
  <c r="N1884" i="2"/>
  <c r="O1884" i="2" s="1"/>
  <c r="P1884" i="2" l="1"/>
  <c r="R1884" i="2"/>
  <c r="Q1884" i="2"/>
  <c r="U1884" i="2" s="1"/>
  <c r="X1884" i="2" s="1"/>
  <c r="F1885" i="2" s="1"/>
  <c r="V1884" i="2"/>
  <c r="Y1884" i="2" s="1"/>
  <c r="G1885" i="2" s="1"/>
  <c r="T1884" i="2"/>
  <c r="W1884" i="2" s="1"/>
  <c r="E1885" i="2" s="1"/>
  <c r="H1885" i="2" l="1"/>
  <c r="L1885" i="2" s="1"/>
  <c r="B1885" i="2"/>
  <c r="N1885" i="2"/>
  <c r="O1885" i="2" s="1"/>
  <c r="D1885" i="2"/>
  <c r="M1885" i="2"/>
  <c r="C1885" i="2"/>
  <c r="P1885" i="2" l="1"/>
  <c r="R1885" i="2"/>
  <c r="Q1885" i="2"/>
  <c r="I1885" i="2"/>
  <c r="K1885" i="2"/>
  <c r="S1885" i="2"/>
  <c r="J1885" i="2"/>
  <c r="U1885" i="2" l="1"/>
  <c r="X1885" i="2" s="1"/>
  <c r="F1886" i="2" s="1"/>
  <c r="V1885" i="2"/>
  <c r="T1885" i="2"/>
  <c r="W1885" i="2" s="1"/>
  <c r="E1886" i="2" s="1"/>
  <c r="Y1885" i="2"/>
  <c r="G1886" i="2" s="1"/>
  <c r="H1886" i="2" l="1"/>
  <c r="L1886" i="2"/>
  <c r="B1886" i="2"/>
  <c r="M1886" i="2"/>
  <c r="C1886" i="2"/>
  <c r="N1886" i="2"/>
  <c r="O1886" i="2" s="1"/>
  <c r="D1886" i="2"/>
  <c r="P1886" i="2" l="1"/>
  <c r="Q1886" i="2"/>
  <c r="R1886" i="2"/>
  <c r="J1886" i="2"/>
  <c r="I1886" i="2"/>
  <c r="K1886" i="2"/>
  <c r="S1886" i="2"/>
  <c r="U1886" i="2" l="1"/>
  <c r="V1886" i="2"/>
  <c r="T1886" i="2"/>
  <c r="Y1886" i="2"/>
  <c r="G1887" i="2" s="1"/>
  <c r="X1886" i="2"/>
  <c r="F1887" i="2" s="1"/>
  <c r="W1886" i="2"/>
  <c r="E1887" i="2" s="1"/>
  <c r="D1887" i="2" l="1"/>
  <c r="H1887" i="2"/>
  <c r="M1887" i="2" s="1"/>
  <c r="B1887" i="2"/>
  <c r="C1887" i="2"/>
  <c r="K1887" i="2" l="1"/>
  <c r="I1887" i="2"/>
  <c r="J1887" i="2"/>
  <c r="S1887" i="2"/>
  <c r="L1887" i="2"/>
  <c r="N1887" i="2"/>
  <c r="O1887" i="2" s="1"/>
  <c r="P1887" i="2" l="1"/>
  <c r="T1887" i="2" s="1"/>
  <c r="W1887" i="2" s="1"/>
  <c r="E1888" i="2" s="1"/>
  <c r="R1887" i="2"/>
  <c r="Q1887" i="2"/>
  <c r="U1887" i="2" s="1"/>
  <c r="X1887" i="2" s="1"/>
  <c r="F1888" i="2" s="1"/>
  <c r="V1887" i="2"/>
  <c r="Y1887" i="2"/>
  <c r="G1888" i="2" s="1"/>
  <c r="H1888" i="2" l="1"/>
  <c r="M1888" i="2" s="1"/>
  <c r="B1888" i="2"/>
  <c r="C1888" i="2"/>
  <c r="N1888" i="2"/>
  <c r="O1888" i="2" s="1"/>
  <c r="D1888" i="2"/>
  <c r="Q1888" i="2" l="1"/>
  <c r="R1888" i="2"/>
  <c r="K1888" i="2"/>
  <c r="J1888" i="2"/>
  <c r="I1888" i="2"/>
  <c r="S1888" i="2"/>
  <c r="L1888" i="2"/>
  <c r="P1888" i="2" s="1"/>
  <c r="U1888" i="2" l="1"/>
  <c r="X1888" i="2" s="1"/>
  <c r="F1889" i="2" s="1"/>
  <c r="T1888" i="2"/>
  <c r="W1888" i="2" s="1"/>
  <c r="E1889" i="2" s="1"/>
  <c r="V1888" i="2"/>
  <c r="Y1888" i="2" s="1"/>
  <c r="G1889" i="2" s="1"/>
  <c r="H1889" i="2" l="1"/>
  <c r="M1889" i="2" s="1"/>
  <c r="B1889" i="2"/>
  <c r="C1889" i="2"/>
  <c r="N1889" i="2"/>
  <c r="O1889" i="2" s="1"/>
  <c r="D1889" i="2"/>
  <c r="Q1889" i="2" l="1"/>
  <c r="R1889" i="2"/>
  <c r="J1889" i="2"/>
  <c r="I1889" i="2"/>
  <c r="K1889" i="2"/>
  <c r="S1889" i="2"/>
  <c r="L1889" i="2"/>
  <c r="P1889" i="2" s="1"/>
  <c r="V1889" i="2" l="1"/>
  <c r="Y1889" i="2" s="1"/>
  <c r="G1890" i="2" s="1"/>
  <c r="U1889" i="2"/>
  <c r="T1889" i="2"/>
  <c r="W1889" i="2" s="1"/>
  <c r="E1890" i="2" s="1"/>
  <c r="X1889" i="2"/>
  <c r="F1890" i="2" s="1"/>
  <c r="D1890" i="2" l="1"/>
  <c r="C1890" i="2"/>
  <c r="H1890" i="2"/>
  <c r="B1890" i="2"/>
  <c r="K1890" i="2" l="1"/>
  <c r="I1890" i="2"/>
  <c r="J1890" i="2"/>
  <c r="S1890" i="2"/>
  <c r="L1890" i="2"/>
  <c r="M1890" i="2"/>
  <c r="N1890" i="2"/>
  <c r="O1890" i="2" s="1"/>
  <c r="P1890" i="2" l="1"/>
  <c r="T1890" i="2" s="1"/>
  <c r="W1890" i="2" s="1"/>
  <c r="E1891" i="2" s="1"/>
  <c r="Q1890" i="2"/>
  <c r="U1890" i="2" s="1"/>
  <c r="X1890" i="2" s="1"/>
  <c r="F1891" i="2" s="1"/>
  <c r="R1890" i="2"/>
  <c r="V1890" i="2" s="1"/>
  <c r="Y1890" i="2" s="1"/>
  <c r="G1891" i="2" s="1"/>
  <c r="D1891" i="2" l="1"/>
  <c r="C1891" i="2"/>
  <c r="H1891" i="2"/>
  <c r="L1891" i="2" s="1"/>
  <c r="B1891" i="2"/>
  <c r="K1891" i="2" l="1"/>
  <c r="I1891" i="2"/>
  <c r="J1891" i="2"/>
  <c r="S1891" i="2"/>
  <c r="M1891" i="2"/>
  <c r="N1891" i="2"/>
  <c r="O1891" i="2" s="1"/>
  <c r="P1891" i="2" l="1"/>
  <c r="Q1891" i="2"/>
  <c r="R1891" i="2"/>
  <c r="U1891" i="2"/>
  <c r="X1891" i="2" s="1"/>
  <c r="F1892" i="2" s="1"/>
  <c r="V1891" i="2"/>
  <c r="T1891" i="2"/>
  <c r="W1891" i="2" s="1"/>
  <c r="E1892" i="2" s="1"/>
  <c r="Y1891" i="2"/>
  <c r="G1892" i="2" s="1"/>
  <c r="H1892" i="2" l="1"/>
  <c r="L1892" i="2" s="1"/>
  <c r="B1892" i="2"/>
  <c r="M1892" i="2"/>
  <c r="C1892" i="2"/>
  <c r="N1892" i="2"/>
  <c r="O1892" i="2" s="1"/>
  <c r="D1892" i="2"/>
  <c r="P1892" i="2" l="1"/>
  <c r="R1892" i="2"/>
  <c r="Q1892" i="2"/>
  <c r="J1892" i="2"/>
  <c r="K1892" i="2"/>
  <c r="I1892" i="2"/>
  <c r="S1892" i="2"/>
  <c r="U1892" i="2" l="1"/>
  <c r="X1892" i="2" s="1"/>
  <c r="F1893" i="2" s="1"/>
  <c r="V1892" i="2"/>
  <c r="T1892" i="2"/>
  <c r="W1892" i="2"/>
  <c r="E1893" i="2" s="1"/>
  <c r="Y1892" i="2"/>
  <c r="G1893" i="2" s="1"/>
  <c r="C1893" i="2" l="1"/>
  <c r="D1893" i="2"/>
  <c r="H1893" i="2"/>
  <c r="L1893" i="2" s="1"/>
  <c r="B1893" i="2"/>
  <c r="I1893" i="2" l="1"/>
  <c r="J1893" i="2"/>
  <c r="K1893" i="2"/>
  <c r="S1893" i="2"/>
  <c r="N1893" i="2"/>
  <c r="O1893" i="2" s="1"/>
  <c r="M1893" i="2"/>
  <c r="P1893" i="2" l="1"/>
  <c r="T1893" i="2" s="1"/>
  <c r="W1893" i="2" s="1"/>
  <c r="E1894" i="2" s="1"/>
  <c r="R1893" i="2"/>
  <c r="V1893" i="2" s="1"/>
  <c r="Y1893" i="2" s="1"/>
  <c r="G1894" i="2" s="1"/>
  <c r="Q1893" i="2"/>
  <c r="U1893" i="2" s="1"/>
  <c r="X1893" i="2" s="1"/>
  <c r="F1894" i="2" s="1"/>
  <c r="C1894" i="2" l="1"/>
  <c r="D1894" i="2"/>
  <c r="H1894" i="2"/>
  <c r="B1894" i="2"/>
  <c r="K1894" i="2" l="1"/>
  <c r="J1894" i="2"/>
  <c r="I1894" i="2"/>
  <c r="S1894" i="2"/>
  <c r="L1894" i="2"/>
  <c r="N1894" i="2"/>
  <c r="O1894" i="2" s="1"/>
  <c r="M1894" i="2"/>
  <c r="P1894" i="2" l="1"/>
  <c r="R1894" i="2"/>
  <c r="Q1894" i="2"/>
  <c r="U1894" i="2" s="1"/>
  <c r="X1894" i="2" s="1"/>
  <c r="F1895" i="2" s="1"/>
  <c r="T1894" i="2"/>
  <c r="W1894" i="2" s="1"/>
  <c r="E1895" i="2" s="1"/>
  <c r="V1894" i="2"/>
  <c r="Y1894" i="2"/>
  <c r="G1895" i="2" s="1"/>
  <c r="H1895" i="2" l="1"/>
  <c r="L1895" i="2" s="1"/>
  <c r="B1895" i="2"/>
  <c r="M1895" i="2"/>
  <c r="C1895" i="2"/>
  <c r="N1895" i="2"/>
  <c r="O1895" i="2" s="1"/>
  <c r="D1895" i="2"/>
  <c r="P1895" i="2" l="1"/>
  <c r="Q1895" i="2"/>
  <c r="R1895" i="2"/>
  <c r="I1895" i="2"/>
  <c r="J1895" i="2"/>
  <c r="S1895" i="2"/>
  <c r="K1895" i="2"/>
  <c r="V1895" i="2" l="1"/>
  <c r="U1895" i="2"/>
  <c r="T1895" i="2"/>
  <c r="X1895" i="2"/>
  <c r="F1896" i="2" s="1"/>
  <c r="Y1895" i="2"/>
  <c r="G1896" i="2" s="1"/>
  <c r="W1895" i="2"/>
  <c r="E1896" i="2" s="1"/>
  <c r="H1896" i="2" l="1"/>
  <c r="B1896" i="2"/>
  <c r="M1896" i="2"/>
  <c r="C1896" i="2"/>
  <c r="N1896" i="2"/>
  <c r="O1896" i="2" s="1"/>
  <c r="D1896" i="2"/>
  <c r="Q1896" i="2" l="1"/>
  <c r="R1896" i="2"/>
  <c r="K1896" i="2"/>
  <c r="J1896" i="2"/>
  <c r="I1896" i="2"/>
  <c r="S1896" i="2"/>
  <c r="L1896" i="2"/>
  <c r="P1896" i="2" s="1"/>
  <c r="T1896" i="2" l="1"/>
  <c r="W1896" i="2" s="1"/>
  <c r="E1897" i="2" s="1"/>
  <c r="V1896" i="2"/>
  <c r="U1896" i="2"/>
  <c r="X1896" i="2" s="1"/>
  <c r="F1897" i="2" s="1"/>
  <c r="Y1896" i="2"/>
  <c r="G1897" i="2" s="1"/>
  <c r="C1897" i="2" l="1"/>
  <c r="H1897" i="2"/>
  <c r="B1897" i="2"/>
  <c r="D1897" i="2"/>
  <c r="K1897" i="2" l="1"/>
  <c r="J1897" i="2"/>
  <c r="I1897" i="2"/>
  <c r="S1897" i="2"/>
  <c r="N1897" i="2"/>
  <c r="O1897" i="2" s="1"/>
  <c r="L1897" i="2"/>
  <c r="M1897" i="2"/>
  <c r="Q1897" i="2" l="1"/>
  <c r="P1897" i="2"/>
  <c r="R1897" i="2"/>
  <c r="V1897" i="2" s="1"/>
  <c r="Y1897" i="2" s="1"/>
  <c r="G1898" i="2" s="1"/>
  <c r="T1897" i="2"/>
  <c r="U1897" i="2"/>
  <c r="X1897" i="2" s="1"/>
  <c r="F1898" i="2" s="1"/>
  <c r="W1897" i="2"/>
  <c r="E1898" i="2" s="1"/>
  <c r="C1898" i="2" l="1"/>
  <c r="D1898" i="2"/>
  <c r="H1898" i="2"/>
  <c r="L1898" i="2" s="1"/>
  <c r="B1898" i="2"/>
  <c r="J1898" i="2" l="1"/>
  <c r="K1898" i="2"/>
  <c r="I1898" i="2"/>
  <c r="S1898" i="2"/>
  <c r="N1898" i="2"/>
  <c r="O1898" i="2" s="1"/>
  <c r="M1898" i="2"/>
  <c r="Q1898" i="2" l="1"/>
  <c r="U1898" i="2" s="1"/>
  <c r="X1898" i="2" s="1"/>
  <c r="F1899" i="2" s="1"/>
  <c r="R1898" i="2"/>
  <c r="V1898" i="2" s="1"/>
  <c r="Y1898" i="2" s="1"/>
  <c r="G1899" i="2" s="1"/>
  <c r="P1898" i="2"/>
  <c r="T1898" i="2" s="1"/>
  <c r="W1898" i="2" s="1"/>
  <c r="E1899" i="2" s="1"/>
  <c r="D1899" i="2" l="1"/>
  <c r="H1899" i="2"/>
  <c r="L1899" i="2" s="1"/>
  <c r="B1899" i="2"/>
  <c r="C1899" i="2"/>
  <c r="M1899" i="2" l="1"/>
  <c r="K1899" i="2"/>
  <c r="I1899" i="2"/>
  <c r="S1899" i="2"/>
  <c r="J1899" i="2"/>
  <c r="N1899" i="2"/>
  <c r="O1899" i="2" s="1"/>
  <c r="R1899" i="2" l="1"/>
  <c r="Q1899" i="2"/>
  <c r="U1899" i="2" s="1"/>
  <c r="X1899" i="2" s="1"/>
  <c r="F1900" i="2" s="1"/>
  <c r="P1899" i="2"/>
  <c r="T1899" i="2" s="1"/>
  <c r="W1899" i="2" s="1"/>
  <c r="E1900" i="2" s="1"/>
  <c r="V1899" i="2"/>
  <c r="Y1899" i="2"/>
  <c r="G1900" i="2" s="1"/>
  <c r="H1900" i="2" l="1"/>
  <c r="B1900" i="2"/>
  <c r="M1900" i="2"/>
  <c r="C1900" i="2"/>
  <c r="N1900" i="2"/>
  <c r="O1900" i="2" s="1"/>
  <c r="D1900" i="2"/>
  <c r="R1900" i="2" l="1"/>
  <c r="Q1900" i="2"/>
  <c r="I1900" i="2"/>
  <c r="K1900" i="2"/>
  <c r="J1900" i="2"/>
  <c r="S1900" i="2"/>
  <c r="L1900" i="2"/>
  <c r="P1900" i="2" s="1"/>
  <c r="U1900" i="2" l="1"/>
  <c r="T1900" i="2"/>
  <c r="V1900" i="2"/>
  <c r="Y1900" i="2" s="1"/>
  <c r="G1901" i="2" s="1"/>
  <c r="X1900" i="2"/>
  <c r="F1901" i="2" s="1"/>
  <c r="W1900" i="2"/>
  <c r="E1901" i="2" s="1"/>
  <c r="D1901" i="2" l="1"/>
  <c r="H1901" i="2"/>
  <c r="M1901" i="2" s="1"/>
  <c r="B1901" i="2"/>
  <c r="C1901" i="2"/>
  <c r="J1901" i="2" l="1"/>
  <c r="K1901" i="2"/>
  <c r="I1901" i="2"/>
  <c r="S1901" i="2"/>
  <c r="L1901" i="2"/>
  <c r="N1901" i="2"/>
  <c r="O1901" i="2" s="1"/>
  <c r="Q1901" i="2" l="1"/>
  <c r="U1901" i="2" s="1"/>
  <c r="X1901" i="2" s="1"/>
  <c r="F1902" i="2" s="1"/>
  <c r="P1901" i="2"/>
  <c r="T1901" i="2" s="1"/>
  <c r="W1901" i="2" s="1"/>
  <c r="E1902" i="2" s="1"/>
  <c r="R1901" i="2"/>
  <c r="V1901" i="2" s="1"/>
  <c r="Y1901" i="2" s="1"/>
  <c r="G1902" i="2" s="1"/>
  <c r="H1902" i="2" l="1"/>
  <c r="B1902" i="2"/>
  <c r="N1902" i="2"/>
  <c r="O1902" i="2" s="1"/>
  <c r="D1902" i="2"/>
  <c r="M1902" i="2"/>
  <c r="C1902" i="2"/>
  <c r="Q1902" i="2" l="1"/>
  <c r="R1902" i="2"/>
  <c r="I1902" i="2"/>
  <c r="J1902" i="2"/>
  <c r="K1902" i="2"/>
  <c r="S1902" i="2"/>
  <c r="L1902" i="2"/>
  <c r="P1902" i="2" s="1"/>
  <c r="U1902" i="2" l="1"/>
  <c r="T1902" i="2"/>
  <c r="V1902" i="2"/>
  <c r="Y1902" i="2" s="1"/>
  <c r="G1903" i="2" s="1"/>
  <c r="X1902" i="2"/>
  <c r="F1903" i="2" s="1"/>
  <c r="W1902" i="2"/>
  <c r="E1903" i="2" s="1"/>
  <c r="D1903" i="2" l="1"/>
  <c r="H1903" i="2"/>
  <c r="B1903" i="2"/>
  <c r="C1903" i="2"/>
  <c r="I1903" i="2" l="1"/>
  <c r="K1903" i="2"/>
  <c r="J1903" i="2"/>
  <c r="S1903" i="2"/>
  <c r="M1903" i="2"/>
  <c r="L1903" i="2"/>
  <c r="N1903" i="2"/>
  <c r="O1903" i="2" s="1"/>
  <c r="R1903" i="2" l="1"/>
  <c r="Q1903" i="2"/>
  <c r="P1903" i="2"/>
  <c r="V1903" i="2"/>
  <c r="Y1903" i="2" s="1"/>
  <c r="G1904" i="2" s="1"/>
  <c r="U1903" i="2"/>
  <c r="T1903" i="2"/>
  <c r="W1903" i="2" s="1"/>
  <c r="E1904" i="2" s="1"/>
  <c r="X1903" i="2"/>
  <c r="F1904" i="2" s="1"/>
  <c r="D1904" i="2" l="1"/>
  <c r="C1904" i="2"/>
  <c r="H1904" i="2"/>
  <c r="B1904" i="2"/>
  <c r="I1904" i="2" l="1"/>
  <c r="K1904" i="2"/>
  <c r="J1904" i="2"/>
  <c r="S1904" i="2"/>
  <c r="L1904" i="2"/>
  <c r="M1904" i="2"/>
  <c r="N1904" i="2"/>
  <c r="O1904" i="2" s="1"/>
  <c r="Q1904" i="2" l="1"/>
  <c r="P1904" i="2"/>
  <c r="T1904" i="2" s="1"/>
  <c r="W1904" i="2" s="1"/>
  <c r="E1905" i="2" s="1"/>
  <c r="R1904" i="2"/>
  <c r="V1904" i="2" s="1"/>
  <c r="Y1904" i="2" s="1"/>
  <c r="G1905" i="2" s="1"/>
  <c r="U1904" i="2"/>
  <c r="X1904" i="2"/>
  <c r="F1905" i="2" s="1"/>
  <c r="H1905" i="2" l="1"/>
  <c r="B1905" i="2"/>
  <c r="N1905" i="2"/>
  <c r="O1905" i="2" s="1"/>
  <c r="D1905" i="2"/>
  <c r="M1905" i="2"/>
  <c r="C1905" i="2"/>
  <c r="R1905" i="2" l="1"/>
  <c r="Q1905" i="2"/>
  <c r="K1905" i="2"/>
  <c r="I1905" i="2"/>
  <c r="J1905" i="2"/>
  <c r="S1905" i="2"/>
  <c r="L1905" i="2"/>
  <c r="P1905" i="2" s="1"/>
  <c r="V1905" i="2" l="1"/>
  <c r="U1905" i="2"/>
  <c r="T1905" i="2"/>
  <c r="W1905" i="2" s="1"/>
  <c r="E1906" i="2" s="1"/>
  <c r="X1905" i="2"/>
  <c r="F1906" i="2" s="1"/>
  <c r="Y1905" i="2"/>
  <c r="G1906" i="2" s="1"/>
  <c r="H1906" i="2" l="1"/>
  <c r="B1906" i="2"/>
  <c r="N1906" i="2"/>
  <c r="O1906" i="2" s="1"/>
  <c r="D1906" i="2"/>
  <c r="M1906" i="2"/>
  <c r="C1906" i="2"/>
  <c r="R1906" i="2" l="1"/>
  <c r="Q1906" i="2"/>
  <c r="K1906" i="2"/>
  <c r="J1906" i="2"/>
  <c r="I1906" i="2"/>
  <c r="S1906" i="2"/>
  <c r="L1906" i="2"/>
  <c r="P1906" i="2" s="1"/>
  <c r="U1906" i="2" l="1"/>
  <c r="T1906" i="2"/>
  <c r="V1906" i="2"/>
  <c r="X1906" i="2"/>
  <c r="F1907" i="2" s="1"/>
  <c r="W1906" i="2"/>
  <c r="E1907" i="2" s="1"/>
  <c r="Y1906" i="2"/>
  <c r="G1907" i="2" s="1"/>
  <c r="H1907" i="2" l="1"/>
  <c r="B1907" i="2"/>
  <c r="N1907" i="2"/>
  <c r="O1907" i="2" s="1"/>
  <c r="D1907" i="2"/>
  <c r="M1907" i="2"/>
  <c r="C1907" i="2"/>
  <c r="R1907" i="2" l="1"/>
  <c r="Q1907" i="2"/>
  <c r="J1907" i="2"/>
  <c r="I1907" i="2"/>
  <c r="K1907" i="2"/>
  <c r="S1907" i="2"/>
  <c r="L1907" i="2"/>
  <c r="P1907" i="2" s="1"/>
  <c r="V1907" i="2" l="1"/>
  <c r="U1907" i="2"/>
  <c r="T1907" i="2"/>
  <c r="W1907" i="2" s="1"/>
  <c r="E1908" i="2" s="1"/>
  <c r="Y1907" i="2"/>
  <c r="G1908" i="2" s="1"/>
  <c r="X1907" i="2"/>
  <c r="F1908" i="2" s="1"/>
  <c r="H1908" i="2" l="1"/>
  <c r="B1908" i="2"/>
  <c r="M1908" i="2"/>
  <c r="C1908" i="2"/>
  <c r="N1908" i="2"/>
  <c r="O1908" i="2" s="1"/>
  <c r="D1908" i="2"/>
  <c r="Q1908" i="2" l="1"/>
  <c r="R1908" i="2"/>
  <c r="K1908" i="2"/>
  <c r="I1908" i="2"/>
  <c r="S1908" i="2"/>
  <c r="J1908" i="2"/>
  <c r="L1908" i="2"/>
  <c r="P1908" i="2" s="1"/>
  <c r="U1908" i="2" l="1"/>
  <c r="X1908" i="2" s="1"/>
  <c r="F1909" i="2" s="1"/>
  <c r="T1908" i="2"/>
  <c r="W1908" i="2" s="1"/>
  <c r="E1909" i="2" s="1"/>
  <c r="V1908" i="2"/>
  <c r="Y1908" i="2" s="1"/>
  <c r="G1909" i="2" s="1"/>
  <c r="H1909" i="2" l="1"/>
  <c r="B1909" i="2"/>
  <c r="M1909" i="2"/>
  <c r="C1909" i="2"/>
  <c r="N1909" i="2"/>
  <c r="O1909" i="2" s="1"/>
  <c r="D1909" i="2"/>
  <c r="R1909" i="2" l="1"/>
  <c r="Q1909" i="2"/>
  <c r="I1909" i="2"/>
  <c r="K1909" i="2"/>
  <c r="S1909" i="2"/>
  <c r="J1909" i="2"/>
  <c r="L1909" i="2"/>
  <c r="P1909" i="2" s="1"/>
  <c r="T1909" i="2" l="1"/>
  <c r="V1909" i="2"/>
  <c r="U1909" i="2"/>
  <c r="X1909" i="2" s="1"/>
  <c r="F1910" i="2" s="1"/>
  <c r="Y1909" i="2"/>
  <c r="G1910" i="2" s="1"/>
  <c r="W1909" i="2"/>
  <c r="E1910" i="2" s="1"/>
  <c r="C1910" i="2" l="1"/>
  <c r="H1910" i="2"/>
  <c r="B1910" i="2"/>
  <c r="N1910" i="2"/>
  <c r="O1910" i="2" s="1"/>
  <c r="D1910" i="2"/>
  <c r="J1910" i="2" l="1"/>
  <c r="I1910" i="2"/>
  <c r="K1910" i="2"/>
  <c r="S1910" i="2"/>
  <c r="R1910" i="2"/>
  <c r="L1910" i="2"/>
  <c r="P1910" i="2" s="1"/>
  <c r="M1910" i="2"/>
  <c r="Q1910" i="2" s="1"/>
  <c r="U1910" i="2" l="1"/>
  <c r="T1910" i="2"/>
  <c r="W1910" i="2" s="1"/>
  <c r="E1911" i="2" s="1"/>
  <c r="V1910" i="2"/>
  <c r="Y1910" i="2" s="1"/>
  <c r="G1911" i="2" s="1"/>
  <c r="X1910" i="2"/>
  <c r="F1911" i="2" s="1"/>
  <c r="H1911" i="2" l="1"/>
  <c r="L1911" i="2"/>
  <c r="B1911" i="2"/>
  <c r="M1911" i="2"/>
  <c r="C1911" i="2"/>
  <c r="N1911" i="2"/>
  <c r="O1911" i="2" s="1"/>
  <c r="D1911" i="2"/>
  <c r="R1911" i="2" l="1"/>
  <c r="Q1911" i="2"/>
  <c r="P1911" i="2"/>
  <c r="K1911" i="2"/>
  <c r="J1911" i="2"/>
  <c r="S1911" i="2"/>
  <c r="I1911" i="2"/>
  <c r="V1911" i="2" l="1"/>
  <c r="Y1911" i="2" s="1"/>
  <c r="G1912" i="2" s="1"/>
  <c r="T1911" i="2"/>
  <c r="U1911" i="2"/>
  <c r="W1911" i="2"/>
  <c r="E1912" i="2" s="1"/>
  <c r="X1911" i="2"/>
  <c r="F1912" i="2" s="1"/>
  <c r="D1912" i="2" l="1"/>
  <c r="C1912" i="2"/>
  <c r="H1912" i="2"/>
  <c r="B1912" i="2"/>
  <c r="J1912" i="2" l="1"/>
  <c r="I1912" i="2"/>
  <c r="S1912" i="2"/>
  <c r="K1912" i="2"/>
  <c r="L1912" i="2"/>
  <c r="M1912" i="2"/>
  <c r="N1912" i="2"/>
  <c r="O1912" i="2" s="1"/>
  <c r="P1912" i="2" l="1"/>
  <c r="T1912" i="2" s="1"/>
  <c r="W1912" i="2" s="1"/>
  <c r="E1913" i="2" s="1"/>
  <c r="R1912" i="2"/>
  <c r="V1912" i="2" s="1"/>
  <c r="Y1912" i="2" s="1"/>
  <c r="G1913" i="2" s="1"/>
  <c r="Q1912" i="2"/>
  <c r="U1912" i="2" s="1"/>
  <c r="X1912" i="2" s="1"/>
  <c r="F1913" i="2" s="1"/>
  <c r="C1913" i="2" l="1"/>
  <c r="D1913" i="2"/>
  <c r="H1913" i="2"/>
  <c r="B1913" i="2"/>
  <c r="I1913" i="2" l="1"/>
  <c r="K1913" i="2"/>
  <c r="J1913" i="2"/>
  <c r="S1913" i="2"/>
  <c r="N1913" i="2"/>
  <c r="O1913" i="2" s="1"/>
  <c r="L1913" i="2"/>
  <c r="M1913" i="2"/>
  <c r="R1913" i="2" l="1"/>
  <c r="Q1913" i="2"/>
  <c r="P1913" i="2"/>
  <c r="V1913" i="2"/>
  <c r="Y1913" i="2" s="1"/>
  <c r="G1914" i="2" s="1"/>
  <c r="U1913" i="2"/>
  <c r="T1913" i="2"/>
  <c r="X1913" i="2"/>
  <c r="F1914" i="2" s="1"/>
  <c r="W1913" i="2"/>
  <c r="E1914" i="2" s="1"/>
  <c r="D1914" i="2" l="1"/>
  <c r="H1914" i="2"/>
  <c r="M1914" i="2" s="1"/>
  <c r="B1914" i="2"/>
  <c r="C1914" i="2"/>
  <c r="K1914" i="2" l="1"/>
  <c r="I1914" i="2"/>
  <c r="J1914" i="2"/>
  <c r="S1914" i="2"/>
  <c r="L1914" i="2"/>
  <c r="N1914" i="2"/>
  <c r="O1914" i="2" s="1"/>
  <c r="Q1914" i="2" l="1"/>
  <c r="U1914" i="2" s="1"/>
  <c r="X1914" i="2" s="1"/>
  <c r="F1915" i="2" s="1"/>
  <c r="P1914" i="2"/>
  <c r="T1914" i="2" s="1"/>
  <c r="W1914" i="2" s="1"/>
  <c r="E1915" i="2" s="1"/>
  <c r="R1914" i="2"/>
  <c r="V1914" i="2" s="1"/>
  <c r="Y1914" i="2" s="1"/>
  <c r="G1915" i="2" s="1"/>
  <c r="D1915" i="2" l="1"/>
  <c r="H1915" i="2"/>
  <c r="L1915" i="2" s="1"/>
  <c r="B1915" i="2"/>
  <c r="C1915" i="2"/>
  <c r="M1915" i="2" l="1"/>
  <c r="I1915" i="2"/>
  <c r="J1915" i="2"/>
  <c r="K1915" i="2"/>
  <c r="S1915" i="2"/>
  <c r="N1915" i="2"/>
  <c r="O1915" i="2" s="1"/>
  <c r="Q1915" i="2" l="1"/>
  <c r="P1915" i="2"/>
  <c r="T1915" i="2" s="1"/>
  <c r="W1915" i="2" s="1"/>
  <c r="E1916" i="2" s="1"/>
  <c r="R1915" i="2"/>
  <c r="V1915" i="2" s="1"/>
  <c r="Y1915" i="2" s="1"/>
  <c r="G1916" i="2" s="1"/>
  <c r="U1915" i="2"/>
  <c r="X1915" i="2"/>
  <c r="F1916" i="2" s="1"/>
  <c r="H1916" i="2" l="1"/>
  <c r="B1916" i="2"/>
  <c r="M1916" i="2"/>
  <c r="C1916" i="2"/>
  <c r="N1916" i="2"/>
  <c r="O1916" i="2" s="1"/>
  <c r="D1916" i="2"/>
  <c r="K1916" i="2" l="1"/>
  <c r="J1916" i="2"/>
  <c r="I1916" i="2"/>
  <c r="S1916" i="2"/>
  <c r="Q1916" i="2"/>
  <c r="R1916" i="2"/>
  <c r="L1916" i="2"/>
  <c r="P1916" i="2" s="1"/>
  <c r="U1916" i="2" l="1"/>
  <c r="T1916" i="2"/>
  <c r="W1916" i="2" s="1"/>
  <c r="E1917" i="2" s="1"/>
  <c r="V1916" i="2"/>
  <c r="Y1916" i="2" s="1"/>
  <c r="G1917" i="2" s="1"/>
  <c r="X1916" i="2"/>
  <c r="F1917" i="2" s="1"/>
  <c r="D1917" i="2" l="1"/>
  <c r="H1917" i="2"/>
  <c r="L1917" i="2" s="1"/>
  <c r="B1917" i="2"/>
  <c r="C1917" i="2"/>
  <c r="M1917" i="2" l="1"/>
  <c r="K1917" i="2"/>
  <c r="I1917" i="2"/>
  <c r="J1917" i="2"/>
  <c r="S1917" i="2"/>
  <c r="N1917" i="2"/>
  <c r="O1917" i="2" s="1"/>
  <c r="P1917" i="2" l="1"/>
  <c r="R1917" i="2"/>
  <c r="Q1917" i="2"/>
  <c r="U1917" i="2" s="1"/>
  <c r="X1917" i="2" s="1"/>
  <c r="F1918" i="2" s="1"/>
  <c r="T1917" i="2"/>
  <c r="W1917" i="2" s="1"/>
  <c r="E1918" i="2" s="1"/>
  <c r="V1917" i="2"/>
  <c r="Y1917" i="2"/>
  <c r="G1918" i="2" s="1"/>
  <c r="C1918" i="2" l="1"/>
  <c r="D1918" i="2"/>
  <c r="H1918" i="2"/>
  <c r="L1918" i="2" s="1"/>
  <c r="B1918" i="2"/>
  <c r="J1918" i="2" l="1"/>
  <c r="K1918" i="2"/>
  <c r="S1918" i="2"/>
  <c r="I1918" i="2"/>
  <c r="N1918" i="2"/>
  <c r="O1918" i="2" s="1"/>
  <c r="M1918" i="2"/>
  <c r="P1918" i="2" l="1"/>
  <c r="Q1918" i="2"/>
  <c r="U1918" i="2" s="1"/>
  <c r="X1918" i="2" s="1"/>
  <c r="F1919" i="2" s="1"/>
  <c r="R1918" i="2"/>
  <c r="V1918" i="2" s="1"/>
  <c r="Y1918" i="2" s="1"/>
  <c r="G1919" i="2" s="1"/>
  <c r="T1918" i="2"/>
  <c r="W1918" i="2" s="1"/>
  <c r="E1919" i="2" s="1"/>
  <c r="H1919" i="2" l="1"/>
  <c r="L1919" i="2" s="1"/>
  <c r="B1919" i="2"/>
  <c r="M1919" i="2"/>
  <c r="C1919" i="2"/>
  <c r="N1919" i="2"/>
  <c r="O1919" i="2" s="1"/>
  <c r="D1919" i="2"/>
  <c r="R1919" i="2" l="1"/>
  <c r="Q1919" i="2"/>
  <c r="P1919" i="2"/>
  <c r="J1919" i="2"/>
  <c r="K1919" i="2"/>
  <c r="I1919" i="2"/>
  <c r="S1919" i="2"/>
  <c r="T1919" i="2" l="1"/>
  <c r="V1919" i="2"/>
  <c r="Y1919" i="2" s="1"/>
  <c r="G1920" i="2" s="1"/>
  <c r="U1919" i="2"/>
  <c r="W1919" i="2"/>
  <c r="E1920" i="2" s="1"/>
  <c r="X1919" i="2"/>
  <c r="F1920" i="2" s="1"/>
  <c r="D1920" i="2" l="1"/>
  <c r="C1920" i="2"/>
  <c r="H1920" i="2"/>
  <c r="B1920" i="2"/>
  <c r="K1920" i="2" l="1"/>
  <c r="I1920" i="2"/>
  <c r="J1920" i="2"/>
  <c r="S1920" i="2"/>
  <c r="L1920" i="2"/>
  <c r="M1920" i="2"/>
  <c r="N1920" i="2"/>
  <c r="O1920" i="2" s="1"/>
  <c r="P1920" i="2" l="1"/>
  <c r="T1920" i="2" s="1"/>
  <c r="W1920" i="2" s="1"/>
  <c r="E1921" i="2" s="1"/>
  <c r="R1920" i="2"/>
  <c r="V1920" i="2" s="1"/>
  <c r="Y1920" i="2" s="1"/>
  <c r="G1921" i="2" s="1"/>
  <c r="Q1920" i="2"/>
  <c r="U1920" i="2" s="1"/>
  <c r="X1920" i="2" s="1"/>
  <c r="F1921" i="2" s="1"/>
  <c r="D1921" i="2" l="1"/>
  <c r="C1921" i="2"/>
  <c r="H1921" i="2"/>
  <c r="L1921" i="2" s="1"/>
  <c r="B1921" i="2"/>
  <c r="J1921" i="2" l="1"/>
  <c r="K1921" i="2"/>
  <c r="S1921" i="2"/>
  <c r="I1921" i="2"/>
  <c r="M1921" i="2"/>
  <c r="N1921" i="2"/>
  <c r="O1921" i="2" s="1"/>
  <c r="R1921" i="2" l="1"/>
  <c r="V1921" i="2" s="1"/>
  <c r="Y1921" i="2" s="1"/>
  <c r="G1922" i="2" s="1"/>
  <c r="Q1921" i="2"/>
  <c r="U1921" i="2" s="1"/>
  <c r="X1921" i="2" s="1"/>
  <c r="F1922" i="2" s="1"/>
  <c r="P1921" i="2"/>
  <c r="T1921" i="2" s="1"/>
  <c r="W1921" i="2" s="1"/>
  <c r="E1922" i="2" s="1"/>
  <c r="H1922" i="2" l="1"/>
  <c r="M1922" i="2" s="1"/>
  <c r="B1922" i="2"/>
  <c r="C1922" i="2"/>
  <c r="N1922" i="2"/>
  <c r="O1922" i="2" s="1"/>
  <c r="D1922" i="2"/>
  <c r="Q1922" i="2" l="1"/>
  <c r="R1922" i="2"/>
  <c r="I1922" i="2"/>
  <c r="J1922" i="2"/>
  <c r="S1922" i="2"/>
  <c r="K1922" i="2"/>
  <c r="L1922" i="2"/>
  <c r="P1922" i="2" s="1"/>
  <c r="V1922" i="2" l="1"/>
  <c r="Y1922" i="2" s="1"/>
  <c r="G1923" i="2" s="1"/>
  <c r="U1922" i="2"/>
  <c r="X1922" i="2" s="1"/>
  <c r="F1923" i="2" s="1"/>
  <c r="T1922" i="2"/>
  <c r="W1922" i="2" s="1"/>
  <c r="E1923" i="2" s="1"/>
  <c r="C1923" i="2" l="1"/>
  <c r="H1923" i="2"/>
  <c r="M1923" i="2" s="1"/>
  <c r="B1923" i="2"/>
  <c r="D1923" i="2"/>
  <c r="N1923" i="2" l="1"/>
  <c r="O1923" i="2" s="1"/>
  <c r="R1923" i="2"/>
  <c r="Q1923" i="2"/>
  <c r="L1923" i="2"/>
  <c r="P1923" i="2" s="1"/>
  <c r="I1923" i="2"/>
  <c r="K1923" i="2"/>
  <c r="J1923" i="2"/>
  <c r="S1923" i="2"/>
  <c r="V1923" i="2" l="1"/>
  <c r="U1923" i="2"/>
  <c r="X1923" i="2" s="1"/>
  <c r="F1924" i="2" s="1"/>
  <c r="T1923" i="2"/>
  <c r="W1923" i="2" s="1"/>
  <c r="E1924" i="2" s="1"/>
  <c r="Y1923" i="2"/>
  <c r="G1924" i="2" s="1"/>
  <c r="H1924" i="2" l="1"/>
  <c r="L1924" i="2" s="1"/>
  <c r="B1924" i="2"/>
  <c r="C1924" i="2"/>
  <c r="N1924" i="2"/>
  <c r="O1924" i="2" s="1"/>
  <c r="D1924" i="2"/>
  <c r="M1924" i="2" l="1"/>
  <c r="Q1924" i="2"/>
  <c r="P1924" i="2"/>
  <c r="R1924" i="2"/>
  <c r="J1924" i="2"/>
  <c r="I1924" i="2"/>
  <c r="S1924" i="2"/>
  <c r="K1924" i="2"/>
  <c r="U1924" i="2" l="1"/>
  <c r="T1924" i="2"/>
  <c r="W1924" i="2" s="1"/>
  <c r="E1925" i="2" s="1"/>
  <c r="V1924" i="2"/>
  <c r="Y1924" i="2" s="1"/>
  <c r="G1925" i="2" s="1"/>
  <c r="X1924" i="2"/>
  <c r="F1925" i="2" s="1"/>
  <c r="D1925" i="2" l="1"/>
  <c r="H1925" i="2"/>
  <c r="B1925" i="2"/>
  <c r="M1925" i="2"/>
  <c r="C1925" i="2"/>
  <c r="J1925" i="2" l="1"/>
  <c r="I1925" i="2"/>
  <c r="K1925" i="2"/>
  <c r="S1925" i="2"/>
  <c r="L1925" i="2"/>
  <c r="N1925" i="2"/>
  <c r="O1925" i="2" s="1"/>
  <c r="R1925" i="2" l="1"/>
  <c r="Q1925" i="2"/>
  <c r="P1925" i="2"/>
  <c r="T1925" i="2" s="1"/>
  <c r="W1925" i="2" s="1"/>
  <c r="E1926" i="2" s="1"/>
  <c r="V1925" i="2"/>
  <c r="Y1925" i="2" s="1"/>
  <c r="G1926" i="2" s="1"/>
  <c r="U1925" i="2"/>
  <c r="X1925" i="2"/>
  <c r="F1926" i="2" s="1"/>
  <c r="H1926" i="2" l="1"/>
  <c r="B1926" i="2"/>
  <c r="N1926" i="2"/>
  <c r="O1926" i="2" s="1"/>
  <c r="D1926" i="2"/>
  <c r="M1926" i="2"/>
  <c r="C1926" i="2"/>
  <c r="Q1926" i="2" l="1"/>
  <c r="R1926" i="2"/>
  <c r="K1926" i="2"/>
  <c r="J1926" i="2"/>
  <c r="S1926" i="2"/>
  <c r="I1926" i="2"/>
  <c r="L1926" i="2"/>
  <c r="P1926" i="2" s="1"/>
  <c r="U1926" i="2" l="1"/>
  <c r="T1926" i="2"/>
  <c r="W1926" i="2" s="1"/>
  <c r="E1927" i="2" s="1"/>
  <c r="V1926" i="2"/>
  <c r="Y1926" i="2" s="1"/>
  <c r="G1927" i="2" s="1"/>
  <c r="X1926" i="2"/>
  <c r="F1927" i="2" s="1"/>
  <c r="D1927" i="2" l="1"/>
  <c r="H1927" i="2"/>
  <c r="M1927" i="2" s="1"/>
  <c r="B1927" i="2"/>
  <c r="C1927" i="2"/>
  <c r="J1927" i="2" l="1"/>
  <c r="I1927" i="2"/>
  <c r="K1927" i="2"/>
  <c r="S1927" i="2"/>
  <c r="L1927" i="2"/>
  <c r="N1927" i="2"/>
  <c r="O1927" i="2" s="1"/>
  <c r="R1927" i="2" l="1"/>
  <c r="Q1927" i="2"/>
  <c r="U1927" i="2" s="1"/>
  <c r="X1927" i="2" s="1"/>
  <c r="F1928" i="2" s="1"/>
  <c r="P1927" i="2"/>
  <c r="T1927" i="2" s="1"/>
  <c r="W1927" i="2" s="1"/>
  <c r="E1928" i="2" s="1"/>
  <c r="V1927" i="2"/>
  <c r="Y1927" i="2" s="1"/>
  <c r="G1928" i="2" s="1"/>
  <c r="H1928" i="2" l="1"/>
  <c r="B1928" i="2"/>
  <c r="N1928" i="2"/>
  <c r="O1928" i="2" s="1"/>
  <c r="D1928" i="2"/>
  <c r="M1928" i="2"/>
  <c r="C1928" i="2"/>
  <c r="Q1928" i="2" l="1"/>
  <c r="R1928" i="2"/>
  <c r="I1928" i="2"/>
  <c r="K1928" i="2"/>
  <c r="J1928" i="2"/>
  <c r="S1928" i="2"/>
  <c r="L1928" i="2"/>
  <c r="P1928" i="2" s="1"/>
  <c r="U1928" i="2" l="1"/>
  <c r="T1928" i="2"/>
  <c r="V1928" i="2"/>
  <c r="Y1928" i="2" s="1"/>
  <c r="G1929" i="2" s="1"/>
  <c r="X1928" i="2"/>
  <c r="F1929" i="2" s="1"/>
  <c r="W1928" i="2"/>
  <c r="E1929" i="2" s="1"/>
  <c r="D1929" i="2" l="1"/>
  <c r="H1929" i="2"/>
  <c r="B1929" i="2"/>
  <c r="C1929" i="2"/>
  <c r="K1929" i="2" l="1"/>
  <c r="J1929" i="2"/>
  <c r="I1929" i="2"/>
  <c r="S1929" i="2"/>
  <c r="N1929" i="2"/>
  <c r="O1929" i="2" s="1"/>
  <c r="M1929" i="2"/>
  <c r="L1929" i="2"/>
  <c r="R1929" i="2" l="1"/>
  <c r="Q1929" i="2"/>
  <c r="P1929" i="2"/>
  <c r="T1929" i="2" s="1"/>
  <c r="W1929" i="2" s="1"/>
  <c r="E1930" i="2" s="1"/>
  <c r="V1929" i="2"/>
  <c r="U1929" i="2"/>
  <c r="X1929" i="2" s="1"/>
  <c r="F1930" i="2" s="1"/>
  <c r="Y1929" i="2"/>
  <c r="G1930" i="2" s="1"/>
  <c r="H1930" i="2" l="1"/>
  <c r="L1930" i="2" s="1"/>
  <c r="B1930" i="2"/>
  <c r="M1930" i="2"/>
  <c r="C1930" i="2"/>
  <c r="N1930" i="2"/>
  <c r="O1930" i="2" s="1"/>
  <c r="D1930" i="2"/>
  <c r="Q1930" i="2" l="1"/>
  <c r="P1930" i="2"/>
  <c r="R1930" i="2"/>
  <c r="J1930" i="2"/>
  <c r="I1930" i="2"/>
  <c r="K1930" i="2"/>
  <c r="S1930" i="2"/>
  <c r="U1930" i="2" l="1"/>
  <c r="X1930" i="2" s="1"/>
  <c r="F1931" i="2" s="1"/>
  <c r="T1930" i="2"/>
  <c r="V1930" i="2"/>
  <c r="Y1930" i="2" s="1"/>
  <c r="G1931" i="2" s="1"/>
  <c r="W1930" i="2"/>
  <c r="E1931" i="2" s="1"/>
  <c r="D1931" i="2" l="1"/>
  <c r="C1931" i="2"/>
  <c r="H1931" i="2"/>
  <c r="B1931" i="2"/>
  <c r="I1931" i="2" l="1"/>
  <c r="J1931" i="2"/>
  <c r="K1931" i="2"/>
  <c r="S1931" i="2"/>
  <c r="M1931" i="2"/>
  <c r="L1931" i="2"/>
  <c r="N1931" i="2"/>
  <c r="O1931" i="2" s="1"/>
  <c r="R1931" i="2" l="1"/>
  <c r="Q1931" i="2"/>
  <c r="P1931" i="2"/>
  <c r="V1931" i="2"/>
  <c r="Y1931" i="2" s="1"/>
  <c r="G1932" i="2" s="1"/>
  <c r="T1931" i="2"/>
  <c r="U1931" i="2"/>
  <c r="X1931" i="2"/>
  <c r="F1932" i="2" s="1"/>
  <c r="W1931" i="2"/>
  <c r="E1932" i="2" s="1"/>
  <c r="D1932" i="2" l="1"/>
  <c r="C1932" i="2"/>
  <c r="H1932" i="2"/>
  <c r="L1932" i="2" s="1"/>
  <c r="B1932" i="2"/>
  <c r="K1932" i="2" l="1"/>
  <c r="J1932" i="2"/>
  <c r="I1932" i="2"/>
  <c r="S1932" i="2"/>
  <c r="M1932" i="2"/>
  <c r="N1932" i="2"/>
  <c r="O1932" i="2" s="1"/>
  <c r="Q1932" i="2" l="1"/>
  <c r="P1932" i="2"/>
  <c r="R1932" i="2"/>
  <c r="V1932" i="2" s="1"/>
  <c r="Y1932" i="2" s="1"/>
  <c r="G1933" i="2" s="1"/>
  <c r="U1932" i="2"/>
  <c r="T1932" i="2"/>
  <c r="W1932" i="2" s="1"/>
  <c r="E1933" i="2" s="1"/>
  <c r="X1932" i="2"/>
  <c r="F1933" i="2" s="1"/>
  <c r="H1933" i="2" l="1"/>
  <c r="L1933" i="2"/>
  <c r="B1933" i="2"/>
  <c r="N1933" i="2"/>
  <c r="O1933" i="2" s="1"/>
  <c r="D1933" i="2"/>
  <c r="M1933" i="2"/>
  <c r="C1933" i="2"/>
  <c r="R1933" i="2" l="1"/>
  <c r="Q1933" i="2"/>
  <c r="P1933" i="2"/>
  <c r="J1933" i="2"/>
  <c r="I1933" i="2"/>
  <c r="K1933" i="2"/>
  <c r="S1933" i="2"/>
  <c r="V1933" i="2" l="1"/>
  <c r="U1933" i="2"/>
  <c r="T1933" i="2"/>
  <c r="W1933" i="2" s="1"/>
  <c r="E1934" i="2" s="1"/>
  <c r="Y1933" i="2"/>
  <c r="G1934" i="2" s="1"/>
  <c r="X1933" i="2"/>
  <c r="F1934" i="2" s="1"/>
  <c r="H1934" i="2" l="1"/>
  <c r="B1934" i="2"/>
  <c r="N1934" i="2"/>
  <c r="O1934" i="2" s="1"/>
  <c r="D1934" i="2"/>
  <c r="M1934" i="2"/>
  <c r="C1934" i="2"/>
  <c r="Q1934" i="2" l="1"/>
  <c r="R1934" i="2"/>
  <c r="K1934" i="2"/>
  <c r="J1934" i="2"/>
  <c r="I1934" i="2"/>
  <c r="S1934" i="2"/>
  <c r="L1934" i="2"/>
  <c r="P1934" i="2" s="1"/>
  <c r="U1934" i="2" l="1"/>
  <c r="T1934" i="2"/>
  <c r="V1934" i="2"/>
  <c r="W1934" i="2"/>
  <c r="E1935" i="2" s="1"/>
  <c r="X1934" i="2"/>
  <c r="F1935" i="2" s="1"/>
  <c r="Y1934" i="2"/>
  <c r="G1935" i="2" s="1"/>
  <c r="D1935" i="2" l="1"/>
  <c r="C1935" i="2"/>
  <c r="H1935" i="2"/>
  <c r="M1935" i="2" s="1"/>
  <c r="B1935" i="2"/>
  <c r="K1935" i="2" l="1"/>
  <c r="J1935" i="2"/>
  <c r="I1935" i="2"/>
  <c r="S1935" i="2"/>
  <c r="L1935" i="2"/>
  <c r="N1935" i="2"/>
  <c r="O1935" i="2" s="1"/>
  <c r="R1935" i="2" l="1"/>
  <c r="Q1935" i="2"/>
  <c r="U1935" i="2" s="1"/>
  <c r="X1935" i="2" s="1"/>
  <c r="F1936" i="2" s="1"/>
  <c r="P1935" i="2"/>
  <c r="T1935" i="2" s="1"/>
  <c r="W1935" i="2" s="1"/>
  <c r="E1936" i="2" s="1"/>
  <c r="V1935" i="2"/>
  <c r="Y1935" i="2"/>
  <c r="G1936" i="2" s="1"/>
  <c r="H1936" i="2" l="1"/>
  <c r="L1936" i="2" s="1"/>
  <c r="B1936" i="2"/>
  <c r="M1936" i="2"/>
  <c r="C1936" i="2"/>
  <c r="N1936" i="2"/>
  <c r="O1936" i="2" s="1"/>
  <c r="D1936" i="2"/>
  <c r="Q1936" i="2" l="1"/>
  <c r="P1936" i="2"/>
  <c r="R1936" i="2"/>
  <c r="K1936" i="2"/>
  <c r="I1936" i="2"/>
  <c r="J1936" i="2"/>
  <c r="S1936" i="2"/>
  <c r="U1936" i="2" l="1"/>
  <c r="X1936" i="2" s="1"/>
  <c r="F1937" i="2" s="1"/>
  <c r="T1936" i="2"/>
  <c r="V1936" i="2"/>
  <c r="Y1936" i="2"/>
  <c r="G1937" i="2" s="1"/>
  <c r="W1936" i="2"/>
  <c r="E1937" i="2" s="1"/>
  <c r="C1937" i="2" l="1"/>
  <c r="H1937" i="2"/>
  <c r="N1937" i="2" s="1"/>
  <c r="O1937" i="2" s="1"/>
  <c r="B1937" i="2"/>
  <c r="D1937" i="2"/>
  <c r="R1937" i="2" l="1"/>
  <c r="I1937" i="2"/>
  <c r="J1937" i="2"/>
  <c r="K1937" i="2"/>
  <c r="S1937" i="2"/>
  <c r="L1937" i="2"/>
  <c r="P1937" i="2" s="1"/>
  <c r="M1937" i="2"/>
  <c r="Q1937" i="2" s="1"/>
  <c r="V1937" i="2" l="1"/>
  <c r="Y1937" i="2" s="1"/>
  <c r="G1938" i="2" s="1"/>
  <c r="U1937" i="2"/>
  <c r="X1937" i="2" s="1"/>
  <c r="F1938" i="2" s="1"/>
  <c r="T1937" i="2"/>
  <c r="W1937" i="2" s="1"/>
  <c r="E1938" i="2" s="1"/>
  <c r="C1938" i="2" l="1"/>
  <c r="D1938" i="2"/>
  <c r="H1938" i="2"/>
  <c r="B1938" i="2"/>
  <c r="K1938" i="2" l="1"/>
  <c r="J1938" i="2"/>
  <c r="I1938" i="2"/>
  <c r="S1938" i="2"/>
  <c r="N1938" i="2"/>
  <c r="O1938" i="2" s="1"/>
  <c r="L1938" i="2"/>
  <c r="M1938" i="2"/>
  <c r="R1938" i="2" l="1"/>
  <c r="Q1938" i="2"/>
  <c r="P1938" i="2"/>
  <c r="T1938" i="2" s="1"/>
  <c r="W1938" i="2" s="1"/>
  <c r="E1939" i="2" s="1"/>
  <c r="V1938" i="2"/>
  <c r="U1938" i="2"/>
  <c r="X1938" i="2" s="1"/>
  <c r="F1939" i="2" s="1"/>
  <c r="Y1938" i="2"/>
  <c r="G1939" i="2" s="1"/>
  <c r="H1939" i="2" l="1"/>
  <c r="B1939" i="2"/>
  <c r="M1939" i="2"/>
  <c r="C1939" i="2"/>
  <c r="N1939" i="2"/>
  <c r="O1939" i="2" s="1"/>
  <c r="D1939" i="2"/>
  <c r="R1939" i="2" l="1"/>
  <c r="Q1939" i="2"/>
  <c r="K1939" i="2"/>
  <c r="J1939" i="2"/>
  <c r="I1939" i="2"/>
  <c r="S1939" i="2"/>
  <c r="L1939" i="2"/>
  <c r="P1939" i="2" s="1"/>
  <c r="V1939" i="2" l="1"/>
  <c r="U1939" i="2"/>
  <c r="T1939" i="2"/>
  <c r="Y1939" i="2"/>
  <c r="G1940" i="2" s="1"/>
  <c r="W1939" i="2"/>
  <c r="E1940" i="2" s="1"/>
  <c r="X1939" i="2"/>
  <c r="F1940" i="2" s="1"/>
  <c r="H1940" i="2" l="1"/>
  <c r="L1940" i="2" s="1"/>
  <c r="B1940" i="2"/>
  <c r="M1940" i="2"/>
  <c r="C1940" i="2"/>
  <c r="N1940" i="2"/>
  <c r="O1940" i="2" s="1"/>
  <c r="D1940" i="2"/>
  <c r="R1940" i="2" l="1"/>
  <c r="Q1940" i="2"/>
  <c r="P1940" i="2"/>
  <c r="K1940" i="2"/>
  <c r="J1940" i="2"/>
  <c r="I1940" i="2"/>
  <c r="S1940" i="2"/>
  <c r="V1940" i="2" l="1"/>
  <c r="U1940" i="2"/>
  <c r="T1940" i="2"/>
  <c r="W1940" i="2" s="1"/>
  <c r="E1941" i="2" s="1"/>
  <c r="Y1940" i="2"/>
  <c r="G1941" i="2" s="1"/>
  <c r="X1940" i="2"/>
  <c r="F1941" i="2" s="1"/>
  <c r="H1941" i="2" l="1"/>
  <c r="M1941" i="2" s="1"/>
  <c r="B1941" i="2"/>
  <c r="C1941" i="2"/>
  <c r="D1941" i="2"/>
  <c r="N1941" i="2" l="1"/>
  <c r="O1941" i="2" s="1"/>
  <c r="R1941" i="2"/>
  <c r="Q1941" i="2"/>
  <c r="I1941" i="2"/>
  <c r="J1941" i="2"/>
  <c r="K1941" i="2"/>
  <c r="S1941" i="2"/>
  <c r="L1941" i="2"/>
  <c r="P1941" i="2" s="1"/>
  <c r="V1941" i="2" l="1"/>
  <c r="Y1941" i="2" s="1"/>
  <c r="G1942" i="2" s="1"/>
  <c r="U1941" i="2"/>
  <c r="X1941" i="2" s="1"/>
  <c r="F1942" i="2" s="1"/>
  <c r="T1941" i="2"/>
  <c r="W1941" i="2" s="1"/>
  <c r="E1942" i="2" s="1"/>
  <c r="C1942" i="2" l="1"/>
  <c r="D1942" i="2"/>
  <c r="H1942" i="2"/>
  <c r="B1942" i="2"/>
  <c r="J1942" i="2" l="1"/>
  <c r="K1942" i="2"/>
  <c r="S1942" i="2"/>
  <c r="I1942" i="2"/>
  <c r="L1942" i="2"/>
  <c r="N1942" i="2"/>
  <c r="O1942" i="2" s="1"/>
  <c r="M1942" i="2"/>
  <c r="R1942" i="2" l="1"/>
  <c r="Q1942" i="2"/>
  <c r="P1942" i="2"/>
  <c r="V1942" i="2"/>
  <c r="Y1942" i="2" s="1"/>
  <c r="G1943" i="2" s="1"/>
  <c r="U1942" i="2"/>
  <c r="T1942" i="2"/>
  <c r="W1942" i="2" s="1"/>
  <c r="E1943" i="2" s="1"/>
  <c r="X1942" i="2"/>
  <c r="F1943" i="2" s="1"/>
  <c r="H1943" i="2" l="1"/>
  <c r="L1943" i="2" s="1"/>
  <c r="B1943" i="2"/>
  <c r="N1943" i="2"/>
  <c r="O1943" i="2" s="1"/>
  <c r="D1943" i="2"/>
  <c r="M1943" i="2"/>
  <c r="C1943" i="2"/>
  <c r="R1943" i="2" l="1"/>
  <c r="Q1943" i="2"/>
  <c r="P1943" i="2"/>
  <c r="K1943" i="2"/>
  <c r="J1943" i="2"/>
  <c r="I1943" i="2"/>
  <c r="S1943" i="2"/>
  <c r="V1943" i="2" l="1"/>
  <c r="Y1943" i="2" s="1"/>
  <c r="G1944" i="2" s="1"/>
  <c r="U1943" i="2"/>
  <c r="T1943" i="2"/>
  <c r="W1943" i="2" s="1"/>
  <c r="E1944" i="2" s="1"/>
  <c r="X1943" i="2"/>
  <c r="F1944" i="2" s="1"/>
  <c r="H1944" i="2" l="1"/>
  <c r="B1944" i="2"/>
  <c r="N1944" i="2"/>
  <c r="O1944" i="2" s="1"/>
  <c r="D1944" i="2"/>
  <c r="M1944" i="2"/>
  <c r="C1944" i="2"/>
  <c r="R1944" i="2" l="1"/>
  <c r="Q1944" i="2"/>
  <c r="I1944" i="2"/>
  <c r="J1944" i="2"/>
  <c r="S1944" i="2"/>
  <c r="K1944" i="2"/>
  <c r="L1944" i="2"/>
  <c r="P1944" i="2" s="1"/>
  <c r="V1944" i="2" l="1"/>
  <c r="U1944" i="2"/>
  <c r="T1944" i="2"/>
  <c r="W1944" i="2"/>
  <c r="E1945" i="2" s="1"/>
  <c r="Y1944" i="2"/>
  <c r="G1945" i="2" s="1"/>
  <c r="X1944" i="2"/>
  <c r="F1945" i="2" s="1"/>
  <c r="D1945" i="2" l="1"/>
  <c r="C1945" i="2"/>
  <c r="H1945" i="2"/>
  <c r="M1945" i="2" s="1"/>
  <c r="B1945" i="2"/>
  <c r="J1945" i="2" l="1"/>
  <c r="K1945" i="2"/>
  <c r="S1945" i="2"/>
  <c r="I1945" i="2"/>
  <c r="L1945" i="2"/>
  <c r="N1945" i="2"/>
  <c r="O1945" i="2" s="1"/>
  <c r="R1945" i="2" l="1"/>
  <c r="Q1945" i="2"/>
  <c r="P1945" i="2"/>
  <c r="T1945" i="2" s="1"/>
  <c r="W1945" i="2" s="1"/>
  <c r="E1946" i="2" s="1"/>
  <c r="V1945" i="2"/>
  <c r="Y1945" i="2" s="1"/>
  <c r="G1946" i="2" s="1"/>
  <c r="U1945" i="2"/>
  <c r="X1945" i="2"/>
  <c r="F1946" i="2" s="1"/>
  <c r="H1946" i="2" l="1"/>
  <c r="L1946" i="2" s="1"/>
  <c r="B1946" i="2"/>
  <c r="N1946" i="2"/>
  <c r="O1946" i="2" s="1"/>
  <c r="D1946" i="2"/>
  <c r="M1946" i="2"/>
  <c r="C1946" i="2"/>
  <c r="R1946" i="2" l="1"/>
  <c r="Q1946" i="2"/>
  <c r="P1946" i="2"/>
  <c r="J1946" i="2"/>
  <c r="I1946" i="2"/>
  <c r="K1946" i="2"/>
  <c r="S1946" i="2"/>
  <c r="V1946" i="2" l="1"/>
  <c r="U1946" i="2"/>
  <c r="T1946" i="2"/>
  <c r="Y1946" i="2"/>
  <c r="G1947" i="2" s="1"/>
  <c r="X1946" i="2"/>
  <c r="F1947" i="2" s="1"/>
  <c r="W1946" i="2"/>
  <c r="E1947" i="2" s="1"/>
  <c r="C1947" i="2" l="1"/>
  <c r="H1947" i="2"/>
  <c r="L1947" i="2" s="1"/>
  <c r="B1947" i="2"/>
  <c r="D1947" i="2"/>
  <c r="N1947" i="2" l="1"/>
  <c r="O1947" i="2" s="1"/>
  <c r="P1947" i="2"/>
  <c r="R1947" i="2"/>
  <c r="I1947" i="2"/>
  <c r="K1947" i="2"/>
  <c r="J1947" i="2"/>
  <c r="S1947" i="2"/>
  <c r="M1947" i="2"/>
  <c r="Q1947" i="2" s="1"/>
  <c r="V1947" i="2" l="1"/>
  <c r="T1947" i="2"/>
  <c r="U1947" i="2"/>
  <c r="Y1947" i="2"/>
  <c r="G1948" i="2" s="1"/>
  <c r="X1947" i="2"/>
  <c r="F1948" i="2" s="1"/>
  <c r="W1947" i="2"/>
  <c r="E1948" i="2" s="1"/>
  <c r="H1948" i="2" l="1"/>
  <c r="M1948" i="2" s="1"/>
  <c r="B1948" i="2"/>
  <c r="C1948" i="2"/>
  <c r="D1948" i="2"/>
  <c r="N1948" i="2" l="1"/>
  <c r="O1948" i="2" s="1"/>
  <c r="R1948" i="2"/>
  <c r="Q1948" i="2"/>
  <c r="K1948" i="2"/>
  <c r="I1948" i="2"/>
  <c r="J1948" i="2"/>
  <c r="S1948" i="2"/>
  <c r="L1948" i="2"/>
  <c r="P1948" i="2" s="1"/>
  <c r="V1948" i="2" l="1"/>
  <c r="U1948" i="2"/>
  <c r="X1948" i="2" s="1"/>
  <c r="F1949" i="2" s="1"/>
  <c r="T1948" i="2"/>
  <c r="Y1948" i="2"/>
  <c r="G1949" i="2" s="1"/>
  <c r="W1948" i="2"/>
  <c r="E1949" i="2" s="1"/>
  <c r="H1949" i="2" l="1"/>
  <c r="L1949" i="2" s="1"/>
  <c r="B1949" i="2"/>
  <c r="M1949" i="2"/>
  <c r="C1949" i="2"/>
  <c r="N1949" i="2"/>
  <c r="O1949" i="2" s="1"/>
  <c r="D1949" i="2"/>
  <c r="P1949" i="2" l="1"/>
  <c r="R1949" i="2"/>
  <c r="Q1949" i="2"/>
  <c r="I1949" i="2"/>
  <c r="K1949" i="2"/>
  <c r="J1949" i="2"/>
  <c r="S1949" i="2"/>
  <c r="V1949" i="2" l="1"/>
  <c r="T1949" i="2"/>
  <c r="W1949" i="2" s="1"/>
  <c r="E1950" i="2" s="1"/>
  <c r="U1949" i="2"/>
  <c r="X1949" i="2" s="1"/>
  <c r="F1950" i="2" s="1"/>
  <c r="Y1949" i="2"/>
  <c r="G1950" i="2" s="1"/>
  <c r="C1950" i="2" l="1"/>
  <c r="H1950" i="2"/>
  <c r="B1950" i="2"/>
  <c r="D1950" i="2"/>
  <c r="I1950" i="2" l="1"/>
  <c r="K1950" i="2"/>
  <c r="J1950" i="2"/>
  <c r="S1950" i="2"/>
  <c r="L1950" i="2"/>
  <c r="N1950" i="2"/>
  <c r="O1950" i="2" s="1"/>
  <c r="M1950" i="2"/>
  <c r="R1950" i="2" l="1"/>
  <c r="V1950" i="2" s="1"/>
  <c r="Y1950" i="2" s="1"/>
  <c r="G1951" i="2" s="1"/>
  <c r="Q1950" i="2"/>
  <c r="U1950" i="2" s="1"/>
  <c r="X1950" i="2" s="1"/>
  <c r="F1951" i="2" s="1"/>
  <c r="P1950" i="2"/>
  <c r="T1950" i="2" s="1"/>
  <c r="W1950" i="2" s="1"/>
  <c r="E1951" i="2" s="1"/>
  <c r="C1951" i="2" l="1"/>
  <c r="H1951" i="2"/>
  <c r="B1951" i="2"/>
  <c r="N1951" i="2"/>
  <c r="O1951" i="2" s="1"/>
  <c r="D1951" i="2"/>
  <c r="R1951" i="2" l="1"/>
  <c r="K1951" i="2"/>
  <c r="J1951" i="2"/>
  <c r="I1951" i="2"/>
  <c r="S1951" i="2"/>
  <c r="M1951" i="2"/>
  <c r="Q1951" i="2" s="1"/>
  <c r="L1951" i="2"/>
  <c r="P1951" i="2" s="1"/>
  <c r="V1951" i="2" l="1"/>
  <c r="T1951" i="2"/>
  <c r="W1951" i="2" s="1"/>
  <c r="E1952" i="2" s="1"/>
  <c r="U1951" i="2"/>
  <c r="X1951" i="2" s="1"/>
  <c r="F1952" i="2" s="1"/>
  <c r="Y1951" i="2"/>
  <c r="G1952" i="2" s="1"/>
  <c r="H1952" i="2" l="1"/>
  <c r="L1952" i="2"/>
  <c r="B1952" i="2"/>
  <c r="N1952" i="2"/>
  <c r="O1952" i="2" s="1"/>
  <c r="D1952" i="2"/>
  <c r="M1952" i="2"/>
  <c r="C1952" i="2"/>
  <c r="R1952" i="2" l="1"/>
  <c r="Q1952" i="2"/>
  <c r="P1952" i="2"/>
  <c r="K1952" i="2"/>
  <c r="J1952" i="2"/>
  <c r="I1952" i="2"/>
  <c r="S1952" i="2"/>
  <c r="V1952" i="2" l="1"/>
  <c r="U1952" i="2"/>
  <c r="T1952" i="2"/>
  <c r="W1952" i="2"/>
  <c r="E1953" i="2" s="1"/>
  <c r="Y1952" i="2"/>
  <c r="G1953" i="2" s="1"/>
  <c r="X1952" i="2"/>
  <c r="F1953" i="2" s="1"/>
  <c r="D1953" i="2" l="1"/>
  <c r="C1953" i="2"/>
  <c r="H1953" i="2"/>
  <c r="M1953" i="2" s="1"/>
  <c r="B1953" i="2"/>
  <c r="L1953" i="2" l="1"/>
  <c r="K1953" i="2"/>
  <c r="J1953" i="2"/>
  <c r="I1953" i="2"/>
  <c r="S1953" i="2"/>
  <c r="N1953" i="2"/>
  <c r="O1953" i="2" s="1"/>
  <c r="P1953" i="2" l="1"/>
  <c r="T1953" i="2" s="1"/>
  <c r="W1953" i="2" s="1"/>
  <c r="E1954" i="2" s="1"/>
  <c r="R1953" i="2"/>
  <c r="V1953" i="2" s="1"/>
  <c r="Y1953" i="2" s="1"/>
  <c r="G1954" i="2" s="1"/>
  <c r="Q1953" i="2"/>
  <c r="U1953" i="2" s="1"/>
  <c r="X1953" i="2" s="1"/>
  <c r="F1954" i="2" s="1"/>
  <c r="D1954" i="2" l="1"/>
  <c r="C1954" i="2"/>
  <c r="H1954" i="2"/>
  <c r="M1954" i="2" s="1"/>
  <c r="B1954" i="2"/>
  <c r="L1954" i="2" l="1"/>
  <c r="I1954" i="2"/>
  <c r="J1954" i="2"/>
  <c r="K1954" i="2"/>
  <c r="S1954" i="2"/>
  <c r="N1954" i="2"/>
  <c r="O1954" i="2" s="1"/>
  <c r="R1954" i="2" l="1"/>
  <c r="Q1954" i="2"/>
  <c r="U1954" i="2" s="1"/>
  <c r="X1954" i="2" s="1"/>
  <c r="F1955" i="2" s="1"/>
  <c r="P1954" i="2"/>
  <c r="V1954" i="2"/>
  <c r="T1954" i="2"/>
  <c r="Y1954" i="2"/>
  <c r="G1955" i="2" s="1"/>
  <c r="W1954" i="2"/>
  <c r="E1955" i="2" s="1"/>
  <c r="C1955" i="2" l="1"/>
  <c r="D1955" i="2"/>
  <c r="H1955" i="2"/>
  <c r="L1955" i="2" s="1"/>
  <c r="B1955" i="2"/>
  <c r="J1955" i="2" l="1"/>
  <c r="K1955" i="2"/>
  <c r="I1955" i="2"/>
  <c r="S1955" i="2"/>
  <c r="N1955" i="2"/>
  <c r="O1955" i="2" s="1"/>
  <c r="M1955" i="2"/>
  <c r="P1955" i="2" l="1"/>
  <c r="R1955" i="2"/>
  <c r="V1955" i="2" s="1"/>
  <c r="Y1955" i="2" s="1"/>
  <c r="G1956" i="2" s="1"/>
  <c r="Q1955" i="2"/>
  <c r="U1955" i="2" s="1"/>
  <c r="X1955" i="2" s="1"/>
  <c r="F1956" i="2" s="1"/>
  <c r="T1955" i="2"/>
  <c r="W1955" i="2" s="1"/>
  <c r="E1956" i="2" s="1"/>
  <c r="D1956" i="2" l="1"/>
  <c r="H1956" i="2"/>
  <c r="M1956" i="2" s="1"/>
  <c r="B1956" i="2"/>
  <c r="C1956" i="2"/>
  <c r="K1956" i="2" l="1"/>
  <c r="J1956" i="2"/>
  <c r="I1956" i="2"/>
  <c r="S1956" i="2"/>
  <c r="L1956" i="2"/>
  <c r="N1956" i="2"/>
  <c r="O1956" i="2" s="1"/>
  <c r="Q1956" i="2" l="1"/>
  <c r="U1956" i="2" s="1"/>
  <c r="X1956" i="2" s="1"/>
  <c r="F1957" i="2" s="1"/>
  <c r="P1956" i="2"/>
  <c r="T1956" i="2" s="1"/>
  <c r="W1956" i="2" s="1"/>
  <c r="E1957" i="2" s="1"/>
  <c r="R1956" i="2"/>
  <c r="V1956" i="2" s="1"/>
  <c r="Y1956" i="2" s="1"/>
  <c r="G1957" i="2" s="1"/>
  <c r="H1957" i="2" l="1"/>
  <c r="N1957" i="2" s="1"/>
  <c r="O1957" i="2" s="1"/>
  <c r="B1957" i="2"/>
  <c r="D1957" i="2"/>
  <c r="M1957" i="2"/>
  <c r="C1957" i="2"/>
  <c r="R1957" i="2" l="1"/>
  <c r="Q1957" i="2"/>
  <c r="K1957" i="2"/>
  <c r="I1957" i="2"/>
  <c r="J1957" i="2"/>
  <c r="S1957" i="2"/>
  <c r="L1957" i="2"/>
  <c r="P1957" i="2" s="1"/>
  <c r="V1957" i="2" l="1"/>
  <c r="U1957" i="2"/>
  <c r="X1957" i="2" s="1"/>
  <c r="F1958" i="2" s="1"/>
  <c r="T1957" i="2"/>
  <c r="W1957" i="2" s="1"/>
  <c r="E1958" i="2" s="1"/>
  <c r="Y1957" i="2"/>
  <c r="G1958" i="2" s="1"/>
  <c r="H1958" i="2" l="1"/>
  <c r="N1958" i="2" s="1"/>
  <c r="O1958" i="2" s="1"/>
  <c r="B1958" i="2"/>
  <c r="C1958" i="2"/>
  <c r="D1958" i="2"/>
  <c r="R1958" i="2" l="1"/>
  <c r="K1958" i="2"/>
  <c r="I1958" i="2"/>
  <c r="J1958" i="2"/>
  <c r="S1958" i="2"/>
  <c r="M1958" i="2"/>
  <c r="Q1958" i="2" s="1"/>
  <c r="L1958" i="2"/>
  <c r="P1958" i="2" s="1"/>
  <c r="V1958" i="2" l="1"/>
  <c r="U1958" i="2"/>
  <c r="T1958" i="2"/>
  <c r="W1958" i="2"/>
  <c r="E1959" i="2" s="1"/>
  <c r="X1958" i="2"/>
  <c r="F1959" i="2" s="1"/>
  <c r="Y1958" i="2"/>
  <c r="G1959" i="2" s="1"/>
  <c r="C1959" i="2" l="1"/>
  <c r="D1959" i="2"/>
  <c r="H1959" i="2"/>
  <c r="N1959" i="2" s="1"/>
  <c r="O1959" i="2" s="1"/>
  <c r="B1959" i="2"/>
  <c r="R1959" i="2" l="1"/>
  <c r="I1959" i="2"/>
  <c r="J1959" i="2"/>
  <c r="K1959" i="2"/>
  <c r="S1959" i="2"/>
  <c r="L1959" i="2"/>
  <c r="P1959" i="2" s="1"/>
  <c r="M1959" i="2"/>
  <c r="Q1959" i="2" s="1"/>
  <c r="V1959" i="2" l="1"/>
  <c r="U1959" i="2"/>
  <c r="T1959" i="2"/>
  <c r="W1959" i="2" s="1"/>
  <c r="E1960" i="2" s="1"/>
  <c r="Y1959" i="2"/>
  <c r="G1960" i="2" s="1"/>
  <c r="X1959" i="2"/>
  <c r="F1960" i="2" s="1"/>
  <c r="D1960" i="2" l="1"/>
  <c r="C1960" i="2"/>
  <c r="H1960" i="2"/>
  <c r="B1960" i="2"/>
  <c r="I1960" i="2" l="1"/>
  <c r="K1960" i="2"/>
  <c r="J1960" i="2"/>
  <c r="S1960" i="2"/>
  <c r="L1960" i="2"/>
  <c r="M1960" i="2"/>
  <c r="N1960" i="2"/>
  <c r="O1960" i="2" s="1"/>
  <c r="P1960" i="2" l="1"/>
  <c r="Q1960" i="2"/>
  <c r="U1960" i="2" s="1"/>
  <c r="X1960" i="2" s="1"/>
  <c r="F1961" i="2" s="1"/>
  <c r="R1960" i="2"/>
  <c r="V1960" i="2" s="1"/>
  <c r="Y1960" i="2" s="1"/>
  <c r="G1961" i="2" s="1"/>
  <c r="T1960" i="2"/>
  <c r="W1960" i="2"/>
  <c r="E1961" i="2" s="1"/>
  <c r="D1961" i="2" l="1"/>
  <c r="C1961" i="2"/>
  <c r="H1961" i="2"/>
  <c r="B1961" i="2"/>
  <c r="K1961" i="2" l="1"/>
  <c r="I1961" i="2"/>
  <c r="J1961" i="2"/>
  <c r="S1961" i="2"/>
  <c r="L1961" i="2"/>
  <c r="M1961" i="2"/>
  <c r="N1961" i="2"/>
  <c r="O1961" i="2" s="1"/>
  <c r="R1961" i="2" l="1"/>
  <c r="Q1961" i="2"/>
  <c r="P1961" i="2"/>
  <c r="V1961" i="2"/>
  <c r="U1961" i="2"/>
  <c r="T1961" i="2"/>
  <c r="W1961" i="2" s="1"/>
  <c r="E1962" i="2" s="1"/>
  <c r="X1961" i="2"/>
  <c r="F1962" i="2" s="1"/>
  <c r="Y1961" i="2"/>
  <c r="G1962" i="2" s="1"/>
  <c r="H1962" i="2" l="1"/>
  <c r="B1962" i="2"/>
  <c r="N1962" i="2"/>
  <c r="O1962" i="2" s="1"/>
  <c r="D1962" i="2"/>
  <c r="M1962" i="2"/>
  <c r="C1962" i="2"/>
  <c r="Q1962" i="2" l="1"/>
  <c r="R1962" i="2"/>
  <c r="I1962" i="2"/>
  <c r="J1962" i="2"/>
  <c r="K1962" i="2"/>
  <c r="S1962" i="2"/>
  <c r="L1962" i="2"/>
  <c r="P1962" i="2" s="1"/>
  <c r="V1962" i="2" l="1"/>
  <c r="Y1962" i="2" s="1"/>
  <c r="G1963" i="2" s="1"/>
  <c r="U1962" i="2"/>
  <c r="T1962" i="2"/>
  <c r="W1962" i="2" s="1"/>
  <c r="E1963" i="2" s="1"/>
  <c r="X1962" i="2"/>
  <c r="F1963" i="2" s="1"/>
  <c r="H1963" i="2" l="1"/>
  <c r="B1963" i="2"/>
  <c r="N1963" i="2"/>
  <c r="O1963" i="2" s="1"/>
  <c r="D1963" i="2"/>
  <c r="M1963" i="2"/>
  <c r="C1963" i="2"/>
  <c r="R1963" i="2" l="1"/>
  <c r="Q1963" i="2"/>
  <c r="I1963" i="2"/>
  <c r="K1963" i="2"/>
  <c r="J1963" i="2"/>
  <c r="S1963" i="2"/>
  <c r="L1963" i="2"/>
  <c r="P1963" i="2" s="1"/>
  <c r="V1963" i="2" l="1"/>
  <c r="U1963" i="2"/>
  <c r="X1963" i="2" s="1"/>
  <c r="F1964" i="2" s="1"/>
  <c r="T1963" i="2"/>
  <c r="Y1963" i="2"/>
  <c r="G1964" i="2" s="1"/>
  <c r="W1963" i="2"/>
  <c r="E1964" i="2" s="1"/>
  <c r="C1964" i="2" l="1"/>
  <c r="D1964" i="2"/>
  <c r="H1964" i="2"/>
  <c r="N1964" i="2" s="1"/>
  <c r="O1964" i="2" s="1"/>
  <c r="B1964" i="2"/>
  <c r="R1964" i="2" l="1"/>
  <c r="I1964" i="2"/>
  <c r="J1964" i="2"/>
  <c r="K1964" i="2"/>
  <c r="S1964" i="2"/>
  <c r="L1964" i="2"/>
  <c r="P1964" i="2" s="1"/>
  <c r="M1964" i="2"/>
  <c r="Q1964" i="2" s="1"/>
  <c r="V1964" i="2" l="1"/>
  <c r="U1964" i="2"/>
  <c r="X1964" i="2" s="1"/>
  <c r="F1965" i="2" s="1"/>
  <c r="T1964" i="2"/>
  <c r="Y1964" i="2"/>
  <c r="G1965" i="2" s="1"/>
  <c r="W1964" i="2"/>
  <c r="E1965" i="2" s="1"/>
  <c r="C1965" i="2" l="1"/>
  <c r="H1965" i="2"/>
  <c r="L1965" i="2" s="1"/>
  <c r="B1965" i="2"/>
  <c r="D1965" i="2"/>
  <c r="N1965" i="2" l="1"/>
  <c r="O1965" i="2" s="1"/>
  <c r="R1965" i="2"/>
  <c r="P1965" i="2"/>
  <c r="I1965" i="2"/>
  <c r="J1965" i="2"/>
  <c r="K1965" i="2"/>
  <c r="S1965" i="2"/>
  <c r="M1965" i="2"/>
  <c r="Q1965" i="2" s="1"/>
  <c r="V1965" i="2" l="1"/>
  <c r="U1965" i="2"/>
  <c r="T1965" i="2"/>
  <c r="W1965" i="2"/>
  <c r="E1966" i="2" s="1"/>
  <c r="Y1965" i="2"/>
  <c r="G1966" i="2" s="1"/>
  <c r="X1965" i="2"/>
  <c r="F1966" i="2" s="1"/>
  <c r="D1966" i="2" l="1"/>
  <c r="C1966" i="2"/>
  <c r="H1966" i="2"/>
  <c r="B1966" i="2"/>
  <c r="J1966" i="2" l="1"/>
  <c r="K1966" i="2"/>
  <c r="I1966" i="2"/>
  <c r="S1966" i="2"/>
  <c r="L1966" i="2"/>
  <c r="M1966" i="2"/>
  <c r="N1966" i="2"/>
  <c r="O1966" i="2" s="1"/>
  <c r="P1966" i="2" l="1"/>
  <c r="T1966" i="2" s="1"/>
  <c r="W1966" i="2" s="1"/>
  <c r="E1967" i="2" s="1"/>
  <c r="R1966" i="2"/>
  <c r="V1966" i="2" s="1"/>
  <c r="Y1966" i="2" s="1"/>
  <c r="G1967" i="2" s="1"/>
  <c r="Q1966" i="2"/>
  <c r="U1966" i="2" s="1"/>
  <c r="X1966" i="2" s="1"/>
  <c r="F1967" i="2" s="1"/>
  <c r="D1967" i="2" l="1"/>
  <c r="C1967" i="2"/>
  <c r="H1967" i="2"/>
  <c r="B1967" i="2"/>
  <c r="K1967" i="2" l="1"/>
  <c r="I1967" i="2"/>
  <c r="J1967" i="2"/>
  <c r="S1967" i="2"/>
  <c r="L1967" i="2"/>
  <c r="M1967" i="2"/>
  <c r="N1967" i="2"/>
  <c r="O1967" i="2" s="1"/>
  <c r="R1967" i="2" l="1"/>
  <c r="Q1967" i="2"/>
  <c r="U1967" i="2" s="1"/>
  <c r="X1967" i="2" s="1"/>
  <c r="F1968" i="2" s="1"/>
  <c r="P1967" i="2"/>
  <c r="T1967" i="2" s="1"/>
  <c r="W1967" i="2" s="1"/>
  <c r="E1968" i="2" s="1"/>
  <c r="V1967" i="2"/>
  <c r="Y1967" i="2" s="1"/>
  <c r="G1968" i="2" s="1"/>
  <c r="H1968" i="2" l="1"/>
  <c r="B1968" i="2"/>
  <c r="N1968" i="2"/>
  <c r="O1968" i="2" s="1"/>
  <c r="D1968" i="2"/>
  <c r="M1968" i="2"/>
  <c r="C1968" i="2"/>
  <c r="Q1968" i="2" l="1"/>
  <c r="R1968" i="2"/>
  <c r="J1968" i="2"/>
  <c r="I1968" i="2"/>
  <c r="K1968" i="2"/>
  <c r="S1968" i="2"/>
  <c r="L1968" i="2"/>
  <c r="P1968" i="2" s="1"/>
  <c r="V1968" i="2" l="1"/>
  <c r="U1968" i="2"/>
  <c r="T1968" i="2"/>
  <c r="W1968" i="2"/>
  <c r="E1969" i="2" s="1"/>
  <c r="Y1968" i="2"/>
  <c r="G1969" i="2" s="1"/>
  <c r="X1968" i="2"/>
  <c r="F1969" i="2" s="1"/>
  <c r="D1969" i="2" l="1"/>
  <c r="C1969" i="2"/>
  <c r="H1969" i="2"/>
  <c r="M1969" i="2" s="1"/>
  <c r="B1969" i="2"/>
  <c r="L1969" i="2" l="1"/>
  <c r="K1969" i="2"/>
  <c r="J1969" i="2"/>
  <c r="S1969" i="2"/>
  <c r="I1969" i="2"/>
  <c r="N1969" i="2"/>
  <c r="O1969" i="2" s="1"/>
  <c r="R1969" i="2" l="1"/>
  <c r="Q1969" i="2"/>
  <c r="P1969" i="2"/>
  <c r="T1969" i="2" s="1"/>
  <c r="W1969" i="2" s="1"/>
  <c r="E1970" i="2" s="1"/>
  <c r="V1969" i="2"/>
  <c r="U1969" i="2"/>
  <c r="X1969" i="2" s="1"/>
  <c r="F1970" i="2" s="1"/>
  <c r="Y1969" i="2"/>
  <c r="G1970" i="2" s="1"/>
  <c r="H1970" i="2" l="1"/>
  <c r="B1970" i="2"/>
  <c r="M1970" i="2"/>
  <c r="C1970" i="2"/>
  <c r="N1970" i="2"/>
  <c r="O1970" i="2" s="1"/>
  <c r="D1970" i="2"/>
  <c r="Q1970" i="2" l="1"/>
  <c r="R1970" i="2"/>
  <c r="I1970" i="2"/>
  <c r="K1970" i="2"/>
  <c r="J1970" i="2"/>
  <c r="S1970" i="2"/>
  <c r="L1970" i="2"/>
  <c r="P1970" i="2" s="1"/>
  <c r="V1970" i="2" l="1"/>
  <c r="U1970" i="2"/>
  <c r="T1970" i="2"/>
  <c r="X1970" i="2"/>
  <c r="F1971" i="2" s="1"/>
  <c r="Y1970" i="2"/>
  <c r="G1971" i="2" s="1"/>
  <c r="W1970" i="2"/>
  <c r="E1971" i="2" s="1"/>
  <c r="D1971" i="2" l="1"/>
  <c r="H1971" i="2"/>
  <c r="B1971" i="2"/>
  <c r="C1971" i="2"/>
  <c r="K1971" i="2" l="1"/>
  <c r="I1971" i="2"/>
  <c r="J1971" i="2"/>
  <c r="S1971" i="2"/>
  <c r="L1971" i="2"/>
  <c r="M1971" i="2"/>
  <c r="N1971" i="2"/>
  <c r="O1971" i="2" s="1"/>
  <c r="R1971" i="2" l="1"/>
  <c r="V1971" i="2" s="1"/>
  <c r="Y1971" i="2" s="1"/>
  <c r="G1972" i="2" s="1"/>
  <c r="Q1971" i="2"/>
  <c r="U1971" i="2" s="1"/>
  <c r="X1971" i="2" s="1"/>
  <c r="F1972" i="2" s="1"/>
  <c r="P1971" i="2"/>
  <c r="T1971" i="2" s="1"/>
  <c r="W1971" i="2" s="1"/>
  <c r="E1972" i="2" s="1"/>
  <c r="C1972" i="2" l="1"/>
  <c r="H1972" i="2"/>
  <c r="B1972" i="2"/>
  <c r="D1972" i="2"/>
  <c r="K1972" i="2" l="1"/>
  <c r="I1972" i="2"/>
  <c r="J1972" i="2"/>
  <c r="S1972" i="2"/>
  <c r="L1972" i="2"/>
  <c r="N1972" i="2"/>
  <c r="O1972" i="2" s="1"/>
  <c r="M1972" i="2"/>
  <c r="Q1972" i="2" l="1"/>
  <c r="P1972" i="2"/>
  <c r="T1972" i="2" s="1"/>
  <c r="W1972" i="2" s="1"/>
  <c r="E1973" i="2" s="1"/>
  <c r="R1972" i="2"/>
  <c r="V1972" i="2" s="1"/>
  <c r="Y1972" i="2" s="1"/>
  <c r="G1973" i="2" s="1"/>
  <c r="U1972" i="2"/>
  <c r="X1972" i="2"/>
  <c r="F1973" i="2" s="1"/>
  <c r="H1973" i="2" l="1"/>
  <c r="M1973" i="2" s="1"/>
  <c r="B1973" i="2"/>
  <c r="C1973" i="2"/>
  <c r="N1973" i="2"/>
  <c r="O1973" i="2" s="1"/>
  <c r="D1973" i="2"/>
  <c r="J1973" i="2" l="1"/>
  <c r="K1973" i="2"/>
  <c r="I1973" i="2"/>
  <c r="S1973" i="2"/>
  <c r="R1973" i="2"/>
  <c r="Q1973" i="2"/>
  <c r="L1973" i="2"/>
  <c r="P1973" i="2" s="1"/>
  <c r="V1973" i="2" l="1"/>
  <c r="U1973" i="2"/>
  <c r="T1973" i="2"/>
  <c r="Y1973" i="2"/>
  <c r="G1974" i="2" s="1"/>
  <c r="W1973" i="2"/>
  <c r="E1974" i="2" s="1"/>
  <c r="X1973" i="2"/>
  <c r="F1974" i="2" s="1"/>
  <c r="H1974" i="2" l="1"/>
  <c r="L1974" i="2" s="1"/>
  <c r="B1974" i="2"/>
  <c r="M1974" i="2"/>
  <c r="C1974" i="2"/>
  <c r="N1974" i="2"/>
  <c r="O1974" i="2" s="1"/>
  <c r="D1974" i="2"/>
  <c r="Q1974" i="2" l="1"/>
  <c r="P1974" i="2"/>
  <c r="R1974" i="2"/>
  <c r="J1974" i="2"/>
  <c r="K1974" i="2"/>
  <c r="S1974" i="2"/>
  <c r="I1974" i="2"/>
  <c r="U1974" i="2" l="1"/>
  <c r="T1974" i="2"/>
  <c r="W1974" i="2" s="1"/>
  <c r="E1975" i="2" s="1"/>
  <c r="V1974" i="2"/>
  <c r="Y1974" i="2" s="1"/>
  <c r="G1975" i="2" s="1"/>
  <c r="X1974" i="2"/>
  <c r="F1975" i="2" s="1"/>
  <c r="D1975" i="2" l="1"/>
  <c r="H1975" i="2"/>
  <c r="L1975" i="2" s="1"/>
  <c r="B1975" i="2"/>
  <c r="C1975" i="2"/>
  <c r="M1975" i="2" l="1"/>
  <c r="J1975" i="2"/>
  <c r="K1975" i="2"/>
  <c r="I1975" i="2"/>
  <c r="S1975" i="2"/>
  <c r="N1975" i="2"/>
  <c r="O1975" i="2" s="1"/>
  <c r="R1975" i="2" l="1"/>
  <c r="Q1975" i="2"/>
  <c r="P1975" i="2"/>
  <c r="V1975" i="2"/>
  <c r="Y1975" i="2" s="1"/>
  <c r="G1976" i="2" s="1"/>
  <c r="U1975" i="2"/>
  <c r="T1975" i="2"/>
  <c r="W1975" i="2" s="1"/>
  <c r="E1976" i="2" s="1"/>
  <c r="X1975" i="2"/>
  <c r="F1976" i="2" s="1"/>
  <c r="D1976" i="2" l="1"/>
  <c r="H1976" i="2"/>
  <c r="L1976" i="2" s="1"/>
  <c r="B1976" i="2"/>
  <c r="M1976" i="2"/>
  <c r="C1976" i="2"/>
  <c r="J1976" i="2" l="1"/>
  <c r="I1976" i="2"/>
  <c r="K1976" i="2"/>
  <c r="S1976" i="2"/>
  <c r="N1976" i="2"/>
  <c r="O1976" i="2" s="1"/>
  <c r="R1976" i="2" l="1"/>
  <c r="Q1976" i="2"/>
  <c r="U1976" i="2" s="1"/>
  <c r="X1976" i="2" s="1"/>
  <c r="F1977" i="2" s="1"/>
  <c r="P1976" i="2"/>
  <c r="T1976" i="2" s="1"/>
  <c r="W1976" i="2" s="1"/>
  <c r="E1977" i="2" s="1"/>
  <c r="V1976" i="2"/>
  <c r="Y1976" i="2" s="1"/>
  <c r="G1977" i="2" s="1"/>
  <c r="C1977" i="2" l="1"/>
  <c r="H1977" i="2"/>
  <c r="N1977" i="2" s="1"/>
  <c r="O1977" i="2" s="1"/>
  <c r="B1977" i="2"/>
  <c r="D1977" i="2"/>
  <c r="R1977" i="2" l="1"/>
  <c r="I1977" i="2"/>
  <c r="J1977" i="2"/>
  <c r="K1977" i="2"/>
  <c r="S1977" i="2"/>
  <c r="L1977" i="2"/>
  <c r="P1977" i="2" s="1"/>
  <c r="M1977" i="2"/>
  <c r="Q1977" i="2" s="1"/>
  <c r="V1977" i="2" l="1"/>
  <c r="T1977" i="2"/>
  <c r="U1977" i="2"/>
  <c r="X1977" i="2"/>
  <c r="F1978" i="2" s="1"/>
  <c r="Y1977" i="2"/>
  <c r="G1978" i="2" s="1"/>
  <c r="W1977" i="2"/>
  <c r="E1978" i="2" s="1"/>
  <c r="D1978" i="2" l="1"/>
  <c r="H1978" i="2"/>
  <c r="L1978" i="2" s="1"/>
  <c r="B1978" i="2"/>
  <c r="M1978" i="2"/>
  <c r="C1978" i="2"/>
  <c r="K1978" i="2" l="1"/>
  <c r="I1978" i="2"/>
  <c r="J1978" i="2"/>
  <c r="S1978" i="2"/>
  <c r="N1978" i="2"/>
  <c r="O1978" i="2" s="1"/>
  <c r="Q1978" i="2" l="1"/>
  <c r="U1978" i="2" s="1"/>
  <c r="X1978" i="2" s="1"/>
  <c r="F1979" i="2" s="1"/>
  <c r="P1978" i="2"/>
  <c r="T1978" i="2" s="1"/>
  <c r="W1978" i="2" s="1"/>
  <c r="E1979" i="2" s="1"/>
  <c r="R1978" i="2"/>
  <c r="V1978" i="2" s="1"/>
  <c r="Y1978" i="2" s="1"/>
  <c r="G1979" i="2" s="1"/>
  <c r="H1979" i="2" l="1"/>
  <c r="B1979" i="2"/>
  <c r="M1979" i="2"/>
  <c r="C1979" i="2"/>
  <c r="N1979" i="2"/>
  <c r="O1979" i="2" s="1"/>
  <c r="D1979" i="2"/>
  <c r="R1979" i="2" l="1"/>
  <c r="Q1979" i="2"/>
  <c r="K1979" i="2"/>
  <c r="J1979" i="2"/>
  <c r="I1979" i="2"/>
  <c r="S1979" i="2"/>
  <c r="L1979" i="2"/>
  <c r="P1979" i="2" s="1"/>
  <c r="V1979" i="2" l="1"/>
  <c r="T1979" i="2"/>
  <c r="U1979" i="2"/>
  <c r="X1979" i="2"/>
  <c r="F1980" i="2" s="1"/>
  <c r="W1979" i="2"/>
  <c r="E1980" i="2" s="1"/>
  <c r="Y1979" i="2"/>
  <c r="G1980" i="2" s="1"/>
  <c r="D1980" i="2" l="1"/>
  <c r="H1980" i="2"/>
  <c r="L1980" i="2" s="1"/>
  <c r="B1980" i="2"/>
  <c r="C1980" i="2"/>
  <c r="M1980" i="2" l="1"/>
  <c r="K1980" i="2"/>
  <c r="I1980" i="2"/>
  <c r="J1980" i="2"/>
  <c r="S1980" i="2"/>
  <c r="N1980" i="2"/>
  <c r="O1980" i="2" s="1"/>
  <c r="Q1980" i="2" l="1"/>
  <c r="P1980" i="2"/>
  <c r="T1980" i="2" s="1"/>
  <c r="W1980" i="2" s="1"/>
  <c r="E1981" i="2" s="1"/>
  <c r="R1980" i="2"/>
  <c r="V1980" i="2" s="1"/>
  <c r="Y1980" i="2" s="1"/>
  <c r="G1981" i="2" s="1"/>
  <c r="U1980" i="2"/>
  <c r="X1980" i="2" s="1"/>
  <c r="F1981" i="2" s="1"/>
  <c r="D1981" i="2" l="1"/>
  <c r="H1981" i="2"/>
  <c r="L1981" i="2" s="1"/>
  <c r="B1981" i="2"/>
  <c r="C1981" i="2"/>
  <c r="M1981" i="2" l="1"/>
  <c r="J1981" i="2"/>
  <c r="K1981" i="2"/>
  <c r="I1981" i="2"/>
  <c r="S1981" i="2"/>
  <c r="N1981" i="2"/>
  <c r="O1981" i="2" s="1"/>
  <c r="R1981" i="2" l="1"/>
  <c r="Q1981" i="2"/>
  <c r="P1981" i="2"/>
  <c r="V1981" i="2"/>
  <c r="U1981" i="2"/>
  <c r="X1981" i="2" s="1"/>
  <c r="F1982" i="2" s="1"/>
  <c r="T1981" i="2"/>
  <c r="W1981" i="2" s="1"/>
  <c r="E1982" i="2" s="1"/>
  <c r="Y1981" i="2"/>
  <c r="G1982" i="2" s="1"/>
  <c r="H1982" i="2" l="1"/>
  <c r="B1982" i="2"/>
  <c r="M1982" i="2"/>
  <c r="C1982" i="2"/>
  <c r="N1982" i="2"/>
  <c r="O1982" i="2" s="1"/>
  <c r="D1982" i="2"/>
  <c r="R1982" i="2" l="1"/>
  <c r="Q1982" i="2"/>
  <c r="I1982" i="2"/>
  <c r="J1982" i="2"/>
  <c r="K1982" i="2"/>
  <c r="S1982" i="2"/>
  <c r="L1982" i="2"/>
  <c r="P1982" i="2" s="1"/>
  <c r="U1982" i="2" l="1"/>
  <c r="T1982" i="2"/>
  <c r="V1982" i="2"/>
  <c r="Y1982" i="2" s="1"/>
  <c r="G1983" i="2" s="1"/>
  <c r="X1982" i="2"/>
  <c r="F1983" i="2" s="1"/>
  <c r="W1982" i="2"/>
  <c r="E1983" i="2" s="1"/>
  <c r="D1983" i="2" l="1"/>
  <c r="H1983" i="2"/>
  <c r="L1983" i="2" s="1"/>
  <c r="B1983" i="2"/>
  <c r="C1983" i="2"/>
  <c r="M1983" i="2" l="1"/>
  <c r="I1983" i="2"/>
  <c r="J1983" i="2"/>
  <c r="K1983" i="2"/>
  <c r="S1983" i="2"/>
  <c r="N1983" i="2"/>
  <c r="O1983" i="2" s="1"/>
  <c r="Q1983" i="2" l="1"/>
  <c r="P1983" i="2"/>
  <c r="R1983" i="2"/>
  <c r="V1983" i="2" s="1"/>
  <c r="Y1983" i="2" s="1"/>
  <c r="G1984" i="2" s="1"/>
  <c r="U1983" i="2"/>
  <c r="X1983" i="2" s="1"/>
  <c r="F1984" i="2" s="1"/>
  <c r="T1983" i="2"/>
  <c r="W1983" i="2"/>
  <c r="E1984" i="2" s="1"/>
  <c r="H1984" i="2" l="1"/>
  <c r="M1984" i="2" s="1"/>
  <c r="B1984" i="2"/>
  <c r="C1984" i="2"/>
  <c r="D1984" i="2"/>
  <c r="N1984" i="2" l="1"/>
  <c r="O1984" i="2" s="1"/>
  <c r="B47" i="3"/>
  <c r="D47" i="3"/>
  <c r="C47" i="3"/>
  <c r="Q1984" i="2"/>
  <c r="R1984" i="2"/>
  <c r="J1984" i="2"/>
  <c r="K1984" i="2"/>
  <c r="I1984" i="2"/>
  <c r="S1984" i="2"/>
  <c r="L1984" i="2"/>
  <c r="P1984" i="2" s="1"/>
  <c r="U1984" i="2" l="1"/>
  <c r="X1984" i="2" s="1"/>
  <c r="F1985" i="2" s="1"/>
  <c r="T1984" i="2"/>
  <c r="W1984" i="2" s="1"/>
  <c r="E1985" i="2" s="1"/>
  <c r="V1984" i="2"/>
  <c r="Y1984" i="2" s="1"/>
  <c r="G1985" i="2" s="1"/>
  <c r="H1985" i="2" l="1"/>
  <c r="L1985" i="2"/>
  <c r="B1985" i="2"/>
  <c r="M1985" i="2"/>
  <c r="C1985" i="2"/>
  <c r="N1985" i="2"/>
  <c r="O1985" i="2" s="1"/>
  <c r="D1985" i="2"/>
  <c r="R1985" i="2" l="1"/>
  <c r="Q1985" i="2"/>
  <c r="P1985" i="2"/>
  <c r="K1985" i="2"/>
  <c r="I1985" i="2"/>
  <c r="J1985" i="2"/>
  <c r="S1985" i="2"/>
  <c r="U1985" i="2" l="1"/>
  <c r="T1985" i="2"/>
  <c r="V1985" i="2"/>
  <c r="X1985" i="2"/>
  <c r="F1986" i="2" s="1"/>
  <c r="W1985" i="2"/>
  <c r="E1986" i="2" s="1"/>
  <c r="Y1985" i="2"/>
  <c r="G1986" i="2" s="1"/>
  <c r="H1986" i="2" l="1"/>
  <c r="L1986" i="2"/>
  <c r="B1986" i="2"/>
  <c r="N1986" i="2"/>
  <c r="O1986" i="2" s="1"/>
  <c r="D1986" i="2"/>
  <c r="M1986" i="2"/>
  <c r="C1986" i="2"/>
  <c r="Q1986" i="2" l="1"/>
  <c r="P1986" i="2"/>
  <c r="R1986" i="2"/>
  <c r="K1986" i="2"/>
  <c r="J1986" i="2"/>
  <c r="S1986" i="2"/>
  <c r="I1986" i="2"/>
  <c r="U1986" i="2" l="1"/>
  <c r="T1986" i="2"/>
  <c r="V1986" i="2"/>
  <c r="X1986" i="2"/>
  <c r="F1987" i="2" s="1"/>
  <c r="W1986" i="2"/>
  <c r="E1987" i="2" s="1"/>
  <c r="Y1986" i="2"/>
  <c r="G1987" i="2" s="1"/>
  <c r="D1987" i="2" l="1"/>
  <c r="H1987" i="2"/>
  <c r="L1987" i="2" s="1"/>
  <c r="B1987" i="2"/>
  <c r="C1987" i="2"/>
  <c r="M1987" i="2" l="1"/>
  <c r="J1987" i="2"/>
  <c r="I1987" i="2"/>
  <c r="S1987" i="2"/>
  <c r="K1987" i="2"/>
  <c r="N1987" i="2"/>
  <c r="O1987" i="2" s="1"/>
  <c r="R1987" i="2" l="1"/>
  <c r="P1987" i="2"/>
  <c r="Q1987" i="2"/>
  <c r="V1987" i="2"/>
  <c r="Y1987" i="2" s="1"/>
  <c r="G1988" i="2" s="1"/>
  <c r="U1987" i="2"/>
  <c r="T1987" i="2"/>
  <c r="W1987" i="2" s="1"/>
  <c r="E1988" i="2" s="1"/>
  <c r="X1987" i="2"/>
  <c r="F1988" i="2" s="1"/>
  <c r="H1988" i="2" l="1"/>
  <c r="B1988" i="2"/>
  <c r="N1988" i="2"/>
  <c r="O1988" i="2" s="1"/>
  <c r="D1988" i="2"/>
  <c r="M1988" i="2"/>
  <c r="C1988" i="2"/>
  <c r="R1988" i="2" l="1"/>
  <c r="Q1988" i="2"/>
  <c r="J1988" i="2"/>
  <c r="K1988" i="2"/>
  <c r="I1988" i="2"/>
  <c r="S1988" i="2"/>
  <c r="L1988" i="2"/>
  <c r="P1988" i="2" s="1"/>
  <c r="U1988" i="2" l="1"/>
  <c r="T1988" i="2"/>
  <c r="W1988" i="2" s="1"/>
  <c r="E1989" i="2" s="1"/>
  <c r="V1988" i="2"/>
  <c r="X1988" i="2"/>
  <c r="F1989" i="2" s="1"/>
  <c r="Y1988" i="2"/>
  <c r="G1989" i="2" s="1"/>
  <c r="H1989" i="2" l="1"/>
  <c r="B1989" i="2"/>
  <c r="M1989" i="2"/>
  <c r="C1989" i="2"/>
  <c r="N1989" i="2"/>
  <c r="O1989" i="2" s="1"/>
  <c r="D1989" i="2"/>
  <c r="R1989" i="2" l="1"/>
  <c r="Q1989" i="2"/>
  <c r="I1989" i="2"/>
  <c r="J1989" i="2"/>
  <c r="K1989" i="2"/>
  <c r="S1989" i="2"/>
  <c r="L1989" i="2"/>
  <c r="P1989" i="2" s="1"/>
  <c r="V1989" i="2" l="1"/>
  <c r="U1989" i="2"/>
  <c r="T1989" i="2"/>
  <c r="X1989" i="2"/>
  <c r="F1990" i="2" s="1"/>
  <c r="Y1989" i="2"/>
  <c r="G1990" i="2" s="1"/>
  <c r="W1989" i="2"/>
  <c r="E1990" i="2" s="1"/>
  <c r="H1990" i="2" l="1"/>
  <c r="B1990" i="2"/>
  <c r="N1990" i="2"/>
  <c r="O1990" i="2" s="1"/>
  <c r="D1990" i="2"/>
  <c r="M1990" i="2"/>
  <c r="C1990" i="2"/>
  <c r="Q1990" i="2" l="1"/>
  <c r="R1990" i="2"/>
  <c r="I1990" i="2"/>
  <c r="K1990" i="2"/>
  <c r="J1990" i="2"/>
  <c r="S1990" i="2"/>
  <c r="L1990" i="2"/>
  <c r="P1990" i="2" s="1"/>
  <c r="U1990" i="2" l="1"/>
  <c r="T1990" i="2"/>
  <c r="V1990" i="2"/>
  <c r="W1990" i="2"/>
  <c r="E1991" i="2" s="1"/>
  <c r="X1990" i="2"/>
  <c r="F1991" i="2" s="1"/>
  <c r="Y1990" i="2"/>
  <c r="G1991" i="2" s="1"/>
  <c r="C1991" i="2" l="1"/>
  <c r="D1991" i="2"/>
  <c r="H1991" i="2"/>
  <c r="B1991" i="2"/>
  <c r="I1991" i="2" l="1"/>
  <c r="K1991" i="2"/>
  <c r="J1991" i="2"/>
  <c r="S1991" i="2"/>
  <c r="L1991" i="2"/>
  <c r="N1991" i="2"/>
  <c r="O1991" i="2" s="1"/>
  <c r="M1991" i="2"/>
  <c r="R1991" i="2" l="1"/>
  <c r="V1991" i="2" s="1"/>
  <c r="Y1991" i="2" s="1"/>
  <c r="G1992" i="2" s="1"/>
  <c r="Q1991" i="2"/>
  <c r="U1991" i="2" s="1"/>
  <c r="X1991" i="2" s="1"/>
  <c r="F1992" i="2" s="1"/>
  <c r="P1991" i="2"/>
  <c r="T1991" i="2" s="1"/>
  <c r="W1991" i="2" s="1"/>
  <c r="E1992" i="2" s="1"/>
  <c r="D1992" i="2" l="1"/>
  <c r="C1992" i="2"/>
  <c r="H1992" i="2"/>
  <c r="L1992" i="2" s="1"/>
  <c r="B1992" i="2"/>
  <c r="I1992" i="2" l="1"/>
  <c r="K1992" i="2"/>
  <c r="S1992" i="2"/>
  <c r="J1992" i="2"/>
  <c r="M1992" i="2"/>
  <c r="N1992" i="2"/>
  <c r="O1992" i="2" s="1"/>
  <c r="Q1992" i="2" l="1"/>
  <c r="P1992" i="2"/>
  <c r="R1992" i="2"/>
  <c r="V1992" i="2" s="1"/>
  <c r="Y1992" i="2" s="1"/>
  <c r="G1993" i="2" s="1"/>
  <c r="U1992" i="2"/>
  <c r="X1992" i="2" s="1"/>
  <c r="F1993" i="2" s="1"/>
  <c r="T1992" i="2"/>
  <c r="W1992" i="2" s="1"/>
  <c r="E1993" i="2" s="1"/>
  <c r="D1993" i="2" l="1"/>
  <c r="C1993" i="2"/>
  <c r="H1993" i="2"/>
  <c r="B1993" i="2"/>
  <c r="I1993" i="2" l="1"/>
  <c r="K1993" i="2"/>
  <c r="J1993" i="2"/>
  <c r="S1993" i="2"/>
  <c r="M1993" i="2"/>
  <c r="N1993" i="2"/>
  <c r="O1993" i="2" s="1"/>
  <c r="L1993" i="2"/>
  <c r="R1993" i="2" l="1"/>
  <c r="Q1993" i="2"/>
  <c r="P1993" i="2"/>
  <c r="T1993" i="2" s="1"/>
  <c r="W1993" i="2" s="1"/>
  <c r="E1994" i="2" s="1"/>
  <c r="V1993" i="2"/>
  <c r="U1993" i="2"/>
  <c r="X1993" i="2" s="1"/>
  <c r="F1994" i="2" s="1"/>
  <c r="Y1993" i="2"/>
  <c r="G1994" i="2" s="1"/>
  <c r="H1994" i="2" l="1"/>
  <c r="M1994" i="2" s="1"/>
  <c r="B1994" i="2"/>
  <c r="C1994" i="2"/>
  <c r="D1994" i="2"/>
  <c r="N1994" i="2" l="1"/>
  <c r="O1994" i="2" s="1"/>
  <c r="Q1994" i="2"/>
  <c r="R1994" i="2"/>
  <c r="K1994" i="2"/>
  <c r="I1994" i="2"/>
  <c r="S1994" i="2"/>
  <c r="J1994" i="2"/>
  <c r="L1994" i="2"/>
  <c r="P1994" i="2" s="1"/>
  <c r="V1994" i="2" l="1"/>
  <c r="T1994" i="2"/>
  <c r="W1994" i="2" s="1"/>
  <c r="E1995" i="2" s="1"/>
  <c r="U1994" i="2"/>
  <c r="X1994" i="2" s="1"/>
  <c r="F1995" i="2" s="1"/>
  <c r="Y1994" i="2"/>
  <c r="G1995" i="2" s="1"/>
  <c r="C1995" i="2" l="1"/>
  <c r="H1995" i="2"/>
  <c r="N1995" i="2" s="1"/>
  <c r="O1995" i="2" s="1"/>
  <c r="B1995" i="2"/>
  <c r="D1995" i="2"/>
  <c r="R1995" i="2" l="1"/>
  <c r="I1995" i="2"/>
  <c r="J1995" i="2"/>
  <c r="K1995" i="2"/>
  <c r="S1995" i="2"/>
  <c r="L1995" i="2"/>
  <c r="P1995" i="2" s="1"/>
  <c r="M1995" i="2"/>
  <c r="Q1995" i="2" s="1"/>
  <c r="V1995" i="2" l="1"/>
  <c r="U1995" i="2"/>
  <c r="X1995" i="2" s="1"/>
  <c r="F1996" i="2" s="1"/>
  <c r="T1995" i="2"/>
  <c r="Y1995" i="2"/>
  <c r="G1996" i="2" s="1"/>
  <c r="W1995" i="2"/>
  <c r="E1996" i="2" s="1"/>
  <c r="C1996" i="2" l="1"/>
  <c r="H1996" i="2"/>
  <c r="B1996" i="2"/>
  <c r="N1996" i="2"/>
  <c r="O1996" i="2" s="1"/>
  <c r="D1996" i="2"/>
  <c r="R1996" i="2" l="1"/>
  <c r="I1996" i="2"/>
  <c r="J1996" i="2"/>
  <c r="K1996" i="2"/>
  <c r="S1996" i="2"/>
  <c r="L1996" i="2"/>
  <c r="P1996" i="2" s="1"/>
  <c r="M1996" i="2"/>
  <c r="Q1996" i="2" s="1"/>
  <c r="V1996" i="2" l="1"/>
  <c r="Y1996" i="2" s="1"/>
  <c r="G1997" i="2" s="1"/>
  <c r="U1996" i="2"/>
  <c r="T1996" i="2"/>
  <c r="X1996" i="2"/>
  <c r="F1997" i="2" s="1"/>
  <c r="W1996" i="2"/>
  <c r="E1997" i="2" s="1"/>
  <c r="D1997" i="2" l="1"/>
  <c r="H1997" i="2"/>
  <c r="M1997" i="2" s="1"/>
  <c r="B1997" i="2"/>
  <c r="C1997" i="2"/>
  <c r="J1997" i="2" l="1"/>
  <c r="I1997" i="2"/>
  <c r="K1997" i="2"/>
  <c r="S1997" i="2"/>
  <c r="L1997" i="2"/>
  <c r="N1997" i="2"/>
  <c r="O1997" i="2" s="1"/>
  <c r="Q1997" i="2" l="1"/>
  <c r="U1997" i="2" s="1"/>
  <c r="X1997" i="2" s="1"/>
  <c r="F1998" i="2" s="1"/>
  <c r="P1997" i="2"/>
  <c r="T1997" i="2" s="1"/>
  <c r="W1997" i="2" s="1"/>
  <c r="E1998" i="2" s="1"/>
  <c r="R1997" i="2"/>
  <c r="V1997" i="2" s="1"/>
  <c r="Y1997" i="2" s="1"/>
  <c r="G1998" i="2" s="1"/>
  <c r="D1998" i="2" l="1"/>
  <c r="H1998" i="2"/>
  <c r="B1998" i="2"/>
  <c r="M1998" i="2"/>
  <c r="C1998" i="2"/>
  <c r="J1998" i="2" l="1"/>
  <c r="K1998" i="2"/>
  <c r="I1998" i="2"/>
  <c r="S1998" i="2"/>
  <c r="L1998" i="2"/>
  <c r="N1998" i="2"/>
  <c r="O1998" i="2" s="1"/>
  <c r="R1998" i="2" l="1"/>
  <c r="Q1998" i="2"/>
  <c r="P1998" i="2"/>
  <c r="T1998" i="2" s="1"/>
  <c r="W1998" i="2" s="1"/>
  <c r="E1999" i="2" s="1"/>
  <c r="V1998" i="2"/>
  <c r="Y1998" i="2" s="1"/>
  <c r="G1999" i="2" s="1"/>
  <c r="U1998" i="2"/>
  <c r="X1998" i="2" s="1"/>
  <c r="F1999" i="2" s="1"/>
  <c r="H1999" i="2" l="1"/>
  <c r="L1999" i="2" s="1"/>
  <c r="B1999" i="2"/>
  <c r="D1999" i="2"/>
  <c r="C1999" i="2"/>
  <c r="M1999" i="2" l="1"/>
  <c r="N1999" i="2"/>
  <c r="O1999" i="2" s="1"/>
  <c r="R1999" i="2"/>
  <c r="Q1999" i="2"/>
  <c r="P1999" i="2"/>
  <c r="J1999" i="2"/>
  <c r="K1999" i="2"/>
  <c r="I1999" i="2"/>
  <c r="S1999" i="2"/>
  <c r="V1999" i="2" l="1"/>
  <c r="T1999" i="2"/>
  <c r="U1999" i="2"/>
  <c r="W1999" i="2"/>
  <c r="E2000" i="2" s="1"/>
  <c r="Y1999" i="2"/>
  <c r="G2000" i="2" s="1"/>
  <c r="X1999" i="2"/>
  <c r="F2000" i="2" s="1"/>
  <c r="C2000" i="2" l="1"/>
  <c r="H2000" i="2"/>
  <c r="L2000" i="2" s="1"/>
  <c r="B2000" i="2"/>
  <c r="D2000" i="2"/>
  <c r="N2000" i="2" l="1"/>
  <c r="O2000" i="2" s="1"/>
  <c r="B48" i="3"/>
  <c r="D49" i="3"/>
  <c r="C49" i="3"/>
  <c r="D48" i="3"/>
  <c r="B49" i="3"/>
  <c r="C48" i="3"/>
  <c r="B51" i="3"/>
  <c r="C52" i="3"/>
  <c r="B52" i="3"/>
  <c r="D51" i="3"/>
  <c r="D52" i="3"/>
  <c r="B50" i="3"/>
  <c r="D50" i="3"/>
  <c r="C51" i="3"/>
  <c r="C50" i="3"/>
  <c r="R2000" i="2"/>
  <c r="P2000" i="2"/>
  <c r="J2000" i="2"/>
  <c r="K2000" i="2"/>
  <c r="I2000" i="2"/>
  <c r="S2000" i="2"/>
  <c r="M2000" i="2"/>
  <c r="Q2000" i="2" s="1"/>
  <c r="V2000" i="2" l="1"/>
  <c r="U2000" i="2"/>
  <c r="X2000" i="2" s="1"/>
  <c r="T2000" i="2"/>
  <c r="W2000" i="2" s="1"/>
  <c r="Y2000" i="2"/>
</calcChain>
</file>

<file path=xl/sharedStrings.xml><?xml version="1.0" encoding="utf-8"?>
<sst xmlns="http://schemas.openxmlformats.org/spreadsheetml/2006/main" count="73" uniqueCount="63">
  <si>
    <t>m</t>
  </si>
  <si>
    <t>kg</t>
  </si>
  <si>
    <t>d</t>
  </si>
  <si>
    <t>r</t>
  </si>
  <si>
    <t>A</t>
  </si>
  <si>
    <t>m^2</t>
  </si>
  <si>
    <t>rho</t>
  </si>
  <si>
    <t>kg/m^3</t>
  </si>
  <si>
    <t>Cd</t>
  </si>
  <si>
    <t>Cl</t>
  </si>
  <si>
    <t>K_drag</t>
  </si>
  <si>
    <t>K_lift</t>
  </si>
  <si>
    <t>g</t>
  </si>
  <si>
    <t>m/s^2</t>
  </si>
  <si>
    <t>gf</t>
  </si>
  <si>
    <t>gr</t>
  </si>
  <si>
    <t>gu</t>
  </si>
  <si>
    <t>theta</t>
  </si>
  <si>
    <t>rad</t>
  </si>
  <si>
    <t>phi</t>
  </si>
  <si>
    <t>v_0</t>
  </si>
  <si>
    <t>m/s</t>
  </si>
  <si>
    <t>u_axis_f</t>
  </si>
  <si>
    <t>u_axis_r</t>
  </si>
  <si>
    <t>u_axis_u</t>
  </si>
  <si>
    <t>dt</t>
  </si>
  <si>
    <t>s</t>
  </si>
  <si>
    <t>pitch</t>
  </si>
  <si>
    <t>deg</t>
  </si>
  <si>
    <t>roll</t>
  </si>
  <si>
    <t>target</t>
  </si>
  <si>
    <t>crop_f_min</t>
  </si>
  <si>
    <t>crop_f_max</t>
  </si>
  <si>
    <t>t</t>
  </si>
  <si>
    <t>pf</t>
  </si>
  <si>
    <t>pr</t>
  </si>
  <si>
    <t>pu</t>
  </si>
  <si>
    <t>vf</t>
  </si>
  <si>
    <t>vr</t>
  </si>
  <si>
    <t>vu</t>
  </si>
  <si>
    <t>speed</t>
  </si>
  <si>
    <t>a_drag_f</t>
  </si>
  <si>
    <t>a_drag_r</t>
  </si>
  <si>
    <t>a_drag_u</t>
  </si>
  <si>
    <t>v_hat_f</t>
  </si>
  <si>
    <t>v_hat_r</t>
  </si>
  <si>
    <t>v_hat_u</t>
  </si>
  <si>
    <t>dot_u_v</t>
  </si>
  <si>
    <t>lift_dir_f</t>
  </si>
  <si>
    <t>lift_dir_r</t>
  </si>
  <si>
    <t>lift_dir_u</t>
  </si>
  <si>
    <t>lift_accel</t>
  </si>
  <si>
    <t>a_lift_f</t>
  </si>
  <si>
    <t>a_lift_r</t>
  </si>
  <si>
    <t>a_lift_u</t>
  </si>
  <si>
    <t>a_f</t>
  </si>
  <si>
    <t>a_r</t>
  </si>
  <si>
    <t>a_u</t>
  </si>
  <si>
    <t>target_f</t>
  </si>
  <si>
    <t>pu_pre_target</t>
  </si>
  <si>
    <t>pu_target</t>
  </si>
  <si>
    <t>pu_post_target</t>
  </si>
  <si>
    <t>mod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</si>
</sst>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游ゴシック"/>
      <family val="3"/>
      <charset val="128"/>
    </font>
    <font>
      <sz val="6"/>
      <name val="Arial"/>
      <family val="3"/>
      <charset val="128"/>
      <scheme val="minor"/>
    </font>
    <font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theme="1"/>
      <name val="Ui-monospace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000000000000001E-2"/>
          <c:y val="3.1575166865829049E-2"/>
          <c:w val="0.93888888888888888"/>
          <c:h val="0.93684966626834187"/>
        </c:manualLayout>
      </c:layout>
      <c:scatterChart>
        <c:scatterStyle val="lineMarker"/>
        <c:varyColors val="0"/>
        <c:ser>
          <c:idx val="3"/>
          <c:order val="0"/>
          <c:tx>
            <c:strRef>
              <c:f>抽出!$G$1</c:f>
              <c:strCache>
                <c:ptCount val="1"/>
                <c:pt idx="0">
                  <c:v>pu_post_target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抽出!$C$2:$C$52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xVal>
          <c:yVal>
            <c:numRef>
              <c:f>抽出!$G$2:$G$52</c:f>
              <c:numCache>
                <c:formatCode>General</c:formatCode>
                <c:ptCount val="5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-0.22408590881073204</c:v>
                </c:pt>
                <c:pt idx="34">
                  <c:v>#N/A</c:v>
                </c:pt>
                <c:pt idx="35">
                  <c:v>#N/A</c:v>
                </c:pt>
                <c:pt idx="36">
                  <c:v>-0.58421720610949068</c:v>
                </c:pt>
                <c:pt idx="37">
                  <c:v>#N/A</c:v>
                </c:pt>
                <c:pt idx="38">
                  <c:v>#N/A</c:v>
                </c:pt>
                <c:pt idx="39">
                  <c:v>-1.1214160518853276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C8-4862-909B-F55B712ADD35}"/>
            </c:ext>
          </c:extLst>
        </c:ser>
        <c:ser>
          <c:idx val="2"/>
          <c:order val="1"/>
          <c:tx>
            <c:strRef>
              <c:f>抽出!$E$1</c:f>
              <c:strCache>
                <c:ptCount val="1"/>
                <c:pt idx="0">
                  <c:v>pu_pre_target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抽出!$C$2:$C$52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xVal>
          <c:yVal>
            <c:numRef>
              <c:f>抽出!$E$2:$E$52</c:f>
              <c:numCache>
                <c:formatCode>General</c:formatCode>
                <c:ptCount val="5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0.11393565610026714</c:v>
                </c:pt>
                <c:pt idx="13">
                  <c:v>#N/A</c:v>
                </c:pt>
                <c:pt idx="14">
                  <c:v>#N/A</c:v>
                </c:pt>
                <c:pt idx="15">
                  <c:v>0.15784072631185886</c:v>
                </c:pt>
                <c:pt idx="16">
                  <c:v>#N/A</c:v>
                </c:pt>
                <c:pt idx="17">
                  <c:v>#N/A</c:v>
                </c:pt>
                <c:pt idx="18">
                  <c:v>0.1937963836866419</c:v>
                </c:pt>
                <c:pt idx="19">
                  <c:v>#N/A</c:v>
                </c:pt>
                <c:pt idx="20">
                  <c:v>#N/A</c:v>
                </c:pt>
                <c:pt idx="21">
                  <c:v>0.21211672840320181</c:v>
                </c:pt>
                <c:pt idx="22">
                  <c:v>#N/A</c:v>
                </c:pt>
                <c:pt idx="23">
                  <c:v>#N/A</c:v>
                </c:pt>
                <c:pt idx="24">
                  <c:v>0.19891044608725833</c:v>
                </c:pt>
                <c:pt idx="25">
                  <c:v>#N/A</c:v>
                </c:pt>
                <c:pt idx="26">
                  <c:v>#N/A</c:v>
                </c:pt>
                <c:pt idx="27">
                  <c:v>0.13710547895288364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C8-4862-909B-F55B712ADD35}"/>
            </c:ext>
          </c:extLst>
        </c:ser>
        <c:ser>
          <c:idx val="1"/>
          <c:order val="2"/>
          <c:tx>
            <c:v>pu_target_dot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抽出!$C$2:$C$52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xVal>
          <c:yVal>
            <c:numRef>
              <c:f>抽出!$F$2:$F$52</c:f>
              <c:numCache>
                <c:formatCode>General</c:formatCode>
                <c:ptCount val="5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5.4040854187877322E-3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C8-4862-909B-F55B712ADD35}"/>
            </c:ext>
          </c:extLst>
        </c:ser>
        <c:ser>
          <c:idx val="0"/>
          <c:order val="3"/>
          <c:tx>
            <c:v>pu_target_circle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dPt>
            <c:idx val="30"/>
            <c:marker>
              <c:symbol val="circle"/>
              <c:size val="10"/>
              <c:spPr>
                <a:noFill/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4499-49EA-989D-B2F95F85973C}"/>
              </c:ext>
            </c:extLst>
          </c:dPt>
          <c:xVal>
            <c:numRef>
              <c:f>抽出!$C$2:$C$52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xVal>
          <c:yVal>
            <c:numRef>
              <c:f>抽出!$F$2:$F$52</c:f>
              <c:numCache>
                <c:formatCode>General</c:formatCode>
                <c:ptCount val="5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5.4040854187877322E-3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C8-4862-909B-F55B712ADD35}"/>
            </c:ext>
          </c:extLst>
        </c:ser>
        <c:ser>
          <c:idx val="4"/>
          <c:order val="4"/>
          <c:tx>
            <c:v>center</c:v>
          </c:tx>
          <c:spPr>
            <a:ln w="25400" cap="rnd">
              <a:noFill/>
              <a:round/>
            </a:ln>
            <a:effectLst/>
          </c:spPr>
          <c:marker>
            <c:symbol val="plus"/>
            <c:size val="10"/>
            <c:spPr>
              <a:noFill/>
              <a:ln w="1905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Lit>
              <c:formatCode>General</c:formatCode>
              <c:ptCount val="1"/>
              <c:pt idx="0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4-3EC8-4862-909B-F55B712AD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9279"/>
        <c:axId val="1732069759"/>
      </c:scatterChart>
      <c:valAx>
        <c:axId val="1732069279"/>
        <c:scaling>
          <c:orientation val="minMax"/>
          <c:max val="2"/>
          <c:min val="-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crossAx val="1732069759"/>
        <c:crosses val="autoZero"/>
        <c:crossBetween val="midCat"/>
      </c:valAx>
      <c:valAx>
        <c:axId val="1732069759"/>
        <c:scaling>
          <c:orientation val="minMax"/>
          <c:max val="2"/>
          <c:min val="-2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crossAx val="1732069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552450</xdr:colOff>
      <xdr:row>3</xdr:row>
      <xdr:rowOff>233362</xdr:rowOff>
    </xdr:from>
    <xdr:to>
      <xdr:col>9</xdr:col>
      <xdr:colOff>95250</xdr:colOff>
      <xdr:row>23</xdr:row>
      <xdr:rowOff>38100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D5D4E19-52CD-53FD-FB39-55E4C14E6C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27"/>
  <sheetViews>
    <sheetView tabSelected="1" workbookViewId="0">
      <selection activeCell="D31" sqref="D31"/>
    </sheetView>
  </sheetViews>
  <sheetFormatPr defaultColWidth="12.5703125" defaultRowHeight="18.75" customHeight="1"/>
  <cols>
    <col min="1" max="1" width="12.5703125" style="3" customWidth="1"/>
    <col min="2" max="2" width="15.42578125" style="3" customWidth="1"/>
    <col min="3" max="16384" width="12.5703125" style="3"/>
  </cols>
  <sheetData>
    <row r="1" spans="1:3" ht="18.75" customHeight="1">
      <c r="A1" s="2" t="s">
        <v>0</v>
      </c>
      <c r="B1" s="2">
        <v>2.0000000000000001E-4</v>
      </c>
      <c r="C1" s="2" t="s">
        <v>1</v>
      </c>
    </row>
    <row r="2" spans="1:3" ht="18.75" customHeight="1">
      <c r="A2" s="2" t="s">
        <v>2</v>
      </c>
      <c r="B2" s="2">
        <v>6.0000000000000001E-3</v>
      </c>
      <c r="C2" s="2" t="s">
        <v>0</v>
      </c>
    </row>
    <row r="3" spans="1:3" ht="18.75" customHeight="1">
      <c r="A3" s="2" t="s">
        <v>3</v>
      </c>
      <c r="B3" s="2">
        <f>B2/2</f>
        <v>3.0000000000000001E-3</v>
      </c>
      <c r="C3" s="2" t="s">
        <v>0</v>
      </c>
    </row>
    <row r="4" spans="1:3" ht="18.75" customHeight="1">
      <c r="A4" s="2" t="s">
        <v>4</v>
      </c>
      <c r="B4" s="2">
        <f>PI()*B3^2</f>
        <v>2.8274333882308137E-5</v>
      </c>
      <c r="C4" s="2" t="s">
        <v>5</v>
      </c>
    </row>
    <row r="5" spans="1:3" ht="18.75" customHeight="1">
      <c r="A5" s="2" t="s">
        <v>6</v>
      </c>
      <c r="B5" s="2">
        <v>1.2250000000000001</v>
      </c>
      <c r="C5" s="2" t="s">
        <v>7</v>
      </c>
    </row>
    <row r="6" spans="1:3" ht="18.75" customHeight="1">
      <c r="A6" s="2" t="s">
        <v>8</v>
      </c>
      <c r="B6" s="2">
        <v>0.47</v>
      </c>
    </row>
    <row r="7" spans="1:3" ht="18.75" customHeight="1">
      <c r="A7" s="2" t="s">
        <v>9</v>
      </c>
      <c r="B7" s="2">
        <v>3.7999999999999999E-2</v>
      </c>
    </row>
    <row r="8" spans="1:3" ht="18.75" customHeight="1">
      <c r="A8" s="2" t="s">
        <v>10</v>
      </c>
      <c r="B8" s="2">
        <f>0.5*B5*B4*B6/B1</f>
        <v>4.0697369331847276E-2</v>
      </c>
    </row>
    <row r="9" spans="1:3" ht="18.75" customHeight="1">
      <c r="A9" s="2" t="s">
        <v>11</v>
      </c>
      <c r="B9" s="2">
        <f>0.5*B5*B4*B7/B1</f>
        <v>3.2904256055536095E-3</v>
      </c>
    </row>
    <row r="10" spans="1:3" ht="18.75" customHeight="1">
      <c r="A10" s="2" t="s">
        <v>12</v>
      </c>
      <c r="B10" s="2">
        <v>9.8066499999999994</v>
      </c>
      <c r="C10" s="2" t="s">
        <v>13</v>
      </c>
    </row>
    <row r="11" spans="1:3" ht="18.75" customHeight="1">
      <c r="A11" s="2" t="s">
        <v>14</v>
      </c>
      <c r="B11" s="2">
        <f>-g*SIN(theta)</f>
        <v>0</v>
      </c>
      <c r="C11" s="2" t="s">
        <v>13</v>
      </c>
    </row>
    <row r="12" spans="1:3" ht="18.75" customHeight="1">
      <c r="A12" s="2" t="s">
        <v>15</v>
      </c>
      <c r="B12" s="2">
        <f>g*COS(theta)*SIN(phi)</f>
        <v>0</v>
      </c>
      <c r="C12" s="2" t="s">
        <v>13</v>
      </c>
    </row>
    <row r="13" spans="1:3" ht="18.75" customHeight="1">
      <c r="A13" s="2" t="s">
        <v>16</v>
      </c>
      <c r="B13" s="2">
        <f>-g*COS(theta)*COS(phi)</f>
        <v>-9.8066499999999994</v>
      </c>
      <c r="C13" s="2" t="s">
        <v>13</v>
      </c>
    </row>
    <row r="14" spans="1:3" ht="18.75" customHeight="1">
      <c r="A14" s="4" t="s">
        <v>17</v>
      </c>
      <c r="B14" s="2">
        <f t="shared" ref="B14:B15" si="0">RADIANS(B22)</f>
        <v>0</v>
      </c>
      <c r="C14" s="2" t="s">
        <v>18</v>
      </c>
    </row>
    <row r="15" spans="1:3" ht="18.75" customHeight="1">
      <c r="A15" s="4" t="s">
        <v>19</v>
      </c>
      <c r="B15" s="2">
        <f t="shared" si="0"/>
        <v>0</v>
      </c>
      <c r="C15" s="2" t="s">
        <v>18</v>
      </c>
    </row>
    <row r="16" spans="1:3" ht="18.75" customHeight="1">
      <c r="A16" s="2" t="s">
        <v>20</v>
      </c>
      <c r="B16" s="2">
        <v>90</v>
      </c>
      <c r="C16" s="2" t="s">
        <v>21</v>
      </c>
    </row>
    <row r="17" spans="1:3" ht="18.75" customHeight="1">
      <c r="A17" s="2" t="s">
        <v>22</v>
      </c>
      <c r="B17" s="2">
        <v>0</v>
      </c>
    </row>
    <row r="18" spans="1:3" ht="18.75" customHeight="1">
      <c r="A18" s="2" t="s">
        <v>23</v>
      </c>
      <c r="B18" s="2">
        <v>0</v>
      </c>
    </row>
    <row r="19" spans="1:3" ht="18.75" customHeight="1">
      <c r="A19" s="2" t="s">
        <v>24</v>
      </c>
      <c r="B19" s="2">
        <v>1</v>
      </c>
    </row>
    <row r="20" spans="1:3" ht="18.75" customHeight="1">
      <c r="A20" s="2" t="s">
        <v>25</v>
      </c>
      <c r="B20" s="2">
        <v>1E-3</v>
      </c>
      <c r="C20" s="2" t="s">
        <v>26</v>
      </c>
    </row>
    <row r="22" spans="1:3" ht="18.75" customHeight="1">
      <c r="A22" s="2" t="s">
        <v>27</v>
      </c>
      <c r="B22" s="2">
        <v>0</v>
      </c>
      <c r="C22" s="2" t="s">
        <v>28</v>
      </c>
    </row>
    <row r="23" spans="1:3" ht="18.75" customHeight="1">
      <c r="A23" s="2" t="s">
        <v>29</v>
      </c>
      <c r="B23" s="2">
        <v>0</v>
      </c>
      <c r="C23" s="2" t="s">
        <v>28</v>
      </c>
    </row>
    <row r="25" spans="1:3" ht="18.75" customHeight="1">
      <c r="A25" s="5" t="s">
        <v>30</v>
      </c>
      <c r="B25" s="2">
        <v>30</v>
      </c>
    </row>
    <row r="26" spans="1:3" ht="18.75" customHeight="1">
      <c r="A26" s="5" t="s">
        <v>31</v>
      </c>
      <c r="B26" s="2">
        <v>10</v>
      </c>
    </row>
    <row r="27" spans="1:3" ht="18.75" customHeight="1">
      <c r="A27" s="5" t="s">
        <v>32</v>
      </c>
      <c r="B27" s="2">
        <v>40</v>
      </c>
    </row>
  </sheetData>
  <phoneticPr fontId="3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2000"/>
  <sheetViews>
    <sheetView workbookViewId="0">
      <selection activeCell="F3" sqref="F3"/>
    </sheetView>
  </sheetViews>
  <sheetFormatPr defaultColWidth="12.5703125" defaultRowHeight="15.75" customHeight="1"/>
  <cols>
    <col min="1" max="25" width="9.42578125" customWidth="1"/>
  </cols>
  <sheetData>
    <row r="1" spans="1:25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47</v>
      </c>
      <c r="P1" s="1" t="s">
        <v>48</v>
      </c>
      <c r="Q1" s="1" t="s">
        <v>49</v>
      </c>
      <c r="R1" s="1" t="s">
        <v>50</v>
      </c>
      <c r="S1" s="1" t="s">
        <v>51</v>
      </c>
      <c r="T1" s="1" t="s">
        <v>52</v>
      </c>
      <c r="U1" s="1" t="s">
        <v>53</v>
      </c>
      <c r="V1" s="1" t="s">
        <v>54</v>
      </c>
      <c r="W1" s="1" t="s">
        <v>55</v>
      </c>
      <c r="X1" s="1" t="s">
        <v>56</v>
      </c>
      <c r="Y1" s="1" t="s">
        <v>57</v>
      </c>
    </row>
    <row r="2" spans="1:25">
      <c r="A2" s="1">
        <v>0</v>
      </c>
      <c r="B2" s="1">
        <v>0</v>
      </c>
      <c r="C2" s="1">
        <v>0</v>
      </c>
      <c r="D2" s="1">
        <v>0</v>
      </c>
      <c r="E2" s="1">
        <f>v_0</f>
        <v>90</v>
      </c>
      <c r="F2" s="1">
        <v>0</v>
      </c>
      <c r="G2" s="1">
        <v>0</v>
      </c>
      <c r="H2" s="1">
        <f t="shared" ref="H2:H256" si="0">SQRT(E2^2+F2^2+G2^2)</f>
        <v>90</v>
      </c>
      <c r="I2" s="1">
        <f t="shared" ref="I2:I65" si="1">-K_drag*$H2*E2</f>
        <v>-329.64869158796296</v>
      </c>
      <c r="J2" s="1">
        <f t="shared" ref="J2:J65" si="2">-K_drag*$H2*F2</f>
        <v>0</v>
      </c>
      <c r="K2" s="1">
        <f t="shared" ref="K2:K65" si="3">-K_drag*$H2*G2</f>
        <v>0</v>
      </c>
      <c r="L2" s="1">
        <f t="shared" ref="L2:N2" si="4">E2/$H2</f>
        <v>1</v>
      </c>
      <c r="M2" s="1">
        <f t="shared" si="4"/>
        <v>0</v>
      </c>
      <c r="N2" s="1">
        <f t="shared" si="4"/>
        <v>0</v>
      </c>
      <c r="O2" s="1">
        <f t="shared" ref="O2:O256" si="5">N2</f>
        <v>0</v>
      </c>
      <c r="P2" s="1">
        <f t="shared" ref="P2:P65" si="6">u_axis_f-$O2*L2</f>
        <v>0</v>
      </c>
      <c r="Q2" s="1">
        <f t="shared" ref="Q2:Q65" si="7">u_axis_r-$O2*M2</f>
        <v>0</v>
      </c>
      <c r="R2" s="1">
        <f t="shared" ref="R2:R65" si="8">u_axis_u-$O2*N2</f>
        <v>1</v>
      </c>
      <c r="S2" s="1">
        <f t="shared" ref="S2:S65" si="9">K_lift*H2^2</f>
        <v>26.652447404984237</v>
      </c>
      <c r="T2" s="1">
        <f t="shared" ref="T2:V2" si="10">$S2*P2</f>
        <v>0</v>
      </c>
      <c r="U2" s="1">
        <f t="shared" si="10"/>
        <v>0</v>
      </c>
      <c r="V2" s="1">
        <f t="shared" si="10"/>
        <v>26.652447404984237</v>
      </c>
      <c r="W2" s="1">
        <f t="shared" ref="W2:W65" si="11">I2+T2+g_f</f>
        <v>-329.64869158796296</v>
      </c>
      <c r="X2" s="1">
        <f t="shared" ref="X2:X65" si="12">J2+U2+g_r</f>
        <v>0</v>
      </c>
      <c r="Y2" s="1">
        <f t="shared" ref="Y2:Y65" si="13">K2+V2+g_u</f>
        <v>16.845797404984239</v>
      </c>
    </row>
    <row r="3" spans="1:25">
      <c r="A3" s="1">
        <v>1E-3</v>
      </c>
      <c r="B3" s="1">
        <f t="shared" ref="B3:B66" si="14">B2+E3*dt</f>
        <v>8.9670351308412041E-2</v>
      </c>
      <c r="C3" s="1">
        <f t="shared" ref="C3:C66" si="15">C2+F3*dt</f>
        <v>0</v>
      </c>
      <c r="D3" s="1">
        <f t="shared" ref="D3:D66" si="16">D2+G3*dt</f>
        <v>1.6845797404984239E-5</v>
      </c>
      <c r="E3" s="1">
        <f t="shared" ref="E3:E66" si="17">E2+W2*dt</f>
        <v>89.670351308412037</v>
      </c>
      <c r="F3" s="1">
        <f t="shared" ref="F3:F66" si="18">F2+X2*dt</f>
        <v>0</v>
      </c>
      <c r="G3" s="1">
        <f t="shared" ref="G3:G66" si="19">G2+Y2*dt</f>
        <v>1.684579740498424E-2</v>
      </c>
      <c r="H3" s="1">
        <f t="shared" si="0"/>
        <v>89.670352890768328</v>
      </c>
      <c r="I3" s="1">
        <f t="shared" si="1"/>
        <v>-327.23826965560039</v>
      </c>
      <c r="J3" s="1">
        <f t="shared" si="2"/>
        <v>0</v>
      </c>
      <c r="K3" s="1">
        <f t="shared" si="3"/>
        <v>-6.1476168135171629E-2</v>
      </c>
      <c r="L3" s="1">
        <f t="shared" ref="L3:N3" si="20">E3/$H3</f>
        <v>0.9999999823536293</v>
      </c>
      <c r="M3" s="1">
        <f t="shared" si="20"/>
        <v>0</v>
      </c>
      <c r="N3" s="1">
        <f t="shared" si="20"/>
        <v>1.8786362339295014E-4</v>
      </c>
      <c r="O3" s="1">
        <f t="shared" si="5"/>
        <v>1.8786362339295014E-4</v>
      </c>
      <c r="P3" s="1">
        <f t="shared" si="6"/>
        <v>-1.8786362007783898E-4</v>
      </c>
      <c r="Q3" s="1">
        <f t="shared" si="7"/>
        <v>0</v>
      </c>
      <c r="R3" s="1">
        <f t="shared" si="8"/>
        <v>0.99999996470725905</v>
      </c>
      <c r="S3" s="1">
        <f t="shared" si="9"/>
        <v>26.457562694354031</v>
      </c>
      <c r="T3" s="1">
        <f t="shared" ref="T3:V3" si="21">$S3*P3</f>
        <v>-4.9704135061977321E-3</v>
      </c>
      <c r="U3" s="1">
        <f t="shared" si="21"/>
        <v>0</v>
      </c>
      <c r="V3" s="1">
        <f t="shared" si="21"/>
        <v>26.457561760594125</v>
      </c>
      <c r="W3" s="1">
        <f t="shared" si="11"/>
        <v>-327.24324006910661</v>
      </c>
      <c r="X3" s="1">
        <f t="shared" si="12"/>
        <v>0</v>
      </c>
      <c r="Y3" s="1">
        <f t="shared" si="13"/>
        <v>16.589435592458955</v>
      </c>
    </row>
    <row r="4" spans="1:25">
      <c r="A4" s="1">
        <v>2E-3</v>
      </c>
      <c r="B4" s="1">
        <f t="shared" si="14"/>
        <v>0.17901345937675497</v>
      </c>
      <c r="C4" s="1">
        <f t="shared" si="15"/>
        <v>0</v>
      </c>
      <c r="D4" s="1">
        <f t="shared" si="16"/>
        <v>5.0281030402427431E-5</v>
      </c>
      <c r="E4" s="1">
        <f t="shared" si="17"/>
        <v>89.343108068342929</v>
      </c>
      <c r="F4" s="1">
        <f t="shared" si="18"/>
        <v>0</v>
      </c>
      <c r="G4" s="1">
        <f t="shared" si="19"/>
        <v>3.3435232997443193E-2</v>
      </c>
      <c r="H4" s="1">
        <f t="shared" si="0"/>
        <v>89.343114324644006</v>
      </c>
      <c r="I4" s="1">
        <f t="shared" si="1"/>
        <v>-324.85419629653171</v>
      </c>
      <c r="J4" s="1">
        <f t="shared" si="2"/>
        <v>0</v>
      </c>
      <c r="K4" s="1">
        <f t="shared" si="3"/>
        <v>-0.12157150090483905</v>
      </c>
      <c r="L4" s="1">
        <f t="shared" ref="L4:N4" si="22">E4/$H4</f>
        <v>0.99999992997444598</v>
      </c>
      <c r="M4" s="1">
        <f t="shared" si="22"/>
        <v>0</v>
      </c>
      <c r="N4" s="1">
        <f t="shared" si="22"/>
        <v>3.7423402184023224E-4</v>
      </c>
      <c r="O4" s="1">
        <f t="shared" si="5"/>
        <v>3.7423402184023224E-4</v>
      </c>
      <c r="P4" s="1">
        <f t="shared" si="6"/>
        <v>-3.7423399563428755E-4</v>
      </c>
      <c r="Q4" s="1">
        <f t="shared" si="7"/>
        <v>0</v>
      </c>
      <c r="R4" s="1">
        <f t="shared" si="8"/>
        <v>0.99999985994889695</v>
      </c>
      <c r="S4" s="1">
        <f t="shared" si="9"/>
        <v>26.264809199352932</v>
      </c>
      <c r="T4" s="1">
        <f t="shared" ref="T4:V4" si="23">$S4*P4</f>
        <v>-9.8291844912460399E-3</v>
      </c>
      <c r="U4" s="1">
        <f t="shared" si="23"/>
        <v>0</v>
      </c>
      <c r="V4" s="1">
        <f t="shared" si="23"/>
        <v>26.264805520937433</v>
      </c>
      <c r="W4" s="1">
        <f t="shared" si="11"/>
        <v>-324.86402548102296</v>
      </c>
      <c r="X4" s="1">
        <f t="shared" si="12"/>
        <v>0</v>
      </c>
      <c r="Y4" s="1">
        <f t="shared" si="13"/>
        <v>16.336584020032596</v>
      </c>
    </row>
    <row r="5" spans="1:25">
      <c r="A5" s="1">
        <v>3.0000000000000001E-3</v>
      </c>
      <c r="B5" s="1">
        <f t="shared" si="14"/>
        <v>0.26803170341961691</v>
      </c>
      <c r="C5" s="1">
        <f t="shared" si="15"/>
        <v>0</v>
      </c>
      <c r="D5" s="1">
        <f t="shared" si="16"/>
        <v>1.0005284741990322E-4</v>
      </c>
      <c r="E5" s="1">
        <f t="shared" si="17"/>
        <v>89.018244042861909</v>
      </c>
      <c r="F5" s="1">
        <f t="shared" si="18"/>
        <v>0</v>
      </c>
      <c r="G5" s="1">
        <f t="shared" si="19"/>
        <v>4.9771817017475788E-2</v>
      </c>
      <c r="H5" s="1">
        <f t="shared" si="0"/>
        <v>89.018257957052214</v>
      </c>
      <c r="I5" s="1">
        <f t="shared" si="1"/>
        <v>-322.49608868190847</v>
      </c>
      <c r="J5" s="1">
        <f t="shared" si="2"/>
        <v>0</v>
      </c>
      <c r="K5" s="1">
        <f t="shared" si="3"/>
        <v>-0.18031378272300003</v>
      </c>
      <c r="L5" s="1">
        <f t="shared" ref="L5:N5" si="24">E5/$H5</f>
        <v>0.99999984369284878</v>
      </c>
      <c r="M5" s="1">
        <f t="shared" si="24"/>
        <v>0</v>
      </c>
      <c r="N5" s="1">
        <f t="shared" si="24"/>
        <v>5.5911919823783474E-4</v>
      </c>
      <c r="O5" s="1">
        <f t="shared" si="5"/>
        <v>5.5911919823783474E-4</v>
      </c>
      <c r="P5" s="1">
        <f t="shared" si="6"/>
        <v>-5.5911911084350566E-4</v>
      </c>
      <c r="Q5" s="1">
        <f t="shared" si="7"/>
        <v>0</v>
      </c>
      <c r="R5" s="1">
        <f t="shared" si="8"/>
        <v>0.9999996873857222</v>
      </c>
      <c r="S5" s="1">
        <f t="shared" si="9"/>
        <v>26.07415592645474</v>
      </c>
      <c r="T5" s="1">
        <f t="shared" ref="T5:V5" si="25">$S5*P5</f>
        <v>-1.4578558877594298E-2</v>
      </c>
      <c r="U5" s="1">
        <f t="shared" si="25"/>
        <v>0</v>
      </c>
      <c r="V5" s="1">
        <f t="shared" si="25"/>
        <v>26.074147775301316</v>
      </c>
      <c r="W5" s="1">
        <f t="shared" si="11"/>
        <v>-322.51066724078606</v>
      </c>
      <c r="X5" s="1">
        <f t="shared" si="12"/>
        <v>0</v>
      </c>
      <c r="Y5" s="1">
        <f t="shared" si="13"/>
        <v>16.087183992578318</v>
      </c>
    </row>
    <row r="6" spans="1:25">
      <c r="A6" s="1">
        <v>4.0000000000000001E-3</v>
      </c>
      <c r="B6" s="1">
        <f t="shared" si="14"/>
        <v>0.356727436795238</v>
      </c>
      <c r="C6" s="1">
        <f t="shared" si="15"/>
        <v>0</v>
      </c>
      <c r="D6" s="1">
        <f t="shared" si="16"/>
        <v>1.6591184842995734E-4</v>
      </c>
      <c r="E6" s="1">
        <f t="shared" si="17"/>
        <v>88.695733375621117</v>
      </c>
      <c r="F6" s="1">
        <f t="shared" si="18"/>
        <v>0</v>
      </c>
      <c r="G6" s="1">
        <f t="shared" si="19"/>
        <v>6.5859001010054111E-2</v>
      </c>
      <c r="H6" s="1">
        <f t="shared" si="0"/>
        <v>88.695757826669947</v>
      </c>
      <c r="I6" s="1">
        <f t="shared" si="1"/>
        <v>-320.16357091501817</v>
      </c>
      <c r="J6" s="1">
        <f t="shared" si="2"/>
        <v>0</v>
      </c>
      <c r="K6" s="1">
        <f t="shared" si="3"/>
        <v>-0.23773018315298478</v>
      </c>
      <c r="L6" s="1">
        <f t="shared" ref="L6:N6" si="26">E6/$H6</f>
        <v>0.99999972432673867</v>
      </c>
      <c r="M6" s="1">
        <f t="shared" si="26"/>
        <v>0</v>
      </c>
      <c r="N6" s="1">
        <f t="shared" si="26"/>
        <v>7.4252706807868276E-4</v>
      </c>
      <c r="O6" s="1">
        <f t="shared" si="5"/>
        <v>7.4252706807868276E-4</v>
      </c>
      <c r="P6" s="1">
        <f t="shared" si="6"/>
        <v>-7.4252686338382426E-4</v>
      </c>
      <c r="Q6" s="1">
        <f t="shared" si="7"/>
        <v>0</v>
      </c>
      <c r="R6" s="1">
        <f t="shared" si="8"/>
        <v>0.99999944865355317</v>
      </c>
      <c r="S6" s="1">
        <f t="shared" si="9"/>
        <v>25.885572443982923</v>
      </c>
      <c r="T6" s="1">
        <f t="shared" ref="T6:V6" si="27">$S6*P6</f>
        <v>-1.9220732913725395E-2</v>
      </c>
      <c r="U6" s="1">
        <f t="shared" si="27"/>
        <v>0</v>
      </c>
      <c r="V6" s="1">
        <f t="shared" si="27"/>
        <v>25.885558172064531</v>
      </c>
      <c r="W6" s="1">
        <f t="shared" si="11"/>
        <v>-320.18279164793188</v>
      </c>
      <c r="X6" s="1">
        <f t="shared" si="12"/>
        <v>0</v>
      </c>
      <c r="Y6" s="1">
        <f t="shared" si="13"/>
        <v>15.841177988911548</v>
      </c>
    </row>
    <row r="7" spans="1:25">
      <c r="A7" s="1">
        <v>5.0000000000000001E-3</v>
      </c>
      <c r="B7" s="1">
        <f t="shared" si="14"/>
        <v>0.44510298737921117</v>
      </c>
      <c r="C7" s="1">
        <f t="shared" si="15"/>
        <v>0</v>
      </c>
      <c r="D7" s="1">
        <f t="shared" si="16"/>
        <v>2.4761202742892298E-4</v>
      </c>
      <c r="E7" s="1">
        <f t="shared" si="17"/>
        <v>88.37555058397318</v>
      </c>
      <c r="F7" s="1">
        <f t="shared" si="18"/>
        <v>0</v>
      </c>
      <c r="G7" s="1">
        <f t="shared" si="19"/>
        <v>8.1700178998965658E-2</v>
      </c>
      <c r="H7" s="1">
        <f t="shared" si="0"/>
        <v>88.375588348478061</v>
      </c>
      <c r="I7" s="1">
        <f t="shared" si="1"/>
        <v>-317.85627388111169</v>
      </c>
      <c r="J7" s="1">
        <f t="shared" si="2"/>
        <v>0</v>
      </c>
      <c r="K7" s="1">
        <f t="shared" si="3"/>
        <v>-0.29384727224251672</v>
      </c>
      <c r="L7" s="1">
        <f t="shared" ref="L7:N7" si="28">E7/$H7</f>
        <v>0.99999957268171458</v>
      </c>
      <c r="M7" s="1">
        <f t="shared" si="28"/>
        <v>0</v>
      </c>
      <c r="N7" s="1">
        <f t="shared" si="28"/>
        <v>9.2446546071987357E-4</v>
      </c>
      <c r="O7" s="1">
        <f t="shared" si="5"/>
        <v>9.2446546071987357E-4</v>
      </c>
      <c r="P7" s="1">
        <f t="shared" si="6"/>
        <v>-9.2446506567887799E-4</v>
      </c>
      <c r="Q7" s="1">
        <f t="shared" si="7"/>
        <v>0</v>
      </c>
      <c r="R7" s="1">
        <f t="shared" si="8"/>
        <v>0.9999991453636119</v>
      </c>
      <c r="S7" s="1">
        <f t="shared" si="9"/>
        <v>25.699028869925044</v>
      </c>
      <c r="T7" s="1">
        <f t="shared" ref="T7:V7" si="29">$S7*P7</f>
        <v>-2.3757854412118636E-2</v>
      </c>
      <c r="U7" s="1">
        <f t="shared" si="29"/>
        <v>0</v>
      </c>
      <c r="V7" s="1">
        <f t="shared" si="29"/>
        <v>25.699006906599834</v>
      </c>
      <c r="W7" s="1">
        <f t="shared" si="11"/>
        <v>-317.8800317355238</v>
      </c>
      <c r="X7" s="1">
        <f t="shared" si="12"/>
        <v>0</v>
      </c>
      <c r="Y7" s="1">
        <f t="shared" si="13"/>
        <v>15.598509634357319</v>
      </c>
    </row>
    <row r="8" spans="1:25">
      <c r="A8" s="1">
        <v>6.0000000000000001E-3</v>
      </c>
      <c r="B8" s="1">
        <f t="shared" si="14"/>
        <v>0.53316065793144884</v>
      </c>
      <c r="C8" s="1">
        <f t="shared" si="15"/>
        <v>0</v>
      </c>
      <c r="D8" s="1">
        <f t="shared" si="16"/>
        <v>3.4491071606224599E-4</v>
      </c>
      <c r="E8" s="1">
        <f t="shared" si="17"/>
        <v>88.057670552237653</v>
      </c>
      <c r="F8" s="1">
        <f t="shared" si="18"/>
        <v>0</v>
      </c>
      <c r="G8" s="1">
        <f t="shared" si="19"/>
        <v>9.7298688633322972E-2</v>
      </c>
      <c r="H8" s="1">
        <f t="shared" si="0"/>
        <v>88.057724306963735</v>
      </c>
      <c r="I8" s="1">
        <f t="shared" si="1"/>
        <v>-315.57383510101363</v>
      </c>
      <c r="J8" s="1">
        <f t="shared" si="2"/>
        <v>0</v>
      </c>
      <c r="K8" s="1">
        <f t="shared" si="3"/>
        <v>-0.34869103542890489</v>
      </c>
      <c r="L8" s="1">
        <f t="shared" ref="L8:N8" si="30">E8/$H8</f>
        <v>0.99999938955126877</v>
      </c>
      <c r="M8" s="1">
        <f t="shared" si="30"/>
        <v>0</v>
      </c>
      <c r="N8" s="1">
        <f t="shared" si="30"/>
        <v>1.1049421206269856E-3</v>
      </c>
      <c r="O8" s="1">
        <f t="shared" si="5"/>
        <v>1.1049421206269856E-3</v>
      </c>
      <c r="P8" s="1">
        <f t="shared" si="6"/>
        <v>-1.1049414461164701E-3</v>
      </c>
      <c r="Q8" s="1">
        <f t="shared" si="7"/>
        <v>0</v>
      </c>
      <c r="R8" s="1">
        <f t="shared" si="8"/>
        <v>0.99999877910291002</v>
      </c>
      <c r="S8" s="1">
        <f t="shared" si="9"/>
        <v>25.514495860054431</v>
      </c>
      <c r="T8" s="1">
        <f t="shared" ref="T8:V8" si="31">$S8*P8</f>
        <v>-2.8192023952541233E-2</v>
      </c>
      <c r="U8" s="1">
        <f t="shared" si="31"/>
        <v>0</v>
      </c>
      <c r="V8" s="1">
        <f t="shared" si="31"/>
        <v>25.514464709480684</v>
      </c>
      <c r="W8" s="1">
        <f t="shared" si="11"/>
        <v>-315.60202712496618</v>
      </c>
      <c r="X8" s="1">
        <f t="shared" si="12"/>
        <v>0</v>
      </c>
      <c r="Y8" s="1">
        <f t="shared" si="13"/>
        <v>15.359123674051778</v>
      </c>
    </row>
    <row r="9" spans="1:25">
      <c r="A9" s="1">
        <v>7.0000000000000001E-3</v>
      </c>
      <c r="B9" s="1">
        <f t="shared" si="14"/>
        <v>0.62090272645656153</v>
      </c>
      <c r="C9" s="1">
        <f t="shared" si="15"/>
        <v>0</v>
      </c>
      <c r="D9" s="1">
        <f t="shared" si="16"/>
        <v>4.5756852836962073E-4</v>
      </c>
      <c r="E9" s="1">
        <f t="shared" si="17"/>
        <v>87.742068525112686</v>
      </c>
      <c r="F9" s="1">
        <f t="shared" si="18"/>
        <v>0</v>
      </c>
      <c r="G9" s="1">
        <f t="shared" si="19"/>
        <v>0.11265781230737475</v>
      </c>
      <c r="H9" s="1">
        <f t="shared" si="0"/>
        <v>87.742140849470061</v>
      </c>
      <c r="I9" s="1">
        <f t="shared" si="1"/>
        <v>-313.31589858840874</v>
      </c>
      <c r="J9" s="1">
        <f t="shared" si="2"/>
        <v>0</v>
      </c>
      <c r="K9" s="1">
        <f t="shared" si="3"/>
        <v>-0.40228688802779833</v>
      </c>
      <c r="L9" s="1">
        <f t="shared" ref="L9:N9" si="32">E9/$H9</f>
        <v>0.99999917571697394</v>
      </c>
      <c r="M9" s="1">
        <f t="shared" si="32"/>
        <v>0</v>
      </c>
      <c r="N9" s="1">
        <f t="shared" si="32"/>
        <v>1.2839647085959513E-3</v>
      </c>
      <c r="O9" s="1">
        <f t="shared" si="5"/>
        <v>1.2839647085959513E-3</v>
      </c>
      <c r="P9" s="1">
        <f t="shared" si="6"/>
        <v>-1.2839636502456359E-3</v>
      </c>
      <c r="Q9" s="1">
        <f t="shared" si="7"/>
        <v>0</v>
      </c>
      <c r="R9" s="1">
        <f t="shared" si="8"/>
        <v>0.99999835143462712</v>
      </c>
      <c r="S9" s="1">
        <f t="shared" si="9"/>
        <v>25.331944596350528</v>
      </c>
      <c r="T9" s="1">
        <f t="shared" ref="T9:V9" si="33">$S9*P9</f>
        <v>-3.2525296051750439E-2</v>
      </c>
      <c r="U9" s="1">
        <f t="shared" si="33"/>
        <v>0</v>
      </c>
      <c r="V9" s="1">
        <f t="shared" si="33"/>
        <v>25.33190283498384</v>
      </c>
      <c r="W9" s="1">
        <f t="shared" si="11"/>
        <v>-313.34842388446049</v>
      </c>
      <c r="X9" s="1">
        <f t="shared" si="12"/>
        <v>0</v>
      </c>
      <c r="Y9" s="1">
        <f t="shared" si="13"/>
        <v>15.122965946956041</v>
      </c>
    </row>
    <row r="10" spans="1:25">
      <c r="A10" s="1">
        <v>8.0000000000000002E-3</v>
      </c>
      <c r="B10" s="1">
        <f t="shared" si="14"/>
        <v>0.70833144655778979</v>
      </c>
      <c r="C10" s="1">
        <f t="shared" si="15"/>
        <v>0</v>
      </c>
      <c r="D10" s="1">
        <f t="shared" si="16"/>
        <v>5.8534930662395147E-4</v>
      </c>
      <c r="E10" s="1">
        <f t="shared" si="17"/>
        <v>87.428720101228222</v>
      </c>
      <c r="F10" s="1">
        <f t="shared" si="18"/>
        <v>0</v>
      </c>
      <c r="G10" s="1">
        <f t="shared" si="19"/>
        <v>0.12778077825433079</v>
      </c>
      <c r="H10" s="1">
        <f t="shared" si="0"/>
        <v>87.428813479688714</v>
      </c>
      <c r="I10" s="1">
        <f t="shared" si="1"/>
        <v>-311.08211471069751</v>
      </c>
      <c r="J10" s="1">
        <f t="shared" si="2"/>
        <v>0</v>
      </c>
      <c r="K10" s="1">
        <f t="shared" si="3"/>
        <v>-0.45465968931847039</v>
      </c>
      <c r="L10" s="1">
        <f t="shared" ref="L10:N10" si="34">E10/$H10</f>
        <v>0.99999893194867029</v>
      </c>
      <c r="M10" s="1">
        <f t="shared" si="34"/>
        <v>0</v>
      </c>
      <c r="N10" s="1">
        <f t="shared" si="34"/>
        <v>1.4615408029529826E-3</v>
      </c>
      <c r="O10" s="1">
        <f t="shared" si="5"/>
        <v>1.4615408029529826E-3</v>
      </c>
      <c r="P10" s="1">
        <f t="shared" si="6"/>
        <v>-1.4615392419523845E-3</v>
      </c>
      <c r="Q10" s="1">
        <f t="shared" si="7"/>
        <v>0</v>
      </c>
      <c r="R10" s="1">
        <f t="shared" si="8"/>
        <v>0.99999786389848133</v>
      </c>
      <c r="S10" s="1">
        <f t="shared" si="9"/>
        <v>25.151346775709165</v>
      </c>
      <c r="T10" s="1">
        <f t="shared" ref="T10:V10" si="35">$S10*P10</f>
        <v>-3.675968030065152E-2</v>
      </c>
      <c r="U10" s="1">
        <f t="shared" si="35"/>
        <v>0</v>
      </c>
      <c r="V10" s="1">
        <f t="shared" si="35"/>
        <v>25.151293049879122</v>
      </c>
      <c r="W10" s="1">
        <f t="shared" si="11"/>
        <v>-311.11887439099814</v>
      </c>
      <c r="X10" s="1">
        <f t="shared" si="12"/>
        <v>0</v>
      </c>
      <c r="Y10" s="1">
        <f t="shared" si="13"/>
        <v>14.889983360560651</v>
      </c>
    </row>
    <row r="11" spans="1:25">
      <c r="A11" s="1">
        <v>8.9999999999999993E-3</v>
      </c>
      <c r="B11" s="1">
        <f t="shared" si="14"/>
        <v>0.79544904778462699</v>
      </c>
      <c r="C11" s="1">
        <f t="shared" si="15"/>
        <v>0</v>
      </c>
      <c r="D11" s="1">
        <f t="shared" si="16"/>
        <v>7.2802006823884297E-4</v>
      </c>
      <c r="E11" s="1">
        <f t="shared" si="17"/>
        <v>87.117601226837223</v>
      </c>
      <c r="F11" s="1">
        <f t="shared" si="18"/>
        <v>0</v>
      </c>
      <c r="G11" s="1">
        <f t="shared" si="19"/>
        <v>0.14267076161489145</v>
      </c>
      <c r="H11" s="1">
        <f t="shared" si="0"/>
        <v>87.117718051292243</v>
      </c>
      <c r="I11" s="1">
        <f t="shared" si="1"/>
        <v>-308.87214005332049</v>
      </c>
      <c r="J11" s="1">
        <f t="shared" si="2"/>
        <v>0</v>
      </c>
      <c r="K11" s="1">
        <f t="shared" si="3"/>
        <v>-0.50583375623815363</v>
      </c>
      <c r="L11" s="1">
        <f t="shared" ref="L11:N11" si="36">E11/$H11</f>
        <v>0.99999865900464757</v>
      </c>
      <c r="M11" s="1">
        <f t="shared" si="36"/>
        <v>0</v>
      </c>
      <c r="N11" s="1">
        <f t="shared" si="36"/>
        <v>1.6376779007330206E-3</v>
      </c>
      <c r="O11" s="1">
        <f t="shared" si="5"/>
        <v>1.6376779007330206E-3</v>
      </c>
      <c r="P11" s="1">
        <f t="shared" si="6"/>
        <v>-1.6376757046145669E-3</v>
      </c>
      <c r="Q11" s="1">
        <f t="shared" si="7"/>
        <v>0</v>
      </c>
      <c r="R11" s="1">
        <f t="shared" si="8"/>
        <v>0.99999731801109348</v>
      </c>
      <c r="S11" s="1">
        <f t="shared" si="9"/>
        <v>24.972674598934567</v>
      </c>
      <c r="T11" s="1">
        <f t="shared" ref="T11:V11" si="37">$S11*P11</f>
        <v>-4.0897142469920461E-2</v>
      </c>
      <c r="U11" s="1">
        <f t="shared" si="37"/>
        <v>0</v>
      </c>
      <c r="V11" s="1">
        <f t="shared" si="37"/>
        <v>24.972607622498327</v>
      </c>
      <c r="W11" s="1">
        <f t="shared" si="11"/>
        <v>-308.91303719579042</v>
      </c>
      <c r="X11" s="1">
        <f t="shared" si="12"/>
        <v>0</v>
      </c>
      <c r="Y11" s="1">
        <f t="shared" si="13"/>
        <v>14.660123866260173</v>
      </c>
    </row>
    <row r="12" spans="1:25">
      <c r="A12" s="1">
        <v>0.01</v>
      </c>
      <c r="B12" s="1">
        <f t="shared" si="14"/>
        <v>0.88225773597426849</v>
      </c>
      <c r="C12" s="1">
        <f t="shared" si="15"/>
        <v>0</v>
      </c>
      <c r="D12" s="1">
        <f t="shared" si="16"/>
        <v>8.8535095371999461E-4</v>
      </c>
      <c r="E12" s="1">
        <f t="shared" si="17"/>
        <v>86.80868818964143</v>
      </c>
      <c r="F12" s="1">
        <f t="shared" si="18"/>
        <v>0</v>
      </c>
      <c r="G12" s="1">
        <f t="shared" si="19"/>
        <v>0.15733088548115162</v>
      </c>
      <c r="H12" s="1">
        <f t="shared" si="0"/>
        <v>86.808830761702566</v>
      </c>
      <c r="I12" s="1">
        <f t="shared" si="1"/>
        <v>-306.68563728745249</v>
      </c>
      <c r="J12" s="1">
        <f t="shared" si="2"/>
        <v>0</v>
      </c>
      <c r="K12" s="1">
        <f t="shared" si="3"/>
        <v>-0.55583287669751735</v>
      </c>
      <c r="L12" s="1">
        <f t="shared" ref="L12:N12" si="38">E12/$H12</f>
        <v>0.99999835763182288</v>
      </c>
      <c r="M12" s="1">
        <f t="shared" si="38"/>
        <v>0</v>
      </c>
      <c r="N12" s="1">
        <f t="shared" si="38"/>
        <v>1.8123834188371682E-3</v>
      </c>
      <c r="O12" s="1">
        <f t="shared" si="5"/>
        <v>1.8123834188371682E-3</v>
      </c>
      <c r="P12" s="1">
        <f t="shared" si="6"/>
        <v>-1.8123804422363163E-3</v>
      </c>
      <c r="Q12" s="1">
        <f t="shared" si="7"/>
        <v>0</v>
      </c>
      <c r="R12" s="1">
        <f t="shared" si="8"/>
        <v>0.99999671526634315</v>
      </c>
      <c r="S12" s="1">
        <f t="shared" si="9"/>
        <v>24.795900760005129</v>
      </c>
      <c r="T12" s="1">
        <f t="shared" ref="T12:V12" si="39">$S12*P12</f>
        <v>-4.4939605585065906E-2</v>
      </c>
      <c r="U12" s="1">
        <f t="shared" si="39"/>
        <v>0</v>
      </c>
      <c r="V12" s="1">
        <f t="shared" si="39"/>
        <v>24.795819312075352</v>
      </c>
      <c r="W12" s="1">
        <f t="shared" si="11"/>
        <v>-306.73057689303755</v>
      </c>
      <c r="X12" s="1">
        <f t="shared" si="12"/>
        <v>0</v>
      </c>
      <c r="Y12" s="1">
        <f t="shared" si="13"/>
        <v>14.433336435377834</v>
      </c>
    </row>
    <row r="13" spans="1:25">
      <c r="A13" s="1">
        <v>1.0999999999999999E-2</v>
      </c>
      <c r="B13" s="1">
        <f t="shared" si="14"/>
        <v>0.96875969358701686</v>
      </c>
      <c r="C13" s="1">
        <f t="shared" si="15"/>
        <v>0</v>
      </c>
      <c r="D13" s="1">
        <f t="shared" si="16"/>
        <v>1.057115175636524E-3</v>
      </c>
      <c r="E13" s="1">
        <f t="shared" si="17"/>
        <v>86.501957612748399</v>
      </c>
      <c r="F13" s="1">
        <f t="shared" si="18"/>
        <v>0</v>
      </c>
      <c r="G13" s="1">
        <f t="shared" si="19"/>
        <v>0.17176422191652946</v>
      </c>
      <c r="H13" s="1">
        <f t="shared" si="0"/>
        <v>86.502128145992174</v>
      </c>
      <c r="I13" s="1">
        <f t="shared" si="1"/>
        <v>-304.52227504097135</v>
      </c>
      <c r="J13" s="1">
        <f t="shared" si="2"/>
        <v>0</v>
      </c>
      <c r="K13" s="1">
        <f t="shared" si="3"/>
        <v>-0.60468032252896797</v>
      </c>
      <c r="L13" s="1">
        <f t="shared" ref="L13:N13" si="40">E13/$H13</f>
        <v>0.99999802856591591</v>
      </c>
      <c r="M13" s="1">
        <f t="shared" si="40"/>
        <v>0</v>
      </c>
      <c r="N13" s="1">
        <f t="shared" si="40"/>
        <v>1.9856646951695563E-3</v>
      </c>
      <c r="O13" s="1">
        <f t="shared" si="5"/>
        <v>1.9856646951695563E-3</v>
      </c>
      <c r="P13" s="1">
        <f t="shared" si="6"/>
        <v>-1.9856607805624968E-3</v>
      </c>
      <c r="Q13" s="1">
        <f t="shared" si="7"/>
        <v>0</v>
      </c>
      <c r="R13" s="1">
        <f t="shared" si="8"/>
        <v>0.99999605713571837</v>
      </c>
      <c r="S13" s="1">
        <f t="shared" si="9"/>
        <v>24.620998435605095</v>
      </c>
      <c r="T13" s="1">
        <f t="shared" ref="T13:V13" si="41">$S13*P13</f>
        <v>-4.8888950971871625E-2</v>
      </c>
      <c r="U13" s="1">
        <f t="shared" si="41"/>
        <v>0</v>
      </c>
      <c r="V13" s="1">
        <f t="shared" si="41"/>
        <v>24.620901358349787</v>
      </c>
      <c r="W13" s="1">
        <f t="shared" si="11"/>
        <v>-304.57116399194319</v>
      </c>
      <c r="X13" s="1">
        <f t="shared" si="12"/>
        <v>0</v>
      </c>
      <c r="Y13" s="1">
        <f t="shared" si="13"/>
        <v>14.20957103582082</v>
      </c>
    </row>
    <row r="14" spans="1:25">
      <c r="A14" s="1">
        <v>1.2E-2</v>
      </c>
      <c r="B14" s="1">
        <f t="shared" si="14"/>
        <v>1.0549570800357733</v>
      </c>
      <c r="C14" s="1">
        <f t="shared" si="15"/>
        <v>0</v>
      </c>
      <c r="D14" s="1">
        <f t="shared" si="16"/>
        <v>1.2430889685888743E-3</v>
      </c>
      <c r="E14" s="1">
        <f t="shared" si="17"/>
        <v>86.197386448756461</v>
      </c>
      <c r="F14" s="1">
        <f t="shared" si="18"/>
        <v>0</v>
      </c>
      <c r="G14" s="1">
        <f t="shared" si="19"/>
        <v>0.18597379295235028</v>
      </c>
      <c r="H14" s="1">
        <f t="shared" si="0"/>
        <v>86.19758707091475</v>
      </c>
      <c r="I14" s="1">
        <f t="shared" si="1"/>
        <v>-302.38172777260775</v>
      </c>
      <c r="J14" s="1">
        <f t="shared" si="2"/>
        <v>0</v>
      </c>
      <c r="K14" s="1">
        <f t="shared" si="3"/>
        <v>-0.65239886207905062</v>
      </c>
      <c r="L14" s="1">
        <f t="shared" ref="L14:N14" si="42">E14/$H14</f>
        <v>0.99999767253162064</v>
      </c>
      <c r="M14" s="1">
        <f t="shared" si="42"/>
        <v>0</v>
      </c>
      <c r="N14" s="1">
        <f t="shared" si="42"/>
        <v>2.1575289897540826E-3</v>
      </c>
      <c r="O14" s="1">
        <f t="shared" si="5"/>
        <v>2.1575289897540826E-3</v>
      </c>
      <c r="P14" s="1">
        <f t="shared" si="6"/>
        <v>-2.1575239681735814E-3</v>
      </c>
      <c r="Q14" s="1">
        <f t="shared" si="7"/>
        <v>0</v>
      </c>
      <c r="R14" s="1">
        <f t="shared" si="8"/>
        <v>0.99999534506865839</v>
      </c>
      <c r="S14" s="1">
        <f t="shared" si="9"/>
        <v>24.447941274914712</v>
      </c>
      <c r="T14" s="1">
        <f t="shared" ref="T14:V14" si="43">$S14*P14</f>
        <v>-5.2747019273128679E-2</v>
      </c>
      <c r="U14" s="1">
        <f t="shared" si="43"/>
        <v>0</v>
      </c>
      <c r="V14" s="1">
        <f t="shared" si="43"/>
        <v>24.447827471426635</v>
      </c>
      <c r="W14" s="1">
        <f t="shared" si="11"/>
        <v>-302.43447479188086</v>
      </c>
      <c r="X14" s="1">
        <f t="shared" si="12"/>
        <v>0</v>
      </c>
      <c r="Y14" s="1">
        <f t="shared" si="13"/>
        <v>13.988778609347586</v>
      </c>
    </row>
    <row r="15" spans="1:25">
      <c r="A15" s="1">
        <v>1.2999999999999999E-2</v>
      </c>
      <c r="B15" s="1">
        <f t="shared" si="14"/>
        <v>1.1408520320097379</v>
      </c>
      <c r="C15" s="1">
        <f t="shared" si="15"/>
        <v>0</v>
      </c>
      <c r="D15" s="1">
        <f t="shared" si="16"/>
        <v>1.4430515401505722E-3</v>
      </c>
      <c r="E15" s="1">
        <f t="shared" si="17"/>
        <v>85.894951973964581</v>
      </c>
      <c r="F15" s="1">
        <f t="shared" si="18"/>
        <v>0</v>
      </c>
      <c r="G15" s="1">
        <f t="shared" si="19"/>
        <v>0.19996257156169786</v>
      </c>
      <c r="H15" s="1">
        <f t="shared" si="0"/>
        <v>85.895184729062123</v>
      </c>
      <c r="I15" s="1">
        <f t="shared" si="1"/>
        <v>-300.26367564918922</v>
      </c>
      <c r="J15" s="1">
        <f t="shared" si="2"/>
        <v>0</v>
      </c>
      <c r="K15" s="1">
        <f t="shared" si="3"/>
        <v>-0.69901077245585364</v>
      </c>
      <c r="L15" s="1">
        <f t="shared" ref="L15:N15" si="44">E15/$H15</f>
        <v>0.99999729024277351</v>
      </c>
      <c r="M15" s="1">
        <f t="shared" si="44"/>
        <v>0</v>
      </c>
      <c r="N15" s="1">
        <f t="shared" si="44"/>
        <v>2.3279834858314441E-3</v>
      </c>
      <c r="O15" s="1">
        <f t="shared" si="5"/>
        <v>2.3279834858314441E-3</v>
      </c>
      <c r="P15" s="1">
        <f t="shared" si="6"/>
        <v>-2.3279771775613703E-3</v>
      </c>
      <c r="Q15" s="1">
        <f t="shared" si="7"/>
        <v>0</v>
      </c>
      <c r="R15" s="1">
        <f t="shared" si="8"/>
        <v>0.9999945804928897</v>
      </c>
      <c r="S15" s="1">
        <f t="shared" si="9"/>
        <v>24.276703389651573</v>
      </c>
      <c r="T15" s="1">
        <f t="shared" ref="T15:V15" si="45">$S15*P15</f>
        <v>-5.6515611437535619E-2</v>
      </c>
      <c r="U15" s="1">
        <f t="shared" si="45"/>
        <v>0</v>
      </c>
      <c r="V15" s="1">
        <f t="shared" si="45"/>
        <v>24.276571821884939</v>
      </c>
      <c r="W15" s="1">
        <f t="shared" si="11"/>
        <v>-300.32019126062676</v>
      </c>
      <c r="X15" s="1">
        <f t="shared" si="12"/>
        <v>0</v>
      </c>
      <c r="Y15" s="1">
        <f t="shared" si="13"/>
        <v>13.770911049429087</v>
      </c>
    </row>
    <row r="16" spans="1:25">
      <c r="A16" s="1">
        <v>1.4E-2</v>
      </c>
      <c r="B16" s="1">
        <f t="shared" si="14"/>
        <v>1.2264466637924418</v>
      </c>
      <c r="C16" s="1">
        <f t="shared" si="15"/>
        <v>0</v>
      </c>
      <c r="D16" s="1">
        <f t="shared" si="16"/>
        <v>1.6567850227616992E-3</v>
      </c>
      <c r="E16" s="1">
        <f t="shared" si="17"/>
        <v>85.594631782703956</v>
      </c>
      <c r="F16" s="1">
        <f t="shared" si="18"/>
        <v>0</v>
      </c>
      <c r="G16" s="1">
        <f t="shared" si="19"/>
        <v>0.21373348261112696</v>
      </c>
      <c r="H16" s="1">
        <f t="shared" si="0"/>
        <v>85.594898633144396</v>
      </c>
      <c r="I16" s="1">
        <f t="shared" si="1"/>
        <v>-298.16780442588964</v>
      </c>
      <c r="J16" s="1">
        <f t="shared" si="2"/>
        <v>0</v>
      </c>
      <c r="K16" s="1">
        <f t="shared" si="3"/>
        <v>-0.74453785144194462</v>
      </c>
      <c r="L16" s="1">
        <f t="shared" ref="L16:N16" si="46">E16/$H16</f>
        <v>0.99999688240251816</v>
      </c>
      <c r="M16" s="1">
        <f t="shared" si="46"/>
        <v>0</v>
      </c>
      <c r="N16" s="1">
        <f t="shared" si="46"/>
        <v>2.4970352909368856E-3</v>
      </c>
      <c r="O16" s="1">
        <f t="shared" si="5"/>
        <v>2.4970352909368856E-3</v>
      </c>
      <c r="P16" s="1">
        <f t="shared" si="6"/>
        <v>-2.4970275061859505E-3</v>
      </c>
      <c r="Q16" s="1">
        <f t="shared" si="7"/>
        <v>0</v>
      </c>
      <c r="R16" s="1">
        <f t="shared" si="8"/>
        <v>0.99999376481475577</v>
      </c>
      <c r="S16" s="1">
        <f t="shared" si="9"/>
        <v>24.107259344356148</v>
      </c>
      <c r="T16" s="1">
        <f t="shared" ref="T16:V16" si="47">$S16*P16</f>
        <v>-6.0196489681615582E-2</v>
      </c>
      <c r="U16" s="1">
        <f t="shared" si="47"/>
        <v>0</v>
      </c>
      <c r="V16" s="1">
        <f t="shared" si="47"/>
        <v>24.107109031128406</v>
      </c>
      <c r="W16" s="1">
        <f t="shared" si="11"/>
        <v>-298.22800091557127</v>
      </c>
      <c r="X16" s="1">
        <f t="shared" si="12"/>
        <v>0</v>
      </c>
      <c r="Y16" s="1">
        <f t="shared" si="13"/>
        <v>13.555921179686463</v>
      </c>
    </row>
    <row r="17" spans="1:25">
      <c r="A17" s="1">
        <v>1.4999999999999999E-2</v>
      </c>
      <c r="B17" s="1">
        <f t="shared" si="14"/>
        <v>1.3117430675742303</v>
      </c>
      <c r="C17" s="1">
        <f t="shared" si="15"/>
        <v>0</v>
      </c>
      <c r="D17" s="1">
        <f t="shared" si="16"/>
        <v>1.8840744265525126E-3</v>
      </c>
      <c r="E17" s="1">
        <f t="shared" si="17"/>
        <v>85.296403781788385</v>
      </c>
      <c r="F17" s="1">
        <f t="shared" si="18"/>
        <v>0</v>
      </c>
      <c r="G17" s="1">
        <f t="shared" si="19"/>
        <v>0.22728940379081342</v>
      </c>
      <c r="H17" s="1">
        <f t="shared" si="0"/>
        <v>85.296706610390061</v>
      </c>
      <c r="I17" s="1">
        <f t="shared" si="1"/>
        <v>-296.09380532940025</v>
      </c>
      <c r="J17" s="1">
        <f t="shared" si="2"/>
        <v>0</v>
      </c>
      <c r="K17" s="1">
        <f t="shared" si="3"/>
        <v>-0.78900142908301063</v>
      </c>
      <c r="L17" s="1">
        <f t="shared" ref="L17:N17" si="48">E17/$H17</f>
        <v>0.9999964497034679</v>
      </c>
      <c r="M17" s="1">
        <f t="shared" si="48"/>
        <v>0</v>
      </c>
      <c r="N17" s="1">
        <f t="shared" si="48"/>
        <v>2.6646914379590725E-3</v>
      </c>
      <c r="O17" s="1">
        <f t="shared" si="5"/>
        <v>2.6646914379590725E-3</v>
      </c>
      <c r="P17" s="1">
        <f t="shared" si="6"/>
        <v>-2.6646819775143012E-3</v>
      </c>
      <c r="Q17" s="1">
        <f t="shared" si="7"/>
        <v>0</v>
      </c>
      <c r="R17" s="1">
        <f t="shared" si="8"/>
        <v>0.9999928994195405</v>
      </c>
      <c r="S17" s="1">
        <f t="shared" si="9"/>
        <v>23.939584146914513</v>
      </c>
      <c r="T17" s="1">
        <f t="shared" ref="T17:V17" si="49">$S17*P17</f>
        <v>-6.3791378425470183E-2</v>
      </c>
      <c r="U17" s="1">
        <f t="shared" si="49"/>
        <v>0</v>
      </c>
      <c r="V17" s="1">
        <f t="shared" si="49"/>
        <v>23.939414161971111</v>
      </c>
      <c r="W17" s="1">
        <f t="shared" si="11"/>
        <v>-296.15759670782575</v>
      </c>
      <c r="X17" s="1">
        <f t="shared" si="12"/>
        <v>0</v>
      </c>
      <c r="Y17" s="1">
        <f t="shared" si="13"/>
        <v>13.3437627328881</v>
      </c>
    </row>
    <row r="18" spans="1:25">
      <c r="A18" s="1">
        <v>1.6E-2</v>
      </c>
      <c r="B18" s="1">
        <f t="shared" si="14"/>
        <v>1.3967433137593108</v>
      </c>
      <c r="C18" s="1">
        <f t="shared" si="15"/>
        <v>0</v>
      </c>
      <c r="D18" s="1">
        <f t="shared" si="16"/>
        <v>2.124707593076214E-3</v>
      </c>
      <c r="E18" s="1">
        <f t="shared" si="17"/>
        <v>85.000246185080556</v>
      </c>
      <c r="F18" s="1">
        <f t="shared" si="18"/>
        <v>0</v>
      </c>
      <c r="G18" s="1">
        <f t="shared" si="19"/>
        <v>0.24063316652370151</v>
      </c>
      <c r="H18" s="1">
        <f t="shared" si="0"/>
        <v>85.000586797063534</v>
      </c>
      <c r="I18" s="1">
        <f t="shared" si="1"/>
        <v>-294.04137494394274</v>
      </c>
      <c r="J18" s="1">
        <f t="shared" si="2"/>
        <v>0</v>
      </c>
      <c r="K18" s="1">
        <f t="shared" si="3"/>
        <v>-0.8324223789620413</v>
      </c>
      <c r="L18" s="1">
        <f t="shared" ref="L18:N18" si="50">E18/$H18</f>
        <v>0.99999599282786378</v>
      </c>
      <c r="M18" s="1">
        <f t="shared" si="50"/>
        <v>0</v>
      </c>
      <c r="N18" s="1">
        <f t="shared" si="50"/>
        <v>2.8309588861804721E-3</v>
      </c>
      <c r="O18" s="1">
        <f t="shared" si="5"/>
        <v>2.8309588861804721E-3</v>
      </c>
      <c r="P18" s="1">
        <f t="shared" si="6"/>
        <v>-2.8309475420409047E-3</v>
      </c>
      <c r="Q18" s="1">
        <f t="shared" si="7"/>
        <v>0</v>
      </c>
      <c r="R18" s="1">
        <f t="shared" si="8"/>
        <v>0.99999198567178471</v>
      </c>
      <c r="S18" s="1">
        <f t="shared" si="9"/>
        <v>23.773653239311955</v>
      </c>
      <c r="T18" s="1">
        <f t="shared" ref="T18:V18" si="51">$S18*P18</f>
        <v>-6.7301965203162964E-2</v>
      </c>
      <c r="U18" s="1">
        <f t="shared" si="51"/>
        <v>0</v>
      </c>
      <c r="V18" s="1">
        <f t="shared" si="51"/>
        <v>23.773462709452019</v>
      </c>
      <c r="W18" s="1">
        <f t="shared" si="11"/>
        <v>-294.10867690914591</v>
      </c>
      <c r="X18" s="1">
        <f t="shared" si="12"/>
        <v>0</v>
      </c>
      <c r="Y18" s="1">
        <f t="shared" si="13"/>
        <v>13.13439033048998</v>
      </c>
    </row>
    <row r="19" spans="1:25">
      <c r="A19" s="1">
        <v>1.7000000000000001E-2</v>
      </c>
      <c r="B19" s="1">
        <f t="shared" si="14"/>
        <v>1.4814494512674823</v>
      </c>
      <c r="C19" s="1">
        <f t="shared" si="15"/>
        <v>0</v>
      </c>
      <c r="D19" s="1">
        <f t="shared" si="16"/>
        <v>2.3784751499304055E-3</v>
      </c>
      <c r="E19" s="1">
        <f t="shared" si="17"/>
        <v>84.706137508171409</v>
      </c>
      <c r="F19" s="1">
        <f t="shared" si="18"/>
        <v>0</v>
      </c>
      <c r="G19" s="1">
        <f t="shared" si="19"/>
        <v>0.2537675568541915</v>
      </c>
      <c r="H19" s="1">
        <f t="shared" si="0"/>
        <v>84.706517633096894</v>
      </c>
      <c r="I19" s="1">
        <f t="shared" si="1"/>
        <v>-292.01021510004415</v>
      </c>
      <c r="J19" s="1">
        <f t="shared" si="2"/>
        <v>0</v>
      </c>
      <c r="K19" s="1">
        <f t="shared" si="3"/>
        <v>-0.87482112916855193</v>
      </c>
      <c r="L19" s="1">
        <f t="shared" ref="L19:N19" si="52">E19/$H19</f>
        <v>0.99999551244773</v>
      </c>
      <c r="M19" s="1">
        <f t="shared" si="52"/>
        <v>0</v>
      </c>
      <c r="N19" s="1">
        <f t="shared" si="52"/>
        <v>2.9958445222996438E-3</v>
      </c>
      <c r="O19" s="1">
        <f t="shared" si="5"/>
        <v>2.9958445222996438E-3</v>
      </c>
      <c r="P19" s="1">
        <f t="shared" si="6"/>
        <v>-2.9958310782907571E-3</v>
      </c>
      <c r="Q19" s="1">
        <f t="shared" si="7"/>
        <v>0</v>
      </c>
      <c r="R19" s="1">
        <f t="shared" si="8"/>
        <v>0.99999102491559821</v>
      </c>
      <c r="S19" s="1">
        <f t="shared" si="9"/>
        <v>23.609442488610803</v>
      </c>
      <c r="T19" s="1">
        <f t="shared" ref="T19:V19" si="53">$S19*P19</f>
        <v>-7.0729901548498522E-2</v>
      </c>
      <c r="U19" s="1">
        <f t="shared" si="53"/>
        <v>0</v>
      </c>
      <c r="V19" s="1">
        <f t="shared" si="53"/>
        <v>23.609230591871789</v>
      </c>
      <c r="W19" s="1">
        <f t="shared" si="11"/>
        <v>-292.08094500159262</v>
      </c>
      <c r="X19" s="1">
        <f t="shared" si="12"/>
        <v>0</v>
      </c>
      <c r="Y19" s="1">
        <f t="shared" si="13"/>
        <v>12.927759462703238</v>
      </c>
    </row>
    <row r="20" spans="1:25">
      <c r="A20" s="1">
        <v>1.7999999999999999E-2</v>
      </c>
      <c r="B20" s="1">
        <f t="shared" si="14"/>
        <v>1.5658635078306522</v>
      </c>
      <c r="C20" s="1">
        <f t="shared" si="15"/>
        <v>0</v>
      </c>
      <c r="D20" s="1">
        <f t="shared" si="16"/>
        <v>2.6451704662473004E-3</v>
      </c>
      <c r="E20" s="1">
        <f t="shared" si="17"/>
        <v>84.414056563169822</v>
      </c>
      <c r="F20" s="1">
        <f t="shared" si="18"/>
        <v>0</v>
      </c>
      <c r="G20" s="1">
        <f t="shared" si="19"/>
        <v>0.26669531631689475</v>
      </c>
      <c r="H20" s="1">
        <f t="shared" si="0"/>
        <v>84.414477856833187</v>
      </c>
      <c r="I20" s="1">
        <f t="shared" si="1"/>
        <v>-290.00003276599739</v>
      </c>
      <c r="J20" s="1">
        <f t="shared" si="2"/>
        <v>0</v>
      </c>
      <c r="K20" s="1">
        <f t="shared" si="3"/>
        <v>-0.91621767297203882</v>
      </c>
      <c r="L20" s="1">
        <f t="shared" ref="L20:N20" si="54">E20/$H20</f>
        <v>0.99999500922502793</v>
      </c>
      <c r="M20" s="1">
        <f t="shared" si="54"/>
        <v>0</v>
      </c>
      <c r="N20" s="1">
        <f t="shared" si="54"/>
        <v>3.1593551614358091E-3</v>
      </c>
      <c r="O20" s="1">
        <f t="shared" si="5"/>
        <v>3.1593551614358091E-3</v>
      </c>
      <c r="P20" s="1">
        <f t="shared" si="6"/>
        <v>-3.1593393938051414E-3</v>
      </c>
      <c r="Q20" s="1">
        <f t="shared" si="7"/>
        <v>0</v>
      </c>
      <c r="R20" s="1">
        <f t="shared" si="8"/>
        <v>0.99999001847496394</v>
      </c>
      <c r="S20" s="1">
        <f t="shared" si="9"/>
        <v>23.446928178146369</v>
      </c>
      <c r="T20" s="1">
        <f t="shared" ref="T20:V20" si="55">$S20*P20</f>
        <v>-7.4076803856937642E-2</v>
      </c>
      <c r="U20" s="1">
        <f t="shared" si="55"/>
        <v>0</v>
      </c>
      <c r="V20" s="1">
        <f t="shared" si="55"/>
        <v>23.44669414204574</v>
      </c>
      <c r="W20" s="1">
        <f t="shared" si="11"/>
        <v>-290.07410956985433</v>
      </c>
      <c r="X20" s="1">
        <f t="shared" si="12"/>
        <v>0</v>
      </c>
      <c r="Y20" s="1">
        <f t="shared" si="13"/>
        <v>12.723826469073702</v>
      </c>
    </row>
    <row r="21" spans="1:25">
      <c r="A21" s="1">
        <v>1.9E-2</v>
      </c>
      <c r="B21" s="1">
        <f t="shared" si="14"/>
        <v>1.6499874902842522</v>
      </c>
      <c r="C21" s="1">
        <f t="shared" si="15"/>
        <v>0</v>
      </c>
      <c r="D21" s="1">
        <f t="shared" si="16"/>
        <v>2.9245896090332687E-3</v>
      </c>
      <c r="E21" s="1">
        <f t="shared" si="17"/>
        <v>84.123982453599965</v>
      </c>
      <c r="F21" s="1">
        <f t="shared" si="18"/>
        <v>0</v>
      </c>
      <c r="G21" s="1">
        <f t="shared" si="19"/>
        <v>0.27941914278596847</v>
      </c>
      <c r="H21" s="1">
        <f t="shared" si="0"/>
        <v>84.124446499878673</v>
      </c>
      <c r="I21" s="1">
        <f t="shared" si="1"/>
        <v>-288.01053994193421</v>
      </c>
      <c r="J21" s="1">
        <f t="shared" si="2"/>
        <v>0</v>
      </c>
      <c r="K21" s="1">
        <f t="shared" si="3"/>
        <v>-0.95663157920854414</v>
      </c>
      <c r="L21" s="1">
        <f t="shared" ref="L21:N21" si="56">E21/$H21</f>
        <v>0.99999448381180478</v>
      </c>
      <c r="M21" s="1">
        <f t="shared" si="56"/>
        <v>0</v>
      </c>
      <c r="N21" s="1">
        <f t="shared" si="56"/>
        <v>3.3214975481160695E-3</v>
      </c>
      <c r="O21" s="1">
        <f t="shared" si="5"/>
        <v>3.3214975481160695E-3</v>
      </c>
      <c r="P21" s="1">
        <f t="shared" si="6"/>
        <v>-3.321479226110504E-3</v>
      </c>
      <c r="Q21" s="1">
        <f t="shared" si="7"/>
        <v>0</v>
      </c>
      <c r="R21" s="1">
        <f t="shared" si="8"/>
        <v>0.99998896765403789</v>
      </c>
      <c r="S21" s="1">
        <f t="shared" si="9"/>
        <v>23.286086998935023</v>
      </c>
      <c r="T21" s="1">
        <f t="shared" ref="T21:V21" si="57">$S21*P21</f>
        <v>-7.734425422436457E-2</v>
      </c>
      <c r="U21" s="1">
        <f t="shared" si="57"/>
        <v>0</v>
      </c>
      <c r="V21" s="1">
        <f t="shared" si="57"/>
        <v>23.285830098767146</v>
      </c>
      <c r="W21" s="1">
        <f t="shared" si="11"/>
        <v>-288.0878841961586</v>
      </c>
      <c r="X21" s="1">
        <f t="shared" si="12"/>
        <v>0</v>
      </c>
      <c r="Y21" s="1">
        <f t="shared" si="13"/>
        <v>12.522548519558603</v>
      </c>
    </row>
    <row r="22" spans="1:25">
      <c r="A22" s="1">
        <v>0.02</v>
      </c>
      <c r="B22" s="1">
        <f t="shared" si="14"/>
        <v>1.7338233848536559</v>
      </c>
      <c r="C22" s="1">
        <f t="shared" si="15"/>
        <v>0</v>
      </c>
      <c r="D22" s="1">
        <f t="shared" si="16"/>
        <v>3.2165313003387958E-3</v>
      </c>
      <c r="E22" s="1">
        <f t="shared" si="17"/>
        <v>83.835894569403806</v>
      </c>
      <c r="F22" s="1">
        <f t="shared" si="18"/>
        <v>0</v>
      </c>
      <c r="G22" s="1">
        <f t="shared" si="19"/>
        <v>0.29194169130552705</v>
      </c>
      <c r="H22" s="1">
        <f t="shared" si="0"/>
        <v>83.836402882061407</v>
      </c>
      <c r="I22" s="1">
        <f t="shared" si="1"/>
        <v>-286.04145355643908</v>
      </c>
      <c r="J22" s="1">
        <f t="shared" si="2"/>
        <v>0</v>
      </c>
      <c r="K22" s="1">
        <f t="shared" si="3"/>
        <v>-0.99608200238892086</v>
      </c>
      <c r="L22" s="1">
        <f t="shared" ref="L22:N22" si="58">E22/$H22</f>
        <v>0.99999393685034033</v>
      </c>
      <c r="M22" s="1">
        <f t="shared" si="58"/>
        <v>0</v>
      </c>
      <c r="N22" s="1">
        <f t="shared" si="58"/>
        <v>3.4822783572456234E-3</v>
      </c>
      <c r="O22" s="1">
        <f t="shared" si="5"/>
        <v>3.4822783572456234E-3</v>
      </c>
      <c r="P22" s="1">
        <f t="shared" si="6"/>
        <v>-3.4822572436707866E-3</v>
      </c>
      <c r="Q22" s="1">
        <f t="shared" si="7"/>
        <v>0</v>
      </c>
      <c r="R22" s="1">
        <f t="shared" si="8"/>
        <v>0.99998787373744269</v>
      </c>
      <c r="S22" s="1">
        <f t="shared" si="9"/>
        <v>23.126896041288639</v>
      </c>
      <c r="T22" s="1">
        <f t="shared" ref="T22:V22" si="59">$S22*P22</f>
        <v>-8.0533801263398597E-2</v>
      </c>
      <c r="U22" s="1">
        <f t="shared" si="59"/>
        <v>0</v>
      </c>
      <c r="V22" s="1">
        <f t="shared" si="59"/>
        <v>23.126615598475105</v>
      </c>
      <c r="W22" s="1">
        <f t="shared" si="11"/>
        <v>-286.12198735770249</v>
      </c>
      <c r="X22" s="1">
        <f t="shared" si="12"/>
        <v>0</v>
      </c>
      <c r="Y22" s="1">
        <f t="shared" si="13"/>
        <v>12.323883596086185</v>
      </c>
    </row>
    <row r="23" spans="1:25">
      <c r="A23" s="1">
        <v>2.1000000000000001E-2</v>
      </c>
      <c r="B23" s="1">
        <f t="shared" si="14"/>
        <v>1.8173731574357022</v>
      </c>
      <c r="C23" s="1">
        <f t="shared" si="15"/>
        <v>0</v>
      </c>
      <c r="D23" s="1">
        <f t="shared" si="16"/>
        <v>3.5207968752404089E-3</v>
      </c>
      <c r="E23" s="1">
        <f t="shared" si="17"/>
        <v>83.549772582046103</v>
      </c>
      <c r="F23" s="1">
        <f t="shared" si="18"/>
        <v>0</v>
      </c>
      <c r="G23" s="1">
        <f t="shared" si="19"/>
        <v>0.30426557490161321</v>
      </c>
      <c r="H23" s="1">
        <f t="shared" si="0"/>
        <v>83.550326606493243</v>
      </c>
      <c r="I23" s="1">
        <f t="shared" si="1"/>
        <v>-284.09249536563294</v>
      </c>
      <c r="J23" s="1">
        <f t="shared" si="2"/>
        <v>0</v>
      </c>
      <c r="K23" s="1">
        <f t="shared" si="3"/>
        <v>-1.0345876925370958</v>
      </c>
      <c r="L23" s="1">
        <f t="shared" ref="L23:N23" si="60">E23/$H23</f>
        <v>0.99999336897329261</v>
      </c>
      <c r="M23" s="1">
        <f t="shared" si="60"/>
        <v>0</v>
      </c>
      <c r="N23" s="1">
        <f t="shared" si="60"/>
        <v>3.6417041950613602E-3</v>
      </c>
      <c r="O23" s="1">
        <f t="shared" si="5"/>
        <v>3.6417041950613602E-3</v>
      </c>
      <c r="P23" s="1">
        <f t="shared" si="6"/>
        <v>-3.6416800468235823E-3</v>
      </c>
      <c r="Q23" s="1">
        <f t="shared" si="7"/>
        <v>0</v>
      </c>
      <c r="R23" s="1">
        <f t="shared" si="8"/>
        <v>0.99998673799055571</v>
      </c>
      <c r="S23" s="1">
        <f t="shared" si="9"/>
        <v>22.969332786629479</v>
      </c>
      <c r="T23" s="1">
        <f t="shared" ref="T23:V23" si="61">$S23*P23</f>
        <v>-8.3646960897919287E-2</v>
      </c>
      <c r="U23" s="1">
        <f t="shared" si="61"/>
        <v>0</v>
      </c>
      <c r="V23" s="1">
        <f t="shared" si="61"/>
        <v>22.969028167121134</v>
      </c>
      <c r="W23" s="1">
        <f t="shared" si="11"/>
        <v>-284.17614232653085</v>
      </c>
      <c r="X23" s="1">
        <f t="shared" si="12"/>
        <v>0</v>
      </c>
      <c r="Y23" s="1">
        <f t="shared" si="13"/>
        <v>12.127790474584041</v>
      </c>
    </row>
    <row r="24" spans="1:25">
      <c r="A24" s="1">
        <v>2.1999999999999999E-2</v>
      </c>
      <c r="B24" s="1">
        <f t="shared" si="14"/>
        <v>1.9006387538754217</v>
      </c>
      <c r="C24" s="1">
        <f t="shared" si="15"/>
        <v>0</v>
      </c>
      <c r="D24" s="1">
        <f t="shared" si="16"/>
        <v>3.8371902406166064E-3</v>
      </c>
      <c r="E24" s="1">
        <f t="shared" si="17"/>
        <v>83.265596439719573</v>
      </c>
      <c r="F24" s="1">
        <f t="shared" si="18"/>
        <v>0</v>
      </c>
      <c r="G24" s="1">
        <f t="shared" si="19"/>
        <v>0.31639336537619728</v>
      </c>
      <c r="H24" s="1">
        <f t="shared" si="0"/>
        <v>83.266197554733424</v>
      </c>
      <c r="I24" s="1">
        <f t="shared" si="1"/>
        <v>-282.16339185466171</v>
      </c>
      <c r="J24" s="1">
        <f t="shared" si="2"/>
        <v>0</v>
      </c>
      <c r="K24" s="1">
        <f t="shared" si="3"/>
        <v>-1.0721670047663658</v>
      </c>
      <c r="L24" s="1">
        <f t="shared" ref="L24:N24" si="62">E24/$H24</f>
        <v>0.99999278080383758</v>
      </c>
      <c r="M24" s="1">
        <f t="shared" si="62"/>
        <v>0</v>
      </c>
      <c r="N24" s="1">
        <f t="shared" si="62"/>
        <v>3.7997816000691301E-3</v>
      </c>
      <c r="O24" s="1">
        <f t="shared" si="5"/>
        <v>3.7997816000691301E-3</v>
      </c>
      <c r="P24" s="1">
        <f t="shared" si="6"/>
        <v>-3.7997541687003851E-3</v>
      </c>
      <c r="Q24" s="1">
        <f t="shared" si="7"/>
        <v>0</v>
      </c>
      <c r="R24" s="1">
        <f t="shared" si="8"/>
        <v>0.9999855616597918</v>
      </c>
      <c r="S24" s="1">
        <f t="shared" si="9"/>
        <v>22.813375099500494</v>
      </c>
      <c r="T24" s="1">
        <f t="shared" ref="T24:V24" si="63">$S24*P24</f>
        <v>-8.6685217136452566E-2</v>
      </c>
      <c r="U24" s="1">
        <f t="shared" si="63"/>
        <v>0</v>
      </c>
      <c r="V24" s="1">
        <f t="shared" si="63"/>
        <v>22.81304571222951</v>
      </c>
      <c r="W24" s="1">
        <f t="shared" si="11"/>
        <v>-282.25007707179816</v>
      </c>
      <c r="X24" s="1">
        <f t="shared" si="12"/>
        <v>0</v>
      </c>
      <c r="Y24" s="1">
        <f t="shared" si="13"/>
        <v>11.934228707463143</v>
      </c>
    </row>
    <row r="25" spans="1:25">
      <c r="A25" s="1">
        <v>2.3E-2</v>
      </c>
      <c r="B25" s="1">
        <f t="shared" si="14"/>
        <v>1.9836221002380694</v>
      </c>
      <c r="C25" s="1">
        <f t="shared" si="15"/>
        <v>0</v>
      </c>
      <c r="D25" s="1">
        <f t="shared" si="16"/>
        <v>4.1655178347002669E-3</v>
      </c>
      <c r="E25" s="1">
        <f t="shared" si="17"/>
        <v>82.983346362647779</v>
      </c>
      <c r="F25" s="1">
        <f t="shared" si="18"/>
        <v>0</v>
      </c>
      <c r="G25" s="1">
        <f t="shared" si="19"/>
        <v>0.32832759408366041</v>
      </c>
      <c r="H25" s="1">
        <f t="shared" si="0"/>
        <v>82.983995882050692</v>
      </c>
      <c r="I25" s="1">
        <f t="shared" si="1"/>
        <v>-280.25387414152294</v>
      </c>
      <c r="J25" s="1">
        <f t="shared" si="2"/>
        <v>0</v>
      </c>
      <c r="K25" s="1">
        <f t="shared" si="3"/>
        <v>-1.1088379086014872</v>
      </c>
      <c r="L25" s="1">
        <f t="shared" ref="L25:N25" si="64">E25/$H25</f>
        <v>0.999992172955809</v>
      </c>
      <c r="M25" s="1">
        <f t="shared" si="64"/>
        <v>0</v>
      </c>
      <c r="N25" s="1">
        <f t="shared" si="64"/>
        <v>3.9565170439650656E-3</v>
      </c>
      <c r="O25" s="1">
        <f t="shared" si="5"/>
        <v>3.9565170439650656E-3</v>
      </c>
      <c r="P25" s="1">
        <f t="shared" si="6"/>
        <v>-3.9564860761313204E-3</v>
      </c>
      <c r="Q25" s="1">
        <f t="shared" si="7"/>
        <v>0</v>
      </c>
      <c r="R25" s="1">
        <f t="shared" si="8"/>
        <v>0.99998434597288077</v>
      </c>
      <c r="S25" s="1">
        <f t="shared" si="9"/>
        <v>22.659001219765297</v>
      </c>
      <c r="T25" s="1">
        <f t="shared" ref="T25:V25" si="65">$S25*P25</f>
        <v>-8.9650022825044001E-2</v>
      </c>
      <c r="U25" s="1">
        <f t="shared" si="65"/>
        <v>0</v>
      </c>
      <c r="V25" s="1">
        <f t="shared" si="65"/>
        <v>22.658646515145708</v>
      </c>
      <c r="W25" s="1">
        <f t="shared" si="11"/>
        <v>-280.34352416434797</v>
      </c>
      <c r="X25" s="1">
        <f t="shared" si="12"/>
        <v>0</v>
      </c>
      <c r="Y25" s="1">
        <f t="shared" si="13"/>
        <v>11.743158606544222</v>
      </c>
    </row>
    <row r="26" spans="1:25">
      <c r="A26" s="1">
        <v>2.4E-2</v>
      </c>
      <c r="B26" s="1">
        <f t="shared" si="14"/>
        <v>2.066325103076553</v>
      </c>
      <c r="C26" s="1">
        <f t="shared" si="15"/>
        <v>0</v>
      </c>
      <c r="D26" s="1">
        <f t="shared" si="16"/>
        <v>4.5055885873904718E-3</v>
      </c>
      <c r="E26" s="1">
        <f t="shared" si="17"/>
        <v>82.703002838483428</v>
      </c>
      <c r="F26" s="1">
        <f t="shared" si="18"/>
        <v>0</v>
      </c>
      <c r="G26" s="1">
        <f t="shared" si="19"/>
        <v>0.34007075269020465</v>
      </c>
      <c r="H26" s="1">
        <f t="shared" si="0"/>
        <v>82.703702012781946</v>
      </c>
      <c r="I26" s="1">
        <f t="shared" si="1"/>
        <v>-278.36367788316721</v>
      </c>
      <c r="J26" s="1">
        <f t="shared" si="2"/>
        <v>0</v>
      </c>
      <c r="K26" s="1">
        <f t="shared" si="3"/>
        <v>-1.1446179970540746</v>
      </c>
      <c r="L26" s="1">
        <f t="shared" ref="L26:N26" si="66">E26/$H26</f>
        <v>0.99999154603383522</v>
      </c>
      <c r="M26" s="1">
        <f t="shared" si="66"/>
        <v>0</v>
      </c>
      <c r="N26" s="1">
        <f t="shared" si="66"/>
        <v>4.1119169325412588E-3</v>
      </c>
      <c r="O26" s="1">
        <f t="shared" si="5"/>
        <v>4.1119169325412588E-3</v>
      </c>
      <c r="P26" s="1">
        <f t="shared" si="6"/>
        <v>-4.1118821705346384E-3</v>
      </c>
      <c r="Q26" s="1">
        <f t="shared" si="7"/>
        <v>0</v>
      </c>
      <c r="R26" s="1">
        <f t="shared" si="8"/>
        <v>0.99998309213913983</v>
      </c>
      <c r="S26" s="1">
        <f t="shared" si="9"/>
        <v>22.50618975499297</v>
      </c>
      <c r="T26" s="1">
        <f t="shared" ref="T26:V26" si="67">$S26*P26</f>
        <v>-9.2542800380224929E-2</v>
      </c>
      <c r="U26" s="1">
        <f t="shared" si="67"/>
        <v>0</v>
      </c>
      <c r="V26" s="1">
        <f t="shared" si="67"/>
        <v>22.505809223468102</v>
      </c>
      <c r="W26" s="1">
        <f t="shared" si="11"/>
        <v>-278.45622068354743</v>
      </c>
      <c r="X26" s="1">
        <f t="shared" si="12"/>
        <v>0</v>
      </c>
      <c r="Y26" s="1">
        <f t="shared" si="13"/>
        <v>11.554541226414029</v>
      </c>
    </row>
    <row r="27" spans="1:25">
      <c r="A27" s="1">
        <v>2.5000000000000001E-2</v>
      </c>
      <c r="B27" s="1">
        <f t="shared" si="14"/>
        <v>2.148749649694353</v>
      </c>
      <c r="C27" s="1">
        <f t="shared" si="15"/>
        <v>0</v>
      </c>
      <c r="D27" s="1">
        <f t="shared" si="16"/>
        <v>4.8572138813070907E-3</v>
      </c>
      <c r="E27" s="1">
        <f t="shared" si="17"/>
        <v>82.424546617799876</v>
      </c>
      <c r="F27" s="1">
        <f t="shared" si="18"/>
        <v>0</v>
      </c>
      <c r="G27" s="1">
        <f t="shared" si="19"/>
        <v>0.35162529391661868</v>
      </c>
      <c r="H27" s="1">
        <f t="shared" si="0"/>
        <v>82.42529663578523</v>
      </c>
      <c r="I27" s="1">
        <f t="shared" si="1"/>
        <v>-276.49254318381463</v>
      </c>
      <c r="J27" s="1">
        <f t="shared" si="2"/>
        <v>0</v>
      </c>
      <c r="K27" s="1">
        <f t="shared" si="3"/>
        <v>-1.1795244954585751</v>
      </c>
      <c r="L27" s="1">
        <f t="shared" ref="L27:N27" si="68">E27/$H27</f>
        <v>0.99999090063347096</v>
      </c>
      <c r="M27" s="1">
        <f t="shared" si="68"/>
        <v>0</v>
      </c>
      <c r="N27" s="1">
        <f t="shared" si="68"/>
        <v>4.2659876065761024E-3</v>
      </c>
      <c r="O27" s="1">
        <f t="shared" si="5"/>
        <v>4.2659876065761024E-3</v>
      </c>
      <c r="P27" s="1">
        <f t="shared" si="6"/>
        <v>-4.2659487887912618E-3</v>
      </c>
      <c r="Q27" s="1">
        <f t="shared" si="7"/>
        <v>0</v>
      </c>
      <c r="R27" s="1">
        <f t="shared" si="8"/>
        <v>0.99998180134974057</v>
      </c>
      <c r="S27" s="1">
        <f t="shared" si="9"/>
        <v>22.354919673022629</v>
      </c>
      <c r="T27" s="1">
        <f t="shared" ref="T27:V27" si="69">$S27*P27</f>
        <v>-9.5364942502656827E-2</v>
      </c>
      <c r="U27" s="1">
        <f t="shared" si="69"/>
        <v>0</v>
      </c>
      <c r="V27" s="1">
        <f t="shared" si="69"/>
        <v>22.354512843657922</v>
      </c>
      <c r="W27" s="1">
        <f t="shared" si="11"/>
        <v>-276.5879081263173</v>
      </c>
      <c r="X27" s="1">
        <f t="shared" si="12"/>
        <v>0</v>
      </c>
      <c r="Y27" s="1">
        <f t="shared" si="13"/>
        <v>11.368338348199346</v>
      </c>
    </row>
    <row r="28" spans="1:25">
      <c r="A28" s="1">
        <v>2.5999999999999999E-2</v>
      </c>
      <c r="B28" s="1">
        <f t="shared" si="14"/>
        <v>2.2308976084040264</v>
      </c>
      <c r="C28" s="1">
        <f t="shared" si="15"/>
        <v>0</v>
      </c>
      <c r="D28" s="1">
        <f t="shared" si="16"/>
        <v>5.2202075135719082E-3</v>
      </c>
      <c r="E28" s="1">
        <f t="shared" si="17"/>
        <v>82.14795870967356</v>
      </c>
      <c r="F28" s="1">
        <f t="shared" si="18"/>
        <v>0</v>
      </c>
      <c r="G28" s="1">
        <f t="shared" si="19"/>
        <v>0.36299363226481801</v>
      </c>
      <c r="H28" s="1">
        <f t="shared" si="0"/>
        <v>82.148760699984365</v>
      </c>
      <c r="I28" s="1">
        <f t="shared" si="1"/>
        <v>-274.64021450542424</v>
      </c>
      <c r="J28" s="1">
        <f t="shared" si="2"/>
        <v>0</v>
      </c>
      <c r="K28" s="1">
        <f t="shared" si="3"/>
        <v>-1.2135742700758445</v>
      </c>
      <c r="L28" s="1">
        <f t="shared" ref="L28:N28" si="70">E28/$H28</f>
        <v>0.99999023734133086</v>
      </c>
      <c r="M28" s="1">
        <f t="shared" si="70"/>
        <v>0</v>
      </c>
      <c r="N28" s="1">
        <f t="shared" si="70"/>
        <v>4.4187353427096445E-3</v>
      </c>
      <c r="O28" s="1">
        <f t="shared" si="5"/>
        <v>4.4187353427096445E-3</v>
      </c>
      <c r="P28" s="1">
        <f t="shared" si="6"/>
        <v>-4.4186922041047445E-3</v>
      </c>
      <c r="Q28" s="1">
        <f t="shared" si="7"/>
        <v>0</v>
      </c>
      <c r="R28" s="1">
        <f t="shared" si="8"/>
        <v>0.99998047477797114</v>
      </c>
      <c r="S28" s="1">
        <f t="shared" si="9"/>
        <v>22.205170294702786</v>
      </c>
      <c r="T28" s="1">
        <f t="shared" ref="T28:V28" si="71">$S28*P28</f>
        <v>-9.8117812872021454E-2</v>
      </c>
      <c r="U28" s="1">
        <f t="shared" si="71"/>
        <v>0</v>
      </c>
      <c r="V28" s="1">
        <f t="shared" si="71"/>
        <v>22.204736733822592</v>
      </c>
      <c r="W28" s="1">
        <f t="shared" si="11"/>
        <v>-274.73833231829627</v>
      </c>
      <c r="X28" s="1">
        <f t="shared" si="12"/>
        <v>0</v>
      </c>
      <c r="Y28" s="1">
        <f t="shared" si="13"/>
        <v>11.184512463746747</v>
      </c>
    </row>
    <row r="29" spans="1:25">
      <c r="A29" s="1">
        <v>2.7E-2</v>
      </c>
      <c r="B29" s="1">
        <f t="shared" si="14"/>
        <v>2.3127708287813817</v>
      </c>
      <c r="C29" s="1">
        <f t="shared" si="15"/>
        <v>0</v>
      </c>
      <c r="D29" s="1">
        <f t="shared" si="16"/>
        <v>5.5943856583004726E-3</v>
      </c>
      <c r="E29" s="1">
        <f t="shared" si="17"/>
        <v>81.873220377355267</v>
      </c>
      <c r="F29" s="1">
        <f t="shared" si="18"/>
        <v>0</v>
      </c>
      <c r="G29" s="1">
        <f t="shared" si="19"/>
        <v>0.37417814472856475</v>
      </c>
      <c r="H29" s="1">
        <f t="shared" si="0"/>
        <v>81.874075410003712</v>
      </c>
      <c r="I29" s="1">
        <f t="shared" si="1"/>
        <v>-272.80644058026144</v>
      </c>
      <c r="J29" s="1">
        <f t="shared" si="2"/>
        <v>0</v>
      </c>
      <c r="K29" s="1">
        <f t="shared" si="3"/>
        <v>-1.2467838364711346</v>
      </c>
      <c r="L29" s="1">
        <f t="shared" ref="L29:N29" si="72">E29/$H29</f>
        <v>0.99998955673521606</v>
      </c>
      <c r="M29" s="1">
        <f t="shared" si="72"/>
        <v>0</v>
      </c>
      <c r="N29" s="1">
        <f t="shared" si="72"/>
        <v>4.5701663543042115E-3</v>
      </c>
      <c r="O29" s="1">
        <f t="shared" si="5"/>
        <v>4.5701663543042115E-3</v>
      </c>
      <c r="P29" s="1">
        <f t="shared" si="6"/>
        <v>-4.5701186268468667E-3</v>
      </c>
      <c r="Q29" s="1">
        <f t="shared" si="7"/>
        <v>0</v>
      </c>
      <c r="R29" s="1">
        <f t="shared" si="8"/>
        <v>0.99997911357949398</v>
      </c>
      <c r="S29" s="1">
        <f t="shared" si="9"/>
        <v>22.056921286801089</v>
      </c>
      <c r="T29" s="1">
        <f t="shared" ref="T29:V29" si="73">$S29*P29</f>
        <v>-0.10080274682370481</v>
      </c>
      <c r="U29" s="1">
        <f t="shared" si="73"/>
        <v>0</v>
      </c>
      <c r="V29" s="1">
        <f t="shared" si="73"/>
        <v>22.056460596668025</v>
      </c>
      <c r="W29" s="1">
        <f t="shared" si="11"/>
        <v>-272.90724332708515</v>
      </c>
      <c r="X29" s="1">
        <f t="shared" si="12"/>
        <v>0</v>
      </c>
      <c r="Y29" s="1">
        <f t="shared" si="13"/>
        <v>11.003026760196891</v>
      </c>
    </row>
    <row r="30" spans="1:25">
      <c r="A30" s="1">
        <v>2.8000000000000001E-2</v>
      </c>
      <c r="B30" s="1">
        <f t="shared" si="14"/>
        <v>2.3943711419154101</v>
      </c>
      <c r="C30" s="1">
        <f t="shared" si="15"/>
        <v>0</v>
      </c>
      <c r="D30" s="1">
        <f t="shared" si="16"/>
        <v>5.9795668297892342E-3</v>
      </c>
      <c r="E30" s="1">
        <f t="shared" si="17"/>
        <v>81.600313134028184</v>
      </c>
      <c r="F30" s="1">
        <f t="shared" si="18"/>
        <v>0</v>
      </c>
      <c r="G30" s="1">
        <f t="shared" si="19"/>
        <v>0.38518117148876163</v>
      </c>
      <c r="H30" s="1">
        <f t="shared" si="0"/>
        <v>81.601222221890296</v>
      </c>
      <c r="I30" s="1">
        <f t="shared" si="1"/>
        <v>-270.99097432550525</v>
      </c>
      <c r="J30" s="1">
        <f t="shared" si="2"/>
        <v>0</v>
      </c>
      <c r="K30" s="1">
        <f t="shared" si="3"/>
        <v>-1.2791693676730664</v>
      </c>
      <c r="L30" s="1">
        <f t="shared" ref="L30:N30" si="74">E30/$H30</f>
        <v>0.99998885938424253</v>
      </c>
      <c r="M30" s="1">
        <f t="shared" si="74"/>
        <v>0</v>
      </c>
      <c r="N30" s="1">
        <f t="shared" si="74"/>
        <v>4.7202867922906322E-3</v>
      </c>
      <c r="O30" s="1">
        <f t="shared" si="5"/>
        <v>4.7202867922906322E-3</v>
      </c>
      <c r="P30" s="1">
        <f t="shared" si="6"/>
        <v>-4.7202342053892146E-3</v>
      </c>
      <c r="Q30" s="1">
        <f t="shared" si="7"/>
        <v>0</v>
      </c>
      <c r="R30" s="1">
        <f t="shared" si="8"/>
        <v>0.99997771889259857</v>
      </c>
      <c r="S30" s="1">
        <f t="shared" si="9"/>
        <v>21.910152655079578</v>
      </c>
      <c r="T30" s="1">
        <f t="shared" ref="T30:V30" si="75">$S30*P30</f>
        <v>-0.10342105200780594</v>
      </c>
      <c r="U30" s="1">
        <f t="shared" si="75"/>
        <v>0</v>
      </c>
      <c r="V30" s="1">
        <f t="shared" si="75"/>
        <v>21.909664472615088</v>
      </c>
      <c r="W30" s="1">
        <f t="shared" si="11"/>
        <v>-271.09439537751308</v>
      </c>
      <c r="X30" s="1">
        <f t="shared" si="12"/>
        <v>0</v>
      </c>
      <c r="Y30" s="1">
        <f t="shared" si="13"/>
        <v>10.823845104942022</v>
      </c>
    </row>
    <row r="31" spans="1:25">
      <c r="A31" s="1">
        <v>2.9000000000000001E-2</v>
      </c>
      <c r="B31" s="1">
        <f t="shared" si="14"/>
        <v>2.4757003606540606</v>
      </c>
      <c r="C31" s="1">
        <f t="shared" si="15"/>
        <v>0</v>
      </c>
      <c r="D31" s="1">
        <f t="shared" si="16"/>
        <v>6.3755718463829377E-3</v>
      </c>
      <c r="E31" s="1">
        <f t="shared" si="17"/>
        <v>81.329218738650667</v>
      </c>
      <c r="F31" s="1">
        <f t="shared" si="18"/>
        <v>0</v>
      </c>
      <c r="G31" s="1">
        <f t="shared" si="19"/>
        <v>0.39600501659370363</v>
      </c>
      <c r="H31" s="1">
        <f t="shared" si="0"/>
        <v>81.330182838921829</v>
      </c>
      <c r="I31" s="1">
        <f t="shared" si="1"/>
        <v>-269.19357275984282</v>
      </c>
      <c r="J31" s="1">
        <f t="shared" si="2"/>
        <v>0</v>
      </c>
      <c r="K31" s="1">
        <f t="shared" si="3"/>
        <v>-1.3107467021199686</v>
      </c>
      <c r="L31" s="1">
        <f t="shared" ref="L31:N31" si="76">E31/$H31</f>
        <v>0.99998814584896401</v>
      </c>
      <c r="M31" s="1">
        <f t="shared" si="76"/>
        <v>0</v>
      </c>
      <c r="N31" s="1">
        <f t="shared" si="76"/>
        <v>4.8691027460003354E-3</v>
      </c>
      <c r="O31" s="1">
        <f t="shared" si="5"/>
        <v>4.8691027460003354E-3</v>
      </c>
      <c r="P31" s="1">
        <f t="shared" si="6"/>
        <v>-4.8690450269209748E-3</v>
      </c>
      <c r="Q31" s="1">
        <f t="shared" si="7"/>
        <v>0</v>
      </c>
      <c r="R31" s="1">
        <f t="shared" si="8"/>
        <v>0.99997629183844894</v>
      </c>
      <c r="S31" s="1">
        <f t="shared" si="9"/>
        <v>21.76484473753132</v>
      </c>
      <c r="T31" s="1">
        <f t="shared" ref="T31:V31" si="77">$S31*P31</f>
        <v>-0.10597400903098401</v>
      </c>
      <c r="U31" s="1">
        <f t="shared" si="77"/>
        <v>0</v>
      </c>
      <c r="V31" s="1">
        <f t="shared" si="77"/>
        <v>21.764328733076148</v>
      </c>
      <c r="W31" s="1">
        <f t="shared" si="11"/>
        <v>-269.29954676887382</v>
      </c>
      <c r="X31" s="1">
        <f t="shared" si="12"/>
        <v>0</v>
      </c>
      <c r="Y31" s="1">
        <f t="shared" si="13"/>
        <v>10.646932030956181</v>
      </c>
    </row>
    <row r="32" spans="1:25">
      <c r="A32" s="1">
        <v>0.03</v>
      </c>
      <c r="B32" s="1">
        <f t="shared" si="14"/>
        <v>2.5567602798459426</v>
      </c>
      <c r="C32" s="1">
        <f t="shared" si="15"/>
        <v>0</v>
      </c>
      <c r="D32" s="1">
        <f t="shared" si="16"/>
        <v>6.7822237950075975E-3</v>
      </c>
      <c r="E32" s="1">
        <f t="shared" si="17"/>
        <v>81.059919191881789</v>
      </c>
      <c r="F32" s="1">
        <f t="shared" si="18"/>
        <v>0</v>
      </c>
      <c r="G32" s="1">
        <f t="shared" si="19"/>
        <v>0.40665194862465981</v>
      </c>
      <c r="H32" s="1">
        <f t="shared" si="0"/>
        <v>81.060939207498237</v>
      </c>
      <c r="I32" s="1">
        <f t="shared" si="1"/>
        <v>-267.41399692199701</v>
      </c>
      <c r="J32" s="1">
        <f t="shared" si="2"/>
        <v>0</v>
      </c>
      <c r="K32" s="1">
        <f t="shared" si="3"/>
        <v>-1.3415313513997396</v>
      </c>
      <c r="L32" s="1">
        <f t="shared" ref="L32:N32" si="78">E32/$H32</f>
        <v>0.99998741668149393</v>
      </c>
      <c r="M32" s="1">
        <f t="shared" si="78"/>
        <v>0</v>
      </c>
      <c r="N32" s="1">
        <f t="shared" si="78"/>
        <v>5.0166202439836027E-3</v>
      </c>
      <c r="O32" s="1">
        <f t="shared" si="5"/>
        <v>5.0166202439836027E-3</v>
      </c>
      <c r="P32" s="1">
        <f t="shared" si="6"/>
        <v>-5.0165571182532488E-3</v>
      </c>
      <c r="Q32" s="1">
        <f t="shared" si="7"/>
        <v>0</v>
      </c>
      <c r="R32" s="1">
        <f t="shared" si="8"/>
        <v>0.99997483352132766</v>
      </c>
      <c r="S32" s="1">
        <f t="shared" si="9"/>
        <v>21.620978197773983</v>
      </c>
      <c r="T32" s="1">
        <f t="shared" ref="T32:V32" si="79">$S32*P32</f>
        <v>-0.10846287208164138</v>
      </c>
      <c r="U32" s="1">
        <f t="shared" si="79"/>
        <v>0</v>
      </c>
      <c r="V32" s="1">
        <f t="shared" si="79"/>
        <v>21.620434073887292</v>
      </c>
      <c r="W32" s="1">
        <f t="shared" si="11"/>
        <v>-267.52245979407866</v>
      </c>
      <c r="X32" s="1">
        <f t="shared" si="12"/>
        <v>0</v>
      </c>
      <c r="Y32" s="1">
        <f t="shared" si="13"/>
        <v>10.472252722487552</v>
      </c>
    </row>
    <row r="33" spans="1:25">
      <c r="A33" s="1">
        <v>3.1E-2</v>
      </c>
      <c r="B33" s="1">
        <f t="shared" si="14"/>
        <v>2.6375526765780304</v>
      </c>
      <c r="C33" s="1">
        <f t="shared" si="15"/>
        <v>0</v>
      </c>
      <c r="D33" s="1">
        <f t="shared" si="16"/>
        <v>7.1993479963547453E-3</v>
      </c>
      <c r="E33" s="1">
        <f t="shared" si="17"/>
        <v>80.79239673208771</v>
      </c>
      <c r="F33" s="1">
        <f t="shared" si="18"/>
        <v>0</v>
      </c>
      <c r="G33" s="1">
        <f t="shared" si="19"/>
        <v>0.41712420134714734</v>
      </c>
      <c r="H33" s="1">
        <f t="shared" si="0"/>
        <v>80.793473513114947</v>
      </c>
      <c r="I33" s="1">
        <f t="shared" si="1"/>
        <v>-265.65201179113774</v>
      </c>
      <c r="J33" s="1">
        <f t="shared" si="2"/>
        <v>0</v>
      </c>
      <c r="K33" s="1">
        <f t="shared" si="3"/>
        <v>-1.3715385077892084</v>
      </c>
      <c r="L33" s="1">
        <f t="shared" ref="L33:N33" si="80">E33/$H33</f>
        <v>0.99998667242562533</v>
      </c>
      <c r="M33" s="1">
        <f t="shared" si="80"/>
        <v>0</v>
      </c>
      <c r="N33" s="1">
        <f t="shared" si="80"/>
        <v>5.1628452548142627E-3</v>
      </c>
      <c r="O33" s="1">
        <f t="shared" si="5"/>
        <v>5.1628452548142627E-3</v>
      </c>
      <c r="P33" s="1">
        <f t="shared" si="6"/>
        <v>-5.1627764466101438E-3</v>
      </c>
      <c r="Q33" s="1">
        <f t="shared" si="7"/>
        <v>0</v>
      </c>
      <c r="R33" s="1">
        <f t="shared" si="8"/>
        <v>0.9999733450288748</v>
      </c>
      <c r="S33" s="1">
        <f t="shared" si="9"/>
        <v>21.47853401859626</v>
      </c>
      <c r="T33" s="1">
        <f t="shared" ref="T33:V33" si="81">$S33*P33</f>
        <v>-0.11088886953892349</v>
      </c>
      <c r="U33" s="1">
        <f t="shared" si="81"/>
        <v>0</v>
      </c>
      <c r="V33" s="1">
        <f t="shared" si="81"/>
        <v>21.477961508892182</v>
      </c>
      <c r="W33" s="1">
        <f t="shared" si="11"/>
        <v>-265.76290066067668</v>
      </c>
      <c r="X33" s="1">
        <f t="shared" si="12"/>
        <v>0</v>
      </c>
      <c r="Y33" s="1">
        <f t="shared" si="13"/>
        <v>10.299773001102976</v>
      </c>
    </row>
    <row r="34" spans="1:25">
      <c r="A34" s="1">
        <v>3.2000000000000001E-2</v>
      </c>
      <c r="B34" s="1">
        <f t="shared" si="14"/>
        <v>2.7180793104094576</v>
      </c>
      <c r="C34" s="1">
        <f t="shared" si="15"/>
        <v>0</v>
      </c>
      <c r="D34" s="1">
        <f t="shared" si="16"/>
        <v>7.6267719707029955E-3</v>
      </c>
      <c r="E34" s="1">
        <f t="shared" si="17"/>
        <v>80.526633831427034</v>
      </c>
      <c r="F34" s="1">
        <f t="shared" si="18"/>
        <v>0</v>
      </c>
      <c r="G34" s="1">
        <f t="shared" si="19"/>
        <v>0.4274239743482503</v>
      </c>
      <c r="H34" s="1">
        <f t="shared" si="0"/>
        <v>80.527768176415861</v>
      </c>
      <c r="I34" s="1">
        <f t="shared" si="1"/>
        <v>-263.90738620912487</v>
      </c>
      <c r="J34" s="1">
        <f t="shared" si="2"/>
        <v>0</v>
      </c>
      <c r="K34" s="1">
        <f t="shared" si="3"/>
        <v>-1.4007830515987658</v>
      </c>
      <c r="L34" s="1">
        <f t="shared" ref="L34:N34" si="82">E34/$H34</f>
        <v>0.99998591361694833</v>
      </c>
      <c r="M34" s="1">
        <f t="shared" si="82"/>
        <v>0</v>
      </c>
      <c r="N34" s="1">
        <f t="shared" si="82"/>
        <v>5.3077836878810932E-3</v>
      </c>
      <c r="O34" s="1">
        <f t="shared" si="5"/>
        <v>5.3077836878810932E-3</v>
      </c>
      <c r="P34" s="1">
        <f t="shared" si="6"/>
        <v>-5.3077089204069099E-3</v>
      </c>
      <c r="Q34" s="1">
        <f t="shared" si="7"/>
        <v>0</v>
      </c>
      <c r="R34" s="1">
        <f t="shared" si="8"/>
        <v>0.99997182743232271</v>
      </c>
      <c r="S34" s="1">
        <f t="shared" si="9"/>
        <v>21.337493495653007</v>
      </c>
      <c r="T34" s="1">
        <f t="shared" ref="T34:V34" si="83">$S34*P34</f>
        <v>-0.11325320456600188</v>
      </c>
      <c r="U34" s="1">
        <f t="shared" si="83"/>
        <v>0</v>
      </c>
      <c r="V34" s="1">
        <f t="shared" si="83"/>
        <v>21.336892363673439</v>
      </c>
      <c r="W34" s="1">
        <f t="shared" si="11"/>
        <v>-264.02063941369084</v>
      </c>
      <c r="X34" s="1">
        <f t="shared" si="12"/>
        <v>0</v>
      </c>
      <c r="Y34" s="1">
        <f t="shared" si="13"/>
        <v>10.129459312074674</v>
      </c>
    </row>
    <row r="35" spans="1:25">
      <c r="A35" s="1">
        <v>3.3000000000000002E-2</v>
      </c>
      <c r="B35" s="1">
        <f t="shared" si="14"/>
        <v>2.798341923601471</v>
      </c>
      <c r="C35" s="1">
        <f t="shared" si="15"/>
        <v>0</v>
      </c>
      <c r="D35" s="1">
        <f t="shared" si="16"/>
        <v>8.0643254043633213E-3</v>
      </c>
      <c r="E35" s="1">
        <f t="shared" si="17"/>
        <v>80.262613192013347</v>
      </c>
      <c r="F35" s="1">
        <f t="shared" si="18"/>
        <v>0</v>
      </c>
      <c r="G35" s="1">
        <f t="shared" si="19"/>
        <v>0.43755343366032495</v>
      </c>
      <c r="H35" s="1">
        <f t="shared" si="0"/>
        <v>80.263805849324527</v>
      </c>
      <c r="I35" s="1">
        <f t="shared" si="1"/>
        <v>-262.17989280453816</v>
      </c>
      <c r="J35" s="1">
        <f t="shared" si="2"/>
        <v>0</v>
      </c>
      <c r="K35" s="1">
        <f t="shared" si="3"/>
        <v>-1.429279558327871</v>
      </c>
      <c r="L35" s="1">
        <f t="shared" ref="L35:N35" si="84">E35/$H35</f>
        <v>0.99998514078296485</v>
      </c>
      <c r="M35" s="1">
        <f t="shared" si="84"/>
        <v>0</v>
      </c>
      <c r="N35" s="1">
        <f t="shared" si="84"/>
        <v>5.4514413941661758E-3</v>
      </c>
      <c r="O35" s="1">
        <f t="shared" si="5"/>
        <v>5.4514413941661758E-3</v>
      </c>
      <c r="P35" s="1">
        <f t="shared" si="6"/>
        <v>-5.4513603900153453E-3</v>
      </c>
      <c r="Q35" s="1">
        <f t="shared" si="7"/>
        <v>0</v>
      </c>
      <c r="R35" s="1">
        <f t="shared" si="8"/>
        <v>0.99997028178672598</v>
      </c>
      <c r="S35" s="1">
        <f t="shared" si="9"/>
        <v>21.197838231305443</v>
      </c>
      <c r="T35" s="1">
        <f t="shared" ref="T35:V35" si="85">$S35*P35</f>
        <v>-0.11555705568809144</v>
      </c>
      <c r="U35" s="1">
        <f t="shared" si="85"/>
        <v>0</v>
      </c>
      <c r="V35" s="1">
        <f t="shared" si="85"/>
        <v>21.197208269427936</v>
      </c>
      <c r="W35" s="1">
        <f t="shared" si="11"/>
        <v>-262.29544986022626</v>
      </c>
      <c r="X35" s="1">
        <f t="shared" si="12"/>
        <v>0</v>
      </c>
      <c r="Y35" s="1">
        <f t="shared" si="13"/>
        <v>9.961278711100066</v>
      </c>
    </row>
    <row r="36" spans="1:25">
      <c r="A36" s="1">
        <v>3.4000000000000002E-2</v>
      </c>
      <c r="B36" s="1">
        <f t="shared" si="14"/>
        <v>2.8783422413436242</v>
      </c>
      <c r="C36" s="1">
        <f t="shared" si="15"/>
        <v>0</v>
      </c>
      <c r="D36" s="1">
        <f t="shared" si="16"/>
        <v>8.5118401167347466E-3</v>
      </c>
      <c r="E36" s="1">
        <f t="shared" si="17"/>
        <v>80.000317742153115</v>
      </c>
      <c r="F36" s="1">
        <f t="shared" si="18"/>
        <v>0</v>
      </c>
      <c r="G36" s="1">
        <f t="shared" si="19"/>
        <v>0.44751471237142504</v>
      </c>
      <c r="H36" s="1">
        <f t="shared" si="0"/>
        <v>80.001569411251225</v>
      </c>
      <c r="I36" s="1">
        <f t="shared" si="1"/>
        <v>-260.46930791844363</v>
      </c>
      <c r="J36" s="1">
        <f t="shared" si="2"/>
        <v>0</v>
      </c>
      <c r="K36" s="1">
        <f t="shared" si="3"/>
        <v>-1.4570423056368385</v>
      </c>
      <c r="L36" s="1">
        <f t="shared" ref="L36:N36" si="86">E36/$H36</f>
        <v>0.99998435444320255</v>
      </c>
      <c r="M36" s="1">
        <f t="shared" si="86"/>
        <v>0</v>
      </c>
      <c r="N36" s="1">
        <f t="shared" si="86"/>
        <v>5.5938241670104999E-3</v>
      </c>
      <c r="O36" s="1">
        <f t="shared" si="5"/>
        <v>5.5938241670104999E-3</v>
      </c>
      <c r="P36" s="1">
        <f t="shared" si="6"/>
        <v>-5.5937366485167804E-3</v>
      </c>
      <c r="Q36" s="1">
        <f t="shared" si="7"/>
        <v>0</v>
      </c>
      <c r="R36" s="1">
        <f t="shared" si="8"/>
        <v>0.99996870913118852</v>
      </c>
      <c r="S36" s="1">
        <f t="shared" si="9"/>
        <v>21.059550128602254</v>
      </c>
      <c r="T36" s="1">
        <f t="shared" ref="T36:V36" si="87">$S36*P36</f>
        <v>-0.1178015773556387</v>
      </c>
      <c r="U36" s="1">
        <f t="shared" si="87"/>
        <v>0</v>
      </c>
      <c r="V36" s="1">
        <f t="shared" si="87"/>
        <v>21.05889115698195</v>
      </c>
      <c r="W36" s="1">
        <f t="shared" si="11"/>
        <v>-260.58710949579927</v>
      </c>
      <c r="X36" s="1">
        <f t="shared" si="12"/>
        <v>0</v>
      </c>
      <c r="Y36" s="1">
        <f t="shared" si="13"/>
        <v>9.7951988513451109</v>
      </c>
    </row>
    <row r="37" spans="1:25">
      <c r="A37" s="1">
        <v>3.5000000000000003E-2</v>
      </c>
      <c r="B37" s="1">
        <f t="shared" si="14"/>
        <v>2.9580819719762816</v>
      </c>
      <c r="C37" s="1">
        <f t="shared" si="15"/>
        <v>0</v>
      </c>
      <c r="D37" s="1">
        <f t="shared" si="16"/>
        <v>8.9691500279575169E-3</v>
      </c>
      <c r="E37" s="1">
        <f t="shared" si="17"/>
        <v>79.739730632657313</v>
      </c>
      <c r="F37" s="1">
        <f t="shared" si="18"/>
        <v>0</v>
      </c>
      <c r="G37" s="1">
        <f t="shared" si="19"/>
        <v>0.45730991122277015</v>
      </c>
      <c r="H37" s="1">
        <f t="shared" si="0"/>
        <v>79.741041965374706</v>
      </c>
      <c r="I37" s="1">
        <f t="shared" si="1"/>
        <v>-258.77541153185433</v>
      </c>
      <c r="J37" s="1">
        <f t="shared" si="2"/>
        <v>0</v>
      </c>
      <c r="K37" s="1">
        <f t="shared" si="3"/>
        <v>-1.4840852801401601</v>
      </c>
      <c r="L37" s="1">
        <f t="shared" ref="L37:N37" si="88">E37/$H37</f>
        <v>0.99998355510932546</v>
      </c>
      <c r="M37" s="1">
        <f t="shared" si="88"/>
        <v>0</v>
      </c>
      <c r="N37" s="1">
        <f t="shared" si="88"/>
        <v>5.7349377428670177E-3</v>
      </c>
      <c r="O37" s="1">
        <f t="shared" si="5"/>
        <v>5.7349377428670177E-3</v>
      </c>
      <c r="P37" s="1">
        <f t="shared" si="6"/>
        <v>-5.7348434324428106E-3</v>
      </c>
      <c r="Q37" s="1">
        <f t="shared" si="7"/>
        <v>0</v>
      </c>
      <c r="R37" s="1">
        <f t="shared" si="8"/>
        <v>0.99996711048908549</v>
      </c>
      <c r="S37" s="1">
        <f t="shared" si="9"/>
        <v>20.922611385398273</v>
      </c>
      <c r="T37" s="1">
        <f t="shared" ref="T37:V37" si="89">$S37*P37</f>
        <v>-0.11998790049310447</v>
      </c>
      <c r="U37" s="1">
        <f t="shared" si="89"/>
        <v>0</v>
      </c>
      <c r="V37" s="1">
        <f t="shared" si="89"/>
        <v>20.921923250942754</v>
      </c>
      <c r="W37" s="1">
        <f t="shared" si="11"/>
        <v>-258.89539943234746</v>
      </c>
      <c r="X37" s="1">
        <f t="shared" si="12"/>
        <v>0</v>
      </c>
      <c r="Y37" s="1">
        <f t="shared" si="13"/>
        <v>9.6311879708025945</v>
      </c>
    </row>
    <row r="38" spans="1:25">
      <c r="A38" s="1">
        <v>3.5999999999999997E-2</v>
      </c>
      <c r="B38" s="1">
        <f t="shared" si="14"/>
        <v>3.0375628072095067</v>
      </c>
      <c r="C38" s="1">
        <f t="shared" si="15"/>
        <v>0</v>
      </c>
      <c r="D38" s="1">
        <f t="shared" si="16"/>
        <v>9.4360911271510889E-3</v>
      </c>
      <c r="E38" s="1">
        <f t="shared" si="17"/>
        <v>79.480835233224965</v>
      </c>
      <c r="F38" s="1">
        <f t="shared" si="18"/>
        <v>0</v>
      </c>
      <c r="G38" s="1">
        <f t="shared" si="19"/>
        <v>0.46694109919357274</v>
      </c>
      <c r="H38" s="1">
        <f t="shared" si="0"/>
        <v>79.482206834996546</v>
      </c>
      <c r="I38" s="1">
        <f t="shared" si="1"/>
        <v>-257.0979871948395</v>
      </c>
      <c r="J38" s="1">
        <f t="shared" si="2"/>
        <v>0</v>
      </c>
      <c r="K38" s="1">
        <f t="shared" si="3"/>
        <v>-1.5104221840264422</v>
      </c>
      <c r="L38" s="1">
        <f t="shared" ref="L38:N38" si="90">E38/$H38</f>
        <v>0.99998274328524339</v>
      </c>
      <c r="M38" s="1">
        <f t="shared" si="90"/>
        <v>0</v>
      </c>
      <c r="N38" s="1">
        <f t="shared" si="90"/>
        <v>5.874787802041443E-3</v>
      </c>
      <c r="O38" s="1">
        <f t="shared" si="5"/>
        <v>5.874787802041443E-3</v>
      </c>
      <c r="P38" s="1">
        <f t="shared" si="6"/>
        <v>-5.8746864225040878E-3</v>
      </c>
      <c r="Q38" s="1">
        <f t="shared" si="7"/>
        <v>0</v>
      </c>
      <c r="R38" s="1">
        <f t="shared" si="8"/>
        <v>0.99996548686828102</v>
      </c>
      <c r="S38" s="1">
        <f t="shared" si="9"/>
        <v>20.787004488606897</v>
      </c>
      <c r="T38" s="1">
        <f t="shared" ref="T38:V38" si="91">$S38*P38</f>
        <v>-0.12211713303375046</v>
      </c>
      <c r="U38" s="1">
        <f t="shared" si="91"/>
        <v>0</v>
      </c>
      <c r="V38" s="1">
        <f t="shared" si="91"/>
        <v>20.78628706398294</v>
      </c>
      <c r="W38" s="1">
        <f t="shared" si="11"/>
        <v>-257.22010432787323</v>
      </c>
      <c r="X38" s="1">
        <f t="shared" si="12"/>
        <v>0</v>
      </c>
      <c r="Y38" s="1">
        <f t="shared" si="13"/>
        <v>9.4692148799564979</v>
      </c>
    </row>
    <row r="39" spans="1:25">
      <c r="A39" s="1">
        <v>3.6999999999999998E-2</v>
      </c>
      <c r="B39" s="1">
        <f t="shared" si="14"/>
        <v>3.1167864223384036</v>
      </c>
      <c r="C39" s="1">
        <f t="shared" si="15"/>
        <v>0</v>
      </c>
      <c r="D39" s="1">
        <f t="shared" si="16"/>
        <v>9.9125014412246183E-3</v>
      </c>
      <c r="E39" s="1">
        <f t="shared" si="17"/>
        <v>79.223615128897094</v>
      </c>
      <c r="F39" s="1">
        <f t="shared" si="18"/>
        <v>0</v>
      </c>
      <c r="G39" s="1">
        <f t="shared" si="19"/>
        <v>0.47641031407352924</v>
      </c>
      <c r="H39" s="1">
        <f t="shared" si="0"/>
        <v>79.225047559966583</v>
      </c>
      <c r="I39" s="1">
        <f t="shared" si="1"/>
        <v>-255.43682195723986</v>
      </c>
      <c r="J39" s="1">
        <f t="shared" si="2"/>
        <v>0</v>
      </c>
      <c r="K39" s="1">
        <f t="shared" si="3"/>
        <v>-1.5360664415098746</v>
      </c>
      <c r="L39" s="1">
        <f t="shared" ref="L39:N39" si="92">E39/$H39</f>
        <v>0.99998191946721893</v>
      </c>
      <c r="M39" s="1">
        <f t="shared" si="92"/>
        <v>0</v>
      </c>
      <c r="N39" s="1">
        <f t="shared" si="92"/>
        <v>6.0133799694210011E-3</v>
      </c>
      <c r="O39" s="1">
        <f t="shared" si="5"/>
        <v>6.0133799694210011E-3</v>
      </c>
      <c r="P39" s="1">
        <f t="shared" si="6"/>
        <v>-6.0132712443073388E-3</v>
      </c>
      <c r="Q39" s="1">
        <f t="shared" si="7"/>
        <v>0</v>
      </c>
      <c r="R39" s="1">
        <f t="shared" si="8"/>
        <v>0.99996383926134336</v>
      </c>
      <c r="S39" s="1">
        <f t="shared" si="9"/>
        <v>20.652712208582901</v>
      </c>
      <c r="T39" s="1">
        <f t="shared" ref="T39:V39" si="93">$S39*P39</f>
        <v>-0.12419036044082667</v>
      </c>
      <c r="U39" s="1">
        <f t="shared" si="93"/>
        <v>0</v>
      </c>
      <c r="V39" s="1">
        <f t="shared" si="93"/>
        <v>20.651965391254176</v>
      </c>
      <c r="W39" s="1">
        <f t="shared" si="11"/>
        <v>-255.56101231768068</v>
      </c>
      <c r="X39" s="1">
        <f t="shared" si="12"/>
        <v>0</v>
      </c>
      <c r="Y39" s="1">
        <f t="shared" si="13"/>
        <v>9.3092489497443029</v>
      </c>
    </row>
    <row r="40" spans="1:25">
      <c r="A40" s="1">
        <v>3.7999999999999999E-2</v>
      </c>
      <c r="B40" s="1">
        <f t="shared" si="14"/>
        <v>3.195754476454983</v>
      </c>
      <c r="C40" s="1">
        <f t="shared" si="15"/>
        <v>0</v>
      </c>
      <c r="D40" s="1">
        <f t="shared" si="16"/>
        <v>1.0398221004247891E-2</v>
      </c>
      <c r="E40" s="1">
        <f t="shared" si="17"/>
        <v>78.96805411657941</v>
      </c>
      <c r="F40" s="1">
        <f t="shared" si="18"/>
        <v>0</v>
      </c>
      <c r="G40" s="1">
        <f t="shared" si="19"/>
        <v>0.48571956302327357</v>
      </c>
      <c r="H40" s="1">
        <f t="shared" si="0"/>
        <v>78.969547893177904</v>
      </c>
      <c r="I40" s="1">
        <f t="shared" si="1"/>
        <v>-253.79170630094822</v>
      </c>
      <c r="J40" s="1">
        <f t="shared" si="2"/>
        <v>0</v>
      </c>
      <c r="K40" s="1">
        <f t="shared" si="3"/>
        <v>-1.561031205118002</v>
      </c>
      <c r="L40" s="1">
        <f t="shared" ref="L40:N40" si="94">E40/$H40</f>
        <v>0.99998108414397258</v>
      </c>
      <c r="M40" s="1">
        <f t="shared" si="94"/>
        <v>0</v>
      </c>
      <c r="N40" s="1">
        <f t="shared" si="94"/>
        <v>6.1507198151913743E-3</v>
      </c>
      <c r="O40" s="1">
        <f t="shared" si="5"/>
        <v>6.1507198151913743E-3</v>
      </c>
      <c r="P40" s="1">
        <f t="shared" si="6"/>
        <v>-6.1506034690608849E-3</v>
      </c>
      <c r="Q40" s="1">
        <f t="shared" si="7"/>
        <v>0</v>
      </c>
      <c r="R40" s="1">
        <f t="shared" si="8"/>
        <v>0.99996216864575505</v>
      </c>
      <c r="S40" s="1">
        <f t="shared" si="9"/>
        <v>20.519717593632301</v>
      </c>
      <c r="T40" s="1">
        <f t="shared" ref="T40:V40" si="95">$S40*P40</f>
        <v>-0.12620864621554451</v>
      </c>
      <c r="U40" s="1">
        <f t="shared" si="95"/>
        <v>0</v>
      </c>
      <c r="V40" s="1">
        <f t="shared" si="95"/>
        <v>20.518941304927008</v>
      </c>
      <c r="W40" s="1">
        <f t="shared" si="11"/>
        <v>-253.91791494716375</v>
      </c>
      <c r="X40" s="1">
        <f t="shared" si="12"/>
        <v>0</v>
      </c>
      <c r="Y40" s="1">
        <f t="shared" si="13"/>
        <v>9.1512600998090061</v>
      </c>
    </row>
    <row r="41" spans="1:25">
      <c r="A41" s="1">
        <v>3.9E-2</v>
      </c>
      <c r="B41" s="1">
        <f t="shared" si="14"/>
        <v>3.2744686126566154</v>
      </c>
      <c r="C41" s="1">
        <f t="shared" si="15"/>
        <v>0</v>
      </c>
      <c r="D41" s="1">
        <f t="shared" si="16"/>
        <v>1.0893091827370974E-2</v>
      </c>
      <c r="E41" s="1">
        <f t="shared" si="17"/>
        <v>78.714136201632243</v>
      </c>
      <c r="F41" s="1">
        <f t="shared" si="18"/>
        <v>0</v>
      </c>
      <c r="G41" s="1">
        <f t="shared" si="19"/>
        <v>0.49487082312308256</v>
      </c>
      <c r="H41" s="1">
        <f t="shared" si="0"/>
        <v>78.715691797129566</v>
      </c>
      <c r="I41" s="1">
        <f t="shared" si="1"/>
        <v>-252.16243407371411</v>
      </c>
      <c r="J41" s="1">
        <f t="shared" si="2"/>
        <v>0</v>
      </c>
      <c r="K41" s="1">
        <f t="shared" si="3"/>
        <v>-1.5853293618204158</v>
      </c>
      <c r="L41" s="1">
        <f t="shared" ref="L41:N41" si="96">E41/$H41</f>
        <v>0.99998023779678735</v>
      </c>
      <c r="M41" s="1">
        <f t="shared" si="96"/>
        <v>0</v>
      </c>
      <c r="N41" s="1">
        <f t="shared" si="96"/>
        <v>6.2868128555420818E-3</v>
      </c>
      <c r="O41" s="1">
        <f t="shared" si="5"/>
        <v>6.2868128555420818E-3</v>
      </c>
      <c r="P41" s="1">
        <f t="shared" si="6"/>
        <v>-6.2866886142688705E-3</v>
      </c>
      <c r="Q41" s="1">
        <f t="shared" si="7"/>
        <v>0</v>
      </c>
      <c r="R41" s="1">
        <f t="shared" si="8"/>
        <v>0.99996047598411941</v>
      </c>
      <c r="S41" s="1">
        <f t="shared" si="9"/>
        <v>20.388003964645826</v>
      </c>
      <c r="T41" s="1">
        <f t="shared" ref="T41:V41" si="97">$S41*P41</f>
        <v>-0.12817303239220751</v>
      </c>
      <c r="U41" s="1">
        <f t="shared" si="97"/>
        <v>0</v>
      </c>
      <c r="V41" s="1">
        <f t="shared" si="97"/>
        <v>20.387198148853354</v>
      </c>
      <c r="W41" s="1">
        <f t="shared" si="11"/>
        <v>-252.29060710610631</v>
      </c>
      <c r="X41" s="1">
        <f t="shared" si="12"/>
        <v>0</v>
      </c>
      <c r="Y41" s="1">
        <f t="shared" si="13"/>
        <v>8.9952187870329379</v>
      </c>
    </row>
    <row r="42" spans="1:25">
      <c r="A42" s="1">
        <v>0.04</v>
      </c>
      <c r="B42" s="1">
        <f t="shared" si="14"/>
        <v>3.3529304582511417</v>
      </c>
      <c r="C42" s="1">
        <f t="shared" si="15"/>
        <v>0</v>
      </c>
      <c r="D42" s="1">
        <f t="shared" si="16"/>
        <v>1.1396957869281091E-2</v>
      </c>
      <c r="E42" s="1">
        <f t="shared" si="17"/>
        <v>78.461845594526139</v>
      </c>
      <c r="F42" s="1">
        <f t="shared" si="18"/>
        <v>0</v>
      </c>
      <c r="G42" s="1">
        <f t="shared" si="19"/>
        <v>0.50386604191011553</v>
      </c>
      <c r="H42" s="1">
        <f t="shared" si="0"/>
        <v>78.463463440555884</v>
      </c>
      <c r="I42" s="1">
        <f t="shared" si="1"/>
        <v>-250.54880242443431</v>
      </c>
      <c r="J42" s="1">
        <f t="shared" si="2"/>
        <v>0</v>
      </c>
      <c r="K42" s="1">
        <f t="shared" si="3"/>
        <v>-1.6089735390028421</v>
      </c>
      <c r="L42" s="1">
        <f t="shared" ref="L42:N42" si="98">E42/$H42</f>
        <v>0.99997938089960847</v>
      </c>
      <c r="M42" s="1">
        <f t="shared" si="98"/>
        <v>0</v>
      </c>
      <c r="N42" s="1">
        <f t="shared" si="98"/>
        <v>6.4216645533605038E-3</v>
      </c>
      <c r="O42" s="1">
        <f t="shared" si="5"/>
        <v>6.4216645533605038E-3</v>
      </c>
      <c r="P42" s="1">
        <f t="shared" si="6"/>
        <v>-6.4215321444143977E-3</v>
      </c>
      <c r="Q42" s="1">
        <f t="shared" si="7"/>
        <v>0</v>
      </c>
      <c r="R42" s="1">
        <f t="shared" si="8"/>
        <v>0.99995876222436408</v>
      </c>
      <c r="S42" s="1">
        <f t="shared" si="9"/>
        <v>20.257554909853059</v>
      </c>
      <c r="T42" s="1">
        <f t="shared" ref="T42:V42" si="99">$S42*P42</f>
        <v>-0.13008454002086112</v>
      </c>
      <c r="U42" s="1">
        <f t="shared" si="99"/>
        <v>0</v>
      </c>
      <c r="V42" s="1">
        <f t="shared" si="99"/>
        <v>20.256719533348754</v>
      </c>
      <c r="W42" s="1">
        <f t="shared" si="11"/>
        <v>-250.67888696445519</v>
      </c>
      <c r="X42" s="1">
        <f t="shared" si="12"/>
        <v>0</v>
      </c>
      <c r="Y42" s="1">
        <f t="shared" si="13"/>
        <v>8.8410959943459115</v>
      </c>
    </row>
    <row r="43" spans="1:25">
      <c r="A43" s="1">
        <v>4.1000000000000002E-2</v>
      </c>
      <c r="B43" s="1">
        <f t="shared" si="14"/>
        <v>3.4311416249587032</v>
      </c>
      <c r="C43" s="1">
        <f t="shared" si="15"/>
        <v>0</v>
      </c>
      <c r="D43" s="1">
        <f t="shared" si="16"/>
        <v>1.1909665007185552E-2</v>
      </c>
      <c r="E43" s="1">
        <f t="shared" si="17"/>
        <v>78.211166707561688</v>
      </c>
      <c r="F43" s="1">
        <f t="shared" si="18"/>
        <v>0</v>
      </c>
      <c r="G43" s="1">
        <f t="shared" si="19"/>
        <v>0.51270713790446143</v>
      </c>
      <c r="H43" s="1">
        <f t="shared" si="0"/>
        <v>78.212847195120474</v>
      </c>
      <c r="I43" s="1">
        <f t="shared" si="1"/>
        <v>-248.95061173989038</v>
      </c>
      <c r="J43" s="1">
        <f t="shared" si="2"/>
        <v>0</v>
      </c>
      <c r="K43" s="1">
        <f t="shared" si="3"/>
        <v>-1.6319761102909556</v>
      </c>
      <c r="L43" s="1">
        <f t="shared" ref="L43:N43" si="100">E43/$H43</f>
        <v>0.99997851391914427</v>
      </c>
      <c r="M43" s="1">
        <f t="shared" si="100"/>
        <v>0</v>
      </c>
      <c r="N43" s="1">
        <f t="shared" si="100"/>
        <v>6.5552803189147689E-3</v>
      </c>
      <c r="O43" s="1">
        <f t="shared" si="5"/>
        <v>6.5552803189147689E-3</v>
      </c>
      <c r="P43" s="1">
        <f t="shared" si="6"/>
        <v>-6.5551394716318045E-3</v>
      </c>
      <c r="Q43" s="1">
        <f t="shared" si="7"/>
        <v>0</v>
      </c>
      <c r="R43" s="1">
        <f t="shared" si="8"/>
        <v>0.99995702829994049</v>
      </c>
      <c r="S43" s="1">
        <f t="shared" si="9"/>
        <v>20.128354279694001</v>
      </c>
      <c r="T43" s="1">
        <f t="shared" ref="T43:V43" si="101">$S43*P43</f>
        <v>-0.13194416963781111</v>
      </c>
      <c r="U43" s="1">
        <f t="shared" si="101"/>
        <v>0</v>
      </c>
      <c r="V43" s="1">
        <f t="shared" si="101"/>
        <v>20.127489330091201</v>
      </c>
      <c r="W43" s="1">
        <f t="shared" si="11"/>
        <v>-249.0825559095282</v>
      </c>
      <c r="X43" s="1">
        <f t="shared" si="12"/>
        <v>0</v>
      </c>
      <c r="Y43" s="1">
        <f t="shared" si="13"/>
        <v>8.6888632198002451</v>
      </c>
    </row>
    <row r="44" spans="1:25">
      <c r="A44" s="1">
        <v>4.2000000000000003E-2</v>
      </c>
      <c r="B44" s="1">
        <f t="shared" si="14"/>
        <v>3.5091037091103554</v>
      </c>
      <c r="C44" s="1">
        <f t="shared" si="15"/>
        <v>0</v>
      </c>
      <c r="D44" s="1">
        <f t="shared" si="16"/>
        <v>1.2431061008309815E-2</v>
      </c>
      <c r="E44" s="1">
        <f t="shared" si="17"/>
        <v>77.962084151652164</v>
      </c>
      <c r="F44" s="1">
        <f t="shared" si="18"/>
        <v>0</v>
      </c>
      <c r="G44" s="1">
        <f t="shared" si="19"/>
        <v>0.52139600112426165</v>
      </c>
      <c r="H44" s="1">
        <f t="shared" si="0"/>
        <v>77.963827632173633</v>
      </c>
      <c r="I44" s="1">
        <f t="shared" si="1"/>
        <v>-247.36766558289679</v>
      </c>
      <c r="J44" s="1">
        <f t="shared" si="2"/>
        <v>0</v>
      </c>
      <c r="K44" s="1">
        <f t="shared" si="3"/>
        <v>-1.6543492012281305</v>
      </c>
      <c r="L44" s="1">
        <f t="shared" ref="L44:N44" si="102">E44/$H44</f>
        <v>0.99997763731496492</v>
      </c>
      <c r="M44" s="1">
        <f t="shared" si="102"/>
        <v>0</v>
      </c>
      <c r="N44" s="1">
        <f t="shared" si="102"/>
        <v>6.6876655105257447E-3</v>
      </c>
      <c r="O44" s="1">
        <f t="shared" si="5"/>
        <v>6.6876655105257447E-3</v>
      </c>
      <c r="P44" s="1">
        <f t="shared" si="6"/>
        <v>-6.6875159563683124E-3</v>
      </c>
      <c r="Q44" s="1">
        <f t="shared" si="7"/>
        <v>0</v>
      </c>
      <c r="R44" s="1">
        <f t="shared" si="8"/>
        <v>0.99995527513001936</v>
      </c>
      <c r="S44" s="1">
        <f t="shared" si="9"/>
        <v>20.000386181805016</v>
      </c>
      <c r="T44" s="1">
        <f t="shared" ref="T44:V44" si="103">$S44*P44</f>
        <v>-0.13375290172434937</v>
      </c>
      <c r="U44" s="1">
        <f t="shared" si="103"/>
        <v>0</v>
      </c>
      <c r="V44" s="1">
        <f t="shared" si="103"/>
        <v>19.999491667133473</v>
      </c>
      <c r="W44" s="1">
        <f t="shared" si="11"/>
        <v>-247.50141848462113</v>
      </c>
      <c r="X44" s="1">
        <f t="shared" si="12"/>
        <v>0</v>
      </c>
      <c r="Y44" s="1">
        <f t="shared" si="13"/>
        <v>8.5384924659053443</v>
      </c>
    </row>
    <row r="45" spans="1:25">
      <c r="A45" s="1">
        <v>4.2999999999999997E-2</v>
      </c>
      <c r="B45" s="1">
        <f t="shared" si="14"/>
        <v>3.5868182918435227</v>
      </c>
      <c r="C45" s="1">
        <f t="shared" si="15"/>
        <v>0</v>
      </c>
      <c r="D45" s="1">
        <f t="shared" si="16"/>
        <v>1.2960995501899981E-2</v>
      </c>
      <c r="E45" s="1">
        <f t="shared" si="17"/>
        <v>77.714582733167546</v>
      </c>
      <c r="F45" s="1">
        <f t="shared" si="18"/>
        <v>0</v>
      </c>
      <c r="G45" s="1">
        <f t="shared" si="19"/>
        <v>0.52993449359016698</v>
      </c>
      <c r="H45" s="1">
        <f t="shared" si="0"/>
        <v>77.716389519572004</v>
      </c>
      <c r="I45" s="1">
        <f t="shared" si="1"/>
        <v>-245.79977063182417</v>
      </c>
      <c r="J45" s="1">
        <f t="shared" si="2"/>
        <v>0</v>
      </c>
      <c r="K45" s="1">
        <f t="shared" si="3"/>
        <v>-1.6761046948111922</v>
      </c>
      <c r="L45" s="1">
        <f t="shared" ref="L45:N45" si="104">E45/$H45</f>
        <v>0.99997675153959642</v>
      </c>
      <c r="M45" s="1">
        <f t="shared" si="104"/>
        <v>0</v>
      </c>
      <c r="N45" s="1">
        <f t="shared" si="104"/>
        <v>6.8188254352282915E-3</v>
      </c>
      <c r="O45" s="1">
        <f t="shared" si="5"/>
        <v>6.8188254352282915E-3</v>
      </c>
      <c r="P45" s="1">
        <f t="shared" si="6"/>
        <v>-6.818666908035162E-3</v>
      </c>
      <c r="Q45" s="1">
        <f t="shared" si="7"/>
        <v>0</v>
      </c>
      <c r="R45" s="1">
        <f t="shared" si="8"/>
        <v>0.99995350361968394</v>
      </c>
      <c r="S45" s="1">
        <f t="shared" si="9"/>
        <v>19.873634976116495</v>
      </c>
      <c r="T45" s="1">
        <f t="shared" ref="T45:V45" si="105">$S45*P45</f>
        <v>-0.1355116971540157</v>
      </c>
      <c r="U45" s="1">
        <f t="shared" si="105"/>
        <v>0</v>
      </c>
      <c r="V45" s="1">
        <f t="shared" si="105"/>
        <v>19.872710924026382</v>
      </c>
      <c r="W45" s="1">
        <f t="shared" si="11"/>
        <v>-245.93528232897819</v>
      </c>
      <c r="X45" s="1">
        <f t="shared" si="12"/>
        <v>0</v>
      </c>
      <c r="Y45" s="1">
        <f t="shared" si="13"/>
        <v>8.3899562292151924</v>
      </c>
    </row>
    <row r="46" spans="1:25">
      <c r="A46" s="1">
        <v>4.3999999999999997E-2</v>
      </c>
      <c r="B46" s="1">
        <f t="shared" si="14"/>
        <v>3.6642869392943611</v>
      </c>
      <c r="C46" s="1">
        <f t="shared" si="15"/>
        <v>0</v>
      </c>
      <c r="D46" s="1">
        <f t="shared" si="16"/>
        <v>1.3499319951719364E-2</v>
      </c>
      <c r="E46" s="1">
        <f t="shared" si="17"/>
        <v>77.468647450838574</v>
      </c>
      <c r="F46" s="1">
        <f t="shared" si="18"/>
        <v>0</v>
      </c>
      <c r="G46" s="1">
        <f t="shared" si="19"/>
        <v>0.53832444981938221</v>
      </c>
      <c r="H46" s="1">
        <f t="shared" si="0"/>
        <v>77.47051781855852</v>
      </c>
      <c r="I46" s="1">
        <f t="shared" si="1"/>
        <v>-244.24673662146174</v>
      </c>
      <c r="J46" s="1">
        <f t="shared" si="2"/>
        <v>0</v>
      </c>
      <c r="K46" s="1">
        <f t="shared" si="3"/>
        <v>-1.6972542368881216</v>
      </c>
      <c r="L46" s="1">
        <f t="shared" ref="L46:N46" si="106">E46/$H46</f>
        <v>0.99997585703861791</v>
      </c>
      <c r="M46" s="1">
        <f t="shared" si="106"/>
        <v>0</v>
      </c>
      <c r="N46" s="1">
        <f t="shared" si="106"/>
        <v>6.9487653494220408E-3</v>
      </c>
      <c r="O46" s="1">
        <f t="shared" si="5"/>
        <v>6.9487653494220408E-3</v>
      </c>
      <c r="P46" s="1">
        <f t="shared" si="6"/>
        <v>-6.9485975856485565E-3</v>
      </c>
      <c r="Q46" s="1">
        <f t="shared" si="7"/>
        <v>0</v>
      </c>
      <c r="R46" s="1">
        <f t="shared" si="8"/>
        <v>0.99995171466011867</v>
      </c>
      <c r="S46" s="1">
        <f t="shared" si="9"/>
        <v>19.748085270059079</v>
      </c>
      <c r="T46" s="1">
        <f t="shared" ref="T46:V46" si="107">$S46*P46</f>
        <v>-0.13722149762871433</v>
      </c>
      <c r="U46" s="1">
        <f t="shared" si="107"/>
        <v>0</v>
      </c>
      <c r="V46" s="1">
        <f t="shared" si="107"/>
        <v>19.747131727049808</v>
      </c>
      <c r="W46" s="1">
        <f t="shared" si="11"/>
        <v>-244.38395811909044</v>
      </c>
      <c r="X46" s="1">
        <f t="shared" si="12"/>
        <v>0</v>
      </c>
      <c r="Y46" s="1">
        <f t="shared" si="13"/>
        <v>8.2432274901616882</v>
      </c>
    </row>
    <row r="47" spans="1:25">
      <c r="A47" s="1">
        <v>4.4999999999999998E-2</v>
      </c>
      <c r="B47" s="1">
        <f t="shared" si="14"/>
        <v>3.7415112027870805</v>
      </c>
      <c r="C47" s="1">
        <f t="shared" si="15"/>
        <v>0</v>
      </c>
      <c r="D47" s="1">
        <f t="shared" si="16"/>
        <v>1.4045887629028909E-2</v>
      </c>
      <c r="E47" s="1">
        <f t="shared" si="17"/>
        <v>77.224263492719487</v>
      </c>
      <c r="F47" s="1">
        <f t="shared" si="18"/>
        <v>0</v>
      </c>
      <c r="G47" s="1">
        <f t="shared" si="19"/>
        <v>0.54656767730954392</v>
      </c>
      <c r="H47" s="1">
        <f t="shared" si="0"/>
        <v>77.226197680701901</v>
      </c>
      <c r="I47" s="1">
        <f t="shared" si="1"/>
        <v>-242.70837628518623</v>
      </c>
      <c r="J47" s="1">
        <f t="shared" si="2"/>
        <v>0</v>
      </c>
      <c r="K47" s="1">
        <f t="shared" si="3"/>
        <v>-1.7178092414215329</v>
      </c>
      <c r="L47" s="1">
        <f t="shared" ref="L47:N47" si="108">E47/$H47</f>
        <v>0.999974954250753</v>
      </c>
      <c r="M47" s="1">
        <f t="shared" si="108"/>
        <v>0</v>
      </c>
      <c r="N47" s="1">
        <f t="shared" si="108"/>
        <v>7.077490459511851E-3</v>
      </c>
      <c r="O47" s="1">
        <f t="shared" si="5"/>
        <v>7.077490459511851E-3</v>
      </c>
      <c r="P47" s="1">
        <f t="shared" si="6"/>
        <v>-7.0773131984605041E-3</v>
      </c>
      <c r="Q47" s="1">
        <f t="shared" si="7"/>
        <v>0</v>
      </c>
      <c r="R47" s="1">
        <f t="shared" si="8"/>
        <v>0.99994990912879556</v>
      </c>
      <c r="S47" s="1">
        <f t="shared" si="9"/>
        <v>19.623721913875958</v>
      </c>
      <c r="T47" s="1">
        <f t="shared" ref="T47:V47" si="109">$S47*P47</f>
        <v>-0.13888322610399295</v>
      </c>
      <c r="U47" s="1">
        <f t="shared" si="109"/>
        <v>0</v>
      </c>
      <c r="V47" s="1">
        <f t="shared" si="109"/>
        <v>19.622738944549017</v>
      </c>
      <c r="W47" s="1">
        <f t="shared" si="11"/>
        <v>-242.84725951129022</v>
      </c>
      <c r="X47" s="1">
        <f t="shared" si="12"/>
        <v>0</v>
      </c>
      <c r="Y47" s="1">
        <f t="shared" si="13"/>
        <v>8.0982797031274831</v>
      </c>
    </row>
    <row r="48" spans="1:25">
      <c r="A48" s="1">
        <v>4.5999999999999999E-2</v>
      </c>
      <c r="B48" s="1">
        <f t="shared" si="14"/>
        <v>3.8184926190202888</v>
      </c>
      <c r="C48" s="1">
        <f t="shared" si="15"/>
        <v>0</v>
      </c>
      <c r="D48" s="1">
        <f t="shared" si="16"/>
        <v>1.460055358604158E-2</v>
      </c>
      <c r="E48" s="1">
        <f t="shared" si="17"/>
        <v>76.981416233208193</v>
      </c>
      <c r="F48" s="1">
        <f t="shared" si="18"/>
        <v>0</v>
      </c>
      <c r="G48" s="1">
        <f t="shared" si="19"/>
        <v>0.55466595701267141</v>
      </c>
      <c r="H48" s="1">
        <f t="shared" si="0"/>
        <v>76.983414444894024</v>
      </c>
      <c r="I48" s="1">
        <f t="shared" si="1"/>
        <v>-241.18450529840396</v>
      </c>
      <c r="J48" s="1">
        <f t="shared" si="2"/>
        <v>0</v>
      </c>
      <c r="K48" s="1">
        <f t="shared" si="3"/>
        <v>-1.7377808956216421</v>
      </c>
      <c r="L48" s="1">
        <f t="shared" ref="L48:N48" si="110">E48/$H48</f>
        <v>0.99997404360796105</v>
      </c>
      <c r="M48" s="1">
        <f t="shared" si="110"/>
        <v>0</v>
      </c>
      <c r="N48" s="1">
        <f t="shared" si="110"/>
        <v>7.2050059225381626E-3</v>
      </c>
      <c r="O48" s="1">
        <f t="shared" si="5"/>
        <v>7.2050059225381626E-3</v>
      </c>
      <c r="P48" s="1">
        <f t="shared" si="6"/>
        <v>-7.2048189065797939E-3</v>
      </c>
      <c r="Q48" s="1">
        <f t="shared" si="7"/>
        <v>0</v>
      </c>
      <c r="R48" s="1">
        <f t="shared" si="8"/>
        <v>0.99994808788965617</v>
      </c>
      <c r="S48" s="1">
        <f t="shared" si="9"/>
        <v>19.500529996038463</v>
      </c>
      <c r="T48" s="1">
        <f t="shared" ref="T48:V48" si="111">$S48*P48</f>
        <v>-0.14049778720378431</v>
      </c>
      <c r="U48" s="1">
        <f t="shared" si="111"/>
        <v>0</v>
      </c>
      <c r="V48" s="1">
        <f t="shared" si="111"/>
        <v>19.499517682373543</v>
      </c>
      <c r="W48" s="1">
        <f t="shared" si="11"/>
        <v>-241.32500308560773</v>
      </c>
      <c r="X48" s="1">
        <f t="shared" si="12"/>
        <v>0</v>
      </c>
      <c r="Y48" s="1">
        <f t="shared" si="13"/>
        <v>7.9550867867519006</v>
      </c>
    </row>
    <row r="49" spans="1:25">
      <c r="A49" s="1">
        <v>4.7E-2</v>
      </c>
      <c r="B49" s="1">
        <f t="shared" si="14"/>
        <v>3.8952327102504114</v>
      </c>
      <c r="C49" s="1">
        <f t="shared" si="15"/>
        <v>0</v>
      </c>
      <c r="D49" s="1">
        <f t="shared" si="16"/>
        <v>1.5163174629841004E-2</v>
      </c>
      <c r="E49" s="1">
        <f t="shared" si="17"/>
        <v>76.740091230122587</v>
      </c>
      <c r="F49" s="1">
        <f t="shared" si="18"/>
        <v>0</v>
      </c>
      <c r="G49" s="1">
        <f t="shared" si="19"/>
        <v>0.56262104379942335</v>
      </c>
      <c r="H49" s="1">
        <f t="shared" si="0"/>
        <v>76.742153634403977</v>
      </c>
      <c r="I49" s="1">
        <f t="shared" si="1"/>
        <v>-239.67494222323401</v>
      </c>
      <c r="J49" s="1">
        <f t="shared" si="2"/>
        <v>0</v>
      </c>
      <c r="K49" s="1">
        <f t="shared" si="3"/>
        <v>-1.7571801649523138</v>
      </c>
      <c r="L49" s="1">
        <f t="shared" ref="L49:N49" si="112">E49/$H49</f>
        <v>0.99997312553552753</v>
      </c>
      <c r="M49" s="1">
        <f t="shared" si="112"/>
        <v>0</v>
      </c>
      <c r="N49" s="1">
        <f t="shared" si="112"/>
        <v>7.3313168467974412E-3</v>
      </c>
      <c r="O49" s="1">
        <f t="shared" si="5"/>
        <v>7.3313168467974412E-3</v>
      </c>
      <c r="P49" s="1">
        <f t="shared" si="6"/>
        <v>-7.3311198215833054E-3</v>
      </c>
      <c r="Q49" s="1">
        <f t="shared" si="7"/>
        <v>0</v>
      </c>
      <c r="R49" s="1">
        <f t="shared" si="8"/>
        <v>0.99994625179329188</v>
      </c>
      <c r="S49" s="1">
        <f t="shared" si="9"/>
        <v>19.378494838762336</v>
      </c>
      <c r="T49" s="1">
        <f t="shared" ref="T49:V49" si="113">$S49*P49</f>
        <v>-0.14206606762490034</v>
      </c>
      <c r="U49" s="1">
        <f t="shared" si="113"/>
        <v>0</v>
      </c>
      <c r="V49" s="1">
        <f t="shared" si="113"/>
        <v>19.377453279416049</v>
      </c>
      <c r="W49" s="1">
        <f t="shared" si="11"/>
        <v>-239.81700829085892</v>
      </c>
      <c r="X49" s="1">
        <f t="shared" si="12"/>
        <v>0</v>
      </c>
      <c r="Y49" s="1">
        <f t="shared" si="13"/>
        <v>7.813623114463736</v>
      </c>
    </row>
    <row r="50" spans="1:25">
      <c r="A50" s="1">
        <v>4.8000000000000001E-2</v>
      </c>
      <c r="B50" s="1">
        <f t="shared" si="14"/>
        <v>3.9717329844722431</v>
      </c>
      <c r="C50" s="1">
        <f t="shared" si="15"/>
        <v>0</v>
      </c>
      <c r="D50" s="1">
        <f t="shared" si="16"/>
        <v>1.5733609296754891E-2</v>
      </c>
      <c r="E50" s="1">
        <f t="shared" si="17"/>
        <v>76.500274221831731</v>
      </c>
      <c r="F50" s="1">
        <f t="shared" si="18"/>
        <v>0</v>
      </c>
      <c r="G50" s="1">
        <f t="shared" si="19"/>
        <v>0.57043466691388711</v>
      </c>
      <c r="H50" s="1">
        <f t="shared" si="0"/>
        <v>76.502400953987518</v>
      </c>
      <c r="I50" s="1">
        <f t="shared" si="1"/>
        <v>-238.1795084544014</v>
      </c>
      <c r="J50" s="1">
        <f t="shared" si="2"/>
        <v>0</v>
      </c>
      <c r="K50" s="1">
        <f t="shared" si="3"/>
        <v>-1.7760177980136742</v>
      </c>
      <c r="L50" s="1">
        <f t="shared" ref="L50:N50" si="114">E50/$H50</f>
        <v>0.99997220045215229</v>
      </c>
      <c r="M50" s="1">
        <f t="shared" si="114"/>
        <v>0</v>
      </c>
      <c r="N50" s="1">
        <f t="shared" si="114"/>
        <v>7.456428292452885E-3</v>
      </c>
      <c r="O50" s="1">
        <f t="shared" si="5"/>
        <v>7.456428292452885E-3</v>
      </c>
      <c r="P50" s="1">
        <f t="shared" si="6"/>
        <v>-7.4562210071177958E-3</v>
      </c>
      <c r="Q50" s="1">
        <f t="shared" si="7"/>
        <v>0</v>
      </c>
      <c r="R50" s="1">
        <f t="shared" si="8"/>
        <v>0.99994440167711951</v>
      </c>
      <c r="S50" s="1">
        <f t="shared" si="9"/>
        <v>19.257601993622213</v>
      </c>
      <c r="T50" s="1">
        <f t="shared" ref="T50:V50" si="115">$S50*P50</f>
        <v>-0.14358893653155949</v>
      </c>
      <c r="U50" s="1">
        <f t="shared" si="115"/>
        <v>0</v>
      </c>
      <c r="V50" s="1">
        <f t="shared" si="115"/>
        <v>19.256531303248668</v>
      </c>
      <c r="W50" s="1">
        <f t="shared" si="11"/>
        <v>-238.32309739093296</v>
      </c>
      <c r="X50" s="1">
        <f t="shared" si="12"/>
        <v>0</v>
      </c>
      <c r="Y50" s="1">
        <f t="shared" si="13"/>
        <v>7.6738635052349959</v>
      </c>
    </row>
    <row r="51" spans="1:25">
      <c r="A51" s="1">
        <v>4.9000000000000002E-2</v>
      </c>
      <c r="B51" s="1">
        <f t="shared" si="14"/>
        <v>4.0479949355966838</v>
      </c>
      <c r="C51" s="1">
        <f t="shared" si="15"/>
        <v>0</v>
      </c>
      <c r="D51" s="1">
        <f t="shared" si="16"/>
        <v>1.6311717827174013E-2</v>
      </c>
      <c r="E51" s="1">
        <f t="shared" si="17"/>
        <v>76.261951124440799</v>
      </c>
      <c r="F51" s="1">
        <f t="shared" si="18"/>
        <v>0</v>
      </c>
      <c r="G51" s="1">
        <f t="shared" si="19"/>
        <v>0.57810853041912214</v>
      </c>
      <c r="H51" s="1">
        <f t="shared" si="0"/>
        <v>76.264142287050873</v>
      </c>
      <c r="I51" s="1">
        <f t="shared" si="1"/>
        <v>-236.69802816631042</v>
      </c>
      <c r="J51" s="1">
        <f t="shared" si="2"/>
        <v>0</v>
      </c>
      <c r="K51" s="1">
        <f t="shared" si="3"/>
        <v>-1.7943043313046767</v>
      </c>
      <c r="L51" s="1">
        <f t="shared" ref="L51:N51" si="116">E51/$H51</f>
        <v>0.99997126877003573</v>
      </c>
      <c r="M51" s="1">
        <f t="shared" si="116"/>
        <v>0</v>
      </c>
      <c r="N51" s="1">
        <f t="shared" si="116"/>
        <v>7.5803452721355915E-3</v>
      </c>
      <c r="O51" s="1">
        <f t="shared" si="5"/>
        <v>7.5803452721355915E-3</v>
      </c>
      <c r="P51" s="1">
        <f t="shared" si="6"/>
        <v>-7.5801274794923693E-3</v>
      </c>
      <c r="Q51" s="1">
        <f t="shared" si="7"/>
        <v>0</v>
      </c>
      <c r="R51" s="1">
        <f t="shared" si="8"/>
        <v>0.99994253836555524</v>
      </c>
      <c r="S51" s="1">
        <f t="shared" si="9"/>
        <v>19.13783723726182</v>
      </c>
      <c r="T51" s="1">
        <f t="shared" ref="T51:V51" si="117">$S51*P51</f>
        <v>-0.14506724594022066</v>
      </c>
      <c r="U51" s="1">
        <f t="shared" si="117"/>
        <v>0</v>
      </c>
      <c r="V51" s="1">
        <f t="shared" si="117"/>
        <v>19.13673754585443</v>
      </c>
      <c r="W51" s="1">
        <f t="shared" si="11"/>
        <v>-236.84309541225065</v>
      </c>
      <c r="X51" s="1">
        <f t="shared" si="12"/>
        <v>0</v>
      </c>
      <c r="Y51" s="1">
        <f t="shared" si="13"/>
        <v>7.5357832145497543</v>
      </c>
    </row>
    <row r="52" spans="1:25">
      <c r="A52" s="1">
        <v>0.05</v>
      </c>
      <c r="B52" s="1">
        <f t="shared" si="14"/>
        <v>4.1240200436257126</v>
      </c>
      <c r="C52" s="1">
        <f t="shared" si="15"/>
        <v>0</v>
      </c>
      <c r="D52" s="1">
        <f t="shared" si="16"/>
        <v>1.6897362140807684E-2</v>
      </c>
      <c r="E52" s="1">
        <f t="shared" si="17"/>
        <v>76.025108029028544</v>
      </c>
      <c r="F52" s="1">
        <f t="shared" si="18"/>
        <v>0</v>
      </c>
      <c r="G52" s="1">
        <f t="shared" si="19"/>
        <v>0.58564431363367186</v>
      </c>
      <c r="H52" s="1">
        <f t="shared" si="0"/>
        <v>76.027363692867539</v>
      </c>
      <c r="I52" s="1">
        <f t="shared" si="1"/>
        <v>-235.23032826126882</v>
      </c>
      <c r="J52" s="1">
        <f t="shared" si="2"/>
        <v>0</v>
      </c>
      <c r="K52" s="1">
        <f t="shared" si="3"/>
        <v>-1.8120500938688957</v>
      </c>
      <c r="L52" s="1">
        <f t="shared" ref="L52:N52" si="118">E52/$H52</f>
        <v>0.99997033089496423</v>
      </c>
      <c r="M52" s="1">
        <f t="shared" si="118"/>
        <v>0</v>
      </c>
      <c r="N52" s="1">
        <f t="shared" si="118"/>
        <v>7.7030727515363488E-3</v>
      </c>
      <c r="O52" s="1">
        <f t="shared" si="5"/>
        <v>7.7030727515363488E-3</v>
      </c>
      <c r="P52" s="1">
        <f t="shared" si="6"/>
        <v>-7.7028442082617849E-3</v>
      </c>
      <c r="Q52" s="1">
        <f t="shared" si="7"/>
        <v>0</v>
      </c>
      <c r="R52" s="1">
        <f t="shared" si="8"/>
        <v>0.99994066267018455</v>
      </c>
      <c r="S52" s="1">
        <f t="shared" si="9"/>
        <v>19.019186567197607</v>
      </c>
      <c r="T52" s="1">
        <f t="shared" ref="T52:V52" si="119">$S52*P52</f>
        <v>-0.14650183109498843</v>
      </c>
      <c r="U52" s="1">
        <f t="shared" si="119"/>
        <v>0</v>
      </c>
      <c r="V52" s="1">
        <f t="shared" si="119"/>
        <v>19.018058019451448</v>
      </c>
      <c r="W52" s="1">
        <f t="shared" si="11"/>
        <v>-235.3768300923638</v>
      </c>
      <c r="X52" s="1">
        <f t="shared" si="12"/>
        <v>0</v>
      </c>
      <c r="Y52" s="1">
        <f t="shared" si="13"/>
        <v>7.3993579255825548</v>
      </c>
    </row>
    <row r="53" spans="1:25">
      <c r="A53" s="1">
        <v>5.0999999999999997E-2</v>
      </c>
      <c r="B53" s="1">
        <f t="shared" si="14"/>
        <v>4.199809774824649</v>
      </c>
      <c r="C53" s="1">
        <f t="shared" si="15"/>
        <v>0</v>
      </c>
      <c r="D53" s="1">
        <f t="shared" si="16"/>
        <v>1.7490405812366938E-2</v>
      </c>
      <c r="E53" s="1">
        <f t="shared" si="17"/>
        <v>75.789731198936181</v>
      </c>
      <c r="F53" s="1">
        <f t="shared" si="18"/>
        <v>0</v>
      </c>
      <c r="G53" s="1">
        <f t="shared" si="19"/>
        <v>0.59304367155925442</v>
      </c>
      <c r="H53" s="1">
        <f t="shared" si="0"/>
        <v>75.792051403846941</v>
      </c>
      <c r="I53" s="1">
        <f t="shared" si="1"/>
        <v>-233.77623831883392</v>
      </c>
      <c r="J53" s="1">
        <f t="shared" si="2"/>
        <v>0</v>
      </c>
      <c r="K53" s="1">
        <f t="shared" si="3"/>
        <v>-1.8292652118267247</v>
      </c>
      <c r="L53" s="1">
        <f t="shared" ref="L53:N53" si="120">E53/$H53</f>
        <v>0.99996938722639406</v>
      </c>
      <c r="M53" s="1">
        <f t="shared" si="120"/>
        <v>0</v>
      </c>
      <c r="N53" s="1">
        <f t="shared" si="120"/>
        <v>7.8246156499882473E-3</v>
      </c>
      <c r="O53" s="1">
        <f t="shared" si="5"/>
        <v>7.8246156499882473E-3</v>
      </c>
      <c r="P53" s="1">
        <f t="shared" si="6"/>
        <v>-7.8243761168008009E-3</v>
      </c>
      <c r="Q53" s="1">
        <f t="shared" si="7"/>
        <v>0</v>
      </c>
      <c r="R53" s="1">
        <f t="shared" si="8"/>
        <v>0.99993877538992992</v>
      </c>
      <c r="S53" s="1">
        <f t="shared" si="9"/>
        <v>18.901636197713295</v>
      </c>
      <c r="T53" s="1">
        <f t="shared" ref="T53:V53" si="121">$S53*P53</f>
        <v>-0.14789351083384542</v>
      </c>
      <c r="U53" s="1">
        <f t="shared" si="121"/>
        <v>0</v>
      </c>
      <c r="V53" s="1">
        <f t="shared" si="121"/>
        <v>18.900478952407404</v>
      </c>
      <c r="W53" s="1">
        <f t="shared" si="11"/>
        <v>-233.92413182966777</v>
      </c>
      <c r="X53" s="1">
        <f t="shared" si="12"/>
        <v>0</v>
      </c>
      <c r="Y53" s="1">
        <f t="shared" si="13"/>
        <v>7.2645637405806784</v>
      </c>
    </row>
    <row r="54" spans="1:25">
      <c r="A54" s="1">
        <v>5.1999999999999998E-2</v>
      </c>
      <c r="B54" s="1">
        <f t="shared" si="14"/>
        <v>4.2753655818917551</v>
      </c>
      <c r="C54" s="1">
        <f t="shared" si="15"/>
        <v>0</v>
      </c>
      <c r="D54" s="1">
        <f t="shared" si="16"/>
        <v>1.8090714047666774E-2</v>
      </c>
      <c r="E54" s="1">
        <f t="shared" si="17"/>
        <v>75.555807067106514</v>
      </c>
      <c r="F54" s="1">
        <f t="shared" si="18"/>
        <v>0</v>
      </c>
      <c r="G54" s="1">
        <f t="shared" si="19"/>
        <v>0.60030823529983512</v>
      </c>
      <c r="H54" s="1">
        <f t="shared" si="0"/>
        <v>75.558191822853928</v>
      </c>
      <c r="I54" s="1">
        <f t="shared" si="1"/>
        <v>-232.33559054625292</v>
      </c>
      <c r="J54" s="1">
        <f t="shared" si="2"/>
        <v>0</v>
      </c>
      <c r="K54" s="1">
        <f t="shared" si="3"/>
        <v>-1.845959612797071</v>
      </c>
      <c r="L54" s="1">
        <f t="shared" ref="L54:N54" si="122">E54/$H54</f>
        <v>0.99996843815753289</v>
      </c>
      <c r="M54" s="1">
        <f t="shared" si="122"/>
        <v>0</v>
      </c>
      <c r="N54" s="1">
        <f t="shared" si="122"/>
        <v>7.9449788410402532E-3</v>
      </c>
      <c r="O54" s="1">
        <f t="shared" si="5"/>
        <v>7.9449788410402532E-3</v>
      </c>
      <c r="P54" s="1">
        <f t="shared" si="6"/>
        <v>-7.9447280828696676E-3</v>
      </c>
      <c r="Q54" s="1">
        <f t="shared" si="7"/>
        <v>0</v>
      </c>
      <c r="R54" s="1">
        <f t="shared" si="8"/>
        <v>0.99993687731121539</v>
      </c>
      <c r="S54" s="1">
        <f t="shared" si="9"/>
        <v>18.785172555843332</v>
      </c>
      <c r="T54" s="1">
        <f t="shared" ref="T54:V54" si="123">$S54*P54</f>
        <v>-0.14924308794596108</v>
      </c>
      <c r="U54" s="1">
        <f t="shared" si="123"/>
        <v>0</v>
      </c>
      <c r="V54" s="1">
        <f t="shared" si="123"/>
        <v>18.783986785242323</v>
      </c>
      <c r="W54" s="1">
        <f t="shared" si="11"/>
        <v>-232.48483363419888</v>
      </c>
      <c r="X54" s="1">
        <f t="shared" si="12"/>
        <v>0</v>
      </c>
      <c r="Y54" s="1">
        <f t="shared" si="13"/>
        <v>7.1313771724452533</v>
      </c>
    </row>
    <row r="55" spans="1:25">
      <c r="A55" s="1">
        <v>5.2999999999999999E-2</v>
      </c>
      <c r="B55" s="1">
        <f t="shared" si="14"/>
        <v>4.350688904125227</v>
      </c>
      <c r="C55" s="1">
        <f t="shared" si="15"/>
        <v>0</v>
      </c>
      <c r="D55" s="1">
        <f t="shared" si="16"/>
        <v>1.8698153660139053E-2</v>
      </c>
      <c r="E55" s="1">
        <f t="shared" si="17"/>
        <v>75.323322233472311</v>
      </c>
      <c r="F55" s="1">
        <f t="shared" si="18"/>
        <v>0</v>
      </c>
      <c r="G55" s="1">
        <f t="shared" si="19"/>
        <v>0.6074396124722804</v>
      </c>
      <c r="H55" s="1">
        <f t="shared" si="0"/>
        <v>75.325771520577902</v>
      </c>
      <c r="I55" s="1">
        <f t="shared" si="1"/>
        <v>-230.90821972997142</v>
      </c>
      <c r="J55" s="1">
        <f t="shared" si="2"/>
        <v>0</v>
      </c>
      <c r="K55" s="1">
        <f t="shared" si="3"/>
        <v>-1.8621430302115349</v>
      </c>
      <c r="L55" s="1">
        <f t="shared" ref="L55:N55" si="124">E55/$H55</f>
        <v>0.99996748407542135</v>
      </c>
      <c r="M55" s="1">
        <f t="shared" si="124"/>
        <v>0</v>
      </c>
      <c r="N55" s="1">
        <f t="shared" si="124"/>
        <v>8.0641671530219481E-3</v>
      </c>
      <c r="O55" s="1">
        <f t="shared" si="5"/>
        <v>8.0641671530219481E-3</v>
      </c>
      <c r="P55" s="1">
        <f t="shared" si="6"/>
        <v>-8.0639049391710103E-3</v>
      </c>
      <c r="Q55" s="1">
        <f t="shared" si="7"/>
        <v>0</v>
      </c>
      <c r="R55" s="1">
        <f t="shared" si="8"/>
        <v>0.99993496920812808</v>
      </c>
      <c r="S55" s="1">
        <f t="shared" si="9"/>
        <v>18.669782277442888</v>
      </c>
      <c r="T55" s="1">
        <f t="shared" ref="T55:V55" si="125">$S55*P55</f>
        <v>-0.15055134952031909</v>
      </c>
      <c r="U55" s="1">
        <f t="shared" si="125"/>
        <v>0</v>
      </c>
      <c r="V55" s="1">
        <f t="shared" si="125"/>
        <v>18.668568166717311</v>
      </c>
      <c r="W55" s="1">
        <f t="shared" si="11"/>
        <v>-231.05877107949175</v>
      </c>
      <c r="X55" s="1">
        <f t="shared" si="12"/>
        <v>0</v>
      </c>
      <c r="Y55" s="1">
        <f t="shared" si="13"/>
        <v>6.999775136505777</v>
      </c>
    </row>
    <row r="56" spans="1:25">
      <c r="A56" s="1">
        <v>5.3999999999999999E-2</v>
      </c>
      <c r="B56" s="1">
        <f t="shared" si="14"/>
        <v>4.42578116758762</v>
      </c>
      <c r="C56" s="1">
        <f t="shared" si="15"/>
        <v>0</v>
      </c>
      <c r="D56" s="1">
        <f t="shared" si="16"/>
        <v>1.931259304774784E-2</v>
      </c>
      <c r="E56" s="1">
        <f t="shared" si="17"/>
        <v>75.092263462392822</v>
      </c>
      <c r="F56" s="1">
        <f t="shared" si="18"/>
        <v>0</v>
      </c>
      <c r="G56" s="1">
        <f t="shared" si="19"/>
        <v>0.61443938760878614</v>
      </c>
      <c r="H56" s="1">
        <f t="shared" si="0"/>
        <v>75.094777232950506</v>
      </c>
      <c r="I56" s="1">
        <f t="shared" si="1"/>
        <v>-229.49396318818228</v>
      </c>
      <c r="J56" s="1">
        <f t="shared" si="2"/>
        <v>0</v>
      </c>
      <c r="K56" s="1">
        <f t="shared" si="3"/>
        <v>-1.877825007523974</v>
      </c>
      <c r="L56" s="1">
        <f t="shared" ref="L56:N56" si="126">E56/$H56</f>
        <v>0.99996652536101294</v>
      </c>
      <c r="M56" s="1">
        <f t="shared" si="126"/>
        <v>0</v>
      </c>
      <c r="N56" s="1">
        <f t="shared" si="126"/>
        <v>8.1821853695995643E-3</v>
      </c>
      <c r="O56" s="1">
        <f t="shared" si="5"/>
        <v>8.1821853695995643E-3</v>
      </c>
      <c r="P56" s="1">
        <f t="shared" si="6"/>
        <v>-8.1819114738981916E-3</v>
      </c>
      <c r="Q56" s="1">
        <f t="shared" si="7"/>
        <v>0</v>
      </c>
      <c r="R56" s="1">
        <f t="shared" si="8"/>
        <v>0.99993305184257752</v>
      </c>
      <c r="S56" s="1">
        <f t="shared" si="9"/>
        <v>18.555452203342316</v>
      </c>
      <c r="T56" s="1">
        <f t="shared" ref="T56:V56" si="127">$S56*P56</f>
        <v>-0.15181906728589598</v>
      </c>
      <c r="U56" s="1">
        <f t="shared" si="127"/>
        <v>0</v>
      </c>
      <c r="V56" s="1">
        <f t="shared" si="127"/>
        <v>18.554209950007163</v>
      </c>
      <c r="W56" s="1">
        <f t="shared" si="11"/>
        <v>-229.64578225546816</v>
      </c>
      <c r="X56" s="1">
        <f t="shared" si="12"/>
        <v>0</v>
      </c>
      <c r="Y56" s="1">
        <f t="shared" si="13"/>
        <v>6.8697349424831895</v>
      </c>
    </row>
    <row r="57" spans="1:25">
      <c r="A57" s="1">
        <v>5.5E-2</v>
      </c>
      <c r="B57" s="1">
        <f t="shared" si="14"/>
        <v>4.5006437852677577</v>
      </c>
      <c r="C57" s="1">
        <f t="shared" si="15"/>
        <v>0</v>
      </c>
      <c r="D57" s="1">
        <f t="shared" si="16"/>
        <v>1.9933902170299108E-2</v>
      </c>
      <c r="E57" s="1">
        <f t="shared" si="17"/>
        <v>74.862617680137348</v>
      </c>
      <c r="F57" s="1">
        <f t="shared" si="18"/>
        <v>0</v>
      </c>
      <c r="G57" s="1">
        <f t="shared" si="19"/>
        <v>0.62130912255126935</v>
      </c>
      <c r="H57" s="1">
        <f t="shared" si="0"/>
        <v>74.865195858610946</v>
      </c>
      <c r="I57" s="1">
        <f t="shared" si="1"/>
        <v>-228.09266072439087</v>
      </c>
      <c r="J57" s="1">
        <f t="shared" si="2"/>
        <v>0</v>
      </c>
      <c r="K57" s="1">
        <f t="shared" si="3"/>
        <v>-1.8930149023182763</v>
      </c>
      <c r="L57" s="1">
        <f t="shared" ref="L57:N57" si="128">E57/$H57</f>
        <v>0.99996556238925138</v>
      </c>
      <c r="M57" s="1">
        <f t="shared" si="128"/>
        <v>0</v>
      </c>
      <c r="N57" s="1">
        <f t="shared" si="128"/>
        <v>8.2990382303235067E-3</v>
      </c>
      <c r="O57" s="1">
        <f t="shared" si="5"/>
        <v>8.2990382303235067E-3</v>
      </c>
      <c r="P57" s="1">
        <f t="shared" si="6"/>
        <v>-8.2987524312753431E-3</v>
      </c>
      <c r="Q57" s="1">
        <f t="shared" si="7"/>
        <v>0</v>
      </c>
      <c r="R57" s="1">
        <f t="shared" si="8"/>
        <v>0.99993112596445166</v>
      </c>
      <c r="S57" s="1">
        <f t="shared" si="9"/>
        <v>18.442169375584044</v>
      </c>
      <c r="T57" s="1">
        <f t="shared" ref="T57:V57" si="129">$S57*P57</f>
        <v>-0.15304699794361976</v>
      </c>
      <c r="U57" s="1">
        <f t="shared" si="129"/>
        <v>0</v>
      </c>
      <c r="V57" s="1">
        <f t="shared" si="129"/>
        <v>18.44089918895488</v>
      </c>
      <c r="W57" s="1">
        <f t="shared" si="11"/>
        <v>-228.24570772233449</v>
      </c>
      <c r="X57" s="1">
        <f t="shared" si="12"/>
        <v>0</v>
      </c>
      <c r="Y57" s="1">
        <f t="shared" si="13"/>
        <v>6.7412342866366028</v>
      </c>
    </row>
    <row r="58" spans="1:25">
      <c r="A58" s="1">
        <v>5.6000000000000001E-2</v>
      </c>
      <c r="B58" s="1">
        <f t="shared" si="14"/>
        <v>4.5752781572401728</v>
      </c>
      <c r="C58" s="1">
        <f t="shared" si="15"/>
        <v>0</v>
      </c>
      <c r="D58" s="1">
        <f t="shared" si="16"/>
        <v>2.0561952527137013E-2</v>
      </c>
      <c r="E58" s="1">
        <f t="shared" si="17"/>
        <v>74.634371972415011</v>
      </c>
      <c r="F58" s="1">
        <f t="shared" si="18"/>
        <v>0</v>
      </c>
      <c r="G58" s="1">
        <f t="shared" si="19"/>
        <v>0.628050356837906</v>
      </c>
      <c r="H58" s="1">
        <f t="shared" si="0"/>
        <v>74.637014456417887</v>
      </c>
      <c r="I58" s="1">
        <f t="shared" si="1"/>
        <v>-226.70415458197144</v>
      </c>
      <c r="J58" s="1">
        <f t="shared" si="2"/>
        <v>0</v>
      </c>
      <c r="K58" s="1">
        <f t="shared" si="3"/>
        <v>-1.9077218903170707</v>
      </c>
      <c r="L58" s="1">
        <f t="shared" ref="L58:N58" si="130">E58/$H58</f>
        <v>0.99996459552914696</v>
      </c>
      <c r="M58" s="1">
        <f t="shared" si="130"/>
        <v>0</v>
      </c>
      <c r="N58" s="1">
        <f t="shared" si="130"/>
        <v>8.4147304311674703E-3</v>
      </c>
      <c r="O58" s="1">
        <f t="shared" si="5"/>
        <v>8.4147304311674703E-3</v>
      </c>
      <c r="P58" s="1">
        <f t="shared" si="6"/>
        <v>-8.414432512089183E-3</v>
      </c>
      <c r="Q58" s="1">
        <f t="shared" si="7"/>
        <v>0</v>
      </c>
      <c r="R58" s="1">
        <f t="shared" si="8"/>
        <v>0.9999291923117708</v>
      </c>
      <c r="S58" s="1">
        <f t="shared" si="9"/>
        <v>18.329921033739904</v>
      </c>
      <c r="T58" s="1">
        <f t="shared" ref="T58:V58" si="131">$S58*P58</f>
        <v>-0.15423588349032841</v>
      </c>
      <c r="U58" s="1">
        <f t="shared" si="131"/>
        <v>0</v>
      </c>
      <c r="V58" s="1">
        <f t="shared" si="131"/>
        <v>18.328623134406079</v>
      </c>
      <c r="W58" s="1">
        <f t="shared" si="11"/>
        <v>-226.85839046546175</v>
      </c>
      <c r="X58" s="1">
        <f t="shared" si="12"/>
        <v>0</v>
      </c>
      <c r="Y58" s="1">
        <f t="shared" si="13"/>
        <v>6.6142512440890098</v>
      </c>
    </row>
    <row r="59" spans="1:25">
      <c r="A59" s="1">
        <v>5.7000000000000002E-2</v>
      </c>
      <c r="B59" s="1">
        <f t="shared" si="14"/>
        <v>4.6496856708221221</v>
      </c>
      <c r="C59" s="1">
        <f t="shared" si="15"/>
        <v>0</v>
      </c>
      <c r="D59" s="1">
        <f t="shared" si="16"/>
        <v>2.1196617135219007E-2</v>
      </c>
      <c r="E59" s="1">
        <f t="shared" si="17"/>
        <v>74.407513581949544</v>
      </c>
      <c r="F59" s="1">
        <f t="shared" si="18"/>
        <v>0</v>
      </c>
      <c r="G59" s="1">
        <f t="shared" si="19"/>
        <v>0.63466460808199499</v>
      </c>
      <c r="H59" s="1">
        <f t="shared" si="0"/>
        <v>74.410220243006663</v>
      </c>
      <c r="I59" s="1">
        <f t="shared" si="1"/>
        <v>-225.32828939968974</v>
      </c>
      <c r="J59" s="1">
        <f t="shared" si="2"/>
        <v>0</v>
      </c>
      <c r="K59" s="1">
        <f t="shared" si="3"/>
        <v>-1.921954969294023</v>
      </c>
      <c r="L59" s="1">
        <f t="shared" ref="L59:N59" si="132">E59/$H59</f>
        <v>0.99996362514385417</v>
      </c>
      <c r="M59" s="1">
        <f t="shared" si="132"/>
        <v>0</v>
      </c>
      <c r="N59" s="1">
        <f t="shared" si="132"/>
        <v>8.5292666250593851E-3</v>
      </c>
      <c r="O59" s="1">
        <f t="shared" si="5"/>
        <v>8.5292666250593851E-3</v>
      </c>
      <c r="P59" s="1">
        <f t="shared" si="6"/>
        <v>-8.5289563742128698E-3</v>
      </c>
      <c r="Q59" s="1">
        <f t="shared" si="7"/>
        <v>0</v>
      </c>
      <c r="R59" s="1">
        <f t="shared" si="8"/>
        <v>0.99992725161083862</v>
      </c>
      <c r="S59" s="1">
        <f t="shared" si="9"/>
        <v>18.218694611306738</v>
      </c>
      <c r="T59" s="1">
        <f t="shared" ref="T59:V59" si="133">$S59*P59</f>
        <v>-0.15538645153494227</v>
      </c>
      <c r="U59" s="1">
        <f t="shared" si="133"/>
        <v>0</v>
      </c>
      <c r="V59" s="1">
        <f t="shared" si="133"/>
        <v>18.217369230621141</v>
      </c>
      <c r="W59" s="1">
        <f t="shared" si="11"/>
        <v>-225.48367585122469</v>
      </c>
      <c r="X59" s="1">
        <f t="shared" si="12"/>
        <v>0</v>
      </c>
      <c r="Y59" s="1">
        <f t="shared" si="13"/>
        <v>6.4887642613271179</v>
      </c>
    </row>
    <row r="60" spans="1:25">
      <c r="A60" s="1">
        <v>5.8000000000000003E-2</v>
      </c>
      <c r="B60" s="1">
        <f t="shared" si="14"/>
        <v>4.7238677007282206</v>
      </c>
      <c r="C60" s="1">
        <f t="shared" si="15"/>
        <v>0</v>
      </c>
      <c r="D60" s="1">
        <f t="shared" si="16"/>
        <v>2.1837770507562328E-2</v>
      </c>
      <c r="E60" s="1">
        <f t="shared" si="17"/>
        <v>74.182029906098322</v>
      </c>
      <c r="F60" s="1">
        <f t="shared" si="18"/>
        <v>0</v>
      </c>
      <c r="G60" s="1">
        <f t="shared" si="19"/>
        <v>0.64115337234332215</v>
      </c>
      <c r="H60" s="1">
        <f t="shared" si="0"/>
        <v>74.184800590391376</v>
      </c>
      <c r="I60" s="1">
        <f t="shared" si="1"/>
        <v>-223.96491216816969</v>
      </c>
      <c r="J60" s="1">
        <f t="shared" si="2"/>
        <v>0</v>
      </c>
      <c r="K60" s="1">
        <f t="shared" si="3"/>
        <v>-1.9357229628923012</v>
      </c>
      <c r="L60" s="1">
        <f t="shared" ref="L60:N60" si="134">E60/$H60</f>
        <v>0.9999626515907436</v>
      </c>
      <c r="M60" s="1">
        <f t="shared" si="134"/>
        <v>0</v>
      </c>
      <c r="N60" s="1">
        <f t="shared" si="134"/>
        <v>8.6426514224042569E-3</v>
      </c>
      <c r="O60" s="1">
        <f t="shared" si="5"/>
        <v>8.6426514224042569E-3</v>
      </c>
      <c r="P60" s="1">
        <f t="shared" si="6"/>
        <v>-8.6423286331218721E-3</v>
      </c>
      <c r="Q60" s="1">
        <f t="shared" si="7"/>
        <v>0</v>
      </c>
      <c r="R60" s="1">
        <f t="shared" si="8"/>
        <v>0.99992530457639084</v>
      </c>
      <c r="S60" s="1">
        <f t="shared" si="9"/>
        <v>18.108477732178731</v>
      </c>
      <c r="T60" s="1">
        <f t="shared" ref="T60:V60" si="135">$S60*P60</f>
        <v>-0.15649941560705807</v>
      </c>
      <c r="U60" s="1">
        <f t="shared" si="135"/>
        <v>0</v>
      </c>
      <c r="V60" s="1">
        <f t="shared" si="135"/>
        <v>18.107125111763608</v>
      </c>
      <c r="W60" s="1">
        <f t="shared" si="11"/>
        <v>-224.12141158377673</v>
      </c>
      <c r="X60" s="1">
        <f t="shared" si="12"/>
        <v>0</v>
      </c>
      <c r="Y60" s="1">
        <f t="shared" si="13"/>
        <v>6.3647521488713092</v>
      </c>
    </row>
    <row r="61" spans="1:25">
      <c r="A61" s="1">
        <v>5.8999999999999997E-2</v>
      </c>
      <c r="B61" s="1">
        <f t="shared" si="14"/>
        <v>4.7978256092227349</v>
      </c>
      <c r="C61" s="1">
        <f t="shared" si="15"/>
        <v>0</v>
      </c>
      <c r="D61" s="1">
        <f t="shared" si="16"/>
        <v>2.2485288632054522E-2</v>
      </c>
      <c r="E61" s="1">
        <f t="shared" si="17"/>
        <v>73.957908494514541</v>
      </c>
      <c r="F61" s="1">
        <f t="shared" si="18"/>
        <v>0</v>
      </c>
      <c r="G61" s="1">
        <f t="shared" si="19"/>
        <v>0.64751812449219348</v>
      </c>
      <c r="H61" s="1">
        <f t="shared" si="0"/>
        <v>73.960743023610377</v>
      </c>
      <c r="I61" s="1">
        <f t="shared" si="1"/>
        <v>-222.61387218728026</v>
      </c>
      <c r="J61" s="1">
        <f t="shared" si="2"/>
        <v>0</v>
      </c>
      <c r="K61" s="1">
        <f t="shared" si="3"/>
        <v>-1.9490345243516984</v>
      </c>
      <c r="L61" s="1">
        <f t="shared" ref="L61:N61" si="136">E61/$H61</f>
        <v>0.99996167522147617</v>
      </c>
      <c r="M61" s="1">
        <f t="shared" si="136"/>
        <v>0</v>
      </c>
      <c r="N61" s="1">
        <f t="shared" si="136"/>
        <v>8.7548893915990987E-3</v>
      </c>
      <c r="O61" s="1">
        <f t="shared" si="5"/>
        <v>8.7548893915990987E-3</v>
      </c>
      <c r="P61" s="1">
        <f t="shared" si="6"/>
        <v>-8.7545538624021653E-3</v>
      </c>
      <c r="Q61" s="1">
        <f t="shared" si="7"/>
        <v>0</v>
      </c>
      <c r="R61" s="1">
        <f t="shared" si="8"/>
        <v>0.99992335191174087</v>
      </c>
      <c r="S61" s="1">
        <f t="shared" si="9"/>
        <v>17.999258207194277</v>
      </c>
      <c r="T61" s="1">
        <f t="shared" ref="T61:V61" si="137">$S61*P61</f>
        <v>-0.15757547545816653</v>
      </c>
      <c r="U61" s="1">
        <f t="shared" si="137"/>
        <v>0</v>
      </c>
      <c r="V61" s="1">
        <f t="shared" si="137"/>
        <v>17.997878598462613</v>
      </c>
      <c r="W61" s="1">
        <f t="shared" si="11"/>
        <v>-222.77144766273844</v>
      </c>
      <c r="X61" s="1">
        <f t="shared" si="12"/>
        <v>0</v>
      </c>
      <c r="Y61" s="1">
        <f t="shared" si="13"/>
        <v>6.2421940741109143</v>
      </c>
    </row>
    <row r="62" spans="1:25">
      <c r="A62" s="1">
        <v>0.06</v>
      </c>
      <c r="B62" s="1">
        <f t="shared" si="14"/>
        <v>4.8715607462695871</v>
      </c>
      <c r="C62" s="1">
        <f t="shared" si="15"/>
        <v>0</v>
      </c>
      <c r="D62" s="1">
        <f t="shared" si="16"/>
        <v>2.3139048950620827E-2</v>
      </c>
      <c r="E62" s="1">
        <f t="shared" si="17"/>
        <v>73.735137046851804</v>
      </c>
      <c r="F62" s="1">
        <f t="shared" si="18"/>
        <v>0</v>
      </c>
      <c r="G62" s="1">
        <f t="shared" si="19"/>
        <v>0.65376031856630434</v>
      </c>
      <c r="H62" s="1">
        <f t="shared" si="0"/>
        <v>73.738035218414581</v>
      </c>
      <c r="I62" s="1">
        <f t="shared" si="1"/>
        <v>-221.27502102442133</v>
      </c>
      <c r="J62" s="1">
        <f t="shared" si="2"/>
        <v>0</v>
      </c>
      <c r="K62" s="1">
        <f t="shared" si="3"/>
        <v>-1.9618981401468465</v>
      </c>
      <c r="L62" s="1">
        <f t="shared" ref="L62:N62" si="138">E62/$H62</f>
        <v>0.99996069638207485</v>
      </c>
      <c r="M62" s="1">
        <f t="shared" si="138"/>
        <v>0</v>
      </c>
      <c r="N62" s="1">
        <f t="shared" si="138"/>
        <v>8.8659850595400862E-3</v>
      </c>
      <c r="O62" s="1">
        <f t="shared" si="5"/>
        <v>8.8659850595400862E-3</v>
      </c>
      <c r="P62" s="1">
        <f t="shared" si="6"/>
        <v>-8.8656365942507767E-3</v>
      </c>
      <c r="Q62" s="1">
        <f t="shared" si="7"/>
        <v>0</v>
      </c>
      <c r="R62" s="1">
        <f t="shared" si="8"/>
        <v>0.99992139430892402</v>
      </c>
      <c r="S62" s="1">
        <f t="shared" si="9"/>
        <v>17.891024030755798</v>
      </c>
      <c r="T62" s="1">
        <f t="shared" ref="T62:V62" si="139">$S62*P62</f>
        <v>-0.15861531735568862</v>
      </c>
      <c r="U62" s="1">
        <f t="shared" si="139"/>
        <v>0</v>
      </c>
      <c r="V62" s="1">
        <f t="shared" si="139"/>
        <v>17.889617694447804</v>
      </c>
      <c r="W62" s="1">
        <f t="shared" si="11"/>
        <v>-221.43363634177703</v>
      </c>
      <c r="X62" s="1">
        <f t="shared" si="12"/>
        <v>0</v>
      </c>
      <c r="Y62" s="1">
        <f t="shared" si="13"/>
        <v>6.1210695543009574</v>
      </c>
    </row>
    <row r="63" spans="1:25">
      <c r="A63" s="1">
        <v>6.0999999999999999E-2</v>
      </c>
      <c r="B63" s="1">
        <f t="shared" si="14"/>
        <v>4.9450744496800976</v>
      </c>
      <c r="C63" s="1">
        <f t="shared" si="15"/>
        <v>0</v>
      </c>
      <c r="D63" s="1">
        <f t="shared" si="16"/>
        <v>2.3798930338741434E-2</v>
      </c>
      <c r="E63" s="1">
        <f t="shared" si="17"/>
        <v>73.513703410510033</v>
      </c>
      <c r="F63" s="1">
        <f t="shared" si="18"/>
        <v>0</v>
      </c>
      <c r="G63" s="1">
        <f t="shared" si="19"/>
        <v>0.65988138812060526</v>
      </c>
      <c r="H63" s="1">
        <f t="shared" si="0"/>
        <v>73.516664998997484</v>
      </c>
      <c r="I63" s="1">
        <f t="shared" si="1"/>
        <v>-219.94821247368571</v>
      </c>
      <c r="J63" s="1">
        <f t="shared" si="2"/>
        <v>0</v>
      </c>
      <c r="K63" s="1">
        <f t="shared" si="3"/>
        <v>-1.9743221335388657</v>
      </c>
      <c r="L63" s="1">
        <f t="shared" ref="L63:N63" si="140">E63/$H63</f>
        <v>0.99995971541299522</v>
      </c>
      <c r="M63" s="1">
        <f t="shared" si="140"/>
        <v>0</v>
      </c>
      <c r="N63" s="1">
        <f t="shared" si="140"/>
        <v>8.9759429121220851E-3</v>
      </c>
      <c r="O63" s="1">
        <f t="shared" si="5"/>
        <v>8.9759429121220851E-3</v>
      </c>
      <c r="P63" s="1">
        <f t="shared" si="6"/>
        <v>-8.9755813199688915E-3</v>
      </c>
      <c r="Q63" s="1">
        <f t="shared" si="7"/>
        <v>0</v>
      </c>
      <c r="R63" s="1">
        <f t="shared" si="8"/>
        <v>0.9999194324488383</v>
      </c>
      <c r="S63" s="1">
        <f t="shared" si="9"/>
        <v>17.783763377520621</v>
      </c>
      <c r="T63" s="1">
        <f t="shared" ref="T63:V63" si="141">$S63*P63</f>
        <v>-0.15961961437002098</v>
      </c>
      <c r="U63" s="1">
        <f t="shared" si="141"/>
        <v>0</v>
      </c>
      <c r="V63" s="1">
        <f t="shared" si="141"/>
        <v>17.782330583254854</v>
      </c>
      <c r="W63" s="1">
        <f t="shared" si="11"/>
        <v>-220.10783208805574</v>
      </c>
      <c r="X63" s="1">
        <f t="shared" si="12"/>
        <v>0</v>
      </c>
      <c r="Y63" s="1">
        <f t="shared" si="13"/>
        <v>6.0013584497159886</v>
      </c>
    </row>
    <row r="64" spans="1:25">
      <c r="A64" s="1">
        <v>6.2E-2</v>
      </c>
      <c r="B64" s="1">
        <f t="shared" si="14"/>
        <v>5.0183680452585193</v>
      </c>
      <c r="C64" s="1">
        <f t="shared" si="15"/>
        <v>0</v>
      </c>
      <c r="D64" s="1">
        <f t="shared" si="16"/>
        <v>2.4464813085311756E-2</v>
      </c>
      <c r="E64" s="1">
        <f t="shared" si="17"/>
        <v>73.293595578421971</v>
      </c>
      <c r="F64" s="1">
        <f t="shared" si="18"/>
        <v>0</v>
      </c>
      <c r="G64" s="1">
        <f t="shared" si="19"/>
        <v>0.6658827465703212</v>
      </c>
      <c r="H64" s="1">
        <f t="shared" si="0"/>
        <v>73.296620335766207</v>
      </c>
      <c r="I64" s="1">
        <f t="shared" si="1"/>
        <v>-218.63330251587729</v>
      </c>
      <c r="J64" s="1">
        <f t="shared" si="2"/>
        <v>0</v>
      </c>
      <c r="K64" s="1">
        <f t="shared" si="3"/>
        <v>-1.986314668042743</v>
      </c>
      <c r="L64" s="1">
        <f t="shared" ref="L64:N64" si="142">E64/$H64</f>
        <v>0.99995873264919477</v>
      </c>
      <c r="M64" s="1">
        <f t="shared" si="142"/>
        <v>0</v>
      </c>
      <c r="N64" s="1">
        <f t="shared" si="142"/>
        <v>9.0847673947306619E-3</v>
      </c>
      <c r="O64" s="1">
        <f t="shared" si="5"/>
        <v>9.0847673947306619E-3</v>
      </c>
      <c r="P64" s="1">
        <f t="shared" si="6"/>
        <v>-9.0843924904475994E-3</v>
      </c>
      <c r="Q64" s="1">
        <f t="shared" si="7"/>
        <v>0</v>
      </c>
      <c r="R64" s="1">
        <f t="shared" si="8"/>
        <v>0.99991746700138362</v>
      </c>
      <c r="S64" s="1">
        <f t="shared" si="9"/>
        <v>17.67746459916134</v>
      </c>
      <c r="T64" s="1">
        <f t="shared" ref="T64:V64" si="143">$S64*P64</f>
        <v>-0.16058902665477456</v>
      </c>
      <c r="U64" s="1">
        <f t="shared" si="143"/>
        <v>0</v>
      </c>
      <c r="V64" s="1">
        <f t="shared" si="143"/>
        <v>17.676005625000037</v>
      </c>
      <c r="W64" s="1">
        <f t="shared" si="11"/>
        <v>-218.79389154253207</v>
      </c>
      <c r="X64" s="1">
        <f t="shared" si="12"/>
        <v>0</v>
      </c>
      <c r="Y64" s="1">
        <f t="shared" si="13"/>
        <v>5.883040956957295</v>
      </c>
    </row>
    <row r="65" spans="1:25">
      <c r="A65" s="1">
        <v>6.3E-2</v>
      </c>
      <c r="B65" s="1">
        <f t="shared" si="14"/>
        <v>5.0914428469453989</v>
      </c>
      <c r="C65" s="1">
        <f t="shared" si="15"/>
        <v>0</v>
      </c>
      <c r="D65" s="1">
        <f t="shared" si="16"/>
        <v>2.5136578872839033E-2</v>
      </c>
      <c r="E65" s="1">
        <f t="shared" si="17"/>
        <v>73.074801686879439</v>
      </c>
      <c r="F65" s="1">
        <f t="shared" si="18"/>
        <v>0</v>
      </c>
      <c r="G65" s="1">
        <f t="shared" si="19"/>
        <v>0.67176578752727845</v>
      </c>
      <c r="H65" s="1">
        <f t="shared" si="0"/>
        <v>73.077889343152563</v>
      </c>
      <c r="I65" s="1">
        <f t="shared" si="1"/>
        <v>-217.33014927936517</v>
      </c>
      <c r="J65" s="1">
        <f t="shared" si="2"/>
        <v>0</v>
      </c>
      <c r="K65" s="1">
        <f t="shared" si="3"/>
        <v>-1.9978837508126566</v>
      </c>
      <c r="L65" s="1">
        <f t="shared" ref="L65:N65" si="144">E65/$H65</f>
        <v>0.99995774842020102</v>
      </c>
      <c r="M65" s="1">
        <f t="shared" si="144"/>
        <v>0</v>
      </c>
      <c r="N65" s="1">
        <f t="shared" si="144"/>
        <v>9.1924629127267381E-3</v>
      </c>
      <c r="O65" s="1">
        <f t="shared" si="5"/>
        <v>9.1924629127267381E-3</v>
      </c>
      <c r="P65" s="1">
        <f t="shared" si="6"/>
        <v>-9.192074516646432E-3</v>
      </c>
      <c r="Q65" s="1">
        <f t="shared" si="7"/>
        <v>0</v>
      </c>
      <c r="R65" s="1">
        <f t="shared" si="8"/>
        <v>0.99991549862559814</v>
      </c>
      <c r="S65" s="1">
        <f t="shared" si="9"/>
        <v>17.572116221193898</v>
      </c>
      <c r="T65" s="1">
        <f t="shared" ref="T65:V65" si="145">$S65*P65</f>
        <v>-0.16152420172038584</v>
      </c>
      <c r="U65" s="1">
        <f t="shared" si="145"/>
        <v>0</v>
      </c>
      <c r="V65" s="1">
        <f t="shared" si="145"/>
        <v>17.570631353222058</v>
      </c>
      <c r="W65" s="1">
        <f t="shared" si="11"/>
        <v>-217.49167348108557</v>
      </c>
      <c r="X65" s="1">
        <f t="shared" si="12"/>
        <v>0</v>
      </c>
      <c r="Y65" s="1">
        <f t="shared" si="13"/>
        <v>5.7660976024094026</v>
      </c>
    </row>
    <row r="66" spans="1:25">
      <c r="A66" s="1">
        <v>6.4000000000000001E-2</v>
      </c>
      <c r="B66" s="1">
        <f t="shared" si="14"/>
        <v>5.164300156958797</v>
      </c>
      <c r="C66" s="1">
        <f t="shared" si="15"/>
        <v>0</v>
      </c>
      <c r="D66" s="1">
        <f t="shared" si="16"/>
        <v>2.581411075796872E-2</v>
      </c>
      <c r="E66" s="1">
        <f t="shared" si="17"/>
        <v>72.857310013398347</v>
      </c>
      <c r="F66" s="1">
        <f t="shared" si="18"/>
        <v>0</v>
      </c>
      <c r="G66" s="1">
        <f t="shared" si="19"/>
        <v>0.67753188512968787</v>
      </c>
      <c r="H66" s="1">
        <f t="shared" si="0"/>
        <v>72.860460277463261</v>
      </c>
      <c r="I66" s="1">
        <f t="shared" ref="I66:I129" si="146">-K_drag*$H66*E66</f>
        <v>-216.03861300175205</v>
      </c>
      <c r="J66" s="1">
        <f t="shared" ref="J66:J129" si="147">-K_drag*$H66*F66</f>
        <v>0</v>
      </c>
      <c r="K66" s="1">
        <f t="shared" ref="K66:K129" si="148">-K_drag*$H66*G66</f>
        <v>-2.0090372359473934</v>
      </c>
      <c r="L66" s="1">
        <f t="shared" ref="L66:N66" si="149">E66/$H66</f>
        <v>0.99995676305017955</v>
      </c>
      <c r="M66" s="1">
        <f t="shared" si="149"/>
        <v>0</v>
      </c>
      <c r="N66" s="1">
        <f t="shared" si="149"/>
        <v>9.2990338319240314E-3</v>
      </c>
      <c r="O66" s="1">
        <f t="shared" si="5"/>
        <v>9.2990338319240314E-3</v>
      </c>
      <c r="P66" s="1">
        <f t="shared" ref="P66:P129" si="150">u_axis_f-$O66*L66</f>
        <v>-9.2986317700648625E-3</v>
      </c>
      <c r="Q66" s="1">
        <f t="shared" ref="Q66:Q129" si="151">u_axis_r-$O66*M66</f>
        <v>0</v>
      </c>
      <c r="R66" s="1">
        <f t="shared" ref="R66:R129" si="152">u_axis_u-$O66*N66</f>
        <v>0.99991352796979271</v>
      </c>
      <c r="S66" s="1">
        <f t="shared" ref="S66:S129" si="153">K_lift*H66^2</f>
        <v>17.467706939871793</v>
      </c>
      <c r="T66" s="1">
        <f t="shared" ref="T66:V66" si="154">$S66*P66</f>
        <v>-0.16242577470127434</v>
      </c>
      <c r="U66" s="1">
        <f t="shared" si="154"/>
        <v>0</v>
      </c>
      <c r="V66" s="1">
        <f t="shared" si="154"/>
        <v>17.466196471789637</v>
      </c>
      <c r="W66" s="1">
        <f t="shared" ref="W66:W129" si="155">I66+T66+g_f</f>
        <v>-216.20103877645332</v>
      </c>
      <c r="X66" s="1">
        <f t="shared" ref="X66:X129" si="156">J66+U66+g_r</f>
        <v>0</v>
      </c>
      <c r="Y66" s="1">
        <f t="shared" ref="Y66:Y129" si="157">K66+V66+g_u</f>
        <v>5.6505092358422448</v>
      </c>
    </row>
    <row r="67" spans="1:25">
      <c r="A67" s="1">
        <v>6.5000000000000002E-2</v>
      </c>
      <c r="B67" s="1">
        <f t="shared" ref="B67:B130" si="158">B66+E67*dt</f>
        <v>5.2369412659334191</v>
      </c>
      <c r="C67" s="1">
        <f t="shared" ref="C67:C130" si="159">C66+F67*dt</f>
        <v>0</v>
      </c>
      <c r="D67" s="1">
        <f t="shared" ref="D67:D130" si="160">D66+G67*dt</f>
        <v>2.6497293152334251E-2</v>
      </c>
      <c r="E67" s="1">
        <f t="shared" ref="E67:E130" si="161">E66+W66*dt</f>
        <v>72.641108974621901</v>
      </c>
      <c r="F67" s="1">
        <f t="shared" ref="F67:F130" si="162">F66+X66*dt</f>
        <v>0</v>
      </c>
      <c r="G67" s="1">
        <f t="shared" ref="G67:G130" si="163">G66+Y66*dt</f>
        <v>0.68318239436553008</v>
      </c>
      <c r="H67" s="1">
        <f t="shared" si="0"/>
        <v>72.644321534768736</v>
      </c>
      <c r="I67" s="1">
        <f t="shared" si="146"/>
        <v>-214.75855599234015</v>
      </c>
      <c r="J67" s="1">
        <f t="shared" si="147"/>
        <v>0</v>
      </c>
      <c r="K67" s="1">
        <f t="shared" si="148"/>
        <v>-2.0197828277179655</v>
      </c>
      <c r="L67" s="1">
        <f t="shared" ref="L67:N67" si="164">E67/$H67</f>
        <v>0.99995577685799852</v>
      </c>
      <c r="M67" s="1">
        <f t="shared" si="164"/>
        <v>0</v>
      </c>
      <c r="N67" s="1">
        <f t="shared" si="164"/>
        <v>9.4044844790593576E-3</v>
      </c>
      <c r="O67" s="1">
        <f t="shared" si="5"/>
        <v>9.4044844790593576E-3</v>
      </c>
      <c r="P67" s="1">
        <f t="shared" si="150"/>
        <v>-9.40406858320679E-3</v>
      </c>
      <c r="Q67" s="1">
        <f t="shared" si="151"/>
        <v>0</v>
      </c>
      <c r="R67" s="1">
        <f t="shared" si="152"/>
        <v>0.99991155567168311</v>
      </c>
      <c r="S67" s="1">
        <f t="shared" si="153"/>
        <v>17.364225619144932</v>
      </c>
      <c r="T67" s="1">
        <f t="shared" ref="T67:V67" si="165">$S67*P67</f>
        <v>-0.16329436861671531</v>
      </c>
      <c r="U67" s="1">
        <f t="shared" si="165"/>
        <v>0</v>
      </c>
      <c r="V67" s="1">
        <f t="shared" si="165"/>
        <v>17.362689851873302</v>
      </c>
      <c r="W67" s="1">
        <f t="shared" si="155"/>
        <v>-214.92185036095685</v>
      </c>
      <c r="X67" s="1">
        <f t="shared" si="156"/>
        <v>0</v>
      </c>
      <c r="Y67" s="1">
        <f t="shared" si="157"/>
        <v>5.5362570241553382</v>
      </c>
    </row>
    <row r="68" spans="1:25">
      <c r="A68" s="1">
        <v>6.6000000000000003E-2</v>
      </c>
      <c r="B68" s="1">
        <f t="shared" si="158"/>
        <v>5.3093674530576802</v>
      </c>
      <c r="C68" s="1">
        <f t="shared" si="159"/>
        <v>0</v>
      </c>
      <c r="D68" s="1">
        <f t="shared" si="160"/>
        <v>2.7186011803723938E-2</v>
      </c>
      <c r="E68" s="1">
        <f t="shared" si="161"/>
        <v>72.426187124260949</v>
      </c>
      <c r="F68" s="1">
        <f t="shared" si="162"/>
        <v>0</v>
      </c>
      <c r="G68" s="1">
        <f t="shared" si="163"/>
        <v>0.68871865138968547</v>
      </c>
      <c r="H68" s="1">
        <f t="shared" si="0"/>
        <v>72.429461648829303</v>
      </c>
      <c r="I68" s="1">
        <f t="shared" si="146"/>
        <v>-213.48984259537306</v>
      </c>
      <c r="J68" s="1">
        <f t="shared" si="147"/>
        <v>0</v>
      </c>
      <c r="K68" s="1">
        <f t="shared" si="148"/>
        <v>-2.0301280837194415</v>
      </c>
      <c r="L68" s="1">
        <f t="shared" ref="L68:N68" si="166">E68/$H68</f>
        <v>0.99995479015729494</v>
      </c>
      <c r="M68" s="1">
        <f t="shared" si="166"/>
        <v>0</v>
      </c>
      <c r="N68" s="1">
        <f t="shared" si="166"/>
        <v>9.5088191422560073E-3</v>
      </c>
      <c r="O68" s="1">
        <f t="shared" si="5"/>
        <v>9.5088191422560073E-3</v>
      </c>
      <c r="P68" s="1">
        <f t="shared" si="150"/>
        <v>-9.5083892500382756E-3</v>
      </c>
      <c r="Q68" s="1">
        <f t="shared" si="151"/>
        <v>0</v>
      </c>
      <c r="R68" s="1">
        <f t="shared" si="152"/>
        <v>0.9999095823585199</v>
      </c>
      <c r="S68" s="1">
        <f t="shared" si="153"/>
        <v>17.261661287681381</v>
      </c>
      <c r="T68" s="1">
        <f t="shared" ref="T68:V68" si="167">$S68*P68</f>
        <v>-0.16413059462559151</v>
      </c>
      <c r="U68" s="1">
        <f t="shared" si="167"/>
        <v>0</v>
      </c>
      <c r="V68" s="1">
        <f t="shared" si="167"/>
        <v>17.26010052897972</v>
      </c>
      <c r="W68" s="1">
        <f t="shared" si="155"/>
        <v>-213.65397318999865</v>
      </c>
      <c r="X68" s="1">
        <f t="shared" si="156"/>
        <v>0</v>
      </c>
      <c r="Y68" s="1">
        <f t="shared" si="157"/>
        <v>5.4233224452602791</v>
      </c>
    </row>
    <row r="69" spans="1:25">
      <c r="A69" s="1">
        <v>6.7000000000000004E-2</v>
      </c>
      <c r="B69" s="1">
        <f t="shared" si="158"/>
        <v>5.3815799862087514</v>
      </c>
      <c r="C69" s="1">
        <f t="shared" si="159"/>
        <v>0</v>
      </c>
      <c r="D69" s="1">
        <f t="shared" si="160"/>
        <v>2.7880153777558883E-2</v>
      </c>
      <c r="E69" s="1">
        <f t="shared" si="161"/>
        <v>72.212533151070957</v>
      </c>
      <c r="F69" s="1">
        <f t="shared" si="162"/>
        <v>0</v>
      </c>
      <c r="G69" s="1">
        <f t="shared" si="163"/>
        <v>0.69414197383494569</v>
      </c>
      <c r="H69" s="1">
        <f t="shared" si="0"/>
        <v>72.215869289058361</v>
      </c>
      <c r="I69" s="1">
        <f t="shared" si="146"/>
        <v>-212.23233915403765</v>
      </c>
      <c r="J69" s="1">
        <f t="shared" si="147"/>
        <v>0</v>
      </c>
      <c r="K69" s="1">
        <f t="shared" si="148"/>
        <v>-2.0400804179489787</v>
      </c>
      <c r="L69" s="1">
        <f t="shared" ref="L69:N69" si="168">E69/$H69</f>
        <v>0.99995380325653838</v>
      </c>
      <c r="M69" s="1">
        <f t="shared" si="168"/>
        <v>0</v>
      </c>
      <c r="N69" s="1">
        <f t="shared" si="168"/>
        <v>9.6120420714802257E-3</v>
      </c>
      <c r="O69" s="1">
        <f t="shared" si="5"/>
        <v>9.6120420714802257E-3</v>
      </c>
      <c r="P69" s="1">
        <f t="shared" si="150"/>
        <v>-9.6115980264385066E-3</v>
      </c>
      <c r="Q69" s="1">
        <f t="shared" si="151"/>
        <v>0</v>
      </c>
      <c r="R69" s="1">
        <f t="shared" si="152"/>
        <v>0.99990760864721606</v>
      </c>
      <c r="S69" s="1">
        <f t="shared" si="153"/>
        <v>17.160003135950824</v>
      </c>
      <c r="T69" s="1">
        <f t="shared" ref="T69:V69" si="169">$S69*P69</f>
        <v>-0.16493505227518351</v>
      </c>
      <c r="U69" s="1">
        <f t="shared" si="169"/>
        <v>0</v>
      </c>
      <c r="V69" s="1">
        <f t="shared" si="169"/>
        <v>17.158417700047316</v>
      </c>
      <c r="W69" s="1">
        <f t="shared" si="155"/>
        <v>-212.39727420631283</v>
      </c>
      <c r="X69" s="1">
        <f t="shared" si="156"/>
        <v>0</v>
      </c>
      <c r="Y69" s="1">
        <f t="shared" si="157"/>
        <v>5.3116872820983385</v>
      </c>
    </row>
    <row r="70" spans="1:25">
      <c r="A70" s="1">
        <v>6.8000000000000005E-2</v>
      </c>
      <c r="B70" s="1">
        <f t="shared" si="158"/>
        <v>5.4535801220856159</v>
      </c>
      <c r="C70" s="1">
        <f t="shared" si="159"/>
        <v>0</v>
      </c>
      <c r="D70" s="1">
        <f t="shared" si="160"/>
        <v>2.8579607438675929E-2</v>
      </c>
      <c r="E70" s="1">
        <f t="shared" si="161"/>
        <v>72.000135876864647</v>
      </c>
      <c r="F70" s="1">
        <f t="shared" si="162"/>
        <v>0</v>
      </c>
      <c r="G70" s="1">
        <f t="shared" si="163"/>
        <v>0.69945366111704399</v>
      </c>
      <c r="H70" s="1">
        <f t="shared" si="0"/>
        <v>72.003533258521571</v>
      </c>
      <c r="I70" s="1">
        <f t="shared" si="146"/>
        <v>-210.98591397520639</v>
      </c>
      <c r="J70" s="1">
        <f t="shared" si="147"/>
        <v>0</v>
      </c>
      <c r="K70" s="1">
        <f t="shared" si="148"/>
        <v>-2.0496471038119681</v>
      </c>
      <c r="L70" s="1">
        <f t="shared" ref="L70:N70" si="170">E70/$H70</f>
        <v>0.9999528164590934</v>
      </c>
      <c r="M70" s="1">
        <f t="shared" si="170"/>
        <v>0</v>
      </c>
      <c r="N70" s="1">
        <f t="shared" si="170"/>
        <v>9.714157478990992E-3</v>
      </c>
      <c r="O70" s="1">
        <f t="shared" si="5"/>
        <v>9.714157478990992E-3</v>
      </c>
      <c r="P70" s="1">
        <f t="shared" si="150"/>
        <v>-9.7136991306442082E-3</v>
      </c>
      <c r="Q70" s="1">
        <f t="shared" si="151"/>
        <v>0</v>
      </c>
      <c r="R70" s="1">
        <f t="shared" si="152"/>
        <v>0.99990563514447339</v>
      </c>
      <c r="S70" s="1">
        <f t="shared" si="153"/>
        <v>17.059240513368007</v>
      </c>
      <c r="T70" s="1">
        <f t="shared" ref="T70:V70" si="171">$S70*P70</f>
        <v>-0.16570832974415325</v>
      </c>
      <c r="U70" s="1">
        <f t="shared" si="171"/>
        <v>0</v>
      </c>
      <c r="V70" s="1">
        <f t="shared" si="171"/>
        <v>17.057630720601569</v>
      </c>
      <c r="W70" s="1">
        <f t="shared" si="155"/>
        <v>-211.15162230495054</v>
      </c>
      <c r="X70" s="1">
        <f t="shared" si="156"/>
        <v>0</v>
      </c>
      <c r="Y70" s="1">
        <f t="shared" si="157"/>
        <v>5.2013336167896025</v>
      </c>
    </row>
    <row r="71" spans="1:25">
      <c r="A71" s="1">
        <v>6.9000000000000006E-2</v>
      </c>
      <c r="B71" s="1">
        <f t="shared" si="158"/>
        <v>5.5253691063401753</v>
      </c>
      <c r="C71" s="1">
        <f t="shared" si="159"/>
        <v>0</v>
      </c>
      <c r="D71" s="1">
        <f t="shared" si="160"/>
        <v>2.9284262433409761E-2</v>
      </c>
      <c r="E71" s="1">
        <f t="shared" si="161"/>
        <v>71.788984254559693</v>
      </c>
      <c r="F71" s="1">
        <f t="shared" si="162"/>
        <v>0</v>
      </c>
      <c r="G71" s="1">
        <f t="shared" si="163"/>
        <v>0.70465499473383364</v>
      </c>
      <c r="H71" s="1">
        <f t="shared" si="0"/>
        <v>71.792442491971414</v>
      </c>
      <c r="I71" s="1">
        <f t="shared" si="146"/>
        <v>-209.75043729490358</v>
      </c>
      <c r="J71" s="1">
        <f t="shared" si="147"/>
        <v>0</v>
      </c>
      <c r="K71" s="1">
        <f t="shared" si="148"/>
        <v>-2.0588352770581504</v>
      </c>
      <c r="L71" s="1">
        <f t="shared" ref="L71:N71" si="172">E71/$H71</f>
        <v>0.99995183006328126</v>
      </c>
      <c r="M71" s="1">
        <f t="shared" si="172"/>
        <v>0</v>
      </c>
      <c r="N71" s="1">
        <f t="shared" si="172"/>
        <v>9.815169539783182E-3</v>
      </c>
      <c r="O71" s="1">
        <f t="shared" si="5"/>
        <v>9.815169539783182E-3</v>
      </c>
      <c r="P71" s="1">
        <f t="shared" si="150"/>
        <v>-9.8146967436875676E-3</v>
      </c>
      <c r="Q71" s="1">
        <f t="shared" si="151"/>
        <v>0</v>
      </c>
      <c r="R71" s="1">
        <f t="shared" si="152"/>
        <v>0.99990366244690532</v>
      </c>
      <c r="S71" s="1">
        <f t="shared" si="153"/>
        <v>16.959362925494947</v>
      </c>
      <c r="T71" s="1">
        <f t="shared" ref="T71:V71" si="173">$S71*P71</f>
        <v>-0.16645100407987093</v>
      </c>
      <c r="U71" s="1">
        <f t="shared" si="173"/>
        <v>0</v>
      </c>
      <c r="V71" s="1">
        <f t="shared" si="173"/>
        <v>16.95772910196866</v>
      </c>
      <c r="W71" s="1">
        <f t="shared" si="155"/>
        <v>-209.91688829898345</v>
      </c>
      <c r="X71" s="1">
        <f t="shared" si="156"/>
        <v>0</v>
      </c>
      <c r="Y71" s="1">
        <f t="shared" si="157"/>
        <v>5.0922438249105095</v>
      </c>
    </row>
    <row r="72" spans="1:25">
      <c r="A72" s="1">
        <v>7.0000000000000007E-2</v>
      </c>
      <c r="B72" s="1">
        <f t="shared" si="158"/>
        <v>5.5969481737064362</v>
      </c>
      <c r="C72" s="1">
        <f t="shared" si="159"/>
        <v>0</v>
      </c>
      <c r="D72" s="1">
        <f t="shared" si="160"/>
        <v>2.9994009671968504E-2</v>
      </c>
      <c r="E72" s="1">
        <f t="shared" si="161"/>
        <v>71.579067366260716</v>
      </c>
      <c r="F72" s="1">
        <f t="shared" si="162"/>
        <v>0</v>
      </c>
      <c r="G72" s="1">
        <f t="shared" si="163"/>
        <v>0.70974723855874411</v>
      </c>
      <c r="H72" s="1">
        <f t="shared" si="0"/>
        <v>71.582586053916302</v>
      </c>
      <c r="I72" s="1">
        <f t="shared" si="146"/>
        <v>-208.52578124447859</v>
      </c>
      <c r="J72" s="1">
        <f t="shared" si="147"/>
        <v>0</v>
      </c>
      <c r="K72" s="1">
        <f t="shared" si="148"/>
        <v>-2.0676519386495182</v>
      </c>
      <c r="L72" s="1">
        <f t="shared" ref="L72:N72" si="174">E72/$H72</f>
        <v>0.99995084436244119</v>
      </c>
      <c r="M72" s="1">
        <f t="shared" si="174"/>
        <v>0</v>
      </c>
      <c r="N72" s="1">
        <f t="shared" si="174"/>
        <v>9.9150823920242208E-3</v>
      </c>
      <c r="O72" s="1">
        <f t="shared" si="5"/>
        <v>9.9150823920242208E-3</v>
      </c>
      <c r="P72" s="1">
        <f t="shared" si="150"/>
        <v>-9.9145950098277931E-3</v>
      </c>
      <c r="Q72" s="1">
        <f t="shared" si="151"/>
        <v>0</v>
      </c>
      <c r="R72" s="1">
        <f t="shared" si="152"/>
        <v>0.99990169114115934</v>
      </c>
      <c r="S72" s="1">
        <f t="shared" si="153"/>
        <v>16.860360031300395</v>
      </c>
      <c r="T72" s="1">
        <f t="shared" ref="T72:V72" si="175">$S72*P72</f>
        <v>-0.16716364143023088</v>
      </c>
      <c r="U72" s="1">
        <f t="shared" si="175"/>
        <v>0</v>
      </c>
      <c r="V72" s="1">
        <f t="shared" si="175"/>
        <v>16.858702508546074</v>
      </c>
      <c r="W72" s="1">
        <f t="shared" si="155"/>
        <v>-208.69294488590882</v>
      </c>
      <c r="X72" s="1">
        <f t="shared" si="156"/>
        <v>0</v>
      </c>
      <c r="Y72" s="1">
        <f t="shared" si="157"/>
        <v>4.9844005698965557</v>
      </c>
    </row>
    <row r="73" spans="1:25">
      <c r="A73" s="1">
        <v>7.0999999999999994E-2</v>
      </c>
      <c r="B73" s="1">
        <f t="shared" si="158"/>
        <v>5.6683185481278109</v>
      </c>
      <c r="C73" s="1">
        <f t="shared" si="159"/>
        <v>0</v>
      </c>
      <c r="D73" s="1">
        <f t="shared" si="160"/>
        <v>3.0708741311097146E-2</v>
      </c>
      <c r="E73" s="1">
        <f t="shared" si="161"/>
        <v>71.370374421374805</v>
      </c>
      <c r="F73" s="1">
        <f t="shared" si="162"/>
        <v>0</v>
      </c>
      <c r="G73" s="1">
        <f t="shared" si="163"/>
        <v>0.71473163912864068</v>
      </c>
      <c r="H73" s="1">
        <f t="shared" si="0"/>
        <v>71.3739531367235</v>
      </c>
      <c r="I73" s="1">
        <f t="shared" si="146"/>
        <v>-207.31181981746829</v>
      </c>
      <c r="J73" s="1">
        <f t="shared" si="147"/>
        <v>0</v>
      </c>
      <c r="K73" s="1">
        <f t="shared" si="148"/>
        <v>-2.0761039575617559</v>
      </c>
      <c r="L73" s="1">
        <f t="shared" ref="L73:N73" si="176">E73/$H73</f>
        <v>0.99994985964499061</v>
      </c>
      <c r="M73" s="1">
        <f t="shared" si="176"/>
        <v>0</v>
      </c>
      <c r="N73" s="1">
        <f t="shared" si="176"/>
        <v>1.0013900137484402E-2</v>
      </c>
      <c r="O73" s="1">
        <f t="shared" si="5"/>
        <v>1.0013900137484402E-2</v>
      </c>
      <c r="P73" s="1">
        <f t="shared" si="150"/>
        <v>-1.0013398036976479E-2</v>
      </c>
      <c r="Q73" s="1">
        <f t="shared" si="151"/>
        <v>0</v>
      </c>
      <c r="R73" s="1">
        <f t="shared" si="152"/>
        <v>0.99989972180403652</v>
      </c>
      <c r="S73" s="1">
        <f t="shared" si="153"/>
        <v>16.762221640475278</v>
      </c>
      <c r="T73" s="1">
        <f t="shared" ref="T73:V73" si="177">$S73*P73</f>
        <v>-0.1678467972700998</v>
      </c>
      <c r="U73" s="1">
        <f t="shared" si="177"/>
        <v>0</v>
      </c>
      <c r="V73" s="1">
        <f t="shared" si="177"/>
        <v>16.760540755128833</v>
      </c>
      <c r="W73" s="1">
        <f t="shared" si="155"/>
        <v>-207.47966661473839</v>
      </c>
      <c r="X73" s="1">
        <f t="shared" si="156"/>
        <v>0</v>
      </c>
      <c r="Y73" s="1">
        <f t="shared" si="157"/>
        <v>4.8777867975670777</v>
      </c>
    </row>
    <row r="74" spans="1:25">
      <c r="A74" s="1">
        <v>7.1999999999999995E-2</v>
      </c>
      <c r="B74" s="1">
        <f t="shared" si="158"/>
        <v>5.7394814428825711</v>
      </c>
      <c r="C74" s="1">
        <f t="shared" si="159"/>
        <v>0</v>
      </c>
      <c r="D74" s="1">
        <f t="shared" si="160"/>
        <v>3.1428350737023353E-2</v>
      </c>
      <c r="E74" s="1">
        <f t="shared" si="161"/>
        <v>71.16289475476006</v>
      </c>
      <c r="F74" s="1">
        <f t="shared" si="162"/>
        <v>0</v>
      </c>
      <c r="G74" s="1">
        <f t="shared" si="163"/>
        <v>0.7196094259262078</v>
      </c>
      <c r="H74" s="1">
        <f t="shared" si="0"/>
        <v>71.166533058755491</v>
      </c>
      <c r="I74" s="1">
        <f t="shared" si="146"/>
        <v>-206.10842883713548</v>
      </c>
      <c r="J74" s="1">
        <f t="shared" si="147"/>
        <v>0</v>
      </c>
      <c r="K74" s="1">
        <f t="shared" si="148"/>
        <v>-2.0841980735209313</v>
      </c>
      <c r="L74" s="1">
        <f t="shared" ref="L74:N74" si="178">E74/$H74</f>
        <v>0.99994887619448281</v>
      </c>
      <c r="M74" s="1">
        <f t="shared" si="178"/>
        <v>0</v>
      </c>
      <c r="N74" s="1">
        <f t="shared" si="178"/>
        <v>1.0111626841960873E-2</v>
      </c>
      <c r="O74" s="1">
        <f t="shared" si="5"/>
        <v>1.0111626841960873E-2</v>
      </c>
      <c r="P74" s="1">
        <f t="shared" si="150"/>
        <v>-1.0111109897116742E-2</v>
      </c>
      <c r="Q74" s="1">
        <f t="shared" si="151"/>
        <v>0</v>
      </c>
      <c r="R74" s="1">
        <f t="shared" si="152"/>
        <v>0.99989775500260891</v>
      </c>
      <c r="S74" s="1">
        <f t="shared" si="153"/>
        <v>16.664937710802882</v>
      </c>
      <c r="T74" s="1">
        <f t="shared" ref="T74:V74" si="179">$S74*P74</f>
        <v>-0.16850101662253303</v>
      </c>
      <c r="U74" s="1">
        <f t="shared" si="179"/>
        <v>0</v>
      </c>
      <c r="V74" s="1">
        <f t="shared" si="179"/>
        <v>16.663233804290119</v>
      </c>
      <c r="W74" s="1">
        <f t="shared" si="155"/>
        <v>-206.27692985375802</v>
      </c>
      <c r="X74" s="1">
        <f t="shared" si="156"/>
        <v>0</v>
      </c>
      <c r="Y74" s="1">
        <f t="shared" si="157"/>
        <v>4.772385730769189</v>
      </c>
    </row>
    <row r="75" spans="1:25">
      <c r="A75" s="1">
        <v>7.2999999999999995E-2</v>
      </c>
      <c r="B75" s="1">
        <f t="shared" si="158"/>
        <v>5.8104380607074777</v>
      </c>
      <c r="C75" s="1">
        <f t="shared" si="159"/>
        <v>0</v>
      </c>
      <c r="D75" s="1">
        <f t="shared" si="160"/>
        <v>3.2152732548680327E-2</v>
      </c>
      <c r="E75" s="1">
        <f t="shared" si="161"/>
        <v>70.956617824906303</v>
      </c>
      <c r="F75" s="1">
        <f t="shared" si="162"/>
        <v>0</v>
      </c>
      <c r="G75" s="1">
        <f t="shared" si="163"/>
        <v>0.72438181165697701</v>
      </c>
      <c r="H75" s="1">
        <f t="shared" si="0"/>
        <v>70.960315262538614</v>
      </c>
      <c r="I75" s="1">
        <f t="shared" si="146"/>
        <v>-204.91548592466421</v>
      </c>
      <c r="J75" s="1">
        <f t="shared" si="147"/>
        <v>0</v>
      </c>
      <c r="K75" s="1">
        <f t="shared" si="148"/>
        <v>-2.0919408996770912</v>
      </c>
      <c r="L75" s="1">
        <f t="shared" ref="L75:N75" si="180">E75/$H75</f>
        <v>0.99994789428966557</v>
      </c>
      <c r="M75" s="1">
        <f t="shared" si="180"/>
        <v>0</v>
      </c>
      <c r="N75" s="1">
        <f t="shared" si="180"/>
        <v>1.020826653569552E-2</v>
      </c>
      <c r="O75" s="1">
        <f t="shared" si="5"/>
        <v>1.020826653569552E-2</v>
      </c>
      <c r="P75" s="1">
        <f t="shared" si="150"/>
        <v>-1.0207734626716394E-2</v>
      </c>
      <c r="Q75" s="1">
        <f t="shared" si="151"/>
        <v>0</v>
      </c>
      <c r="R75" s="1">
        <f t="shared" si="152"/>
        <v>0.99989579129433614</v>
      </c>
      <c r="S75" s="1">
        <f t="shared" si="153"/>
        <v>16.568498345582366</v>
      </c>
      <c r="T75" s="1">
        <f t="shared" ref="T75:V75" si="181">$S75*P75</f>
        <v>-0.16912683427489439</v>
      </c>
      <c r="U75" s="1">
        <f t="shared" si="181"/>
        <v>0</v>
      </c>
      <c r="V75" s="1">
        <f t="shared" si="181"/>
        <v>16.56677176381498</v>
      </c>
      <c r="W75" s="1">
        <f t="shared" si="155"/>
        <v>-205.0846127589391</v>
      </c>
      <c r="X75" s="1">
        <f t="shared" si="156"/>
        <v>0</v>
      </c>
      <c r="Y75" s="1">
        <f t="shared" si="157"/>
        <v>4.6681808641378897</v>
      </c>
    </row>
    <row r="76" spans="1:25">
      <c r="A76" s="1">
        <v>7.3999999999999996E-2</v>
      </c>
      <c r="B76" s="1">
        <f t="shared" si="158"/>
        <v>5.8811895939196255</v>
      </c>
      <c r="C76" s="1">
        <f t="shared" si="159"/>
        <v>0</v>
      </c>
      <c r="D76" s="1">
        <f t="shared" si="160"/>
        <v>3.2881782541201443E-2</v>
      </c>
      <c r="E76" s="1">
        <f t="shared" si="161"/>
        <v>70.751533212147365</v>
      </c>
      <c r="F76" s="1">
        <f t="shared" si="162"/>
        <v>0</v>
      </c>
      <c r="G76" s="1">
        <f t="shared" si="163"/>
        <v>0.72904999252111491</v>
      </c>
      <c r="H76" s="1">
        <f t="shared" si="0"/>
        <v>70.75528931296364</v>
      </c>
      <c r="I76" s="1">
        <f t="shared" si="146"/>
        <v>-203.73287046799919</v>
      </c>
      <c r="J76" s="1">
        <f t="shared" si="147"/>
        <v>0</v>
      </c>
      <c r="K76" s="1">
        <f t="shared" si="148"/>
        <v>-2.0993389252163746</v>
      </c>
      <c r="L76" s="1">
        <f t="shared" ref="L76:N76" si="182">E76/$H76</f>
        <v>0.99994691420453863</v>
      </c>
      <c r="M76" s="1">
        <f t="shared" si="182"/>
        <v>0</v>
      </c>
      <c r="N76" s="1">
        <f t="shared" si="182"/>
        <v>1.0303823213786787E-2</v>
      </c>
      <c r="O76" s="1">
        <f t="shared" si="5"/>
        <v>1.0303823213786787E-2</v>
      </c>
      <c r="P76" s="1">
        <f t="shared" si="150"/>
        <v>-1.0303276227135189E-2</v>
      </c>
      <c r="Q76" s="1">
        <f t="shared" si="151"/>
        <v>0</v>
      </c>
      <c r="R76" s="1">
        <f t="shared" si="152"/>
        <v>0.99989383122717901</v>
      </c>
      <c r="S76" s="1">
        <f t="shared" si="153"/>
        <v>16.472893791104429</v>
      </c>
      <c r="T76" s="1">
        <f t="shared" ref="T76:V76" si="183">$S76*P76</f>
        <v>-0.16972477499000913</v>
      </c>
      <c r="U76" s="1">
        <f t="shared" si="183"/>
        <v>0</v>
      </c>
      <c r="V76" s="1">
        <f t="shared" si="183"/>
        <v>16.471144884185819</v>
      </c>
      <c r="W76" s="1">
        <f t="shared" si="155"/>
        <v>-203.90259524298921</v>
      </c>
      <c r="X76" s="1">
        <f t="shared" si="156"/>
        <v>0</v>
      </c>
      <c r="Y76" s="1">
        <f t="shared" si="157"/>
        <v>4.565155958969445</v>
      </c>
    </row>
    <row r="77" spans="1:25">
      <c r="A77" s="1">
        <v>7.4999999999999997E-2</v>
      </c>
      <c r="B77" s="1">
        <f t="shared" si="158"/>
        <v>5.9517372245365294</v>
      </c>
      <c r="C77" s="1">
        <f t="shared" si="159"/>
        <v>0</v>
      </c>
      <c r="D77" s="1">
        <f t="shared" si="160"/>
        <v>3.3615397689681525E-2</v>
      </c>
      <c r="E77" s="1">
        <f t="shared" si="161"/>
        <v>70.547630616904371</v>
      </c>
      <c r="F77" s="1">
        <f t="shared" si="162"/>
        <v>0</v>
      </c>
      <c r="G77" s="1">
        <f t="shared" si="163"/>
        <v>0.73361514848008436</v>
      </c>
      <c r="H77" s="1">
        <f t="shared" si="0"/>
        <v>70.551444895517648</v>
      </c>
      <c r="I77" s="1">
        <f t="shared" si="146"/>
        <v>-202.56046359131381</v>
      </c>
      <c r="J77" s="1">
        <f t="shared" si="147"/>
        <v>0</v>
      </c>
      <c r="K77" s="1">
        <f t="shared" si="148"/>
        <v>-2.1063985179132163</v>
      </c>
      <c r="L77" s="1">
        <f t="shared" ref="L77:N77" si="184">E77/$H77</f>
        <v>0.99994593620840899</v>
      </c>
      <c r="M77" s="1">
        <f t="shared" si="184"/>
        <v>0</v>
      </c>
      <c r="N77" s="1">
        <f t="shared" si="184"/>
        <v>1.0398300836595526E-2</v>
      </c>
      <c r="O77" s="1">
        <f t="shared" si="5"/>
        <v>1.0398300836595526E-2</v>
      </c>
      <c r="P77" s="1">
        <f t="shared" si="150"/>
        <v>-1.0397738665026196E-2</v>
      </c>
      <c r="Q77" s="1">
        <f t="shared" si="151"/>
        <v>0</v>
      </c>
      <c r="R77" s="1">
        <f t="shared" si="152"/>
        <v>0.99989187533971169</v>
      </c>
      <c r="S77" s="1">
        <f t="shared" si="153"/>
        <v>16.378114434178027</v>
      </c>
      <c r="T77" s="1">
        <f t="shared" ref="T77:V77" si="185">$S77*P77</f>
        <v>-0.1702953537124765</v>
      </c>
      <c r="U77" s="1">
        <f t="shared" si="185"/>
        <v>0</v>
      </c>
      <c r="V77" s="1">
        <f t="shared" si="185"/>
        <v>16.37634355611867</v>
      </c>
      <c r="W77" s="1">
        <f t="shared" si="155"/>
        <v>-202.73075894502628</v>
      </c>
      <c r="X77" s="1">
        <f t="shared" si="156"/>
        <v>0</v>
      </c>
      <c r="Y77" s="1">
        <f t="shared" si="157"/>
        <v>4.4632950382054535</v>
      </c>
    </row>
    <row r="78" spans="1:25">
      <c r="A78" s="1">
        <v>7.5999999999999998E-2</v>
      </c>
      <c r="B78" s="1">
        <f t="shared" si="158"/>
        <v>6.0220821243944886</v>
      </c>
      <c r="C78" s="1">
        <f t="shared" si="159"/>
        <v>0</v>
      </c>
      <c r="D78" s="1">
        <f t="shared" si="160"/>
        <v>3.4353476133199813E-2</v>
      </c>
      <c r="E78" s="1">
        <f t="shared" si="161"/>
        <v>70.344899857959348</v>
      </c>
      <c r="F78" s="1">
        <f t="shared" si="162"/>
        <v>0</v>
      </c>
      <c r="G78" s="1">
        <f t="shared" si="163"/>
        <v>0.73807844351828977</v>
      </c>
      <c r="H78" s="1">
        <f t="shared" si="0"/>
        <v>70.348771814546382</v>
      </c>
      <c r="I78" s="1">
        <f t="shared" si="146"/>
        <v>-201.39814812509184</v>
      </c>
      <c r="J78" s="1">
        <f t="shared" si="147"/>
        <v>0</v>
      </c>
      <c r="K78" s="1">
        <f t="shared" si="148"/>
        <v>-2.1131259266241553</v>
      </c>
      <c r="L78" s="1">
        <f t="shared" ref="L78:N78" si="186">E78/$H78</f>
        <v>0.99994496056594651</v>
      </c>
      <c r="M78" s="1">
        <f t="shared" si="186"/>
        <v>0</v>
      </c>
      <c r="N78" s="1">
        <f t="shared" si="186"/>
        <v>1.049170333014504E-2</v>
      </c>
      <c r="O78" s="1">
        <f t="shared" si="5"/>
        <v>1.049170333014504E-2</v>
      </c>
      <c r="P78" s="1">
        <f t="shared" si="150"/>
        <v>-1.0491125872731492E-2</v>
      </c>
      <c r="Q78" s="1">
        <f t="shared" si="151"/>
        <v>0</v>
      </c>
      <c r="R78" s="1">
        <f t="shared" si="152"/>
        <v>0.99988992416123224</v>
      </c>
      <c r="S78" s="1">
        <f t="shared" si="153"/>
        <v>16.284150799706804</v>
      </c>
      <c r="T78" s="1">
        <f t="shared" ref="T78:V78" si="187">$S78*P78</f>
        <v>-0.17083907577026528</v>
      </c>
      <c r="U78" s="1">
        <f t="shared" si="187"/>
        <v>0</v>
      </c>
      <c r="V78" s="1">
        <f t="shared" si="187"/>
        <v>16.282358308148904</v>
      </c>
      <c r="W78" s="1">
        <f t="shared" si="155"/>
        <v>-201.5689872008621</v>
      </c>
      <c r="X78" s="1">
        <f t="shared" si="156"/>
        <v>0</v>
      </c>
      <c r="Y78" s="1">
        <f t="shared" si="157"/>
        <v>4.3625823815247493</v>
      </c>
    </row>
    <row r="79" spans="1:25">
      <c r="A79" s="1">
        <v>7.6999999999999999E-2</v>
      </c>
      <c r="B79" s="1">
        <f t="shared" si="158"/>
        <v>6.0922254552652468</v>
      </c>
      <c r="C79" s="1">
        <f t="shared" si="159"/>
        <v>0</v>
      </c>
      <c r="D79" s="1">
        <f t="shared" si="160"/>
        <v>3.5095917159099627E-2</v>
      </c>
      <c r="E79" s="1">
        <f t="shared" si="161"/>
        <v>70.14333087075849</v>
      </c>
      <c r="F79" s="1">
        <f t="shared" si="162"/>
        <v>0</v>
      </c>
      <c r="G79" s="1">
        <f t="shared" si="163"/>
        <v>0.74244102589981453</v>
      </c>
      <c r="H79" s="1">
        <f t="shared" si="0"/>
        <v>70.147259991546647</v>
      </c>
      <c r="I79" s="1">
        <f t="shared" si="146"/>
        <v>-200.24580857680945</v>
      </c>
      <c r="J79" s="1">
        <f t="shared" si="147"/>
        <v>0</v>
      </c>
      <c r="K79" s="1">
        <f t="shared" si="148"/>
        <v>-2.1195272837247376</v>
      </c>
      <c r="L79" s="1">
        <f t="shared" ref="L79:N79" si="188">E79/$H79</f>
        <v>0.99994398753723768</v>
      </c>
      <c r="M79" s="1">
        <f t="shared" si="188"/>
        <v>0</v>
      </c>
      <c r="N79" s="1">
        <f t="shared" si="188"/>
        <v>1.0584034586515354E-2</v>
      </c>
      <c r="O79" s="1">
        <f t="shared" si="5"/>
        <v>1.0584034586515354E-2</v>
      </c>
      <c r="P79" s="1">
        <f t="shared" si="150"/>
        <v>-1.0583441748672201E-2</v>
      </c>
      <c r="Q79" s="1">
        <f t="shared" si="151"/>
        <v>0</v>
      </c>
      <c r="R79" s="1">
        <f t="shared" si="152"/>
        <v>0.99988797821187148</v>
      </c>
      <c r="S79" s="1">
        <f t="shared" si="153"/>
        <v>16.190993548314189</v>
      </c>
      <c r="T79" s="1">
        <f t="shared" ref="T79:V79" si="189">$S79*P79</f>
        <v>-0.17135643707171067</v>
      </c>
      <c r="U79" s="1">
        <f t="shared" si="189"/>
        <v>0</v>
      </c>
      <c r="V79" s="1">
        <f t="shared" si="189"/>
        <v>16.189179804265329</v>
      </c>
      <c r="W79" s="1">
        <f t="shared" si="155"/>
        <v>-200.41716501388117</v>
      </c>
      <c r="X79" s="1">
        <f t="shared" si="156"/>
        <v>0</v>
      </c>
      <c r="Y79" s="1">
        <f t="shared" si="157"/>
        <v>4.2630025205405921</v>
      </c>
    </row>
    <row r="80" spans="1:25">
      <c r="A80" s="1">
        <v>7.8E-2</v>
      </c>
      <c r="B80" s="1">
        <f t="shared" si="158"/>
        <v>6.1621683689709918</v>
      </c>
      <c r="C80" s="1">
        <f t="shared" si="159"/>
        <v>0</v>
      </c>
      <c r="D80" s="1">
        <f t="shared" si="160"/>
        <v>3.5842621187519984E-2</v>
      </c>
      <c r="E80" s="1">
        <f t="shared" si="161"/>
        <v>69.942913705744616</v>
      </c>
      <c r="F80" s="1">
        <f t="shared" si="162"/>
        <v>0</v>
      </c>
      <c r="G80" s="1">
        <f t="shared" si="163"/>
        <v>0.7467040284203551</v>
      </c>
      <c r="H80" s="1">
        <f t="shared" si="0"/>
        <v>69.946899463487995</v>
      </c>
      <c r="I80" s="1">
        <f t="shared" si="146"/>
        <v>-199.10333110220316</v>
      </c>
      <c r="J80" s="1">
        <f t="shared" si="147"/>
        <v>0</v>
      </c>
      <c r="K80" s="1">
        <f t="shared" si="148"/>
        <v>-2.1256086074909413</v>
      </c>
      <c r="L80" s="1">
        <f t="shared" ref="L80:N80" si="190">E80/$H80</f>
        <v>0.99994301737784019</v>
      </c>
      <c r="M80" s="1">
        <f t="shared" si="190"/>
        <v>0</v>
      </c>
      <c r="N80" s="1">
        <f t="shared" si="190"/>
        <v>1.067529846423188E-2</v>
      </c>
      <c r="O80" s="1">
        <f t="shared" si="5"/>
        <v>1.067529846423188E-2</v>
      </c>
      <c r="P80" s="1">
        <f t="shared" si="150"/>
        <v>-1.0674690157733049E-2</v>
      </c>
      <c r="Q80" s="1">
        <f t="shared" si="151"/>
        <v>0</v>
      </c>
      <c r="R80" s="1">
        <f t="shared" si="152"/>
        <v>0.9998860380026996</v>
      </c>
      <c r="S80" s="1">
        <f t="shared" si="153"/>
        <v>16.098633474016026</v>
      </c>
      <c r="T80" s="1">
        <f t="shared" ref="T80:V80" si="191">$S80*P80</f>
        <v>-0.17184792429803067</v>
      </c>
      <c r="U80" s="1">
        <f t="shared" si="191"/>
        <v>0</v>
      </c>
      <c r="V80" s="1">
        <f t="shared" si="191"/>
        <v>16.096798841591522</v>
      </c>
      <c r="W80" s="1">
        <f t="shared" si="155"/>
        <v>-199.27517902650118</v>
      </c>
      <c r="X80" s="1">
        <f t="shared" si="156"/>
        <v>0</v>
      </c>
      <c r="Y80" s="1">
        <f t="shared" si="157"/>
        <v>4.1645402341005813</v>
      </c>
    </row>
    <row r="81" spans="1:25">
      <c r="A81" s="1">
        <v>7.9000000000000001E-2</v>
      </c>
      <c r="B81" s="1">
        <f t="shared" si="158"/>
        <v>6.2319120074977103</v>
      </c>
      <c r="C81" s="1">
        <f t="shared" si="159"/>
        <v>0</v>
      </c>
      <c r="D81" s="1">
        <f t="shared" si="160"/>
        <v>3.6593489756174442E-2</v>
      </c>
      <c r="E81" s="1">
        <f t="shared" si="161"/>
        <v>69.743638526718115</v>
      </c>
      <c r="F81" s="1">
        <f t="shared" si="162"/>
        <v>0</v>
      </c>
      <c r="G81" s="1">
        <f t="shared" si="163"/>
        <v>0.75086856865445573</v>
      </c>
      <c r="H81" s="1">
        <f t="shared" si="0"/>
        <v>69.747680381163306</v>
      </c>
      <c r="I81" s="1">
        <f t="shared" si="146"/>
        <v>-197.97060347711079</v>
      </c>
      <c r="J81" s="1">
        <f t="shared" si="147"/>
        <v>0</v>
      </c>
      <c r="K81" s="1">
        <f t="shared" si="148"/>
        <v>-2.1313758044265305</v>
      </c>
      <c r="L81" s="1">
        <f t="shared" ref="L81:N81" si="192">E81/$H81</f>
        <v>0.99994205033883421</v>
      </c>
      <c r="M81" s="1">
        <f t="shared" si="192"/>
        <v>0</v>
      </c>
      <c r="N81" s="1">
        <f t="shared" si="192"/>
        <v>1.0765498788648492E-2</v>
      </c>
      <c r="O81" s="1">
        <f t="shared" si="5"/>
        <v>1.0765498788648492E-2</v>
      </c>
      <c r="P81" s="1">
        <f t="shared" si="150"/>
        <v>-1.0764874931641409E-2</v>
      </c>
      <c r="Q81" s="1">
        <f t="shared" si="151"/>
        <v>0</v>
      </c>
      <c r="R81" s="1">
        <f t="shared" si="152"/>
        <v>0.99988410403583161</v>
      </c>
      <c r="S81" s="1">
        <f t="shared" si="153"/>
        <v>16.007061501939678</v>
      </c>
      <c r="T81" s="1">
        <f t="shared" ref="T81:V81" si="193">$S81*P81</f>
        <v>-0.17231401509147271</v>
      </c>
      <c r="U81" s="1">
        <f t="shared" si="193"/>
        <v>0</v>
      </c>
      <c r="V81" s="1">
        <f t="shared" si="193"/>
        <v>16.005206348113408</v>
      </c>
      <c r="W81" s="1">
        <f t="shared" si="155"/>
        <v>-198.14291749220226</v>
      </c>
      <c r="X81" s="1">
        <f t="shared" si="156"/>
        <v>0</v>
      </c>
      <c r="Y81" s="1">
        <f t="shared" si="157"/>
        <v>4.0671805436868773</v>
      </c>
    </row>
    <row r="82" spans="1:25">
      <c r="A82" s="1">
        <v>0.08</v>
      </c>
      <c r="B82" s="1">
        <f t="shared" si="158"/>
        <v>6.3014575031069366</v>
      </c>
      <c r="C82" s="1">
        <f t="shared" si="159"/>
        <v>0</v>
      </c>
      <c r="D82" s="1">
        <f t="shared" si="160"/>
        <v>3.7348425505372582E-2</v>
      </c>
      <c r="E82" s="1">
        <f t="shared" si="161"/>
        <v>69.54549560922591</v>
      </c>
      <c r="F82" s="1">
        <f t="shared" si="162"/>
        <v>0</v>
      </c>
      <c r="G82" s="1">
        <f t="shared" si="163"/>
        <v>0.75493574919814266</v>
      </c>
      <c r="H82" s="1">
        <f t="shared" si="0"/>
        <v>69.549593007567466</v>
      </c>
      <c r="I82" s="1">
        <f t="shared" si="146"/>
        <v>-196.84751506987254</v>
      </c>
      <c r="J82" s="1">
        <f t="shared" si="147"/>
        <v>0</v>
      </c>
      <c r="K82" s="1">
        <f t="shared" si="148"/>
        <v>-2.1368346715377013</v>
      </c>
      <c r="L82" s="1">
        <f t="shared" ref="L82:N82" si="194">E82/$H82</f>
        <v>0.99994108666687509</v>
      </c>
      <c r="M82" s="1">
        <f t="shared" si="194"/>
        <v>0</v>
      </c>
      <c r="N82" s="1">
        <f t="shared" si="194"/>
        <v>1.0854639352325189E-2</v>
      </c>
      <c r="O82" s="1">
        <f t="shared" si="5"/>
        <v>1.0854639352325189E-2</v>
      </c>
      <c r="P82" s="1">
        <f t="shared" si="150"/>
        <v>-1.0853999869341074E-2</v>
      </c>
      <c r="Q82" s="1">
        <f t="shared" si="151"/>
        <v>0</v>
      </c>
      <c r="R82" s="1">
        <f t="shared" si="152"/>
        <v>0.99988217680453095</v>
      </c>
      <c r="S82" s="1">
        <f t="shared" si="153"/>
        <v>15.916268686088479</v>
      </c>
      <c r="T82" s="1">
        <f t="shared" ref="T82:V82" si="195">$S82*P82</f>
        <v>-0.17275517823920178</v>
      </c>
      <c r="U82" s="1">
        <f t="shared" si="195"/>
        <v>0</v>
      </c>
      <c r="V82" s="1">
        <f t="shared" si="195"/>
        <v>15.914393380451941</v>
      </c>
      <c r="W82" s="1">
        <f t="shared" si="155"/>
        <v>-197.02027024811176</v>
      </c>
      <c r="X82" s="1">
        <f t="shared" si="156"/>
        <v>0</v>
      </c>
      <c r="Y82" s="1">
        <f t="shared" si="157"/>
        <v>3.970908708914239</v>
      </c>
    </row>
    <row r="83" spans="1:25">
      <c r="A83" s="1">
        <v>8.1000000000000003E-2</v>
      </c>
      <c r="B83" s="1">
        <f t="shared" si="158"/>
        <v>6.3708059784459143</v>
      </c>
      <c r="C83" s="1">
        <f t="shared" si="159"/>
        <v>0</v>
      </c>
      <c r="D83" s="1">
        <f t="shared" si="160"/>
        <v>3.8107332163279641E-2</v>
      </c>
      <c r="E83" s="1">
        <f t="shared" si="161"/>
        <v>69.348475338977792</v>
      </c>
      <c r="F83" s="1">
        <f t="shared" si="162"/>
        <v>0</v>
      </c>
      <c r="G83" s="1">
        <f t="shared" si="163"/>
        <v>0.75890665790705691</v>
      </c>
      <c r="H83" s="1">
        <f t="shared" si="0"/>
        <v>69.352627716303772</v>
      </c>
      <c r="I83" s="1">
        <f t="shared" si="146"/>
        <v>-195.73395681427905</v>
      </c>
      <c r="J83" s="1">
        <f t="shared" si="147"/>
        <v>0</v>
      </c>
      <c r="K83" s="1">
        <f t="shared" si="148"/>
        <v>-2.1419908985563327</v>
      </c>
      <c r="L83" s="1">
        <f t="shared" ref="L83:N83" si="196">E83/$H83</f>
        <v>0.99994012660424392</v>
      </c>
      <c r="M83" s="1">
        <f t="shared" si="196"/>
        <v>0</v>
      </c>
      <c r="N83" s="1">
        <f t="shared" si="196"/>
        <v>1.0942723915400385E-2</v>
      </c>
      <c r="O83" s="1">
        <f t="shared" si="5"/>
        <v>1.0942723915400385E-2</v>
      </c>
      <c r="P83" s="1">
        <f t="shared" si="150"/>
        <v>-1.094206873736075E-2</v>
      </c>
      <c r="Q83" s="1">
        <f t="shared" si="151"/>
        <v>0</v>
      </c>
      <c r="R83" s="1">
        <f t="shared" si="152"/>
        <v>0.99988025679331127</v>
      </c>
      <c r="S83" s="1">
        <f t="shared" si="153"/>
        <v>15.826246207150586</v>
      </c>
      <c r="T83" s="1">
        <f t="shared" ref="T83:V83" si="197">$S83*P83</f>
        <v>-0.17317187385303656</v>
      </c>
      <c r="U83" s="1">
        <f t="shared" si="197"/>
        <v>0</v>
      </c>
      <c r="V83" s="1">
        <f t="shared" si="197"/>
        <v>15.824351121679896</v>
      </c>
      <c r="W83" s="1">
        <f t="shared" si="155"/>
        <v>-195.9071286881321</v>
      </c>
      <c r="X83" s="1">
        <f t="shared" si="156"/>
        <v>0</v>
      </c>
      <c r="Y83" s="1">
        <f t="shared" si="157"/>
        <v>3.8757102231235638</v>
      </c>
    </row>
    <row r="84" spans="1:25">
      <c r="A84" s="1">
        <v>8.2000000000000003E-2</v>
      </c>
      <c r="B84" s="1">
        <f t="shared" si="158"/>
        <v>6.4399585466562037</v>
      </c>
      <c r="C84" s="1">
        <f t="shared" si="159"/>
        <v>0</v>
      </c>
      <c r="D84" s="1">
        <f t="shared" si="160"/>
        <v>3.8870114531409823E-2</v>
      </c>
      <c r="E84" s="1">
        <f t="shared" si="161"/>
        <v>69.152568210289658</v>
      </c>
      <c r="F84" s="1">
        <f t="shared" si="162"/>
        <v>0</v>
      </c>
      <c r="G84" s="1">
        <f t="shared" si="163"/>
        <v>0.76278236813018052</v>
      </c>
      <c r="H84" s="1">
        <f t="shared" si="0"/>
        <v>69.156774990017382</v>
      </c>
      <c r="I84" s="1">
        <f t="shared" si="146"/>
        <v>-194.62982118305402</v>
      </c>
      <c r="J84" s="1">
        <f t="shared" si="147"/>
        <v>0</v>
      </c>
      <c r="K84" s="1">
        <f t="shared" si="148"/>
        <v>-2.1468500701131323</v>
      </c>
      <c r="L84" s="1">
        <f t="shared" ref="L84:N84" si="198">E84/$H84</f>
        <v>0.99993917038889779</v>
      </c>
      <c r="M84" s="1">
        <f t="shared" si="198"/>
        <v>0</v>
      </c>
      <c r="N84" s="1">
        <f t="shared" si="198"/>
        <v>1.1029756205957931E-2</v>
      </c>
      <c r="O84" s="1">
        <f t="shared" si="5"/>
        <v>1.1029756205957931E-2</v>
      </c>
      <c r="P84" s="1">
        <f t="shared" si="150"/>
        <v>-1.1029085270177371E-2</v>
      </c>
      <c r="Q84" s="1">
        <f t="shared" si="151"/>
        <v>0</v>
      </c>
      <c r="R84" s="1">
        <f t="shared" si="152"/>
        <v>0.99987834447803714</v>
      </c>
      <c r="S84" s="1">
        <f t="shared" si="153"/>
        <v>15.736985370351174</v>
      </c>
      <c r="T84" s="1">
        <f t="shared" ref="T84:V84" si="199">$S84*P84</f>
        <v>-0.17356455354513692</v>
      </c>
      <c r="U84" s="1">
        <f t="shared" si="199"/>
        <v>0</v>
      </c>
      <c r="V84" s="1">
        <f t="shared" si="199"/>
        <v>15.735070879181823</v>
      </c>
      <c r="W84" s="1">
        <f t="shared" si="155"/>
        <v>-194.80338573659915</v>
      </c>
      <c r="X84" s="1">
        <f t="shared" si="156"/>
        <v>0</v>
      </c>
      <c r="Y84" s="1">
        <f t="shared" si="157"/>
        <v>3.7815708090686915</v>
      </c>
    </row>
    <row r="85" spans="1:25">
      <c r="A85" s="1">
        <v>8.3000000000000004E-2</v>
      </c>
      <c r="B85" s="1">
        <f t="shared" si="158"/>
        <v>6.5089163114807569</v>
      </c>
      <c r="C85" s="1">
        <f t="shared" si="159"/>
        <v>0</v>
      </c>
      <c r="D85" s="1">
        <f t="shared" si="160"/>
        <v>3.9636678470349074E-2</v>
      </c>
      <c r="E85" s="1">
        <f t="shared" si="161"/>
        <v>68.957764824553053</v>
      </c>
      <c r="F85" s="1">
        <f t="shared" si="162"/>
        <v>0</v>
      </c>
      <c r="G85" s="1">
        <f t="shared" si="163"/>
        <v>0.76656393893924923</v>
      </c>
      <c r="H85" s="1">
        <f t="shared" si="0"/>
        <v>68.962025418855319</v>
      </c>
      <c r="I85" s="1">
        <f t="shared" si="146"/>
        <v>-193.53500216185984</v>
      </c>
      <c r="J85" s="1">
        <f t="shared" si="147"/>
        <v>0</v>
      </c>
      <c r="K85" s="1">
        <f t="shared" si="148"/>
        <v>-2.1514176678619301</v>
      </c>
      <c r="L85" s="1">
        <f t="shared" ref="L85:N85" si="200">E85/$H85</f>
        <v>0.99993821825451923</v>
      </c>
      <c r="M85" s="1">
        <f t="shared" si="200"/>
        <v>0</v>
      </c>
      <c r="N85" s="1">
        <f t="shared" si="200"/>
        <v>1.1115739920388975E-2</v>
      </c>
      <c r="O85" s="1">
        <f t="shared" si="5"/>
        <v>1.1115739920388975E-2</v>
      </c>
      <c r="P85" s="1">
        <f t="shared" si="150"/>
        <v>-1.1115053170574382E-2</v>
      </c>
      <c r="Q85" s="1">
        <f t="shared" si="151"/>
        <v>0</v>
      </c>
      <c r="R85" s="1">
        <f t="shared" si="152"/>
        <v>0.9998764403260223</v>
      </c>
      <c r="S85" s="1">
        <f t="shared" si="153"/>
        <v>15.648477603346992</v>
      </c>
      <c r="T85" s="1">
        <f t="shared" ref="T85:V85" si="201">$S85*P85</f>
        <v>-0.17393366059974419</v>
      </c>
      <c r="U85" s="1">
        <f t="shared" si="201"/>
        <v>0</v>
      </c>
      <c r="V85" s="1">
        <f t="shared" si="201"/>
        <v>15.646544082556074</v>
      </c>
      <c r="W85" s="1">
        <f t="shared" si="155"/>
        <v>-193.70893582245958</v>
      </c>
      <c r="X85" s="1">
        <f t="shared" si="156"/>
        <v>0</v>
      </c>
      <c r="Y85" s="1">
        <f t="shared" si="157"/>
        <v>3.6884764146941453</v>
      </c>
    </row>
    <row r="86" spans="1:25">
      <c r="A86" s="1">
        <v>8.4000000000000005E-2</v>
      </c>
      <c r="B86" s="1">
        <f t="shared" si="158"/>
        <v>6.5776803673694877</v>
      </c>
      <c r="C86" s="1">
        <f t="shared" si="159"/>
        <v>0</v>
      </c>
      <c r="D86" s="1">
        <f t="shared" si="160"/>
        <v>4.0406930885703018E-2</v>
      </c>
      <c r="E86" s="1">
        <f t="shared" si="161"/>
        <v>68.764055888730596</v>
      </c>
      <c r="F86" s="1">
        <f t="shared" si="162"/>
        <v>0</v>
      </c>
      <c r="G86" s="1">
        <f t="shared" si="163"/>
        <v>0.7702524153539434</v>
      </c>
      <c r="H86" s="1">
        <f t="shared" si="0"/>
        <v>68.768369698952611</v>
      </c>
      <c r="I86" s="1">
        <f t="shared" si="146"/>
        <v>-192.44939522381466</v>
      </c>
      <c r="J86" s="1">
        <f t="shared" si="147"/>
        <v>0</v>
      </c>
      <c r="K86" s="1">
        <f t="shared" si="148"/>
        <v>-2.1556990725563403</v>
      </c>
      <c r="L86" s="1">
        <f t="shared" ref="L86:N86" si="202">E86/$H86</f>
        <v>0.99993727043056424</v>
      </c>
      <c r="M86" s="1">
        <f t="shared" si="202"/>
        <v>0</v>
      </c>
      <c r="N86" s="1">
        <f t="shared" si="202"/>
        <v>1.1200678723748702E-2</v>
      </c>
      <c r="O86" s="1">
        <f t="shared" si="5"/>
        <v>1.1200678723748702E-2</v>
      </c>
      <c r="P86" s="1">
        <f t="shared" si="150"/>
        <v>-1.1199976109994974E-2</v>
      </c>
      <c r="Q86" s="1">
        <f t="shared" si="151"/>
        <v>0</v>
      </c>
      <c r="R86" s="1">
        <f t="shared" si="152"/>
        <v>0.99987454479612736</v>
      </c>
      <c r="S86" s="1">
        <f t="shared" si="153"/>
        <v>15.56071445416241</v>
      </c>
      <c r="T86" s="1">
        <f t="shared" ref="T86:V86" si="203">$S86*P86</f>
        <v>-0.17427963014107248</v>
      </c>
      <c r="U86" s="1">
        <f t="shared" si="203"/>
        <v>0</v>
      </c>
      <c r="V86" s="1">
        <f t="shared" si="203"/>
        <v>15.55876228155816</v>
      </c>
      <c r="W86" s="1">
        <f t="shared" si="155"/>
        <v>-192.62367485395575</v>
      </c>
      <c r="X86" s="1">
        <f t="shared" si="156"/>
        <v>0</v>
      </c>
      <c r="Y86" s="1">
        <f t="shared" si="157"/>
        <v>3.5964132090018204</v>
      </c>
    </row>
    <row r="87" spans="1:25">
      <c r="A87" s="1">
        <v>8.5000000000000006E-2</v>
      </c>
      <c r="B87" s="1">
        <f t="shared" si="158"/>
        <v>6.6462517995833643</v>
      </c>
      <c r="C87" s="1">
        <f t="shared" si="159"/>
        <v>0</v>
      </c>
      <c r="D87" s="1">
        <f t="shared" si="160"/>
        <v>4.1180779714265967E-2</v>
      </c>
      <c r="E87" s="1">
        <f t="shared" si="161"/>
        <v>68.571432213876633</v>
      </c>
      <c r="F87" s="1">
        <f t="shared" si="162"/>
        <v>0</v>
      </c>
      <c r="G87" s="1">
        <f t="shared" si="163"/>
        <v>0.77384882856294523</v>
      </c>
      <c r="H87" s="1">
        <f t="shared" si="0"/>
        <v>68.575798630943751</v>
      </c>
      <c r="I87" s="1">
        <f t="shared" si="146"/>
        <v>-191.37289730450783</v>
      </c>
      <c r="J87" s="1">
        <f t="shared" si="147"/>
        <v>0</v>
      </c>
      <c r="K87" s="1">
        <f t="shared" si="148"/>
        <v>-2.1596995660799521</v>
      </c>
      <c r="L87" s="1">
        <f t="shared" ref="L87:N87" si="204">E87/$H87</f>
        <v>0.99993632714231129</v>
      </c>
      <c r="M87" s="1">
        <f t="shared" si="204"/>
        <v>0</v>
      </c>
      <c r="N87" s="1">
        <f t="shared" si="204"/>
        <v>1.1284576250108126E-2</v>
      </c>
      <c r="O87" s="1">
        <f t="shared" si="5"/>
        <v>1.1284576250108126E-2</v>
      </c>
      <c r="P87" s="1">
        <f t="shared" si="150"/>
        <v>-1.1283857728890475E-2</v>
      </c>
      <c r="Q87" s="1">
        <f t="shared" si="151"/>
        <v>0</v>
      </c>
      <c r="R87" s="1">
        <f t="shared" si="152"/>
        <v>0.99987265833885552</v>
      </c>
      <c r="S87" s="1">
        <f t="shared" si="153"/>
        <v>15.473687589165865</v>
      </c>
      <c r="T87" s="1">
        <f t="shared" ref="T87:V87" si="205">$S87*P87</f>
        <v>-0.17460288929744586</v>
      </c>
      <c r="U87" s="1">
        <f t="shared" si="205"/>
        <v>0</v>
      </c>
      <c r="V87" s="1">
        <f t="shared" si="205"/>
        <v>15.471717144084229</v>
      </c>
      <c r="W87" s="1">
        <f t="shared" si="155"/>
        <v>-191.54750019380526</v>
      </c>
      <c r="X87" s="1">
        <f t="shared" si="156"/>
        <v>0</v>
      </c>
      <c r="Y87" s="1">
        <f t="shared" si="157"/>
        <v>3.505367578004277</v>
      </c>
    </row>
    <row r="88" spans="1:25">
      <c r="A88" s="1">
        <v>8.5999999999999993E-2</v>
      </c>
      <c r="B88" s="1">
        <f t="shared" si="158"/>
        <v>6.7146316842970473</v>
      </c>
      <c r="C88" s="1">
        <f t="shared" si="159"/>
        <v>0</v>
      </c>
      <c r="D88" s="1">
        <f t="shared" si="160"/>
        <v>4.1958133910406918E-2</v>
      </c>
      <c r="E88" s="1">
        <f t="shared" si="161"/>
        <v>68.379884713682827</v>
      </c>
      <c r="F88" s="1">
        <f t="shared" si="162"/>
        <v>0</v>
      </c>
      <c r="G88" s="1">
        <f t="shared" si="163"/>
        <v>0.77735419614094947</v>
      </c>
      <c r="H88" s="1">
        <f t="shared" si="0"/>
        <v>68.384303118499446</v>
      </c>
      <c r="I88" s="1">
        <f t="shared" si="146"/>
        <v>-190.30540677750523</v>
      </c>
      <c r="J88" s="1">
        <f t="shared" si="147"/>
        <v>0</v>
      </c>
      <c r="K88" s="1">
        <f t="shared" si="148"/>
        <v>-2.1634243334312351</v>
      </c>
      <c r="L88" s="1">
        <f t="shared" ref="L88:N88" si="206">E88/$H88</f>
        <v>0.99993538861090736</v>
      </c>
      <c r="M88" s="1">
        <f t="shared" si="206"/>
        <v>0</v>
      </c>
      <c r="N88" s="1">
        <f t="shared" si="206"/>
        <v>1.1367436102900905E-2</v>
      </c>
      <c r="O88" s="1">
        <f t="shared" si="5"/>
        <v>1.1367436102900905E-2</v>
      </c>
      <c r="P88" s="1">
        <f t="shared" si="150"/>
        <v>-1.1366701637063874E-2</v>
      </c>
      <c r="Q88" s="1">
        <f t="shared" si="151"/>
        <v>0</v>
      </c>
      <c r="R88" s="1">
        <f t="shared" si="152"/>
        <v>0.99987078139644647</v>
      </c>
      <c r="S88" s="1">
        <f t="shared" si="153"/>
        <v>15.387388791086</v>
      </c>
      <c r="T88" s="1">
        <f t="shared" ref="T88:V88" si="207">$S88*P88</f>
        <v>-0.17490385736177555</v>
      </c>
      <c r="U88" s="1">
        <f t="shared" si="207"/>
        <v>0</v>
      </c>
      <c r="V88" s="1">
        <f t="shared" si="207"/>
        <v>15.38540045419408</v>
      </c>
      <c r="W88" s="1">
        <f t="shared" si="155"/>
        <v>-190.48031063486701</v>
      </c>
      <c r="X88" s="1">
        <f t="shared" si="156"/>
        <v>0</v>
      </c>
      <c r="Y88" s="1">
        <f t="shared" si="157"/>
        <v>3.4153261207628454</v>
      </c>
    </row>
    <row r="89" spans="1:25">
      <c r="A89" s="1">
        <v>8.6999999999999994E-2</v>
      </c>
      <c r="B89" s="1">
        <f t="shared" si="158"/>
        <v>6.7828210887000955</v>
      </c>
      <c r="C89" s="1">
        <f t="shared" si="159"/>
        <v>0</v>
      </c>
      <c r="D89" s="1">
        <f t="shared" si="160"/>
        <v>4.2738903432668632E-2</v>
      </c>
      <c r="E89" s="1">
        <f t="shared" si="161"/>
        <v>68.189404403047959</v>
      </c>
      <c r="F89" s="1">
        <f t="shared" si="162"/>
        <v>0</v>
      </c>
      <c r="G89" s="1">
        <f t="shared" si="163"/>
        <v>0.78076952226171237</v>
      </c>
      <c r="H89" s="1">
        <f t="shared" si="0"/>
        <v>68.193874166887667</v>
      </c>
      <c r="I89" s="1">
        <f t="shared" si="146"/>
        <v>-189.24682343033083</v>
      </c>
      <c r="J89" s="1">
        <f t="shared" si="147"/>
        <v>0</v>
      </c>
      <c r="K89" s="1">
        <f t="shared" si="148"/>
        <v>-2.1668784646642476</v>
      </c>
      <c r="L89" s="1">
        <f t="shared" ref="L89:N89" si="208">E89/$H89</f>
        <v>0.99993445505341483</v>
      </c>
      <c r="M89" s="1">
        <f t="shared" si="208"/>
        <v>0</v>
      </c>
      <c r="N89" s="1">
        <f t="shared" si="208"/>
        <v>1.1449261855265354E-2</v>
      </c>
      <c r="O89" s="1">
        <f t="shared" si="5"/>
        <v>1.1449261855265354E-2</v>
      </c>
      <c r="P89" s="1">
        <f t="shared" si="150"/>
        <v>-1.144851141400861E-2</v>
      </c>
      <c r="Q89" s="1">
        <f t="shared" si="151"/>
        <v>0</v>
      </c>
      <c r="R89" s="1">
        <f t="shared" si="152"/>
        <v>0.99986891440296954</v>
      </c>
      <c r="S89" s="1">
        <f t="shared" si="153"/>
        <v>15.301809957066444</v>
      </c>
      <c r="T89" s="1">
        <f t="shared" ref="T89:V89" si="209">$S89*P89</f>
        <v>-0.17518294594846578</v>
      </c>
      <c r="U89" s="1">
        <f t="shared" si="209"/>
        <v>0</v>
      </c>
      <c r="V89" s="1">
        <f t="shared" si="209"/>
        <v>15.299804110172575</v>
      </c>
      <c r="W89" s="1">
        <f t="shared" si="155"/>
        <v>-189.42200637627931</v>
      </c>
      <c r="X89" s="1">
        <f t="shared" si="156"/>
        <v>0</v>
      </c>
      <c r="Y89" s="1">
        <f t="shared" si="157"/>
        <v>3.3262756455083284</v>
      </c>
    </row>
    <row r="90" spans="1:25">
      <c r="A90" s="1">
        <v>8.7999999999999995E-2</v>
      </c>
      <c r="B90" s="1">
        <f t="shared" si="158"/>
        <v>6.8508210710967674</v>
      </c>
      <c r="C90" s="1">
        <f t="shared" si="159"/>
        <v>0</v>
      </c>
      <c r="D90" s="1">
        <f t="shared" si="160"/>
        <v>4.352299923057585E-2</v>
      </c>
      <c r="E90" s="1">
        <f t="shared" si="161"/>
        <v>67.999982396671683</v>
      </c>
      <c r="F90" s="1">
        <f t="shared" si="162"/>
        <v>0</v>
      </c>
      <c r="G90" s="1">
        <f t="shared" si="163"/>
        <v>0.78409579790722073</v>
      </c>
      <c r="H90" s="1">
        <f t="shared" si="0"/>
        <v>68.004502881558906</v>
      </c>
      <c r="I90" s="1">
        <f t="shared" si="146"/>
        <v>-188.19704844091592</v>
      </c>
      <c r="J90" s="1">
        <f t="shared" si="147"/>
        <v>0</v>
      </c>
      <c r="K90" s="1">
        <f t="shared" si="148"/>
        <v>-2.1700669567862492</v>
      </c>
      <c r="L90" s="1">
        <f t="shared" ref="L90:N90" si="210">E90/$H90</f>
        <v>0.99993352668285662</v>
      </c>
      <c r="M90" s="1">
        <f t="shared" si="210"/>
        <v>0</v>
      </c>
      <c r="N90" s="1">
        <f t="shared" si="210"/>
        <v>1.1530057050381697E-2</v>
      </c>
      <c r="O90" s="1">
        <f t="shared" si="5"/>
        <v>1.1530057050381697E-2</v>
      </c>
      <c r="P90" s="1">
        <f t="shared" si="150"/>
        <v>-1.1529290609242706E-2</v>
      </c>
      <c r="Q90" s="1">
        <f t="shared" si="151"/>
        <v>0</v>
      </c>
      <c r="R90" s="1">
        <f t="shared" si="152"/>
        <v>0.99986705778441498</v>
      </c>
      <c r="S90" s="1">
        <f t="shared" si="153"/>
        <v>15.216943096758476</v>
      </c>
      <c r="T90" s="1">
        <f t="shared" ref="T90:V90" si="211">$S90*P90</f>
        <v>-0.17544055914683812</v>
      </c>
      <c r="U90" s="1">
        <f t="shared" si="211"/>
        <v>0</v>
      </c>
      <c r="V90" s="1">
        <f t="shared" si="211"/>
        <v>15.214920122628762</v>
      </c>
      <c r="W90" s="1">
        <f t="shared" si="155"/>
        <v>-188.37248900006276</v>
      </c>
      <c r="X90" s="1">
        <f t="shared" si="156"/>
        <v>0</v>
      </c>
      <c r="Y90" s="1">
        <f t="shared" si="157"/>
        <v>3.2382031658425134</v>
      </c>
    </row>
    <row r="91" spans="1:25">
      <c r="A91" s="1">
        <v>8.8999999999999996E-2</v>
      </c>
      <c r="B91" s="1">
        <f t="shared" si="158"/>
        <v>6.9186326810044392</v>
      </c>
      <c r="C91" s="1">
        <f t="shared" si="159"/>
        <v>0</v>
      </c>
      <c r="D91" s="1">
        <f t="shared" si="160"/>
        <v>4.4310333231648916E-2</v>
      </c>
      <c r="E91" s="1">
        <f t="shared" si="161"/>
        <v>67.811609907671624</v>
      </c>
      <c r="F91" s="1">
        <f t="shared" si="162"/>
        <v>0</v>
      </c>
      <c r="G91" s="1">
        <f t="shared" si="163"/>
        <v>0.78733400107306328</v>
      </c>
      <c r="H91" s="1">
        <f t="shared" si="0"/>
        <v>67.816180466754943</v>
      </c>
      <c r="I91" s="1">
        <f t="shared" si="146"/>
        <v>-187.15598435450465</v>
      </c>
      <c r="J91" s="1">
        <f t="shared" si="147"/>
        <v>0</v>
      </c>
      <c r="K91" s="1">
        <f t="shared" si="148"/>
        <v>-2.1729947156132829</v>
      </c>
      <c r="L91" s="1">
        <f t="shared" ref="L91:N91" si="212">E91/$H91</f>
        <v>0.99993260370826165</v>
      </c>
      <c r="M91" s="1">
        <f t="shared" si="212"/>
        <v>0</v>
      </c>
      <c r="N91" s="1">
        <f t="shared" si="212"/>
        <v>1.1609825201804643E-2</v>
      </c>
      <c r="O91" s="1">
        <f t="shared" si="5"/>
        <v>1.1609825201804643E-2</v>
      </c>
      <c r="P91" s="1">
        <f t="shared" si="150"/>
        <v>-1.160904274263831E-2</v>
      </c>
      <c r="Q91" s="1">
        <f t="shared" si="151"/>
        <v>0</v>
      </c>
      <c r="R91" s="1">
        <f t="shared" si="152"/>
        <v>0.99986521195878353</v>
      </c>
      <c r="S91" s="1">
        <f t="shared" si="153"/>
        <v>15.132780330450679</v>
      </c>
      <c r="T91" s="1">
        <f t="shared" ref="T91:V91" si="213">$S91*P91</f>
        <v>-0.17567709367115822</v>
      </c>
      <c r="U91" s="1">
        <f t="shared" si="213"/>
        <v>0</v>
      </c>
      <c r="V91" s="1">
        <f t="shared" si="213"/>
        <v>15.130740612631778</v>
      </c>
      <c r="W91" s="1">
        <f t="shared" si="155"/>
        <v>-187.33166144817582</v>
      </c>
      <c r="X91" s="1">
        <f t="shared" si="156"/>
        <v>0</v>
      </c>
      <c r="Y91" s="1">
        <f t="shared" si="157"/>
        <v>3.1510958970184948</v>
      </c>
    </row>
    <row r="92" spans="1:25">
      <c r="A92" s="1">
        <v>0.09</v>
      </c>
      <c r="B92" s="1">
        <f t="shared" si="158"/>
        <v>6.9862569592506629</v>
      </c>
      <c r="C92" s="1">
        <f t="shared" si="159"/>
        <v>0</v>
      </c>
      <c r="D92" s="1">
        <f t="shared" si="160"/>
        <v>4.5100818328618994E-2</v>
      </c>
      <c r="E92" s="1">
        <f t="shared" si="161"/>
        <v>67.624278246223454</v>
      </c>
      <c r="F92" s="1">
        <f t="shared" si="162"/>
        <v>0</v>
      </c>
      <c r="G92" s="1">
        <f t="shared" si="163"/>
        <v>0.79048509697008174</v>
      </c>
      <c r="H92" s="1">
        <f t="shared" si="0"/>
        <v>67.628898224140713</v>
      </c>
      <c r="I92" s="1">
        <f t="shared" si="146"/>
        <v>-186.12353506100573</v>
      </c>
      <c r="J92" s="1">
        <f t="shared" si="147"/>
        <v>0</v>
      </c>
      <c r="K92" s="1">
        <f t="shared" si="148"/>
        <v>-2.1756665575847389</v>
      </c>
      <c r="L92" s="1">
        <f t="shared" ref="L92:N92" si="214">E92/$H92</f>
        <v>0.99993168633470941</v>
      </c>
      <c r="M92" s="1">
        <f t="shared" si="214"/>
        <v>0</v>
      </c>
      <c r="N92" s="1">
        <f t="shared" si="214"/>
        <v>1.1688569793791367E-2</v>
      </c>
      <c r="O92" s="1">
        <f t="shared" si="5"/>
        <v>1.1688569793791367E-2</v>
      </c>
      <c r="P92" s="1">
        <f t="shared" si="150"/>
        <v>-1.1687771304746748E-2</v>
      </c>
      <c r="Q92" s="1">
        <f t="shared" si="151"/>
        <v>0</v>
      </c>
      <c r="R92" s="1">
        <f t="shared" si="152"/>
        <v>0.9998633773361757</v>
      </c>
      <c r="S92" s="1">
        <f t="shared" si="153"/>
        <v>15.049313887234764</v>
      </c>
      <c r="T92" s="1">
        <f t="shared" ref="T92:V92" si="215">$S92*P92</f>
        <v>-0.1758929390073492</v>
      </c>
      <c r="U92" s="1">
        <f t="shared" si="215"/>
        <v>0</v>
      </c>
      <c r="V92" s="1">
        <f t="shared" si="215"/>
        <v>15.047257809882762</v>
      </c>
      <c r="W92" s="1">
        <f t="shared" si="155"/>
        <v>-186.29942800001308</v>
      </c>
      <c r="X92" s="1">
        <f t="shared" si="156"/>
        <v>0</v>
      </c>
      <c r="Y92" s="1">
        <f t="shared" si="157"/>
        <v>3.0649412522980235</v>
      </c>
    </row>
    <row r="93" spans="1:25">
      <c r="A93" s="1">
        <v>9.0999999999999998E-2</v>
      </c>
      <c r="B93" s="1">
        <f t="shared" si="158"/>
        <v>7.0536949380688867</v>
      </c>
      <c r="C93" s="1">
        <f t="shared" si="159"/>
        <v>0</v>
      </c>
      <c r="D93" s="1">
        <f t="shared" si="160"/>
        <v>4.5894368366841375E-2</v>
      </c>
      <c r="E93" s="1">
        <f t="shared" si="161"/>
        <v>67.437978818223442</v>
      </c>
      <c r="F93" s="1">
        <f t="shared" si="162"/>
        <v>0</v>
      </c>
      <c r="G93" s="1">
        <f t="shared" si="163"/>
        <v>0.79355003822237979</v>
      </c>
      <c r="H93" s="1">
        <f t="shared" si="0"/>
        <v>67.44264755145899</v>
      </c>
      <c r="I93" s="1">
        <f t="shared" si="146"/>
        <v>-185.09960577278136</v>
      </c>
      <c r="J93" s="1">
        <f t="shared" si="147"/>
        <v>0</v>
      </c>
      <c r="K93" s="1">
        <f t="shared" si="148"/>
        <v>-2.1780872115379268</v>
      </c>
      <c r="L93" s="1">
        <f t="shared" ref="L93:N93" si="216">E93/$H93</f>
        <v>0.99993077476337233</v>
      </c>
      <c r="M93" s="1">
        <f t="shared" si="216"/>
        <v>0</v>
      </c>
      <c r="N93" s="1">
        <f t="shared" si="216"/>
        <v>1.1766294281624965E-2</v>
      </c>
      <c r="O93" s="1">
        <f t="shared" si="5"/>
        <v>1.1766294281624965E-2</v>
      </c>
      <c r="P93" s="1">
        <f t="shared" si="150"/>
        <v>-1.1765479757119088E-2</v>
      </c>
      <c r="Q93" s="1">
        <f t="shared" si="151"/>
        <v>0</v>
      </c>
      <c r="R93" s="1">
        <f t="shared" si="152"/>
        <v>0.99986155431887824</v>
      </c>
      <c r="S93" s="1">
        <f t="shared" si="153"/>
        <v>14.96653610320684</v>
      </c>
      <c r="T93" s="1">
        <f t="shared" ref="T93:V93" si="217">$S93*P93</f>
        <v>-0.17608847755647208</v>
      </c>
      <c r="U93" s="1">
        <f t="shared" si="217"/>
        <v>0</v>
      </c>
      <c r="V93" s="1">
        <f t="shared" si="217"/>
        <v>14.964464050921999</v>
      </c>
      <c r="W93" s="1">
        <f t="shared" si="155"/>
        <v>-185.27569425033784</v>
      </c>
      <c r="X93" s="1">
        <f t="shared" si="156"/>
        <v>0</v>
      </c>
      <c r="Y93" s="1">
        <f t="shared" si="157"/>
        <v>2.9797268393840728</v>
      </c>
    </row>
    <row r="94" spans="1:25">
      <c r="A94" s="1">
        <v>9.1999999999999998E-2</v>
      </c>
      <c r="B94" s="1">
        <f t="shared" si="158"/>
        <v>7.1209476411928598</v>
      </c>
      <c r="C94" s="1">
        <f t="shared" si="159"/>
        <v>0</v>
      </c>
      <c r="D94" s="1">
        <f t="shared" si="160"/>
        <v>4.6690898131903136E-2</v>
      </c>
      <c r="E94" s="1">
        <f t="shared" si="161"/>
        <v>67.252703123973106</v>
      </c>
      <c r="F94" s="1">
        <f t="shared" si="162"/>
        <v>0</v>
      </c>
      <c r="G94" s="1">
        <f t="shared" si="163"/>
        <v>0.79652976506176387</v>
      </c>
      <c r="H94" s="1">
        <f t="shared" si="0"/>
        <v>67.257419941207161</v>
      </c>
      <c r="I94" s="1">
        <f t="shared" si="146"/>
        <v>-184.08410300286272</v>
      </c>
      <c r="J94" s="1">
        <f t="shared" si="147"/>
        <v>0</v>
      </c>
      <c r="K94" s="1">
        <f t="shared" si="148"/>
        <v>-2.1802613204436114</v>
      </c>
      <c r="L94" s="1">
        <f t="shared" ref="L94:N94" si="218">E94/$H94</f>
        <v>0.99992986919156013</v>
      </c>
      <c r="M94" s="1">
        <f t="shared" si="218"/>
        <v>0</v>
      </c>
      <c r="N94" s="1">
        <f t="shared" si="218"/>
        <v>1.1843002091933464E-2</v>
      </c>
      <c r="O94" s="1">
        <f t="shared" si="5"/>
        <v>1.1843002091933464E-2</v>
      </c>
      <c r="P94" s="1">
        <f t="shared" si="150"/>
        <v>-1.1842171532622401E-2</v>
      </c>
      <c r="Q94" s="1">
        <f t="shared" si="151"/>
        <v>0</v>
      </c>
      <c r="R94" s="1">
        <f t="shared" si="152"/>
        <v>0.99985974330145044</v>
      </c>
      <c r="S94" s="1">
        <f t="shared" si="153"/>
        <v>14.884439419703259</v>
      </c>
      <c r="T94" s="1">
        <f t="shared" ref="T94:V94" si="219">$S94*P94</f>
        <v>-0.17626408477505262</v>
      </c>
      <c r="U94" s="1">
        <f t="shared" si="219"/>
        <v>0</v>
      </c>
      <c r="V94" s="1">
        <f t="shared" si="219"/>
        <v>14.882351777370491</v>
      </c>
      <c r="W94" s="1">
        <f t="shared" si="155"/>
        <v>-184.26036708763777</v>
      </c>
      <c r="X94" s="1">
        <f t="shared" si="156"/>
        <v>0</v>
      </c>
      <c r="Y94" s="1">
        <f t="shared" si="157"/>
        <v>2.895440456926881</v>
      </c>
    </row>
    <row r="95" spans="1:25">
      <c r="A95" s="1">
        <v>9.2999999999999999E-2</v>
      </c>
      <c r="B95" s="1">
        <f t="shared" si="158"/>
        <v>7.1880160839497451</v>
      </c>
      <c r="C95" s="1">
        <f t="shared" si="159"/>
        <v>0</v>
      </c>
      <c r="D95" s="1">
        <f t="shared" si="160"/>
        <v>4.7490323337421828E-2</v>
      </c>
      <c r="E95" s="1">
        <f t="shared" si="161"/>
        <v>67.068442756885474</v>
      </c>
      <c r="F95" s="1">
        <f t="shared" si="162"/>
        <v>0</v>
      </c>
      <c r="G95" s="1">
        <f t="shared" si="163"/>
        <v>0.79942520551869078</v>
      </c>
      <c r="H95" s="1">
        <f t="shared" si="0"/>
        <v>67.073206979335964</v>
      </c>
      <c r="I95" s="1">
        <f t="shared" si="146"/>
        <v>-183.07693454358341</v>
      </c>
      <c r="J95" s="1">
        <f t="shared" si="147"/>
        <v>0</v>
      </c>
      <c r="K95" s="1">
        <f t="shared" si="148"/>
        <v>-2.1821934431034724</v>
      </c>
      <c r="L95" s="1">
        <f t="shared" ref="L95:N95" si="220">E95/$H95</f>
        <v>0.99992896981276058</v>
      </c>
      <c r="M95" s="1">
        <f t="shared" si="220"/>
        <v>0</v>
      </c>
      <c r="N95" s="1">
        <f t="shared" si="220"/>
        <v>1.191869662300446E-2</v>
      </c>
      <c r="O95" s="1">
        <f t="shared" si="5"/>
        <v>1.191869662300446E-2</v>
      </c>
      <c r="P95" s="1">
        <f t="shared" si="150"/>
        <v>-1.1917850035751678E-2</v>
      </c>
      <c r="Q95" s="1">
        <f t="shared" si="151"/>
        <v>0</v>
      </c>
      <c r="R95" s="1">
        <f t="shared" si="152"/>
        <v>0.9998579446708088</v>
      </c>
      <c r="S95" s="1">
        <f t="shared" si="153"/>
        <v>14.803016381570332</v>
      </c>
      <c r="T95" s="1">
        <f t="shared" ref="T95:V95" si="221">$S95*P95</f>
        <v>-0.17642012931233067</v>
      </c>
      <c r="U95" s="1">
        <f t="shared" si="221"/>
        <v>0</v>
      </c>
      <c r="V95" s="1">
        <f t="shared" si="221"/>
        <v>14.800913534205225</v>
      </c>
      <c r="W95" s="1">
        <f t="shared" si="155"/>
        <v>-183.25335467289574</v>
      </c>
      <c r="X95" s="1">
        <f t="shared" si="156"/>
        <v>0</v>
      </c>
      <c r="Y95" s="1">
        <f t="shared" si="157"/>
        <v>2.812070091101754</v>
      </c>
    </row>
    <row r="96" spans="1:25">
      <c r="A96" s="1">
        <v>9.4E-2</v>
      </c>
      <c r="B96" s="1">
        <f t="shared" si="158"/>
        <v>7.2549012733519573</v>
      </c>
      <c r="C96" s="1">
        <f t="shared" si="159"/>
        <v>0</v>
      </c>
      <c r="D96" s="1">
        <f t="shared" si="160"/>
        <v>4.8292560613031617E-2</v>
      </c>
      <c r="E96" s="1">
        <f t="shared" si="161"/>
        <v>66.885189402212575</v>
      </c>
      <c r="F96" s="1">
        <f t="shared" si="162"/>
        <v>0</v>
      </c>
      <c r="G96" s="1">
        <f t="shared" si="163"/>
        <v>0.80223727560979252</v>
      </c>
      <c r="H96" s="1">
        <f t="shared" si="0"/>
        <v>66.890000343969405</v>
      </c>
      <c r="I96" s="1">
        <f t="shared" si="146"/>
        <v>-182.07800944562075</v>
      </c>
      <c r="J96" s="1">
        <f t="shared" si="147"/>
        <v>0</v>
      </c>
      <c r="K96" s="1">
        <f t="shared" si="148"/>
        <v>-2.183888055810407</v>
      </c>
      <c r="L96" s="1">
        <f t="shared" ref="L96:N96" si="222">E96/$H96</f>
        <v>0.99992807681668272</v>
      </c>
      <c r="M96" s="1">
        <f t="shared" si="222"/>
        <v>0</v>
      </c>
      <c r="N96" s="1">
        <f t="shared" si="222"/>
        <v>1.1993381245095474E-2</v>
      </c>
      <c r="O96" s="1">
        <f t="shared" si="5"/>
        <v>1.1993381245095474E-2</v>
      </c>
      <c r="P96" s="1">
        <f t="shared" si="150"/>
        <v>-1.1992518642937589E-2</v>
      </c>
      <c r="Q96" s="1">
        <f t="shared" si="151"/>
        <v>0</v>
      </c>
      <c r="R96" s="1">
        <f t="shared" si="152"/>
        <v>0.99985615880630985</v>
      </c>
      <c r="S96" s="1">
        <f t="shared" si="153"/>
        <v>14.722259635467093</v>
      </c>
      <c r="T96" s="1">
        <f t="shared" ref="T96:V96" si="223">$S96*P96</f>
        <v>-0.17655697314450666</v>
      </c>
      <c r="U96" s="1">
        <f t="shared" si="223"/>
        <v>0</v>
      </c>
      <c r="V96" s="1">
        <f t="shared" si="223"/>
        <v>14.720141968067312</v>
      </c>
      <c r="W96" s="1">
        <f t="shared" si="155"/>
        <v>-182.25456641876525</v>
      </c>
      <c r="X96" s="1">
        <f t="shared" si="156"/>
        <v>0</v>
      </c>
      <c r="Y96" s="1">
        <f t="shared" si="157"/>
        <v>2.7296039122569056</v>
      </c>
    </row>
    <row r="97" spans="1:25">
      <c r="A97" s="1">
        <v>9.5000000000000001E-2</v>
      </c>
      <c r="B97" s="1">
        <f t="shared" si="158"/>
        <v>7.3216042081877513</v>
      </c>
      <c r="C97" s="1">
        <f t="shared" si="159"/>
        <v>0</v>
      </c>
      <c r="D97" s="1">
        <f t="shared" si="160"/>
        <v>4.9097527492553666E-2</v>
      </c>
      <c r="E97" s="1">
        <f t="shared" si="161"/>
        <v>66.702934835793812</v>
      </c>
      <c r="F97" s="1">
        <f t="shared" si="162"/>
        <v>0</v>
      </c>
      <c r="G97" s="1">
        <f t="shared" si="163"/>
        <v>0.80496687952204937</v>
      </c>
      <c r="H97" s="1">
        <f t="shared" si="0"/>
        <v>66.707791804145955</v>
      </c>
      <c r="I97" s="1">
        <f t="shared" si="146"/>
        <v>-181.08723799743802</v>
      </c>
      <c r="J97" s="1">
        <f t="shared" si="147"/>
        <v>0</v>
      </c>
      <c r="K97" s="1">
        <f t="shared" si="148"/>
        <v>-2.1853495539725842</v>
      </c>
      <c r="L97" s="1">
        <f t="shared" ref="L97:N97" si="224">E97/$H97</f>
        <v>0.99992719038929656</v>
      </c>
      <c r="M97" s="1">
        <f t="shared" si="224"/>
        <v>0</v>
      </c>
      <c r="N97" s="1">
        <f t="shared" si="224"/>
        <v>1.2067059300740035E-2</v>
      </c>
      <c r="O97" s="1">
        <f t="shared" si="5"/>
        <v>1.2067059300740035E-2</v>
      </c>
      <c r="P97" s="1">
        <f t="shared" si="150"/>
        <v>-1.2066180702850014E-2</v>
      </c>
      <c r="Q97" s="1">
        <f t="shared" si="151"/>
        <v>0</v>
      </c>
      <c r="R97" s="1">
        <f t="shared" si="152"/>
        <v>0.99985438607983246</v>
      </c>
      <c r="S97" s="1">
        <f t="shared" si="153"/>
        <v>14.642161928200581</v>
      </c>
      <c r="T97" s="1">
        <f t="shared" ref="T97:V97" si="225">$S97*P97</f>
        <v>-0.176674971706059</v>
      </c>
      <c r="U97" s="1">
        <f t="shared" si="225"/>
        <v>0</v>
      </c>
      <c r="V97" s="1">
        <f t="shared" si="225"/>
        <v>14.640029825602488</v>
      </c>
      <c r="W97" s="1">
        <f t="shared" si="155"/>
        <v>-181.26391296914409</v>
      </c>
      <c r="X97" s="1">
        <f t="shared" si="156"/>
        <v>0</v>
      </c>
      <c r="Y97" s="1">
        <f t="shared" si="157"/>
        <v>2.6480302716299047</v>
      </c>
    </row>
    <row r="98" spans="1:25">
      <c r="A98" s="1">
        <v>9.6000000000000002E-2</v>
      </c>
      <c r="B98" s="1">
        <f t="shared" si="158"/>
        <v>7.3881258791105759</v>
      </c>
      <c r="C98" s="1">
        <f t="shared" si="159"/>
        <v>0</v>
      </c>
      <c r="D98" s="1">
        <f t="shared" si="160"/>
        <v>4.9905142402347343E-2</v>
      </c>
      <c r="E98" s="1">
        <f t="shared" si="161"/>
        <v>66.521670922824669</v>
      </c>
      <c r="F98" s="1">
        <f t="shared" si="162"/>
        <v>0</v>
      </c>
      <c r="G98" s="1">
        <f t="shared" si="163"/>
        <v>0.80761490979367923</v>
      </c>
      <c r="H98" s="1">
        <f t="shared" si="0"/>
        <v>66.526573218580097</v>
      </c>
      <c r="I98" s="1">
        <f t="shared" si="146"/>
        <v>-180.10453170511616</v>
      </c>
      <c r="J98" s="1">
        <f t="shared" si="147"/>
        <v>0</v>
      </c>
      <c r="K98" s="1">
        <f t="shared" si="148"/>
        <v>-2.1865822537021122</v>
      </c>
      <c r="L98" s="1">
        <f t="shared" ref="L98:N98" si="226">E98/$H98</f>
        <v>0.99992631071287374</v>
      </c>
      <c r="M98" s="1">
        <f t="shared" si="226"/>
        <v>0</v>
      </c>
      <c r="N98" s="1">
        <f t="shared" si="226"/>
        <v>1.2139734105049647E-2</v>
      </c>
      <c r="O98" s="1">
        <f t="shared" si="5"/>
        <v>1.2139734105049647E-2</v>
      </c>
      <c r="P98" s="1">
        <f t="shared" si="150"/>
        <v>-1.2138839536697544E-2</v>
      </c>
      <c r="Q98" s="1">
        <f t="shared" si="151"/>
        <v>0</v>
      </c>
      <c r="R98" s="1">
        <f t="shared" si="152"/>
        <v>0.99985262685585874</v>
      </c>
      <c r="S98" s="1">
        <f t="shared" si="153"/>
        <v>14.562716105092688</v>
      </c>
      <c r="T98" s="1">
        <f t="shared" ref="T98:V98" si="227">$S98*P98</f>
        <v>-0.17677447401820121</v>
      </c>
      <c r="U98" s="1">
        <f t="shared" si="227"/>
        <v>0</v>
      </c>
      <c r="V98" s="1">
        <f t="shared" si="227"/>
        <v>14.560569951833044</v>
      </c>
      <c r="W98" s="1">
        <f t="shared" si="155"/>
        <v>-180.28130617913436</v>
      </c>
      <c r="X98" s="1">
        <f t="shared" si="156"/>
        <v>0</v>
      </c>
      <c r="Y98" s="1">
        <f t="shared" si="157"/>
        <v>2.5673376981309328</v>
      </c>
    </row>
    <row r="99" spans="1:25">
      <c r="A99" s="1">
        <v>9.7000000000000003E-2</v>
      </c>
      <c r="B99" s="1">
        <f t="shared" si="158"/>
        <v>7.4544672687272211</v>
      </c>
      <c r="C99" s="1">
        <f t="shared" si="159"/>
        <v>0</v>
      </c>
      <c r="D99" s="1">
        <f t="shared" si="160"/>
        <v>5.0715324649839154E-2</v>
      </c>
      <c r="E99" s="1">
        <f t="shared" si="161"/>
        <v>66.341389616645529</v>
      </c>
      <c r="F99" s="1">
        <f t="shared" si="162"/>
        <v>0</v>
      </c>
      <c r="G99" s="1">
        <f t="shared" si="163"/>
        <v>0.81018224749181011</v>
      </c>
      <c r="H99" s="1">
        <f t="shared" si="0"/>
        <v>66.346336534444106</v>
      </c>
      <c r="I99" s="1">
        <f t="shared" si="146"/>
        <v>-179.12980327256878</v>
      </c>
      <c r="J99" s="1">
        <f t="shared" si="147"/>
        <v>0</v>
      </c>
      <c r="K99" s="1">
        <f t="shared" si="148"/>
        <v>-2.1875903933691792</v>
      </c>
      <c r="L99" s="1">
        <f t="shared" ref="L99:N99" si="228">E99/$H99</f>
        <v>0.99992543796602829</v>
      </c>
      <c r="M99" s="1">
        <f t="shared" si="228"/>
        <v>0</v>
      </c>
      <c r="N99" s="1">
        <f t="shared" si="228"/>
        <v>1.2211408946011647E-2</v>
      </c>
      <c r="O99" s="1">
        <f t="shared" si="5"/>
        <v>1.2211408946011647E-2</v>
      </c>
      <c r="P99" s="1">
        <f t="shared" si="150"/>
        <v>-1.2210498438522972E-2</v>
      </c>
      <c r="Q99" s="1">
        <f t="shared" si="151"/>
        <v>0</v>
      </c>
      <c r="R99" s="1">
        <f t="shared" si="152"/>
        <v>0.99985088149155321</v>
      </c>
      <c r="S99" s="1">
        <f t="shared" si="153"/>
        <v>14.483915108378042</v>
      </c>
      <c r="T99" s="1">
        <f t="shared" ref="T99:V99" si="229">$S99*P99</f>
        <v>-0.17685582281454937</v>
      </c>
      <c r="U99" s="1">
        <f t="shared" si="229"/>
        <v>0</v>
      </c>
      <c r="V99" s="1">
        <f t="shared" si="229"/>
        <v>14.481755288560612</v>
      </c>
      <c r="W99" s="1">
        <f t="shared" si="155"/>
        <v>-179.30665909538334</v>
      </c>
      <c r="X99" s="1">
        <f t="shared" si="156"/>
        <v>0</v>
      </c>
      <c r="Y99" s="1">
        <f t="shared" si="157"/>
        <v>2.487514895191433</v>
      </c>
    </row>
    <row r="100" spans="1:25">
      <c r="A100" s="1">
        <v>9.8000000000000004E-2</v>
      </c>
      <c r="B100" s="1">
        <f t="shared" si="158"/>
        <v>7.5206293516847715</v>
      </c>
      <c r="C100" s="1">
        <f t="shared" si="159"/>
        <v>0</v>
      </c>
      <c r="D100" s="1">
        <f t="shared" si="160"/>
        <v>5.1527994412226157E-2</v>
      </c>
      <c r="E100" s="1">
        <f t="shared" si="161"/>
        <v>66.16208295755014</v>
      </c>
      <c r="F100" s="1">
        <f t="shared" si="162"/>
        <v>0</v>
      </c>
      <c r="G100" s="1">
        <f t="shared" si="163"/>
        <v>0.8126697623870015</v>
      </c>
      <c r="H100" s="1">
        <f t="shared" si="0"/>
        <v>66.167073786169851</v>
      </c>
      <c r="I100" s="1">
        <f t="shared" si="146"/>
        <v>-178.16296658213165</v>
      </c>
      <c r="J100" s="1">
        <f t="shared" si="147"/>
        <v>0</v>
      </c>
      <c r="K100" s="1">
        <f t="shared" si="148"/>
        <v>-2.1883781351225076</v>
      </c>
      <c r="L100" s="1">
        <f t="shared" ref="L100:N100" si="230">E100/$H100</f>
        <v>0.99992457232375365</v>
      </c>
      <c r="M100" s="1">
        <f t="shared" si="230"/>
        <v>0</v>
      </c>
      <c r="N100" s="1">
        <f t="shared" si="230"/>
        <v>1.2282087084783015E-2</v>
      </c>
      <c r="O100" s="1">
        <f t="shared" si="5"/>
        <v>1.2282087084783015E-2</v>
      </c>
      <c r="P100" s="1">
        <f t="shared" si="150"/>
        <v>-1.2281160675494753E-2</v>
      </c>
      <c r="Q100" s="1">
        <f t="shared" si="151"/>
        <v>0</v>
      </c>
      <c r="R100" s="1">
        <f t="shared" si="152"/>
        <v>0.99984915033684185</v>
      </c>
      <c r="S100" s="1">
        <f t="shared" si="153"/>
        <v>14.405751975632279</v>
      </c>
      <c r="T100" s="1">
        <f t="shared" ref="T100:V100" si="231">$S100*P100</f>
        <v>-0.176919354664066</v>
      </c>
      <c r="U100" s="1">
        <f t="shared" si="231"/>
        <v>0</v>
      </c>
      <c r="V100" s="1">
        <f t="shared" si="231"/>
        <v>14.403578872799216</v>
      </c>
      <c r="W100" s="1">
        <f t="shared" si="155"/>
        <v>-178.33988593679572</v>
      </c>
      <c r="X100" s="1">
        <f t="shared" si="156"/>
        <v>0</v>
      </c>
      <c r="Y100" s="1">
        <f t="shared" si="157"/>
        <v>2.408550737676709</v>
      </c>
    </row>
    <row r="101" spans="1:25">
      <c r="A101" s="1">
        <v>9.9000000000000005E-2</v>
      </c>
      <c r="B101" s="1">
        <f t="shared" si="158"/>
        <v>7.5866130947563848</v>
      </c>
      <c r="C101" s="1">
        <f t="shared" si="159"/>
        <v>0</v>
      </c>
      <c r="D101" s="1">
        <f t="shared" si="160"/>
        <v>5.2343072725350832E-2</v>
      </c>
      <c r="E101" s="1">
        <f t="shared" si="161"/>
        <v>65.983743071613347</v>
      </c>
      <c r="F101" s="1">
        <f t="shared" si="162"/>
        <v>0</v>
      </c>
      <c r="G101" s="1">
        <f t="shared" si="163"/>
        <v>0.81507831312467827</v>
      </c>
      <c r="H101" s="1">
        <f t="shared" si="0"/>
        <v>65.988777094269665</v>
      </c>
      <c r="I101" s="1">
        <f t="shared" si="146"/>
        <v>-177.2039366755171</v>
      </c>
      <c r="J101" s="1">
        <f t="shared" si="147"/>
        <v>0</v>
      </c>
      <c r="K101" s="1">
        <f t="shared" si="148"/>
        <v>-2.1889495663768996</v>
      </c>
      <c r="L101" s="1">
        <f t="shared" ref="L101:N101" si="232">E101/$H101</f>
        <v>0.99992371395746393</v>
      </c>
      <c r="M101" s="1">
        <f t="shared" si="232"/>
        <v>0</v>
      </c>
      <c r="N101" s="1">
        <f t="shared" si="232"/>
        <v>1.2351771755980276E-2</v>
      </c>
      <c r="O101" s="1">
        <f t="shared" si="5"/>
        <v>1.2351771755980276E-2</v>
      </c>
      <c r="P101" s="1">
        <f t="shared" si="150"/>
        <v>-1.2350829488194704E-2</v>
      </c>
      <c r="Q101" s="1">
        <f t="shared" si="151"/>
        <v>0</v>
      </c>
      <c r="R101" s="1">
        <f t="shared" si="152"/>
        <v>0.99984743373448814</v>
      </c>
      <c r="S101" s="1">
        <f t="shared" si="153"/>
        <v>14.328219838229852</v>
      </c>
      <c r="T101" s="1">
        <f t="shared" ref="T101:V101" si="233">$S101*P101</f>
        <v>-0.17696540009134562</v>
      </c>
      <c r="U101" s="1">
        <f t="shared" si="233"/>
        <v>0</v>
      </c>
      <c r="V101" s="1">
        <f t="shared" si="233"/>
        <v>14.3260338352377</v>
      </c>
      <c r="W101" s="1">
        <f t="shared" si="155"/>
        <v>-177.38090207560845</v>
      </c>
      <c r="X101" s="1">
        <f t="shared" si="156"/>
        <v>0</v>
      </c>
      <c r="Y101" s="1">
        <f t="shared" si="157"/>
        <v>2.3304342688608006</v>
      </c>
    </row>
    <row r="102" spans="1:25">
      <c r="A102" s="1">
        <v>0.1</v>
      </c>
      <c r="B102" s="1">
        <f t="shared" si="158"/>
        <v>7.652419456925923</v>
      </c>
      <c r="C102" s="1">
        <f t="shared" si="159"/>
        <v>0</v>
      </c>
      <c r="D102" s="1">
        <f t="shared" si="160"/>
        <v>5.3160481472744374E-2</v>
      </c>
      <c r="E102" s="1">
        <f t="shared" si="161"/>
        <v>65.806362169537735</v>
      </c>
      <c r="F102" s="1">
        <f t="shared" si="162"/>
        <v>0</v>
      </c>
      <c r="G102" s="1">
        <f t="shared" si="163"/>
        <v>0.81740874739353908</v>
      </c>
      <c r="H102" s="1">
        <f t="shared" si="0"/>
        <v>65.81143866417662</v>
      </c>
      <c r="I102" s="1">
        <f t="shared" si="146"/>
        <v>-176.25262973512793</v>
      </c>
      <c r="J102" s="1">
        <f t="shared" si="147"/>
        <v>0</v>
      </c>
      <c r="K102" s="1">
        <f t="shared" si="148"/>
        <v>-2.1893087012686965</v>
      </c>
      <c r="L102" s="1">
        <f t="shared" ref="L102:N102" si="234">E102/$H102</f>
        <v>0.99992286303502964</v>
      </c>
      <c r="M102" s="1">
        <f t="shared" si="234"/>
        <v>0</v>
      </c>
      <c r="N102" s="1">
        <f t="shared" si="234"/>
        <v>1.242046616796545E-2</v>
      </c>
      <c r="O102" s="1">
        <f t="shared" si="5"/>
        <v>1.242046616796545E-2</v>
      </c>
      <c r="P102" s="1">
        <f t="shared" si="150"/>
        <v>-1.2419508090901737E-2</v>
      </c>
      <c r="Q102" s="1">
        <f t="shared" si="151"/>
        <v>0</v>
      </c>
      <c r="R102" s="1">
        <f t="shared" si="152"/>
        <v>0.99984573202017046</v>
      </c>
      <c r="S102" s="1">
        <f t="shared" si="153"/>
        <v>14.251311919831021</v>
      </c>
      <c r="T102" s="1">
        <f t="shared" ref="T102:V102" si="235">$S102*P102</f>
        <v>-0.17699428369430573</v>
      </c>
      <c r="U102" s="1">
        <f t="shared" si="235"/>
        <v>0</v>
      </c>
      <c r="V102" s="1">
        <f t="shared" si="235"/>
        <v>14.249113398731229</v>
      </c>
      <c r="W102" s="1">
        <f t="shared" si="155"/>
        <v>-176.42962401882224</v>
      </c>
      <c r="X102" s="1">
        <f t="shared" si="156"/>
        <v>0</v>
      </c>
      <c r="Y102" s="1">
        <f t="shared" si="157"/>
        <v>2.2531546974625325</v>
      </c>
    </row>
    <row r="103" spans="1:25">
      <c r="A103" s="1">
        <v>0.10100000000000001</v>
      </c>
      <c r="B103" s="1">
        <f t="shared" si="158"/>
        <v>7.7180493894714415</v>
      </c>
      <c r="C103" s="1">
        <f t="shared" si="159"/>
        <v>0</v>
      </c>
      <c r="D103" s="1">
        <f t="shared" si="160"/>
        <v>5.3980143374835372E-2</v>
      </c>
      <c r="E103" s="1">
        <f t="shared" si="161"/>
        <v>65.629932545518912</v>
      </c>
      <c r="F103" s="1">
        <f t="shared" si="162"/>
        <v>0</v>
      </c>
      <c r="G103" s="1">
        <f t="shared" si="163"/>
        <v>0.81966190209100165</v>
      </c>
      <c r="H103" s="1">
        <f t="shared" si="0"/>
        <v>65.635050785103402</v>
      </c>
      <c r="I103" s="1">
        <f t="shared" si="146"/>
        <v>-175.30896306572137</v>
      </c>
      <c r="J103" s="1">
        <f t="shared" si="147"/>
        <v>0</v>
      </c>
      <c r="K103" s="1">
        <f t="shared" si="148"/>
        <v>-2.1894594820798958</v>
      </c>
      <c r="L103" s="1">
        <f t="shared" ref="L103:N103" si="236">E103/$H103</f>
        <v>0.99992201972081585</v>
      </c>
      <c r="M103" s="1">
        <f t="shared" si="236"/>
        <v>0</v>
      </c>
      <c r="N103" s="1">
        <f t="shared" si="236"/>
        <v>1.2488173503128194E-2</v>
      </c>
      <c r="O103" s="1">
        <f t="shared" si="5"/>
        <v>1.2488173503128194E-2</v>
      </c>
      <c r="P103" s="1">
        <f t="shared" si="150"/>
        <v>-1.248719967187192E-2</v>
      </c>
      <c r="Q103" s="1">
        <f t="shared" si="151"/>
        <v>0</v>
      </c>
      <c r="R103" s="1">
        <f t="shared" si="152"/>
        <v>0.99984404552255579</v>
      </c>
      <c r="S103" s="1">
        <f t="shared" si="153"/>
        <v>14.175021534897185</v>
      </c>
      <c r="T103" s="1">
        <f t="shared" ref="T103:V103" si="237">$S103*P103</f>
        <v>-0.17700632425934554</v>
      </c>
      <c r="U103" s="1">
        <f t="shared" si="237"/>
        <v>0</v>
      </c>
      <c r="V103" s="1">
        <f t="shared" si="237"/>
        <v>14.17281087682095</v>
      </c>
      <c r="W103" s="1">
        <f t="shared" si="155"/>
        <v>-175.48596938998071</v>
      </c>
      <c r="X103" s="1">
        <f t="shared" si="156"/>
        <v>0</v>
      </c>
      <c r="Y103" s="1">
        <f t="shared" si="157"/>
        <v>2.1767013947410554</v>
      </c>
    </row>
    <row r="104" spans="1:25">
      <c r="A104" s="1">
        <v>0.10199999999999999</v>
      </c>
      <c r="B104" s="1">
        <f t="shared" si="158"/>
        <v>7.7835038360475703</v>
      </c>
      <c r="C104" s="1">
        <f t="shared" si="159"/>
        <v>0</v>
      </c>
      <c r="D104" s="1">
        <f t="shared" si="160"/>
        <v>5.4801981978321118E-2</v>
      </c>
      <c r="E104" s="1">
        <f t="shared" si="161"/>
        <v>65.45444657612893</v>
      </c>
      <c r="F104" s="1">
        <f t="shared" si="162"/>
        <v>0</v>
      </c>
      <c r="G104" s="1">
        <f t="shared" si="163"/>
        <v>0.82183860348574267</v>
      </c>
      <c r="H104" s="1">
        <f t="shared" si="0"/>
        <v>65.459605828919379</v>
      </c>
      <c r="I104" s="1">
        <f t="shared" si="146"/>
        <v>-174.37285507641585</v>
      </c>
      <c r="J104" s="1">
        <f t="shared" si="147"/>
        <v>0</v>
      </c>
      <c r="K104" s="1">
        <f t="shared" si="148"/>
        <v>-2.1894057806316685</v>
      </c>
      <c r="L104" s="1">
        <f t="shared" ref="L104:N104" si="238">E104/$H104</f>
        <v>0.99992118417572007</v>
      </c>
      <c r="M104" s="1">
        <f t="shared" si="238"/>
        <v>0</v>
      </c>
      <c r="N104" s="1">
        <f t="shared" si="238"/>
        <v>1.2554896918164192E-2</v>
      </c>
      <c r="O104" s="1">
        <f t="shared" si="5"/>
        <v>1.2554896918164192E-2</v>
      </c>
      <c r="P104" s="1">
        <f t="shared" si="150"/>
        <v>-1.2553907393614836E-2</v>
      </c>
      <c r="Q104" s="1">
        <f t="shared" si="151"/>
        <v>0</v>
      </c>
      <c r="R104" s="1">
        <f t="shared" si="152"/>
        <v>0.99984237456337433</v>
      </c>
      <c r="S104" s="1">
        <f t="shared" si="153"/>
        <v>14.099342087233946</v>
      </c>
      <c r="T104" s="1">
        <f t="shared" ref="T104:V104" si="239">$S104*P104</f>
        <v>-0.17700183487403107</v>
      </c>
      <c r="U104" s="1">
        <f t="shared" si="239"/>
        <v>0</v>
      </c>
      <c r="V104" s="1">
        <f t="shared" si="239"/>
        <v>14.097119672281311</v>
      </c>
      <c r="W104" s="1">
        <f t="shared" si="155"/>
        <v>-174.54985691128988</v>
      </c>
      <c r="X104" s="1">
        <f t="shared" si="156"/>
        <v>0</v>
      </c>
      <c r="Y104" s="1">
        <f t="shared" si="157"/>
        <v>2.1010638916496429</v>
      </c>
    </row>
    <row r="105" spans="1:25">
      <c r="A105" s="1">
        <v>0.10299999999999999</v>
      </c>
      <c r="B105" s="1">
        <f t="shared" si="158"/>
        <v>7.8487837327667878</v>
      </c>
      <c r="C105" s="1">
        <f t="shared" si="159"/>
        <v>0</v>
      </c>
      <c r="D105" s="1">
        <f t="shared" si="160"/>
        <v>5.562592164569851E-2</v>
      </c>
      <c r="E105" s="1">
        <f t="shared" si="161"/>
        <v>65.279896719217646</v>
      </c>
      <c r="F105" s="1">
        <f t="shared" si="162"/>
        <v>0</v>
      </c>
      <c r="G105" s="1">
        <f t="shared" si="163"/>
        <v>0.82393966737739233</v>
      </c>
      <c r="H105" s="1">
        <f t="shared" si="0"/>
        <v>65.285096249046006</v>
      </c>
      <c r="I105" s="1">
        <f t="shared" si="146"/>
        <v>-173.44422526303407</v>
      </c>
      <c r="J105" s="1">
        <f t="shared" si="147"/>
        <v>0</v>
      </c>
      <c r="K105" s="1">
        <f t="shared" si="148"/>
        <v>-2.1891513996480247</v>
      </c>
      <c r="L105" s="1">
        <f t="shared" ref="L105:N105" si="240">E105/$H105</f>
        <v>0.99992035655720679</v>
      </c>
      <c r="M105" s="1">
        <f t="shared" si="240"/>
        <v>0</v>
      </c>
      <c r="N105" s="1">
        <f t="shared" si="240"/>
        <v>1.2620639544349792E-2</v>
      </c>
      <c r="O105" s="1">
        <f t="shared" si="5"/>
        <v>1.2620639544349792E-2</v>
      </c>
      <c r="P105" s="1">
        <f t="shared" si="150"/>
        <v>-1.2619634393166228E-2</v>
      </c>
      <c r="Q105" s="1">
        <f t="shared" si="151"/>
        <v>0</v>
      </c>
      <c r="R105" s="1">
        <f t="shared" si="152"/>
        <v>0.99984071945749164</v>
      </c>
      <c r="S105" s="1">
        <f t="shared" si="153"/>
        <v>14.024267068561553</v>
      </c>
      <c r="T105" s="1">
        <f t="shared" ref="T105:V105" si="241">$S105*P105</f>
        <v>-0.17698112303736788</v>
      </c>
      <c r="U105" s="1">
        <f t="shared" si="241"/>
        <v>0</v>
      </c>
      <c r="V105" s="1">
        <f t="shared" si="241"/>
        <v>14.022033275694591</v>
      </c>
      <c r="W105" s="1">
        <f t="shared" si="155"/>
        <v>-173.62120638607144</v>
      </c>
      <c r="X105" s="1">
        <f t="shared" si="156"/>
        <v>0</v>
      </c>
      <c r="Y105" s="1">
        <f t="shared" si="157"/>
        <v>2.0262318760465678</v>
      </c>
    </row>
    <row r="106" spans="1:25">
      <c r="A106" s="1">
        <v>0.104</v>
      </c>
      <c r="B106" s="1">
        <f t="shared" si="158"/>
        <v>7.9138900082796191</v>
      </c>
      <c r="C106" s="1">
        <f t="shared" si="159"/>
        <v>0</v>
      </c>
      <c r="D106" s="1">
        <f t="shared" si="160"/>
        <v>5.6451887544951951E-2</v>
      </c>
      <c r="E106" s="1">
        <f t="shared" si="161"/>
        <v>65.106275512831573</v>
      </c>
      <c r="F106" s="1">
        <f t="shared" si="162"/>
        <v>0</v>
      </c>
      <c r="G106" s="1">
        <f t="shared" si="163"/>
        <v>0.82596589925343888</v>
      </c>
      <c r="H106" s="1">
        <f t="shared" si="0"/>
        <v>65.111514579369612</v>
      </c>
      <c r="I106" s="1">
        <f t="shared" si="146"/>
        <v>-172.52299419077414</v>
      </c>
      <c r="J106" s="1">
        <f t="shared" si="147"/>
        <v>0</v>
      </c>
      <c r="K106" s="1">
        <f t="shared" si="148"/>
        <v>-2.1887000740903098</v>
      </c>
      <c r="L106" s="1">
        <f t="shared" ref="L106:N106" si="242">E106/$H106</f>
        <v>0.99991953701934466</v>
      </c>
      <c r="M106" s="1">
        <f t="shared" si="242"/>
        <v>0</v>
      </c>
      <c r="N106" s="1">
        <f t="shared" si="242"/>
        <v>1.2685404487813032E-2</v>
      </c>
      <c r="O106" s="1">
        <f t="shared" si="5"/>
        <v>1.2685404487813032E-2</v>
      </c>
      <c r="P106" s="1">
        <f t="shared" si="150"/>
        <v>-1.2684383782357124E-2</v>
      </c>
      <c r="Q106" s="1">
        <f t="shared" si="151"/>
        <v>0</v>
      </c>
      <c r="R106" s="1">
        <f t="shared" si="152"/>
        <v>0.99983908051298054</v>
      </c>
      <c r="S106" s="1">
        <f t="shared" si="153"/>
        <v>13.949790057111805</v>
      </c>
      <c r="T106" s="1">
        <f t="shared" ref="T106:V106" si="243">$S106*P106</f>
        <v>-0.17694449076771565</v>
      </c>
      <c r="U106" s="1">
        <f t="shared" si="243"/>
        <v>0</v>
      </c>
      <c r="V106" s="1">
        <f t="shared" si="243"/>
        <v>13.947545264051785</v>
      </c>
      <c r="W106" s="1">
        <f t="shared" si="155"/>
        <v>-172.69993868154185</v>
      </c>
      <c r="X106" s="1">
        <f t="shared" si="156"/>
        <v>0</v>
      </c>
      <c r="Y106" s="1">
        <f t="shared" si="157"/>
        <v>1.9521951899614756</v>
      </c>
    </row>
    <row r="107" spans="1:25">
      <c r="A107" s="1">
        <v>0.105</v>
      </c>
      <c r="B107" s="1">
        <f t="shared" si="158"/>
        <v>7.9788235838537691</v>
      </c>
      <c r="C107" s="1">
        <f t="shared" si="159"/>
        <v>0</v>
      </c>
      <c r="D107" s="1">
        <f t="shared" si="160"/>
        <v>5.7279805639395352E-2</v>
      </c>
      <c r="E107" s="1">
        <f t="shared" si="161"/>
        <v>64.933575574150026</v>
      </c>
      <c r="F107" s="1">
        <f t="shared" si="162"/>
        <v>0</v>
      </c>
      <c r="G107" s="1">
        <f t="shared" si="163"/>
        <v>0.82791809444340037</v>
      </c>
      <c r="H107" s="1">
        <f t="shared" si="0"/>
        <v>64.93885343317173</v>
      </c>
      <c r="I107" s="1">
        <f t="shared" si="146"/>
        <v>-171.60908347720294</v>
      </c>
      <c r="J107" s="1">
        <f t="shared" si="147"/>
        <v>0</v>
      </c>
      <c r="K107" s="1">
        <f t="shared" si="148"/>
        <v>-2.1880554724632391</v>
      </c>
      <c r="L107" s="1">
        <f t="shared" ref="L107:N107" si="244">E107/$H107</f>
        <v>0.99991872571284102</v>
      </c>
      <c r="M107" s="1">
        <f t="shared" si="244"/>
        <v>0</v>
      </c>
      <c r="N107" s="1">
        <f t="shared" si="244"/>
        <v>1.2749194829801037E-2</v>
      </c>
      <c r="O107" s="1">
        <f t="shared" si="5"/>
        <v>1.2749194829801037E-2</v>
      </c>
      <c r="P107" s="1">
        <f t="shared" si="150"/>
        <v>-1.2748158648079395E-2</v>
      </c>
      <c r="Q107" s="1">
        <f t="shared" si="151"/>
        <v>0</v>
      </c>
      <c r="R107" s="1">
        <f t="shared" si="152"/>
        <v>0.99983745803119173</v>
      </c>
      <c r="S107" s="1">
        <f t="shared" si="153"/>
        <v>13.875904716251121</v>
      </c>
      <c r="T107" s="1">
        <f t="shared" ref="T107:V107" si="245">$S107*P107</f>
        <v>-0.17689223470840237</v>
      </c>
      <c r="U107" s="1">
        <f t="shared" si="245"/>
        <v>0</v>
      </c>
      <c r="V107" s="1">
        <f t="shared" si="245"/>
        <v>13.873649299379545</v>
      </c>
      <c r="W107" s="1">
        <f t="shared" si="155"/>
        <v>-171.78597571191133</v>
      </c>
      <c r="X107" s="1">
        <f t="shared" si="156"/>
        <v>0</v>
      </c>
      <c r="Y107" s="1">
        <f t="shared" si="157"/>
        <v>1.8789438269163075</v>
      </c>
    </row>
    <row r="108" spans="1:25">
      <c r="A108" s="1">
        <v>0.106</v>
      </c>
      <c r="B108" s="1">
        <f t="shared" si="158"/>
        <v>8.043585373452208</v>
      </c>
      <c r="C108" s="1">
        <f t="shared" si="159"/>
        <v>0</v>
      </c>
      <c r="D108" s="1">
        <f t="shared" si="160"/>
        <v>5.810960267766567E-2</v>
      </c>
      <c r="E108" s="1">
        <f t="shared" si="161"/>
        <v>64.761789598438114</v>
      </c>
      <c r="F108" s="1">
        <f t="shared" si="162"/>
        <v>0</v>
      </c>
      <c r="G108" s="1">
        <f t="shared" si="163"/>
        <v>0.8297970382703167</v>
      </c>
      <c r="H108" s="1">
        <f t="shared" si="0"/>
        <v>64.767105502076362</v>
      </c>
      <c r="I108" s="1">
        <f t="shared" si="146"/>
        <v>-170.70241577556365</v>
      </c>
      <c r="J108" s="1">
        <f t="shared" si="147"/>
        <v>0</v>
      </c>
      <c r="K108" s="1">
        <f t="shared" si="148"/>
        <v>-2.1872211980931286</v>
      </c>
      <c r="L108" s="1">
        <f t="shared" ref="L108:N108" si="246">E108/$H108</f>
        <v>0.99991792278507674</v>
      </c>
      <c r="M108" s="1">
        <f t="shared" si="246"/>
        <v>0</v>
      </c>
      <c r="N108" s="1">
        <f t="shared" si="246"/>
        <v>1.2812013626943917E-2</v>
      </c>
      <c r="O108" s="1">
        <f t="shared" si="5"/>
        <v>1.2812013626943917E-2</v>
      </c>
      <c r="P108" s="1">
        <f t="shared" si="150"/>
        <v>-1.2810962052547859E-2</v>
      </c>
      <c r="Q108" s="1">
        <f t="shared" si="151"/>
        <v>0</v>
      </c>
      <c r="R108" s="1">
        <f t="shared" si="152"/>
        <v>0.99983585230682304</v>
      </c>
      <c r="S108" s="1">
        <f t="shared" si="153"/>
        <v>13.802604793129081</v>
      </c>
      <c r="T108" s="1">
        <f t="shared" ref="T108:V108" si="247">$S108*P108</f>
        <v>-0.17682464623109184</v>
      </c>
      <c r="U108" s="1">
        <f t="shared" si="247"/>
        <v>0</v>
      </c>
      <c r="V108" s="1">
        <f t="shared" si="247"/>
        <v>13.800339127392455</v>
      </c>
      <c r="W108" s="1">
        <f t="shared" si="155"/>
        <v>-170.87924042179475</v>
      </c>
      <c r="X108" s="1">
        <f t="shared" si="156"/>
        <v>0</v>
      </c>
      <c r="Y108" s="1">
        <f t="shared" si="157"/>
        <v>1.8064679292993269</v>
      </c>
    </row>
    <row r="109" spans="1:25">
      <c r="A109" s="1">
        <v>0.107</v>
      </c>
      <c r="B109" s="1">
        <f t="shared" si="158"/>
        <v>8.1081762838102236</v>
      </c>
      <c r="C109" s="1">
        <f t="shared" si="159"/>
        <v>0</v>
      </c>
      <c r="D109" s="1">
        <f t="shared" si="160"/>
        <v>5.8941206183865287E-2</v>
      </c>
      <c r="E109" s="1">
        <f t="shared" si="161"/>
        <v>64.590910358016316</v>
      </c>
      <c r="F109" s="1">
        <f t="shared" si="162"/>
        <v>0</v>
      </c>
      <c r="G109" s="1">
        <f t="shared" si="163"/>
        <v>0.83160350619961598</v>
      </c>
      <c r="H109" s="1">
        <f t="shared" si="0"/>
        <v>64.596263555013948</v>
      </c>
      <c r="I109" s="1">
        <f t="shared" si="146"/>
        <v>-169.80291475839195</v>
      </c>
      <c r="J109" s="1">
        <f t="shared" si="147"/>
        <v>0</v>
      </c>
      <c r="K109" s="1">
        <f t="shared" si="148"/>
        <v>-2.1862007903789826</v>
      </c>
      <c r="L109" s="1">
        <f t="shared" ref="L109:N109" si="248">E109/$H109</f>
        <v>0.99991712838014113</v>
      </c>
      <c r="M109" s="1">
        <f t="shared" si="248"/>
        <v>0</v>
      </c>
      <c r="N109" s="1">
        <f t="shared" si="248"/>
        <v>1.287386391151516E-2</v>
      </c>
      <c r="O109" s="1">
        <f t="shared" si="5"/>
        <v>1.287386391151516E-2</v>
      </c>
      <c r="P109" s="1">
        <f t="shared" si="150"/>
        <v>-1.287279703355897E-2</v>
      </c>
      <c r="Q109" s="1">
        <f t="shared" si="151"/>
        <v>0</v>
      </c>
      <c r="R109" s="1">
        <f t="shared" si="152"/>
        <v>0.99983426362798777</v>
      </c>
      <c r="S109" s="1">
        <f t="shared" si="153"/>
        <v>13.729884117351947</v>
      </c>
      <c r="T109" s="1">
        <f t="shared" ref="T109:V109" si="249">$S109*P109</f>
        <v>-0.17674201153695657</v>
      </c>
      <c r="U109" s="1">
        <f t="shared" si="249"/>
        <v>0</v>
      </c>
      <c r="V109" s="1">
        <f t="shared" si="249"/>
        <v>13.727608576170189</v>
      </c>
      <c r="W109" s="1">
        <f t="shared" si="155"/>
        <v>-169.97965676992891</v>
      </c>
      <c r="X109" s="1">
        <f t="shared" si="156"/>
        <v>0</v>
      </c>
      <c r="Y109" s="1">
        <f t="shared" si="157"/>
        <v>1.7347577857912064</v>
      </c>
    </row>
    <row r="110" spans="1:25">
      <c r="A110" s="1">
        <v>0.108</v>
      </c>
      <c r="B110" s="1">
        <f t="shared" si="158"/>
        <v>8.1725972145114696</v>
      </c>
      <c r="C110" s="1">
        <f t="shared" si="159"/>
        <v>0</v>
      </c>
      <c r="D110" s="1">
        <f t="shared" si="160"/>
        <v>5.9774544447850693E-2</v>
      </c>
      <c r="E110" s="1">
        <f t="shared" si="161"/>
        <v>64.420930701246391</v>
      </c>
      <c r="F110" s="1">
        <f t="shared" si="162"/>
        <v>0</v>
      </c>
      <c r="G110" s="1">
        <f t="shared" si="163"/>
        <v>0.83333826398540722</v>
      </c>
      <c r="H110" s="1">
        <f t="shared" si="0"/>
        <v>64.426320437201852</v>
      </c>
      <c r="I110" s="1">
        <f t="shared" si="146"/>
        <v>-168.91050510143376</v>
      </c>
      <c r="J110" s="1">
        <f t="shared" si="147"/>
        <v>0</v>
      </c>
      <c r="K110" s="1">
        <f t="shared" si="148"/>
        <v>-2.1849977260170772</v>
      </c>
      <c r="L110" s="1">
        <f t="shared" ref="L110:N110" si="250">E110/$H110</f>
        <v>0.99991634263886431</v>
      </c>
      <c r="M110" s="1">
        <f t="shared" si="250"/>
        <v>0</v>
      </c>
      <c r="N110" s="1">
        <f t="shared" si="250"/>
        <v>1.2934748691688602E-2</v>
      </c>
      <c r="O110" s="1">
        <f t="shared" si="5"/>
        <v>1.2934748691688602E-2</v>
      </c>
      <c r="P110" s="1">
        <f t="shared" si="150"/>
        <v>-1.2933666604746102E-2</v>
      </c>
      <c r="Q110" s="1">
        <f t="shared" si="151"/>
        <v>0</v>
      </c>
      <c r="R110" s="1">
        <f t="shared" si="152"/>
        <v>0.99983269227628291</v>
      </c>
      <c r="S110" s="1">
        <f t="shared" si="153"/>
        <v>13.657736599680639</v>
      </c>
      <c r="T110" s="1">
        <f t="shared" ref="T110:V110" si="251">$S110*P110</f>
        <v>-0.17664461175570806</v>
      </c>
      <c r="U110" s="1">
        <f t="shared" si="251"/>
        <v>0</v>
      </c>
      <c r="V110" s="1">
        <f t="shared" si="251"/>
        <v>13.655451554859019</v>
      </c>
      <c r="W110" s="1">
        <f t="shared" si="155"/>
        <v>-169.08714971318946</v>
      </c>
      <c r="X110" s="1">
        <f t="shared" si="156"/>
        <v>0</v>
      </c>
      <c r="Y110" s="1">
        <f t="shared" si="157"/>
        <v>1.6638038288419423</v>
      </c>
    </row>
    <row r="111" spans="1:25">
      <c r="A111" s="1">
        <v>0.109</v>
      </c>
      <c r="B111" s="1">
        <f t="shared" si="158"/>
        <v>8.2368490580630027</v>
      </c>
      <c r="C111" s="1">
        <f t="shared" si="159"/>
        <v>0</v>
      </c>
      <c r="D111" s="1">
        <f t="shared" si="160"/>
        <v>6.0609546515664942E-2</v>
      </c>
      <c r="E111" s="1">
        <f t="shared" si="161"/>
        <v>64.251843551533199</v>
      </c>
      <c r="F111" s="1">
        <f t="shared" si="162"/>
        <v>0</v>
      </c>
      <c r="G111" s="1">
        <f t="shared" si="163"/>
        <v>0.83500206781424913</v>
      </c>
      <c r="H111" s="1">
        <f t="shared" si="0"/>
        <v>64.257269069140747</v>
      </c>
      <c r="I111" s="1">
        <f t="shared" si="146"/>
        <v>-168.02511246785812</v>
      </c>
      <c r="J111" s="1">
        <f t="shared" si="147"/>
        <v>0</v>
      </c>
      <c r="K111" s="1">
        <f t="shared" si="148"/>
        <v>-2.1836154201996494</v>
      </c>
      <c r="L111" s="1">
        <f t="shared" ref="L111:N111" si="252">E111/$H111</f>
        <v>0.99991556569885176</v>
      </c>
      <c r="M111" s="1">
        <f t="shared" si="252"/>
        <v>0</v>
      </c>
      <c r="N111" s="1">
        <f t="shared" si="252"/>
        <v>1.2994670951792051E-2</v>
      </c>
      <c r="O111" s="1">
        <f t="shared" si="5"/>
        <v>1.2994670951792051E-2</v>
      </c>
      <c r="P111" s="1">
        <f t="shared" si="150"/>
        <v>-1.2993573755831586E-2</v>
      </c>
      <c r="Q111" s="1">
        <f t="shared" si="151"/>
        <v>0</v>
      </c>
      <c r="R111" s="1">
        <f t="shared" si="152"/>
        <v>0.99983113852685468</v>
      </c>
      <c r="S111" s="1">
        <f t="shared" si="153"/>
        <v>13.586156230752609</v>
      </c>
      <c r="T111" s="1">
        <f t="shared" ref="T111:V111" si="253">$S111*P111</f>
        <v>-0.17653272304253489</v>
      </c>
      <c r="U111" s="1">
        <f t="shared" si="253"/>
        <v>0</v>
      </c>
      <c r="V111" s="1">
        <f t="shared" si="253"/>
        <v>13.583862052397102</v>
      </c>
      <c r="W111" s="1">
        <f t="shared" si="155"/>
        <v>-168.20164519090065</v>
      </c>
      <c r="X111" s="1">
        <f t="shared" si="156"/>
        <v>0</v>
      </c>
      <c r="Y111" s="1">
        <f t="shared" si="157"/>
        <v>1.5935966321974533</v>
      </c>
    </row>
    <row r="112" spans="1:25">
      <c r="A112" s="1">
        <v>0.11</v>
      </c>
      <c r="B112" s="1">
        <f t="shared" si="158"/>
        <v>8.3009326999693442</v>
      </c>
      <c r="C112" s="1">
        <f t="shared" si="159"/>
        <v>0</v>
      </c>
      <c r="D112" s="1">
        <f t="shared" si="160"/>
        <v>6.1446142180111386E-2</v>
      </c>
      <c r="E112" s="1">
        <f t="shared" si="161"/>
        <v>64.083641906342294</v>
      </c>
      <c r="F112" s="1">
        <f t="shared" si="162"/>
        <v>0</v>
      </c>
      <c r="G112" s="1">
        <f t="shared" si="163"/>
        <v>0.83659566444644662</v>
      </c>
      <c r="H112" s="1">
        <f t="shared" si="0"/>
        <v>64.089102445627063</v>
      </c>
      <c r="I112" s="1">
        <f t="shared" si="146"/>
        <v>-167.14666349275984</v>
      </c>
      <c r="J112" s="1">
        <f t="shared" si="147"/>
        <v>0</v>
      </c>
      <c r="K112" s="1">
        <f t="shared" si="148"/>
        <v>-2.1820572277883099</v>
      </c>
      <c r="L112" s="1">
        <f t="shared" ref="L112:N112" si="254">E112/$H112</f>
        <v>0.99991479769451597</v>
      </c>
      <c r="M112" s="1">
        <f t="shared" si="254"/>
        <v>0</v>
      </c>
      <c r="N112" s="1">
        <f t="shared" si="254"/>
        <v>1.3053633652557562E-2</v>
      </c>
      <c r="O112" s="1">
        <f t="shared" si="5"/>
        <v>1.3053633652557562E-2</v>
      </c>
      <c r="P112" s="1">
        <f t="shared" si="150"/>
        <v>-1.305252145287542E-2</v>
      </c>
      <c r="Q112" s="1">
        <f t="shared" si="151"/>
        <v>0</v>
      </c>
      <c r="R112" s="1">
        <f t="shared" si="152"/>
        <v>0.99982960264846477</v>
      </c>
      <c r="S112" s="1">
        <f t="shared" si="153"/>
        <v>13.515137079827225</v>
      </c>
      <c r="T112" s="1">
        <f t="shared" ref="T112:V112" si="255">$S112*P112</f>
        <v>-0.17640661667299692</v>
      </c>
      <c r="U112" s="1">
        <f t="shared" si="255"/>
        <v>0</v>
      </c>
      <c r="V112" s="1">
        <f t="shared" si="255"/>
        <v>13.512834136263187</v>
      </c>
      <c r="W112" s="1">
        <f t="shared" si="155"/>
        <v>-167.32307010943285</v>
      </c>
      <c r="X112" s="1">
        <f t="shared" si="156"/>
        <v>0</v>
      </c>
      <c r="Y112" s="1">
        <f t="shared" si="157"/>
        <v>1.5241269084748783</v>
      </c>
    </row>
    <row r="113" spans="1:25">
      <c r="A113" s="1">
        <v>0.111</v>
      </c>
      <c r="B113" s="1">
        <f t="shared" si="158"/>
        <v>8.3648490188055771</v>
      </c>
      <c r="C113" s="1">
        <f t="shared" si="159"/>
        <v>0</v>
      </c>
      <c r="D113" s="1">
        <f t="shared" si="160"/>
        <v>6.2284261971466311E-2</v>
      </c>
      <c r="E113" s="1">
        <f t="shared" si="161"/>
        <v>63.916318836232861</v>
      </c>
      <c r="F113" s="1">
        <f t="shared" si="162"/>
        <v>0</v>
      </c>
      <c r="G113" s="1">
        <f t="shared" si="163"/>
        <v>0.83811979135492154</v>
      </c>
      <c r="H113" s="1">
        <f t="shared" si="0"/>
        <v>63.921813634780705</v>
      </c>
      <c r="I113" s="1">
        <f t="shared" si="146"/>
        <v>-166.27508576794457</v>
      </c>
      <c r="J113" s="1">
        <f t="shared" si="147"/>
        <v>0</v>
      </c>
      <c r="K113" s="1">
        <f t="shared" si="148"/>
        <v>-2.1803264444627546</v>
      </c>
      <c r="L113" s="1">
        <f t="shared" ref="L113:N113" si="256">E113/$H113</f>
        <v>0.99991403875710971</v>
      </c>
      <c r="M113" s="1">
        <f t="shared" si="256"/>
        <v>0</v>
      </c>
      <c r="N113" s="1">
        <f t="shared" si="256"/>
        <v>1.3111639731368471E-2</v>
      </c>
      <c r="O113" s="1">
        <f t="shared" si="5"/>
        <v>1.3111639731368471E-2</v>
      </c>
      <c r="P113" s="1">
        <f t="shared" si="150"/>
        <v>-1.3110512638520833E-2</v>
      </c>
      <c r="Q113" s="1">
        <f t="shared" si="151"/>
        <v>0</v>
      </c>
      <c r="R113" s="1">
        <f t="shared" si="152"/>
        <v>0.99982808490355479</v>
      </c>
      <c r="S113" s="1">
        <f t="shared" si="153"/>
        <v>13.444673293554001</v>
      </c>
      <c r="T113" s="1">
        <f t="shared" ref="T113:V113" si="257">$S113*P113</f>
        <v>-0.17626655913592323</v>
      </c>
      <c r="U113" s="1">
        <f t="shared" si="257"/>
        <v>0</v>
      </c>
      <c r="V113" s="1">
        <f t="shared" si="257"/>
        <v>13.442361951248065</v>
      </c>
      <c r="W113" s="1">
        <f t="shared" si="155"/>
        <v>-166.45135232708049</v>
      </c>
      <c r="X113" s="1">
        <f t="shared" si="156"/>
        <v>0</v>
      </c>
      <c r="Y113" s="1">
        <f t="shared" si="157"/>
        <v>1.4553855067853103</v>
      </c>
    </row>
    <row r="114" spans="1:25">
      <c r="A114" s="1">
        <v>0.112</v>
      </c>
      <c r="B114" s="1">
        <f t="shared" si="158"/>
        <v>8.4285988862894836</v>
      </c>
      <c r="C114" s="1">
        <f t="shared" si="159"/>
        <v>0</v>
      </c>
      <c r="D114" s="1">
        <f t="shared" si="160"/>
        <v>6.3123837148328019E-2</v>
      </c>
      <c r="E114" s="1">
        <f t="shared" si="161"/>
        <v>63.749867483905781</v>
      </c>
      <c r="F114" s="1">
        <f t="shared" si="162"/>
        <v>0</v>
      </c>
      <c r="G114" s="1">
        <f t="shared" si="163"/>
        <v>0.8395751768617068</v>
      </c>
      <c r="H114" s="1">
        <f t="shared" si="0"/>
        <v>63.755395777088154</v>
      </c>
      <c r="I114" s="1">
        <f t="shared" si="146"/>
        <v>-165.41030782699153</v>
      </c>
      <c r="J114" s="1">
        <f t="shared" si="147"/>
        <v>0</v>
      </c>
      <c r="K114" s="1">
        <f t="shared" si="148"/>
        <v>-2.178426307845359</v>
      </c>
      <c r="L114" s="1">
        <f t="shared" ref="L114:N114" si="258">E114/$H114</f>
        <v>0.99991328901475729</v>
      </c>
      <c r="M114" s="1">
        <f t="shared" si="258"/>
        <v>0</v>
      </c>
      <c r="N114" s="1">
        <f t="shared" si="258"/>
        <v>1.3168692102503203E-2</v>
      </c>
      <c r="O114" s="1">
        <f t="shared" si="5"/>
        <v>1.3168692102503203E-2</v>
      </c>
      <c r="P114" s="1">
        <f t="shared" si="150"/>
        <v>-1.3167550232236636E-2</v>
      </c>
      <c r="Q114" s="1">
        <f t="shared" si="151"/>
        <v>0</v>
      </c>
      <c r="R114" s="1">
        <f t="shared" si="152"/>
        <v>0.9998265855483095</v>
      </c>
      <c r="S114" s="1">
        <f t="shared" si="153"/>
        <v>13.374759094763339</v>
      </c>
      <c r="T114" s="1">
        <f t="shared" ref="T114:V114" si="259">$S114*P114</f>
        <v>-0.17611281222436007</v>
      </c>
      <c r="U114" s="1">
        <f t="shared" si="259"/>
        <v>0</v>
      </c>
      <c r="V114" s="1">
        <f t="shared" si="259"/>
        <v>13.372439718248428</v>
      </c>
      <c r="W114" s="1">
        <f t="shared" si="155"/>
        <v>-165.58642063921587</v>
      </c>
      <c r="X114" s="1">
        <f t="shared" si="156"/>
        <v>0</v>
      </c>
      <c r="Y114" s="1">
        <f t="shared" si="157"/>
        <v>1.3873634104030703</v>
      </c>
    </row>
    <row r="115" spans="1:25">
      <c r="A115" s="1">
        <v>0.113</v>
      </c>
      <c r="B115" s="1">
        <f t="shared" si="158"/>
        <v>8.492183167352751</v>
      </c>
      <c r="C115" s="1">
        <f t="shared" si="159"/>
        <v>0</v>
      </c>
      <c r="D115" s="1">
        <f t="shared" si="160"/>
        <v>6.3964799688600124E-2</v>
      </c>
      <c r="E115" s="1">
        <f t="shared" si="161"/>
        <v>63.584281063266566</v>
      </c>
      <c r="F115" s="1">
        <f t="shared" si="162"/>
        <v>0</v>
      </c>
      <c r="G115" s="1">
        <f t="shared" si="163"/>
        <v>0.84096254027210982</v>
      </c>
      <c r="H115" s="1">
        <f t="shared" si="0"/>
        <v>63.589842084460471</v>
      </c>
      <c r="I115" s="1">
        <f t="shared" si="146"/>
        <v>-164.55225913058766</v>
      </c>
      <c r="J115" s="1">
        <f t="shared" si="147"/>
        <v>0</v>
      </c>
      <c r="K115" s="1">
        <f t="shared" si="148"/>
        <v>-2.1763599986022117</v>
      </c>
      <c r="L115" s="1">
        <f t="shared" ref="L115:N115" si="260">E115/$H115</f>
        <v>0.99991254859248557</v>
      </c>
      <c r="M115" s="1">
        <f t="shared" si="260"/>
        <v>0</v>
      </c>
      <c r="N115" s="1">
        <f t="shared" si="260"/>
        <v>1.322479365737593E-2</v>
      </c>
      <c r="O115" s="1">
        <f t="shared" si="5"/>
        <v>1.322479365737593E-2</v>
      </c>
      <c r="P115" s="1">
        <f t="shared" si="150"/>
        <v>-1.3223637130556505E-2</v>
      </c>
      <c r="Q115" s="1">
        <f t="shared" si="151"/>
        <v>0</v>
      </c>
      <c r="R115" s="1">
        <f t="shared" si="152"/>
        <v>0.9998251048327198</v>
      </c>
      <c r="S115" s="1">
        <f t="shared" si="153"/>
        <v>13.305388781279282</v>
      </c>
      <c r="T115" s="1">
        <f t="shared" ref="T115:V115" si="261">$S115*P115</f>
        <v>-0.17594563312461467</v>
      </c>
      <c r="U115" s="1">
        <f t="shared" si="261"/>
        <v>0</v>
      </c>
      <c r="V115" s="1">
        <f t="shared" si="261"/>
        <v>13.303061733082652</v>
      </c>
      <c r="W115" s="1">
        <f t="shared" si="155"/>
        <v>-164.72820476371228</v>
      </c>
      <c r="X115" s="1">
        <f t="shared" si="156"/>
        <v>0</v>
      </c>
      <c r="Y115" s="1">
        <f t="shared" si="157"/>
        <v>1.3200517344804403</v>
      </c>
    </row>
    <row r="116" spans="1:25">
      <c r="A116" s="1">
        <v>0.114</v>
      </c>
      <c r="B116" s="1">
        <f t="shared" si="158"/>
        <v>8.5556027202112546</v>
      </c>
      <c r="C116" s="1">
        <f t="shared" si="159"/>
        <v>0</v>
      </c>
      <c r="D116" s="1">
        <f t="shared" si="160"/>
        <v>6.480708228060672E-2</v>
      </c>
      <c r="E116" s="1">
        <f t="shared" si="161"/>
        <v>63.419552858502854</v>
      </c>
      <c r="F116" s="1">
        <f t="shared" si="162"/>
        <v>0</v>
      </c>
      <c r="G116" s="1">
        <f t="shared" si="163"/>
        <v>0.84228259200659028</v>
      </c>
      <c r="H116" s="1">
        <f t="shared" si="0"/>
        <v>63.425145839305998</v>
      </c>
      <c r="I116" s="1">
        <f t="shared" si="146"/>
        <v>-163.70087005212753</v>
      </c>
      <c r="J116" s="1">
        <f t="shared" si="147"/>
        <v>0</v>
      </c>
      <c r="K116" s="1">
        <f t="shared" si="148"/>
        <v>-2.174130641521129</v>
      </c>
      <c r="L116" s="1">
        <f t="shared" ref="L116:N116" si="262">E116/$H116</f>
        <v>0.99991181761225567</v>
      </c>
      <c r="M116" s="1">
        <f t="shared" si="262"/>
        <v>0</v>
      </c>
      <c r="N116" s="1">
        <f t="shared" si="262"/>
        <v>1.3279947264774104E-2</v>
      </c>
      <c r="O116" s="1">
        <f t="shared" si="5"/>
        <v>1.3279947264774104E-2</v>
      </c>
      <c r="P116" s="1">
        <f t="shared" si="150"/>
        <v>-1.3278776207315178E-2</v>
      </c>
      <c r="Q116" s="1">
        <f t="shared" si="151"/>
        <v>0</v>
      </c>
      <c r="R116" s="1">
        <f t="shared" si="152"/>
        <v>0.99982364300064486</v>
      </c>
      <c r="S116" s="1">
        <f t="shared" si="153"/>
        <v>13.236556724753768</v>
      </c>
      <c r="T116" s="1">
        <f t="shared" ref="T116:V116" si="263">$S116*P116</f>
        <v>-0.17576527450343807</v>
      </c>
      <c r="U116" s="1">
        <f t="shared" si="263"/>
        <v>0</v>
      </c>
      <c r="V116" s="1">
        <f t="shared" si="263"/>
        <v>13.234222365327996</v>
      </c>
      <c r="W116" s="1">
        <f t="shared" si="155"/>
        <v>-163.87663532663097</v>
      </c>
      <c r="X116" s="1">
        <f t="shared" si="156"/>
        <v>0</v>
      </c>
      <c r="Y116" s="1">
        <f t="shared" si="157"/>
        <v>1.2534417238068674</v>
      </c>
    </row>
    <row r="117" spans="1:25">
      <c r="A117" s="1">
        <v>0.115</v>
      </c>
      <c r="B117" s="1">
        <f t="shared" si="158"/>
        <v>8.6188583964344314</v>
      </c>
      <c r="C117" s="1">
        <f t="shared" si="159"/>
        <v>0</v>
      </c>
      <c r="D117" s="1">
        <f t="shared" si="160"/>
        <v>6.565061831433712E-2</v>
      </c>
      <c r="E117" s="1">
        <f t="shared" si="161"/>
        <v>63.255676223176224</v>
      </c>
      <c r="F117" s="1">
        <f t="shared" si="162"/>
        <v>0</v>
      </c>
      <c r="G117" s="1">
        <f t="shared" si="163"/>
        <v>0.84353603373039709</v>
      </c>
      <c r="H117" s="1">
        <f t="shared" si="0"/>
        <v>63.261300393617447</v>
      </c>
      <c r="I117" s="1">
        <f t="shared" si="146"/>
        <v>-162.85607186357356</v>
      </c>
      <c r="J117" s="1">
        <f t="shared" si="147"/>
        <v>0</v>
      </c>
      <c r="K117" s="1">
        <f t="shared" si="148"/>
        <v>-2.1717413065671822</v>
      </c>
      <c r="L117" s="1">
        <f t="shared" ref="L117:N117" si="264">E117/$H117</f>
        <v>0.99991109619299268</v>
      </c>
      <c r="M117" s="1">
        <f t="shared" si="264"/>
        <v>0</v>
      </c>
      <c r="N117" s="1">
        <f t="shared" si="264"/>
        <v>1.3334155771092922E-2</v>
      </c>
      <c r="O117" s="1">
        <f t="shared" si="5"/>
        <v>1.3334155771092922E-2</v>
      </c>
      <c r="P117" s="1">
        <f t="shared" si="150"/>
        <v>-1.3332970313881644E-2</v>
      </c>
      <c r="Q117" s="1">
        <f t="shared" si="151"/>
        <v>0</v>
      </c>
      <c r="R117" s="1">
        <f t="shared" si="152"/>
        <v>0.99982220028987223</v>
      </c>
      <c r="S117" s="1">
        <f t="shared" si="153"/>
        <v>13.168257369522006</v>
      </c>
      <c r="T117" s="1">
        <f t="shared" ref="T117:V117" si="265">$S117*P117</f>
        <v>-0.1755719845933901</v>
      </c>
      <c r="U117" s="1">
        <f t="shared" si="265"/>
        <v>0</v>
      </c>
      <c r="V117" s="1">
        <f t="shared" si="265"/>
        <v>13.165916057178817</v>
      </c>
      <c r="W117" s="1">
        <f t="shared" si="155"/>
        <v>-163.03164384816696</v>
      </c>
      <c r="X117" s="1">
        <f t="shared" si="156"/>
        <v>0</v>
      </c>
      <c r="Y117" s="1">
        <f t="shared" si="157"/>
        <v>1.1875247506116349</v>
      </c>
    </row>
    <row r="118" spans="1:25">
      <c r="A118" s="1">
        <v>0.11600000000000001</v>
      </c>
      <c r="B118" s="1">
        <f t="shared" si="158"/>
        <v>8.6819510410137593</v>
      </c>
      <c r="C118" s="1">
        <f t="shared" si="159"/>
        <v>0</v>
      </c>
      <c r="D118" s="1">
        <f t="shared" si="160"/>
        <v>6.6495341872818123E-2</v>
      </c>
      <c r="E118" s="1">
        <f t="shared" si="161"/>
        <v>63.092644579328059</v>
      </c>
      <c r="F118" s="1">
        <f t="shared" si="162"/>
        <v>0</v>
      </c>
      <c r="G118" s="1">
        <f t="shared" si="163"/>
        <v>0.84472355848100877</v>
      </c>
      <c r="H118" s="1">
        <f t="shared" si="0"/>
        <v>63.098299168073204</v>
      </c>
      <c r="I118" s="1">
        <f t="shared" si="146"/>
        <v>-162.01779672157173</v>
      </c>
      <c r="J118" s="1">
        <f t="shared" si="147"/>
        <v>0</v>
      </c>
      <c r="K118" s="1">
        <f t="shared" si="148"/>
        <v>-2.1691950099162631</v>
      </c>
      <c r="L118" s="1">
        <f t="shared" ref="L118:N118" si="266">E118/$H118</f>
        <v>0.99991038445061597</v>
      </c>
      <c r="M118" s="1">
        <f t="shared" si="266"/>
        <v>0</v>
      </c>
      <c r="N118" s="1">
        <f t="shared" si="266"/>
        <v>1.3387422000566796E-2</v>
      </c>
      <c r="O118" s="1">
        <f t="shared" si="5"/>
        <v>1.3387422000566796E-2</v>
      </c>
      <c r="P118" s="1">
        <f t="shared" si="150"/>
        <v>-1.3386222279389379E-2</v>
      </c>
      <c r="Q118" s="1">
        <f t="shared" si="151"/>
        <v>0</v>
      </c>
      <c r="R118" s="1">
        <f t="shared" si="152"/>
        <v>0.99982077693217875</v>
      </c>
      <c r="S118" s="1">
        <f t="shared" si="153"/>
        <v>13.100485231478505</v>
      </c>
      <c r="T118" s="1">
        <f t="shared" ref="T118:V118" si="267">$S118*P118</f>
        <v>-0.17536600727642909</v>
      </c>
      <c r="U118" s="1">
        <f t="shared" si="267"/>
        <v>0</v>
      </c>
      <c r="V118" s="1">
        <f t="shared" si="267"/>
        <v>13.098137322325373</v>
      </c>
      <c r="W118" s="1">
        <f t="shared" si="155"/>
        <v>-162.19316272884816</v>
      </c>
      <c r="X118" s="1">
        <f t="shared" si="156"/>
        <v>0</v>
      </c>
      <c r="Y118" s="1">
        <f t="shared" si="157"/>
        <v>1.12229231240911</v>
      </c>
    </row>
    <row r="119" spans="1:25">
      <c r="A119" s="1">
        <v>0.11700000000000001</v>
      </c>
      <c r="B119" s="1">
        <f t="shared" si="158"/>
        <v>8.7448814924303591</v>
      </c>
      <c r="C119" s="1">
        <f t="shared" si="159"/>
        <v>0</v>
      </c>
      <c r="D119" s="1">
        <f t="shared" si="160"/>
        <v>6.7341187723611542E-2</v>
      </c>
      <c r="E119" s="1">
        <f t="shared" si="161"/>
        <v>62.930451416599212</v>
      </c>
      <c r="F119" s="1">
        <f t="shared" si="162"/>
        <v>0</v>
      </c>
      <c r="G119" s="1">
        <f t="shared" si="163"/>
        <v>0.8458458507934179</v>
      </c>
      <c r="H119" s="1">
        <f t="shared" si="0"/>
        <v>62.936135651152419</v>
      </c>
      <c r="I119" s="1">
        <f t="shared" si="146"/>
        <v>-161.185977653816</v>
      </c>
      <c r="J119" s="1">
        <f t="shared" si="147"/>
        <v>0</v>
      </c>
      <c r="K119" s="1">
        <f t="shared" si="148"/>
        <v>-2.1664947149671763</v>
      </c>
      <c r="L119" s="1">
        <f t="shared" ref="L119:N119" si="268">E119/$H119</f>
        <v>0.99990968249806889</v>
      </c>
      <c r="M119" s="1">
        <f t="shared" si="268"/>
        <v>0</v>
      </c>
      <c r="N119" s="1">
        <f t="shared" si="268"/>
        <v>1.3439748755497824E-2</v>
      </c>
      <c r="O119" s="1">
        <f t="shared" si="5"/>
        <v>1.3439748755497824E-2</v>
      </c>
      <c r="P119" s="1">
        <f t="shared" si="150"/>
        <v>-1.3438534910963645E-2</v>
      </c>
      <c r="Q119" s="1">
        <f t="shared" si="151"/>
        <v>0</v>
      </c>
      <c r="R119" s="1">
        <f t="shared" si="152"/>
        <v>0.99981937315338909</v>
      </c>
      <c r="S119" s="1">
        <f t="shared" si="153"/>
        <v>13.03323489697331</v>
      </c>
      <c r="T119" s="1">
        <f t="shared" ref="T119:V119" si="269">$S119*P119</f>
        <v>-0.17514758216576548</v>
      </c>
      <c r="U119" s="1">
        <f t="shared" si="269"/>
        <v>0</v>
      </c>
      <c r="V119" s="1">
        <f t="shared" si="269"/>
        <v>13.03088074485273</v>
      </c>
      <c r="W119" s="1">
        <f t="shared" si="155"/>
        <v>-161.36112523598177</v>
      </c>
      <c r="X119" s="1">
        <f t="shared" si="156"/>
        <v>0</v>
      </c>
      <c r="Y119" s="1">
        <f t="shared" si="157"/>
        <v>1.0577360298855556</v>
      </c>
    </row>
    <row r="120" spans="1:25">
      <c r="A120" s="1">
        <v>0.11799999999999999</v>
      </c>
      <c r="B120" s="1">
        <f t="shared" si="158"/>
        <v>8.8076505827217222</v>
      </c>
      <c r="C120" s="1">
        <f t="shared" si="159"/>
        <v>0</v>
      </c>
      <c r="D120" s="1">
        <f t="shared" si="160"/>
        <v>6.8188091310434851E-2</v>
      </c>
      <c r="E120" s="1">
        <f t="shared" si="161"/>
        <v>62.769090291363227</v>
      </c>
      <c r="F120" s="1">
        <f t="shared" si="162"/>
        <v>0</v>
      </c>
      <c r="G120" s="1">
        <f t="shared" si="163"/>
        <v>0.84690358682330347</v>
      </c>
      <c r="H120" s="1">
        <f t="shared" si="0"/>
        <v>62.774803398263892</v>
      </c>
      <c r="I120" s="1">
        <f t="shared" si="146"/>
        <v>-160.36054854565839</v>
      </c>
      <c r="J120" s="1">
        <f t="shared" si="147"/>
        <v>0</v>
      </c>
      <c r="K120" s="1">
        <f t="shared" si="148"/>
        <v>-2.1636433333327671</v>
      </c>
      <c r="L120" s="1">
        <f t="shared" ref="L120:N120" si="270">E120/$H120</f>
        <v>0.99990899044534765</v>
      </c>
      <c r="M120" s="1">
        <f t="shared" si="270"/>
        <v>0</v>
      </c>
      <c r="N120" s="1">
        <f t="shared" si="270"/>
        <v>1.3491138816481353E-2</v>
      </c>
      <c r="O120" s="1">
        <f t="shared" si="5"/>
        <v>1.3491138816481353E-2</v>
      </c>
      <c r="P120" s="1">
        <f t="shared" si="150"/>
        <v>-1.3489910993945912E-2</v>
      </c>
      <c r="Q120" s="1">
        <f t="shared" si="151"/>
        <v>0</v>
      </c>
      <c r="R120" s="1">
        <f t="shared" si="152"/>
        <v>0.99981798917343445</v>
      </c>
      <c r="S120" s="1">
        <f t="shared" si="153"/>
        <v>12.966501021728108</v>
      </c>
      <c r="T120" s="1">
        <f t="shared" ref="T120:V120" si="271">$S120*P120</f>
        <v>-0.17491694468602093</v>
      </c>
      <c r="U120" s="1">
        <f t="shared" si="271"/>
        <v>0</v>
      </c>
      <c r="V120" s="1">
        <f t="shared" si="271"/>
        <v>12.964140978159481</v>
      </c>
      <c r="W120" s="1">
        <f t="shared" si="155"/>
        <v>-160.53546549034442</v>
      </c>
      <c r="X120" s="1">
        <f t="shared" si="156"/>
        <v>0</v>
      </c>
      <c r="Y120" s="1">
        <f t="shared" si="157"/>
        <v>0.99384764482671351</v>
      </c>
    </row>
    <row r="121" spans="1:25">
      <c r="A121" s="1">
        <v>0.11899999999999999</v>
      </c>
      <c r="B121" s="1">
        <f t="shared" si="158"/>
        <v>8.8702591375475954</v>
      </c>
      <c r="C121" s="1">
        <f t="shared" si="159"/>
        <v>0</v>
      </c>
      <c r="D121" s="1">
        <f t="shared" si="160"/>
        <v>6.9035988744902979E-2</v>
      </c>
      <c r="E121" s="1">
        <f t="shared" si="161"/>
        <v>62.608554825872879</v>
      </c>
      <c r="F121" s="1">
        <f t="shared" si="162"/>
        <v>0</v>
      </c>
      <c r="G121" s="1">
        <f t="shared" si="163"/>
        <v>0.84789743446813015</v>
      </c>
      <c r="H121" s="1">
        <f t="shared" si="0"/>
        <v>62.614296030888248</v>
      </c>
      <c r="I121" s="1">
        <f t="shared" si="146"/>
        <v>-159.54144412695834</v>
      </c>
      <c r="J121" s="1">
        <f t="shared" si="147"/>
        <v>0</v>
      </c>
      <c r="K121" s="1">
        <f t="shared" si="148"/>
        <v>-2.1606437258105569</v>
      </c>
      <c r="L121" s="1">
        <f t="shared" ref="L121:N121" si="272">E121/$H121</f>
        <v>0.99990830839953004</v>
      </c>
      <c r="M121" s="1">
        <f t="shared" si="272"/>
        <v>0</v>
      </c>
      <c r="N121" s="1">
        <f t="shared" si="272"/>
        <v>1.3541594942628661E-2</v>
      </c>
      <c r="O121" s="1">
        <f t="shared" si="5"/>
        <v>1.3541594942628661E-2</v>
      </c>
      <c r="P121" s="1">
        <f t="shared" si="150"/>
        <v>-1.3540353292115457E-2</v>
      </c>
      <c r="Q121" s="1">
        <f t="shared" si="151"/>
        <v>0</v>
      </c>
      <c r="R121" s="1">
        <f t="shared" si="152"/>
        <v>0.99981662520640979</v>
      </c>
      <c r="S121" s="1">
        <f t="shared" si="153"/>
        <v>12.900278329771705</v>
      </c>
      <c r="T121" s="1">
        <f t="shared" ref="T121:V121" si="273">$S121*P121</f>
        <v>-0.17467432615172998</v>
      </c>
      <c r="U121" s="1">
        <f t="shared" si="273"/>
        <v>0</v>
      </c>
      <c r="V121" s="1">
        <f t="shared" si="273"/>
        <v>12.897912743895727</v>
      </c>
      <c r="W121" s="1">
        <f t="shared" si="155"/>
        <v>-159.71611845311006</v>
      </c>
      <c r="X121" s="1">
        <f t="shared" si="156"/>
        <v>0</v>
      </c>
      <c r="Y121" s="1">
        <f t="shared" si="157"/>
        <v>0.93061901808517078</v>
      </c>
    </row>
    <row r="122" spans="1:25">
      <c r="A122" s="1">
        <v>0.12</v>
      </c>
      <c r="B122" s="1">
        <f t="shared" si="158"/>
        <v>8.9327079762550152</v>
      </c>
      <c r="C122" s="1">
        <f t="shared" si="159"/>
        <v>0</v>
      </c>
      <c r="D122" s="1">
        <f t="shared" si="160"/>
        <v>6.988481679838919E-2</v>
      </c>
      <c r="E122" s="1">
        <f t="shared" si="161"/>
        <v>62.448838707419768</v>
      </c>
      <c r="F122" s="1">
        <f t="shared" si="162"/>
        <v>0</v>
      </c>
      <c r="G122" s="1">
        <f t="shared" si="163"/>
        <v>0.84882805348621537</v>
      </c>
      <c r="H122" s="1">
        <f t="shared" si="0"/>
        <v>62.454607235733334</v>
      </c>
      <c r="I122" s="1">
        <f t="shared" si="146"/>
        <v>-158.72859995916644</v>
      </c>
      <c r="J122" s="1">
        <f t="shared" si="147"/>
        <v>0</v>
      </c>
      <c r="K122" s="1">
        <f t="shared" si="148"/>
        <v>-2.1574987033333457</v>
      </c>
      <c r="L122" s="1">
        <f t="shared" ref="L122:N122" si="274">E122/$H122</f>
        <v>0.99990763646480407</v>
      </c>
      <c r="M122" s="1">
        <f t="shared" si="274"/>
        <v>0</v>
      </c>
      <c r="N122" s="1">
        <f t="shared" si="274"/>
        <v>1.3591119871786806E-2</v>
      </c>
      <c r="O122" s="1">
        <f t="shared" si="5"/>
        <v>1.3591119871786806E-2</v>
      </c>
      <c r="P122" s="1">
        <f t="shared" si="150"/>
        <v>-1.3589864547908177E-2</v>
      </c>
      <c r="Q122" s="1">
        <f t="shared" si="151"/>
        <v>0</v>
      </c>
      <c r="R122" s="1">
        <f t="shared" si="152"/>
        <v>0.9998152814606307</v>
      </c>
      <c r="S122" s="1">
        <f t="shared" si="153"/>
        <v>12.834561612394539</v>
      </c>
      <c r="T122" s="1">
        <f t="shared" ref="T122:V122" si="275">$S122*P122</f>
        <v>-0.17441995384422376</v>
      </c>
      <c r="U122" s="1">
        <f t="shared" si="275"/>
        <v>0</v>
      </c>
      <c r="V122" s="1">
        <f t="shared" si="275"/>
        <v>12.832190830920053</v>
      </c>
      <c r="W122" s="1">
        <f t="shared" si="155"/>
        <v>-158.90301991301067</v>
      </c>
      <c r="X122" s="1">
        <f t="shared" si="156"/>
        <v>0</v>
      </c>
      <c r="Y122" s="1">
        <f t="shared" si="157"/>
        <v>0.86804212758670829</v>
      </c>
    </row>
    <row r="123" spans="1:25">
      <c r="A123" s="1">
        <v>0.121</v>
      </c>
      <c r="B123" s="1">
        <f t="shared" si="158"/>
        <v>8.9949979119425212</v>
      </c>
      <c r="C123" s="1">
        <f t="shared" si="159"/>
        <v>0</v>
      </c>
      <c r="D123" s="1">
        <f t="shared" si="160"/>
        <v>7.0734512894002996E-2</v>
      </c>
      <c r="E123" s="1">
        <f t="shared" si="161"/>
        <v>62.289935687506755</v>
      </c>
      <c r="F123" s="1">
        <f t="shared" si="162"/>
        <v>0</v>
      </c>
      <c r="G123" s="1">
        <f t="shared" si="163"/>
        <v>0.8496960956138021</v>
      </c>
      <c r="H123" s="1">
        <f t="shared" si="0"/>
        <v>62.295730763902505</v>
      </c>
      <c r="I123" s="1">
        <f t="shared" si="146"/>
        <v>-157.92195242263847</v>
      </c>
      <c r="J123" s="1">
        <f t="shared" si="147"/>
        <v>0</v>
      </c>
      <c r="K123" s="1">
        <f t="shared" si="148"/>
        <v>-2.154211027900252</v>
      </c>
      <c r="L123" s="1">
        <f t="shared" ref="L123:N123" si="276">E123/$H123</f>
        <v>0.99990697474249535</v>
      </c>
      <c r="M123" s="1">
        <f t="shared" si="276"/>
        <v>0</v>
      </c>
      <c r="N123" s="1">
        <f t="shared" si="276"/>
        <v>1.363971632075567E-2</v>
      </c>
      <c r="O123" s="1">
        <f t="shared" si="5"/>
        <v>1.363971632075567E-2</v>
      </c>
      <c r="P123" s="1">
        <f t="shared" si="150"/>
        <v>-1.3638447482632642E-2</v>
      </c>
      <c r="Q123" s="1">
        <f t="shared" si="151"/>
        <v>0</v>
      </c>
      <c r="R123" s="1">
        <f t="shared" si="152"/>
        <v>0.99981395813868934</v>
      </c>
      <c r="S123" s="1">
        <f t="shared" si="153"/>
        <v>12.769345727121795</v>
      </c>
      <c r="T123" s="1">
        <f t="shared" ref="T123:V123" si="277">$S123*P123</f>
        <v>-0.17415405108693013</v>
      </c>
      <c r="U123" s="1">
        <f t="shared" si="277"/>
        <v>0</v>
      </c>
      <c r="V123" s="1">
        <f t="shared" si="277"/>
        <v>12.766970094275003</v>
      </c>
      <c r="W123" s="1">
        <f t="shared" si="155"/>
        <v>-158.0961064737254</v>
      </c>
      <c r="X123" s="1">
        <f t="shared" si="156"/>
        <v>0</v>
      </c>
      <c r="Y123" s="1">
        <f t="shared" si="157"/>
        <v>0.80610906637475033</v>
      </c>
    </row>
    <row r="124" spans="1:25">
      <c r="A124" s="1">
        <v>0.122</v>
      </c>
      <c r="B124" s="1">
        <f t="shared" si="158"/>
        <v>9.0571297515235543</v>
      </c>
      <c r="C124" s="1">
        <f t="shared" si="159"/>
        <v>0</v>
      </c>
      <c r="D124" s="1">
        <f t="shared" si="160"/>
        <v>7.1585015098683175E-2</v>
      </c>
      <c r="E124" s="1">
        <f t="shared" si="161"/>
        <v>62.131839581033027</v>
      </c>
      <c r="F124" s="1">
        <f t="shared" si="162"/>
        <v>0</v>
      </c>
      <c r="G124" s="1">
        <f t="shared" si="163"/>
        <v>0.8505022046801769</v>
      </c>
      <c r="H124" s="1">
        <f t="shared" si="0"/>
        <v>62.137660430075641</v>
      </c>
      <c r="I124" s="1">
        <f t="shared" si="146"/>
        <v>-157.12143870417475</v>
      </c>
      <c r="J124" s="1">
        <f t="shared" si="147"/>
        <v>0</v>
      </c>
      <c r="K124" s="1">
        <f t="shared" si="148"/>
        <v>-2.1507834134886257</v>
      </c>
      <c r="L124" s="1">
        <f t="shared" ref="L124:N124" si="278">E124/$H124</f>
        <v>0.99990632333109541</v>
      </c>
      <c r="M124" s="1">
        <f t="shared" si="278"/>
        <v>0</v>
      </c>
      <c r="N124" s="1">
        <f t="shared" si="278"/>
        <v>1.3687386985502273E-2</v>
      </c>
      <c r="O124" s="1">
        <f t="shared" si="5"/>
        <v>1.3687386985502273E-2</v>
      </c>
      <c r="P124" s="1">
        <f t="shared" si="150"/>
        <v>-1.3686104796683463E-2</v>
      </c>
      <c r="Q124" s="1">
        <f t="shared" si="151"/>
        <v>0</v>
      </c>
      <c r="R124" s="1">
        <f t="shared" si="152"/>
        <v>0.99981265543750908</v>
      </c>
      <c r="S124" s="1">
        <f t="shared" si="153"/>
        <v>12.704625596704815</v>
      </c>
      <c r="T124" s="1">
        <f t="shared" ref="T124:V124" si="279">$S124*P124</f>
        <v>-0.17387683731912928</v>
      </c>
      <c r="U124" s="1">
        <f t="shared" si="279"/>
        <v>0</v>
      </c>
      <c r="V124" s="1">
        <f t="shared" si="279"/>
        <v>12.70224545418079</v>
      </c>
      <c r="W124" s="1">
        <f t="shared" si="155"/>
        <v>-157.29531554149389</v>
      </c>
      <c r="X124" s="1">
        <f t="shared" si="156"/>
        <v>0</v>
      </c>
      <c r="Y124" s="1">
        <f t="shared" si="157"/>
        <v>0.74481204069216567</v>
      </c>
    </row>
    <row r="125" spans="1:25">
      <c r="A125" s="1">
        <v>0.123</v>
      </c>
      <c r="B125" s="1">
        <f t="shared" si="158"/>
        <v>9.1191042957890449</v>
      </c>
      <c r="C125" s="1">
        <f t="shared" si="159"/>
        <v>0</v>
      </c>
      <c r="D125" s="1">
        <f t="shared" si="160"/>
        <v>7.2436262115404049E-2</v>
      </c>
      <c r="E125" s="1">
        <f t="shared" si="161"/>
        <v>61.974544265491531</v>
      </c>
      <c r="F125" s="1">
        <f t="shared" si="162"/>
        <v>0</v>
      </c>
      <c r="G125" s="1">
        <f t="shared" si="163"/>
        <v>0.85124701672086911</v>
      </c>
      <c r="H125" s="1">
        <f t="shared" si="0"/>
        <v>61.980390111702633</v>
      </c>
      <c r="I125" s="1">
        <f t="shared" si="146"/>
        <v>-156.32699678478011</v>
      </c>
      <c r="J125" s="1">
        <f t="shared" si="147"/>
        <v>0</v>
      </c>
      <c r="K125" s="1">
        <f t="shared" si="148"/>
        <v>-2.1472185269472677</v>
      </c>
      <c r="L125" s="1">
        <f t="shared" ref="L125:N125" si="280">E125/$H125</f>
        <v>0.99990568232628796</v>
      </c>
      <c r="M125" s="1">
        <f t="shared" si="280"/>
        <v>0</v>
      </c>
      <c r="N125" s="1">
        <f t="shared" si="280"/>
        <v>1.3734134541372362E-2</v>
      </c>
      <c r="O125" s="1">
        <f t="shared" si="5"/>
        <v>1.3734134541372362E-2</v>
      </c>
      <c r="P125" s="1">
        <f t="shared" si="150"/>
        <v>-1.3732839169751971E-2</v>
      </c>
      <c r="Q125" s="1">
        <f t="shared" si="151"/>
        <v>0</v>
      </c>
      <c r="R125" s="1">
        <f t="shared" si="152"/>
        <v>0.99981137354839944</v>
      </c>
      <c r="S125" s="1">
        <f t="shared" si="153"/>
        <v>12.640396208130349</v>
      </c>
      <c r="T125" s="1">
        <f t="shared" ref="T125:V125" si="281">$S125*P125</f>
        <v>-0.17358852816819675</v>
      </c>
      <c r="U125" s="1">
        <f t="shared" si="281"/>
        <v>0</v>
      </c>
      <c r="V125" s="1">
        <f t="shared" si="281"/>
        <v>12.638011895046784</v>
      </c>
      <c r="W125" s="1">
        <f t="shared" si="155"/>
        <v>-156.50058531294832</v>
      </c>
      <c r="X125" s="1">
        <f t="shared" si="156"/>
        <v>0</v>
      </c>
      <c r="Y125" s="1">
        <f t="shared" si="157"/>
        <v>0.6841433680995177</v>
      </c>
    </row>
    <row r="126" spans="1:25">
      <c r="A126" s="1">
        <v>0.124</v>
      </c>
      <c r="B126" s="1">
        <f t="shared" si="158"/>
        <v>9.1809223394692232</v>
      </c>
      <c r="C126" s="1">
        <f t="shared" si="159"/>
        <v>0</v>
      </c>
      <c r="D126" s="1">
        <f t="shared" si="160"/>
        <v>7.3288193275493019E-2</v>
      </c>
      <c r="E126" s="1">
        <f t="shared" si="161"/>
        <v>61.818043680178583</v>
      </c>
      <c r="F126" s="1">
        <f t="shared" si="162"/>
        <v>0</v>
      </c>
      <c r="G126" s="1">
        <f t="shared" si="163"/>
        <v>0.85193116008896863</v>
      </c>
      <c r="H126" s="1">
        <f t="shared" si="0"/>
        <v>61.823913748209094</v>
      </c>
      <c r="I126" s="1">
        <f t="shared" si="146"/>
        <v>-155.53856542763992</v>
      </c>
      <c r="J126" s="1">
        <f t="shared" si="147"/>
        <v>0</v>
      </c>
      <c r="K126" s="1">
        <f t="shared" si="148"/>
        <v>-2.1435189888713801</v>
      </c>
      <c r="L126" s="1">
        <f t="shared" ref="L126:N126" si="282">E126/$H126</f>
        <v>0.99990505182097633</v>
      </c>
      <c r="M126" s="1">
        <f t="shared" si="282"/>
        <v>0</v>
      </c>
      <c r="N126" s="1">
        <f t="shared" si="282"/>
        <v>1.377996164329935E-2</v>
      </c>
      <c r="O126" s="1">
        <f t="shared" si="5"/>
        <v>1.377996164329935E-2</v>
      </c>
      <c r="P126" s="1">
        <f t="shared" si="150"/>
        <v>-1.3778653261034302E-2</v>
      </c>
      <c r="Q126" s="1">
        <f t="shared" si="151"/>
        <v>0</v>
      </c>
      <c r="R126" s="1">
        <f t="shared" si="152"/>
        <v>0.99981011265710917</v>
      </c>
      <c r="S126" s="1">
        <f t="shared" si="153"/>
        <v>12.57665261164734</v>
      </c>
      <c r="T126" s="1">
        <f t="shared" ref="T126:V126" si="283">$S126*P126</f>
        <v>-0.17328933552037018</v>
      </c>
      <c r="U126" s="1">
        <f t="shared" si="283"/>
        <v>0</v>
      </c>
      <c r="V126" s="1">
        <f t="shared" si="283"/>
        <v>12.574264464500454</v>
      </c>
      <c r="W126" s="1">
        <f t="shared" si="155"/>
        <v>-155.71185476316029</v>
      </c>
      <c r="X126" s="1">
        <f t="shared" si="156"/>
        <v>0</v>
      </c>
      <c r="Y126" s="1">
        <f t="shared" si="157"/>
        <v>0.62409547562907441</v>
      </c>
    </row>
    <row r="127" spans="1:25">
      <c r="A127" s="1">
        <v>0.125</v>
      </c>
      <c r="B127" s="1">
        <f t="shared" si="158"/>
        <v>9.2425846712946385</v>
      </c>
      <c r="C127" s="1">
        <f t="shared" si="159"/>
        <v>0</v>
      </c>
      <c r="D127" s="1">
        <f t="shared" si="160"/>
        <v>7.4140748531057621E-2</v>
      </c>
      <c r="E127" s="1">
        <f t="shared" si="161"/>
        <v>61.662331825415421</v>
      </c>
      <c r="F127" s="1">
        <f t="shared" si="162"/>
        <v>0</v>
      </c>
      <c r="G127" s="1">
        <f t="shared" si="163"/>
        <v>0.85255525556459766</v>
      </c>
      <c r="H127" s="1">
        <f t="shared" si="0"/>
        <v>61.66822534021415</v>
      </c>
      <c r="I127" s="1">
        <f t="shared" si="146"/>
        <v>-154.75608416630843</v>
      </c>
      <c r="J127" s="1">
        <f t="shared" si="147"/>
        <v>0</v>
      </c>
      <c r="K127" s="1">
        <f t="shared" si="148"/>
        <v>-2.1396873744596601</v>
      </c>
      <c r="L127" s="1">
        <f t="shared" ref="L127:N127" si="284">E127/$H127</f>
        <v>0.9999044319053092</v>
      </c>
      <c r="M127" s="1">
        <f t="shared" si="284"/>
        <v>0</v>
      </c>
      <c r="N127" s="1">
        <f t="shared" si="284"/>
        <v>1.3824870926010615E-2</v>
      </c>
      <c r="O127" s="1">
        <f t="shared" si="5"/>
        <v>1.3824870926010615E-2</v>
      </c>
      <c r="P127" s="1">
        <f t="shared" si="150"/>
        <v>-1.382354970943687E-2</v>
      </c>
      <c r="Q127" s="1">
        <f t="shared" si="151"/>
        <v>0</v>
      </c>
      <c r="R127" s="1">
        <f t="shared" si="152"/>
        <v>0.9998088729438791</v>
      </c>
      <c r="S127" s="1">
        <f t="shared" si="153"/>
        <v>12.513389919810887</v>
      </c>
      <c r="T127" s="1">
        <f t="shared" ref="T127:V127" si="285">$S127*P127</f>
        <v>-0.17297946759007204</v>
      </c>
      <c r="U127" s="1">
        <f t="shared" si="285"/>
        <v>0</v>
      </c>
      <c r="V127" s="1">
        <f t="shared" si="285"/>
        <v>12.510998272433421</v>
      </c>
      <c r="W127" s="1">
        <f t="shared" si="155"/>
        <v>-154.92906363389849</v>
      </c>
      <c r="X127" s="1">
        <f t="shared" si="156"/>
        <v>0</v>
      </c>
      <c r="Y127" s="1">
        <f t="shared" si="157"/>
        <v>0.56466089797376107</v>
      </c>
    </row>
    <row r="128" spans="1:25">
      <c r="A128" s="1">
        <v>0.126</v>
      </c>
      <c r="B128" s="1">
        <f t="shared" si="158"/>
        <v>9.3040920740564204</v>
      </c>
      <c r="C128" s="1">
        <f t="shared" si="159"/>
        <v>0</v>
      </c>
      <c r="D128" s="1">
        <f t="shared" si="160"/>
        <v>7.4993868447520193E-2</v>
      </c>
      <c r="E128" s="1">
        <f t="shared" si="161"/>
        <v>61.50740276178152</v>
      </c>
      <c r="F128" s="1">
        <f t="shared" si="162"/>
        <v>0</v>
      </c>
      <c r="G128" s="1">
        <f t="shared" si="163"/>
        <v>0.85311991646257146</v>
      </c>
      <c r="H128" s="1">
        <f t="shared" si="0"/>
        <v>61.513318948759988</v>
      </c>
      <c r="I128" s="1">
        <f t="shared" si="146"/>
        <v>-153.97949329310444</v>
      </c>
      <c r="J128" s="1">
        <f t="shared" si="147"/>
        <v>0</v>
      </c>
      <c r="K128" s="1">
        <f t="shared" si="148"/>
        <v>-2.1357262143539337</v>
      </c>
      <c r="L128" s="1">
        <f t="shared" ref="L128:N128" si="286">E128/$H128</f>
        <v>0.99990382266670741</v>
      </c>
      <c r="M128" s="1">
        <f t="shared" si="286"/>
        <v>0</v>
      </c>
      <c r="N128" s="1">
        <f t="shared" si="286"/>
        <v>1.3868865004231234E-2</v>
      </c>
      <c r="O128" s="1">
        <f t="shared" si="5"/>
        <v>1.3868865004231234E-2</v>
      </c>
      <c r="P128" s="1">
        <f t="shared" si="150"/>
        <v>-1.3867531133779332E-2</v>
      </c>
      <c r="Q128" s="1">
        <f t="shared" si="151"/>
        <v>0</v>
      </c>
      <c r="R128" s="1">
        <f t="shared" si="152"/>
        <v>0.99980765458349441</v>
      </c>
      <c r="S128" s="1">
        <f t="shared" si="153"/>
        <v>12.450603306542989</v>
      </c>
      <c r="T128" s="1">
        <f t="shared" ref="T128:V128" si="287">$S128*P128</f>
        <v>-0.17265912898782079</v>
      </c>
      <c r="U128" s="1">
        <f t="shared" si="287"/>
        <v>0</v>
      </c>
      <c r="V128" s="1">
        <f t="shared" si="287"/>
        <v>12.448208490064246</v>
      </c>
      <c r="W128" s="1">
        <f t="shared" si="155"/>
        <v>-154.15215242209226</v>
      </c>
      <c r="X128" s="1">
        <f t="shared" si="156"/>
        <v>0</v>
      </c>
      <c r="Y128" s="1">
        <f t="shared" si="157"/>
        <v>0.50583227571031308</v>
      </c>
    </row>
    <row r="129" spans="1:25">
      <c r="A129" s="1">
        <v>0.127</v>
      </c>
      <c r="B129" s="1">
        <f t="shared" si="158"/>
        <v>9.3654453246657798</v>
      </c>
      <c r="C129" s="1">
        <f t="shared" si="159"/>
        <v>0</v>
      </c>
      <c r="D129" s="1">
        <f t="shared" si="160"/>
        <v>7.5847494196258469E-2</v>
      </c>
      <c r="E129" s="1">
        <f t="shared" si="161"/>
        <v>61.353250609359428</v>
      </c>
      <c r="F129" s="1">
        <f t="shared" si="162"/>
        <v>0</v>
      </c>
      <c r="G129" s="1">
        <f t="shared" si="163"/>
        <v>0.85362574873828179</v>
      </c>
      <c r="H129" s="1">
        <f t="shared" si="0"/>
        <v>61.359188694553097</v>
      </c>
      <c r="I129" s="1">
        <f t="shared" si="146"/>
        <v>-153.20873384771068</v>
      </c>
      <c r="J129" s="1">
        <f t="shared" si="147"/>
        <v>0</v>
      </c>
      <c r="K129" s="1">
        <f t="shared" si="148"/>
        <v>-2.1316379954617313</v>
      </c>
      <c r="L129" s="1">
        <f t="shared" ref="L129:N129" si="288">E129/$H129</f>
        <v>0.99990322418988897</v>
      </c>
      <c r="M129" s="1">
        <f t="shared" si="288"/>
        <v>0</v>
      </c>
      <c r="N129" s="1">
        <f t="shared" si="288"/>
        <v>1.391194647288514E-2</v>
      </c>
      <c r="O129" s="1">
        <f t="shared" si="5"/>
        <v>1.391194647288514E-2</v>
      </c>
      <c r="P129" s="1">
        <f t="shared" si="150"/>
        <v>-1.3910600132995006E-2</v>
      </c>
      <c r="Q129" s="1">
        <f t="shared" si="151"/>
        <v>0</v>
      </c>
      <c r="R129" s="1">
        <f t="shared" si="152"/>
        <v>0.99980645774533561</v>
      </c>
      <c r="S129" s="1">
        <f t="shared" si="153"/>
        <v>12.38828800620983</v>
      </c>
      <c r="T129" s="1">
        <f t="shared" ref="T129:V129" si="289">$S129*P129</f>
        <v>-0.17232852078676289</v>
      </c>
      <c r="U129" s="1">
        <f t="shared" si="289"/>
        <v>0</v>
      </c>
      <c r="V129" s="1">
        <f t="shared" si="289"/>
        <v>12.385890349017677</v>
      </c>
      <c r="W129" s="1">
        <f t="shared" si="155"/>
        <v>-153.38106236849742</v>
      </c>
      <c r="X129" s="1">
        <f t="shared" si="156"/>
        <v>0</v>
      </c>
      <c r="Y129" s="1">
        <f t="shared" si="157"/>
        <v>0.44760235355594524</v>
      </c>
    </row>
    <row r="130" spans="1:25">
      <c r="A130" s="1">
        <v>0.128</v>
      </c>
      <c r="B130" s="1">
        <f t="shared" si="158"/>
        <v>9.4266451942127709</v>
      </c>
      <c r="C130" s="1">
        <f t="shared" si="159"/>
        <v>0</v>
      </c>
      <c r="D130" s="1">
        <f t="shared" si="160"/>
        <v>7.6701567547350302E-2</v>
      </c>
      <c r="E130" s="1">
        <f t="shared" si="161"/>
        <v>61.199869546990932</v>
      </c>
      <c r="F130" s="1">
        <f t="shared" si="162"/>
        <v>0</v>
      </c>
      <c r="G130" s="1">
        <f t="shared" si="163"/>
        <v>0.85407335109183768</v>
      </c>
      <c r="H130" s="1">
        <f t="shared" si="0"/>
        <v>61.20582875721685</v>
      </c>
      <c r="I130" s="1">
        <f t="shared" ref="I130:I193" si="290">-K_drag*$H130*E130</f>
        <v>-152.44374760597231</v>
      </c>
      <c r="J130" s="1">
        <f t="shared" ref="J130:J193" si="291">-K_drag*$H130*F130</f>
        <v>0</v>
      </c>
      <c r="K130" s="1">
        <f t="shared" ref="K130:K193" si="292">-K_drag*$H130*G130</f>
        <v>-2.1274251617621731</v>
      </c>
      <c r="L130" s="1">
        <f t="shared" ref="L130:N130" si="293">E130/$H130</f>
        <v>0.99990263655689471</v>
      </c>
      <c r="M130" s="1">
        <f t="shared" si="293"/>
        <v>0</v>
      </c>
      <c r="N130" s="1">
        <f t="shared" si="293"/>
        <v>1.3954117907293803E-2</v>
      </c>
      <c r="O130" s="1">
        <f t="shared" si="5"/>
        <v>1.3954117907293803E-2</v>
      </c>
      <c r="P130" s="1">
        <f t="shared" ref="P130:P193" si="294">u_axis_f-$O130*L130</f>
        <v>-1.3952759286328852E-2</v>
      </c>
      <c r="Q130" s="1">
        <f t="shared" ref="Q130:Q193" si="295">u_axis_r-$O130*M130</f>
        <v>0</v>
      </c>
      <c r="R130" s="1">
        <f t="shared" ref="R130:R193" si="296">u_axis_u-$O130*N130</f>
        <v>0.99980528259342938</v>
      </c>
      <c r="S130" s="1">
        <f t="shared" ref="S130:S193" si="297">K_lift*H130^2</f>
        <v>12.326439312715154</v>
      </c>
      <c r="T130" s="1">
        <f t="shared" ref="T130:V130" si="298">$S130*P130</f>
        <v>-0.17198784058785538</v>
      </c>
      <c r="U130" s="1">
        <f t="shared" si="298"/>
        <v>0</v>
      </c>
      <c r="V130" s="1">
        <f t="shared" si="298"/>
        <v>12.324039140419933</v>
      </c>
      <c r="W130" s="1">
        <f t="shared" ref="W130:W193" si="299">I130+T130+g_f</f>
        <v>-152.61573544656017</v>
      </c>
      <c r="X130" s="1">
        <f t="shared" ref="X130:X193" si="300">J130+U130+g_r</f>
        <v>0</v>
      </c>
      <c r="Y130" s="1">
        <f t="shared" ref="Y130:Y193" si="301">K130+V130+g_u</f>
        <v>0.38996397865775911</v>
      </c>
    </row>
    <row r="131" spans="1:25">
      <c r="A131" s="1">
        <v>0.129</v>
      </c>
      <c r="B131" s="1">
        <f t="shared" ref="B131:B194" si="302">B130+E131*dt</f>
        <v>9.4876924480243154</v>
      </c>
      <c r="C131" s="1">
        <f t="shared" ref="C131:C194" si="303">C130+F131*dt</f>
        <v>0</v>
      </c>
      <c r="D131" s="1">
        <f t="shared" ref="D131:D194" si="304">D130+G131*dt</f>
        <v>7.7556030862420799E-2</v>
      </c>
      <c r="E131" s="1">
        <f t="shared" ref="E131:E194" si="305">E130+W130*dt</f>
        <v>61.047253811544373</v>
      </c>
      <c r="F131" s="1">
        <f t="shared" ref="F131:F194" si="306">F130+X130*dt</f>
        <v>0</v>
      </c>
      <c r="G131" s="1">
        <f t="shared" ref="G131:G194" si="307">G130+Y130*dt</f>
        <v>0.85446331507049544</v>
      </c>
      <c r="H131" s="1">
        <f t="shared" si="0"/>
        <v>61.053233374555354</v>
      </c>
      <c r="I131" s="1">
        <f t="shared" si="290"/>
        <v>-151.68447706889111</v>
      </c>
      <c r="J131" s="1">
        <f t="shared" si="291"/>
        <v>0</v>
      </c>
      <c r="K131" s="1">
        <f t="shared" si="292"/>
        <v>-2.1230901150955539</v>
      </c>
      <c r="L131" s="1">
        <f t="shared" ref="L131:N131" si="308">E131/$H131</f>
        <v>0.99990205984711245</v>
      </c>
      <c r="M131" s="1">
        <f t="shared" si="308"/>
        <v>0</v>
      </c>
      <c r="N131" s="1">
        <f t="shared" si="308"/>
        <v>1.3995381863372415E-2</v>
      </c>
      <c r="O131" s="1">
        <f t="shared" si="5"/>
        <v>1.3995381863372415E-2</v>
      </c>
      <c r="P131" s="1">
        <f t="shared" si="294"/>
        <v>-1.3994011153532996E-2</v>
      </c>
      <c r="Q131" s="1">
        <f t="shared" si="295"/>
        <v>0</v>
      </c>
      <c r="R131" s="1">
        <f t="shared" si="296"/>
        <v>0.99980412928649842</v>
      </c>
      <c r="S131" s="1">
        <f t="shared" si="297"/>
        <v>12.265052578609536</v>
      </c>
      <c r="T131" s="1">
        <f t="shared" ref="T131:V131" si="309">$S131*P131</f>
        <v>-0.17163728258373048</v>
      </c>
      <c r="U131" s="1">
        <f t="shared" si="309"/>
        <v>0</v>
      </c>
      <c r="V131" s="1">
        <f t="shared" si="309"/>
        <v>12.262650214009829</v>
      </c>
      <c r="W131" s="1">
        <f t="shared" si="299"/>
        <v>-151.85611435147484</v>
      </c>
      <c r="X131" s="1">
        <f t="shared" si="300"/>
        <v>0</v>
      </c>
      <c r="Y131" s="1">
        <f t="shared" si="301"/>
        <v>0.33291009891427592</v>
      </c>
    </row>
    <row r="132" spans="1:25">
      <c r="A132" s="1">
        <v>0.13</v>
      </c>
      <c r="B132" s="1">
        <f t="shared" si="302"/>
        <v>9.5485878457215083</v>
      </c>
      <c r="C132" s="1">
        <f t="shared" si="303"/>
        <v>0</v>
      </c>
      <c r="D132" s="1">
        <f t="shared" si="304"/>
        <v>7.8410827087590215E-2</v>
      </c>
      <c r="E132" s="1">
        <f t="shared" si="305"/>
        <v>60.895397697192898</v>
      </c>
      <c r="F132" s="1">
        <f t="shared" si="306"/>
        <v>0</v>
      </c>
      <c r="G132" s="1">
        <f t="shared" si="307"/>
        <v>0.85479622516940967</v>
      </c>
      <c r="H132" s="1">
        <f t="shared" si="0"/>
        <v>60.901396841828266</v>
      </c>
      <c r="I132" s="1">
        <f t="shared" si="290"/>
        <v>-150.93086545181129</v>
      </c>
      <c r="J132" s="1">
        <f t="shared" si="291"/>
        <v>0</v>
      </c>
      <c r="K132" s="1">
        <f t="shared" si="292"/>
        <v>-2.118635215936977</v>
      </c>
      <c r="L132" s="1">
        <f t="shared" ref="L132:N132" si="310">E132/$H132</f>
        <v>0.99990149413730278</v>
      </c>
      <c r="M132" s="1">
        <f t="shared" si="310"/>
        <v>0</v>
      </c>
      <c r="N132" s="1">
        <f t="shared" si="310"/>
        <v>1.4035740877823659E-2</v>
      </c>
      <c r="O132" s="1">
        <f t="shared" si="5"/>
        <v>1.4035740877823659E-2</v>
      </c>
      <c r="P132" s="1">
        <f t="shared" si="294"/>
        <v>-1.4034358275059894E-2</v>
      </c>
      <c r="Q132" s="1">
        <f t="shared" si="295"/>
        <v>0</v>
      </c>
      <c r="R132" s="1">
        <f t="shared" si="296"/>
        <v>0.99980299797801064</v>
      </c>
      <c r="S132" s="1">
        <f t="shared" si="297"/>
        <v>12.204123214215102</v>
      </c>
      <c r="T132" s="1">
        <f t="shared" ref="T132:V132" si="311">$S132*P132</f>
        <v>-0.17127703762127025</v>
      </c>
      <c r="U132" s="1">
        <f t="shared" si="311"/>
        <v>0</v>
      </c>
      <c r="V132" s="1">
        <f t="shared" si="311"/>
        <v>12.201718977265294</v>
      </c>
      <c r="W132" s="1">
        <f t="shared" si="299"/>
        <v>-151.10214248943257</v>
      </c>
      <c r="X132" s="1">
        <f t="shared" si="300"/>
        <v>0</v>
      </c>
      <c r="Y132" s="1">
        <f t="shared" si="301"/>
        <v>0.27643376132831854</v>
      </c>
    </row>
    <row r="133" spans="1:25">
      <c r="A133" s="1">
        <v>0.13100000000000001</v>
      </c>
      <c r="B133" s="1">
        <f t="shared" si="302"/>
        <v>9.6093321412762123</v>
      </c>
      <c r="C133" s="1">
        <f t="shared" si="303"/>
        <v>0</v>
      </c>
      <c r="D133" s="1">
        <f t="shared" si="304"/>
        <v>7.9265899746520957E-2</v>
      </c>
      <c r="E133" s="1">
        <f t="shared" si="305"/>
        <v>60.744295554703463</v>
      </c>
      <c r="F133" s="1">
        <f t="shared" si="306"/>
        <v>0</v>
      </c>
      <c r="G133" s="1">
        <f t="shared" si="307"/>
        <v>0.85507265893073803</v>
      </c>
      <c r="H133" s="1">
        <f t="shared" si="0"/>
        <v>60.750313511036445</v>
      </c>
      <c r="I133" s="1">
        <f t="shared" si="290"/>
        <v>-150.1828566737926</v>
      </c>
      <c r="J133" s="1">
        <f t="shared" si="291"/>
        <v>0</v>
      </c>
      <c r="K133" s="1">
        <f t="shared" si="292"/>
        <v>-2.114062784154394</v>
      </c>
      <c r="L133" s="1">
        <f t="shared" ref="L133:N133" si="312">E133/$H133</f>
        <v>0.99990093950162262</v>
      </c>
      <c r="M133" s="1">
        <f t="shared" si="312"/>
        <v>0</v>
      </c>
      <c r="N133" s="1">
        <f t="shared" si="312"/>
        <v>1.407519746832908E-2</v>
      </c>
      <c r="O133" s="1">
        <f t="shared" si="5"/>
        <v>1.407519746832908E-2</v>
      </c>
      <c r="P133" s="1">
        <f t="shared" si="294"/>
        <v>-1.4073803172253107E-2</v>
      </c>
      <c r="Q133" s="1">
        <f t="shared" si="295"/>
        <v>0</v>
      </c>
      <c r="R133" s="1">
        <f t="shared" si="296"/>
        <v>0.99980188881622756</v>
      </c>
      <c r="S133" s="1">
        <f t="shared" si="297"/>
        <v>12.143646686765502</v>
      </c>
      <c r="T133" s="1">
        <f t="shared" ref="T133:V133" si="313">$S133*P133</f>
        <v>-0.17090729326292126</v>
      </c>
      <c r="U133" s="1">
        <f t="shared" si="313"/>
        <v>0</v>
      </c>
      <c r="V133" s="1">
        <f t="shared" si="313"/>
        <v>12.141240894545072</v>
      </c>
      <c r="W133" s="1">
        <f t="shared" si="299"/>
        <v>-150.35376396705553</v>
      </c>
      <c r="X133" s="1">
        <f t="shared" si="300"/>
        <v>0</v>
      </c>
      <c r="Y133" s="1">
        <f t="shared" si="301"/>
        <v>0.22052811039067954</v>
      </c>
    </row>
    <row r="134" spans="1:25">
      <c r="A134" s="1">
        <v>0.13200000000000001</v>
      </c>
      <c r="B134" s="1">
        <f t="shared" si="302"/>
        <v>9.6699260830669491</v>
      </c>
      <c r="C134" s="1">
        <f t="shared" si="303"/>
        <v>0</v>
      </c>
      <c r="D134" s="1">
        <f t="shared" si="304"/>
        <v>8.0121192933562083E-2</v>
      </c>
      <c r="E134" s="1">
        <f t="shared" si="305"/>
        <v>60.593941790736409</v>
      </c>
      <c r="F134" s="1">
        <f t="shared" si="306"/>
        <v>0</v>
      </c>
      <c r="G134" s="1">
        <f t="shared" si="307"/>
        <v>0.85529318704112867</v>
      </c>
      <c r="H134" s="1">
        <f t="shared" si="0"/>
        <v>60.599977790218304</v>
      </c>
      <c r="I134" s="1">
        <f t="shared" si="290"/>
        <v>-149.44039534716811</v>
      </c>
      <c r="J134" s="1">
        <f t="shared" si="291"/>
        <v>0</v>
      </c>
      <c r="K134" s="1">
        <f t="shared" si="292"/>
        <v>-2.1093750997514085</v>
      </c>
      <c r="L134" s="1">
        <f t="shared" ref="L134:N134" si="314">E134/$H134</f>
        <v>0.99990039601164893</v>
      </c>
      <c r="M134" s="1">
        <f t="shared" si="314"/>
        <v>0</v>
      </c>
      <c r="N134" s="1">
        <f t="shared" si="314"/>
        <v>1.4113754133738067E-2</v>
      </c>
      <c r="O134" s="1">
        <f t="shared" si="5"/>
        <v>1.4113754133738067E-2</v>
      </c>
      <c r="P134" s="1">
        <f t="shared" si="294"/>
        <v>-1.411234834753574E-2</v>
      </c>
      <c r="Q134" s="1">
        <f t="shared" si="295"/>
        <v>0</v>
      </c>
      <c r="R134" s="1">
        <f t="shared" si="296"/>
        <v>0.99980080194425236</v>
      </c>
      <c r="S134" s="1">
        <f t="shared" si="297"/>
        <v>12.083618519560789</v>
      </c>
      <c r="T134" s="1">
        <f t="shared" ref="T134:V134" si="315">$S134*P134</f>
        <v>-0.17052823384677596</v>
      </c>
      <c r="U134" s="1">
        <f t="shared" si="315"/>
        <v>0</v>
      </c>
      <c r="V134" s="1">
        <f t="shared" si="315"/>
        <v>12.081211486245296</v>
      </c>
      <c r="W134" s="1">
        <f t="shared" si="299"/>
        <v>-149.61092358101487</v>
      </c>
      <c r="X134" s="1">
        <f t="shared" si="300"/>
        <v>0</v>
      </c>
      <c r="Y134" s="1">
        <f t="shared" si="301"/>
        <v>0.16518638649388784</v>
      </c>
    </row>
    <row r="135" spans="1:25">
      <c r="A135" s="1">
        <v>0.13300000000000001</v>
      </c>
      <c r="B135" s="1">
        <f t="shared" si="302"/>
        <v>9.7303704139341036</v>
      </c>
      <c r="C135" s="1">
        <f t="shared" si="303"/>
        <v>0</v>
      </c>
      <c r="D135" s="1">
        <f t="shared" si="304"/>
        <v>8.0976651306989708E-2</v>
      </c>
      <c r="E135" s="1">
        <f t="shared" si="305"/>
        <v>60.444330867155394</v>
      </c>
      <c r="F135" s="1">
        <f t="shared" si="306"/>
        <v>0</v>
      </c>
      <c r="G135" s="1">
        <f t="shared" si="307"/>
        <v>0.85545837342762254</v>
      </c>
      <c r="H135" s="1">
        <f t="shared" si="0"/>
        <v>60.450384142756462</v>
      </c>
      <c r="I135" s="1">
        <f t="shared" si="290"/>
        <v>-148.70342676728166</v>
      </c>
      <c r="J135" s="1">
        <f t="shared" si="291"/>
        <v>0</v>
      </c>
      <c r="K135" s="1">
        <f t="shared" si="292"/>
        <v>-2.1045744035951648</v>
      </c>
      <c r="L135" s="1">
        <f t="shared" ref="L135:N135" si="316">E135/$H135</f>
        <v>0.99989986373640283</v>
      </c>
      <c r="M135" s="1">
        <f t="shared" si="316"/>
        <v>0</v>
      </c>
      <c r="N135" s="1">
        <f t="shared" si="316"/>
        <v>1.415141335425457E-2</v>
      </c>
      <c r="O135" s="1">
        <f t="shared" si="5"/>
        <v>1.415141335425457E-2</v>
      </c>
      <c r="P135" s="1">
        <f t="shared" si="294"/>
        <v>-1.4149996284596655E-2</v>
      </c>
      <c r="Q135" s="1">
        <f t="shared" si="295"/>
        <v>0</v>
      </c>
      <c r="R135" s="1">
        <f t="shared" si="296"/>
        <v>0.999799737500077</v>
      </c>
      <c r="S135" s="1">
        <f t="shared" si="297"/>
        <v>12.024034291136861</v>
      </c>
      <c r="T135" s="1">
        <f t="shared" ref="T135:V135" si="317">$S135*P135</f>
        <v>-0.17014004054544934</v>
      </c>
      <c r="U135" s="1">
        <f t="shared" si="317"/>
        <v>0</v>
      </c>
      <c r="V135" s="1">
        <f t="shared" si="317"/>
        <v>12.021626327970559</v>
      </c>
      <c r="W135" s="1">
        <f t="shared" si="299"/>
        <v>-148.8735668078271</v>
      </c>
      <c r="X135" s="1">
        <f t="shared" si="300"/>
        <v>0</v>
      </c>
      <c r="Y135" s="1">
        <f t="shared" si="301"/>
        <v>0.11040192437539353</v>
      </c>
    </row>
    <row r="136" spans="1:25">
      <c r="A136" s="1">
        <v>0.13400000000000001</v>
      </c>
      <c r="B136" s="1">
        <f t="shared" si="302"/>
        <v>9.7906658712344505</v>
      </c>
      <c r="C136" s="1">
        <f t="shared" si="303"/>
        <v>0</v>
      </c>
      <c r="D136" s="1">
        <f t="shared" si="304"/>
        <v>8.18322200823417E-2</v>
      </c>
      <c r="E136" s="1">
        <f t="shared" si="305"/>
        <v>60.295457300347564</v>
      </c>
      <c r="F136" s="1">
        <f t="shared" si="306"/>
        <v>0</v>
      </c>
      <c r="G136" s="1">
        <f t="shared" si="307"/>
        <v>0.85556877535199793</v>
      </c>
      <c r="H136" s="1">
        <f t="shared" si="0"/>
        <v>60.301527086694861</v>
      </c>
      <c r="I136" s="1">
        <f t="shared" si="290"/>
        <v>-147.97189690240293</v>
      </c>
      <c r="J136" s="1">
        <f t="shared" si="291"/>
        <v>0</v>
      </c>
      <c r="K136" s="1">
        <f t="shared" si="292"/>
        <v>-2.0996628981296608</v>
      </c>
      <c r="L136" s="1">
        <f t="shared" ref="L136:N136" si="318">E136/$H136</f>
        <v>0.99989934274237247</v>
      </c>
      <c r="M136" s="1">
        <f t="shared" si="318"/>
        <v>0</v>
      </c>
      <c r="N136" s="1">
        <f t="shared" si="318"/>
        <v>1.4188177591621449E-2</v>
      </c>
      <c r="O136" s="1">
        <f t="shared" si="5"/>
        <v>1.4188177591621449E-2</v>
      </c>
      <c r="P136" s="1">
        <f t="shared" si="294"/>
        <v>-1.4186749448574345E-2</v>
      </c>
      <c r="Q136" s="1">
        <f t="shared" si="295"/>
        <v>0</v>
      </c>
      <c r="R136" s="1">
        <f t="shared" si="296"/>
        <v>0.9997986956166286</v>
      </c>
      <c r="S136" s="1">
        <f t="shared" si="297"/>
        <v>11.964889634449294</v>
      </c>
      <c r="T136" s="1">
        <f t="shared" ref="T136:V136" si="319">$S136*P136</f>
        <v>-0.16974289142377641</v>
      </c>
      <c r="U136" s="1">
        <f t="shared" si="319"/>
        <v>0</v>
      </c>
      <c r="V136" s="1">
        <f t="shared" si="319"/>
        <v>11.962481049719324</v>
      </c>
      <c r="W136" s="1">
        <f t="shared" si="299"/>
        <v>-148.1416397938267</v>
      </c>
      <c r="X136" s="1">
        <f t="shared" si="300"/>
        <v>0</v>
      </c>
      <c r="Y136" s="1">
        <f t="shared" si="301"/>
        <v>5.6168151589664816E-2</v>
      </c>
    </row>
    <row r="137" spans="1:25">
      <c r="A137" s="1">
        <v>0.13500000000000001</v>
      </c>
      <c r="B137" s="1">
        <f t="shared" si="302"/>
        <v>9.8508131868950048</v>
      </c>
      <c r="C137" s="1">
        <f t="shared" si="303"/>
        <v>0</v>
      </c>
      <c r="D137" s="1">
        <f t="shared" si="304"/>
        <v>8.2687845025845294E-2</v>
      </c>
      <c r="E137" s="1">
        <f t="shared" si="305"/>
        <v>60.147315660553737</v>
      </c>
      <c r="F137" s="1">
        <f t="shared" si="306"/>
        <v>0</v>
      </c>
      <c r="G137" s="1">
        <f t="shared" si="307"/>
        <v>0.85562494350358764</v>
      </c>
      <c r="H137" s="1">
        <f t="shared" si="0"/>
        <v>60.153401194065808</v>
      </c>
      <c r="I137" s="1">
        <f t="shared" si="290"/>
        <v>-147.24575238381519</v>
      </c>
      <c r="J137" s="1">
        <f t="shared" si="291"/>
        <v>0</v>
      </c>
      <c r="K137" s="1">
        <f t="shared" si="292"/>
        <v>-2.0946427480748064</v>
      </c>
      <c r="L137" s="1">
        <f t="shared" ref="L137:N137" si="320">E137/$H137</f>
        <v>0.99989883309353633</v>
      </c>
      <c r="M137" s="1">
        <f t="shared" si="320"/>
        <v>0</v>
      </c>
      <c r="N137" s="1">
        <f t="shared" si="320"/>
        <v>1.4224049289302629E-2</v>
      </c>
      <c r="O137" s="1">
        <f t="shared" si="5"/>
        <v>1.4224049289302629E-2</v>
      </c>
      <c r="P137" s="1">
        <f t="shared" si="294"/>
        <v>-1.4222610286238644E-2</v>
      </c>
      <c r="Q137" s="1">
        <f t="shared" si="295"/>
        <v>0</v>
      </c>
      <c r="R137" s="1">
        <f t="shared" si="296"/>
        <v>0.9997976764218155</v>
      </c>
      <c r="S137" s="1">
        <f t="shared" si="297"/>
        <v>11.906180236071169</v>
      </c>
      <c r="T137" s="1">
        <f t="shared" ref="T137:V137" si="321">$S137*P137</f>
        <v>-0.16933696149535704</v>
      </c>
      <c r="U137" s="1">
        <f t="shared" si="321"/>
        <v>0</v>
      </c>
      <c r="V137" s="1">
        <f t="shared" si="321"/>
        <v>11.903771335083297</v>
      </c>
      <c r="W137" s="1">
        <f t="shared" si="299"/>
        <v>-147.41508934531055</v>
      </c>
      <c r="X137" s="1">
        <f t="shared" si="300"/>
        <v>0</v>
      </c>
      <c r="Y137" s="1">
        <f t="shared" si="301"/>
        <v>2.4785870084915729E-3</v>
      </c>
    </row>
    <row r="138" spans="1:25">
      <c r="A138" s="1">
        <v>0.13600000000000001</v>
      </c>
      <c r="B138" s="1">
        <f t="shared" si="302"/>
        <v>9.910813087466213</v>
      </c>
      <c r="C138" s="1">
        <f t="shared" si="303"/>
        <v>0</v>
      </c>
      <c r="D138" s="1">
        <f t="shared" si="304"/>
        <v>8.354347244793589E-2</v>
      </c>
      <c r="E138" s="1">
        <f t="shared" si="305"/>
        <v>59.999900571208428</v>
      </c>
      <c r="F138" s="1">
        <f t="shared" si="306"/>
        <v>0</v>
      </c>
      <c r="G138" s="1">
        <f t="shared" si="307"/>
        <v>0.85562742209059617</v>
      </c>
      <c r="H138" s="1">
        <f t="shared" si="0"/>
        <v>60.006001090227059</v>
      </c>
      <c r="I138" s="1">
        <f t="shared" si="290"/>
        <v>-146.52494049607353</v>
      </c>
      <c r="J138" s="1">
        <f t="shared" si="291"/>
        <v>0</v>
      </c>
      <c r="K138" s="1">
        <f t="shared" si="292"/>
        <v>-2.0895160811115385</v>
      </c>
      <c r="L138" s="1">
        <f t="shared" ref="L138:N138" si="322">E138/$H138</f>
        <v>0.99989833485138502</v>
      </c>
      <c r="M138" s="1">
        <f t="shared" si="322"/>
        <v>0</v>
      </c>
      <c r="N138" s="1">
        <f t="shared" si="322"/>
        <v>1.4259030872662982E-2</v>
      </c>
      <c r="O138" s="1">
        <f t="shared" si="5"/>
        <v>1.4259030872662982E-2</v>
      </c>
      <c r="P138" s="1">
        <f t="shared" si="294"/>
        <v>-1.4257581226170208E-2</v>
      </c>
      <c r="Q138" s="1">
        <f t="shared" si="295"/>
        <v>0</v>
      </c>
      <c r="R138" s="1">
        <f t="shared" si="296"/>
        <v>0.99979668003857247</v>
      </c>
      <c r="S138" s="1">
        <f t="shared" si="297"/>
        <v>11.84790183540469</v>
      </c>
      <c r="T138" s="1">
        <f t="shared" ref="T138:V138" si="323">$S138*P138</f>
        <v>-0.16892242277797345</v>
      </c>
      <c r="U138" s="1">
        <f t="shared" si="323"/>
        <v>0</v>
      </c>
      <c r="V138" s="1">
        <f t="shared" si="323"/>
        <v>11.845492920460519</v>
      </c>
      <c r="W138" s="1">
        <f t="shared" si="299"/>
        <v>-146.69386291885149</v>
      </c>
      <c r="X138" s="1">
        <f t="shared" si="300"/>
        <v>0</v>
      </c>
      <c r="Y138" s="1">
        <f t="shared" si="301"/>
        <v>-5.0673160651019344E-2</v>
      </c>
    </row>
    <row r="139" spans="1:25">
      <c r="A139" s="1">
        <v>0.13700000000000001</v>
      </c>
      <c r="B139" s="1">
        <f t="shared" si="302"/>
        <v>9.970666294174503</v>
      </c>
      <c r="C139" s="1">
        <f t="shared" si="303"/>
        <v>0</v>
      </c>
      <c r="D139" s="1">
        <f t="shared" si="304"/>
        <v>8.4399049196865833E-2</v>
      </c>
      <c r="E139" s="1">
        <f t="shared" si="305"/>
        <v>59.853206708289576</v>
      </c>
      <c r="F139" s="1">
        <f t="shared" si="306"/>
        <v>0</v>
      </c>
      <c r="G139" s="1">
        <f t="shared" si="307"/>
        <v>0.85557674892994517</v>
      </c>
      <c r="H139" s="1">
        <f t="shared" si="0"/>
        <v>59.859321453208523</v>
      </c>
      <c r="I139" s="1">
        <f t="shared" si="290"/>
        <v>-145.80940916742927</v>
      </c>
      <c r="J139" s="1">
        <f t="shared" si="291"/>
        <v>0</v>
      </c>
      <c r="K139" s="1">
        <f t="shared" si="292"/>
        <v>-2.0842849885532937</v>
      </c>
      <c r="L139" s="1">
        <f t="shared" ref="L139:N139" si="324">E139/$H139</f>
        <v>0.99989784807494475</v>
      </c>
      <c r="M139" s="1">
        <f t="shared" si="324"/>
        <v>0</v>
      </c>
      <c r="N139" s="1">
        <f t="shared" si="324"/>
        <v>1.4293124749146072E-2</v>
      </c>
      <c r="O139" s="1">
        <f t="shared" si="5"/>
        <v>1.4293124749146072E-2</v>
      </c>
      <c r="P139" s="1">
        <f t="shared" si="294"/>
        <v>-1.4291664678937893E-2</v>
      </c>
      <c r="Q139" s="1">
        <f t="shared" si="295"/>
        <v>0</v>
      </c>
      <c r="R139" s="1">
        <f t="shared" si="296"/>
        <v>0.99979570658490535</v>
      </c>
      <c r="S139" s="1">
        <f t="shared" si="297"/>
        <v>11.790050223906256</v>
      </c>
      <c r="T139" s="1">
        <f t="shared" ref="T139:V139" si="325">$S139*P139</f>
        <v>-0.16849944434790484</v>
      </c>
      <c r="U139" s="1">
        <f t="shared" si="325"/>
        <v>0</v>
      </c>
      <c r="V139" s="1">
        <f t="shared" si="325"/>
        <v>11.787641594281878</v>
      </c>
      <c r="W139" s="1">
        <f t="shared" si="299"/>
        <v>-145.97790861177717</v>
      </c>
      <c r="X139" s="1">
        <f t="shared" si="300"/>
        <v>0</v>
      </c>
      <c r="Y139" s="1">
        <f t="shared" si="301"/>
        <v>-0.10329339427141626</v>
      </c>
    </row>
    <row r="140" spans="1:25">
      <c r="A140" s="1">
        <v>0.13800000000000001</v>
      </c>
      <c r="B140" s="1">
        <f t="shared" si="302"/>
        <v>10.03037352297418</v>
      </c>
      <c r="C140" s="1">
        <f t="shared" si="303"/>
        <v>0</v>
      </c>
      <c r="D140" s="1">
        <f t="shared" si="304"/>
        <v>8.5254522652401507E-2</v>
      </c>
      <c r="E140" s="1">
        <f t="shared" si="305"/>
        <v>59.7072287996778</v>
      </c>
      <c r="F140" s="1">
        <f t="shared" si="306"/>
        <v>0</v>
      </c>
      <c r="G140" s="1">
        <f t="shared" si="307"/>
        <v>0.85547345553567378</v>
      </c>
      <c r="H140" s="1">
        <f t="shared" si="0"/>
        <v>59.713357013068695</v>
      </c>
      <c r="I140" s="1">
        <f t="shared" si="290"/>
        <v>-145.09910696041814</v>
      </c>
      <c r="J140" s="1">
        <f t="shared" si="291"/>
        <v>0</v>
      </c>
      <c r="K140" s="1">
        <f t="shared" si="292"/>
        <v>-2.0789515260041527</v>
      </c>
      <c r="L140" s="1">
        <f t="shared" ref="L140:N140" si="326">E140/$H140</f>
        <v>0.9998973728207986</v>
      </c>
      <c r="M140" s="1">
        <f t="shared" si="326"/>
        <v>0</v>
      </c>
      <c r="N140" s="1">
        <f t="shared" si="326"/>
        <v>1.4326333308449688E-2</v>
      </c>
      <c r="O140" s="1">
        <f t="shared" si="5"/>
        <v>1.4326333308449688E-2</v>
      </c>
      <c r="P140" s="1">
        <f t="shared" si="294"/>
        <v>-1.4324863037273943E-2</v>
      </c>
      <c r="Q140" s="1">
        <f t="shared" si="295"/>
        <v>0</v>
      </c>
      <c r="R140" s="1">
        <f t="shared" si="296"/>
        <v>0.99979475617393521</v>
      </c>
      <c r="S140" s="1">
        <f t="shared" si="297"/>
        <v>11.732621244324838</v>
      </c>
      <c r="T140" s="1">
        <f t="shared" ref="T140:V140" si="327">$S140*P140</f>
        <v>-0.16806819239316387</v>
      </c>
      <c r="U140" s="1">
        <f t="shared" si="327"/>
        <v>0</v>
      </c>
      <c r="V140" s="1">
        <f t="shared" si="327"/>
        <v>11.730213196250883</v>
      </c>
      <c r="W140" s="1">
        <f t="shared" si="299"/>
        <v>-145.26717515281129</v>
      </c>
      <c r="X140" s="1">
        <f t="shared" si="300"/>
        <v>0</v>
      </c>
      <c r="Y140" s="1">
        <f t="shared" si="301"/>
        <v>-0.15538832975326855</v>
      </c>
    </row>
    <row r="141" spans="1:25">
      <c r="A141" s="1">
        <v>0.13900000000000001</v>
      </c>
      <c r="B141" s="1">
        <f t="shared" si="302"/>
        <v>10.089935484598705</v>
      </c>
      <c r="C141" s="1">
        <f t="shared" si="303"/>
        <v>0</v>
      </c>
      <c r="D141" s="1">
        <f t="shared" si="304"/>
        <v>8.6109840719607422E-2</v>
      </c>
      <c r="E141" s="1">
        <f t="shared" si="305"/>
        <v>59.56196162452499</v>
      </c>
      <c r="F141" s="1">
        <f t="shared" si="306"/>
        <v>0</v>
      </c>
      <c r="G141" s="1">
        <f t="shared" si="307"/>
        <v>0.85531806720592052</v>
      </c>
      <c r="H141" s="1">
        <f t="shared" si="0"/>
        <v>59.568102551260402</v>
      </c>
      <c r="I141" s="1">
        <f t="shared" si="290"/>
        <v>-144.3939830626087</v>
      </c>
      <c r="J141" s="1">
        <f t="shared" si="291"/>
        <v>0</v>
      </c>
      <c r="K141" s="1">
        <f t="shared" si="292"/>
        <v>-2.0735177140039309</v>
      </c>
      <c r="L141" s="1">
        <f t="shared" ref="L141:N141" si="328">E141/$H141</f>
        <v>0.99989690914310847</v>
      </c>
      <c r="M141" s="1">
        <f t="shared" si="328"/>
        <v>0</v>
      </c>
      <c r="N141" s="1">
        <f t="shared" si="328"/>
        <v>1.4358658922699273E-2</v>
      </c>
      <c r="O141" s="1">
        <f t="shared" si="5"/>
        <v>1.4358658922699273E-2</v>
      </c>
      <c r="P141" s="1">
        <f t="shared" si="294"/>
        <v>-1.4357178676247119E-2</v>
      </c>
      <c r="Q141" s="1">
        <f t="shared" si="295"/>
        <v>0</v>
      </c>
      <c r="R141" s="1">
        <f t="shared" si="296"/>
        <v>0.99979382891394164</v>
      </c>
      <c r="S141" s="1">
        <f t="shared" si="297"/>
        <v>11.675610789953263</v>
      </c>
      <c r="T141" s="1">
        <f t="shared" ref="T141:V141" si="329">$S141*P141</f>
        <v>-0.16762883026567776</v>
      </c>
      <c r="U141" s="1">
        <f t="shared" si="329"/>
        <v>0</v>
      </c>
      <c r="V141" s="1">
        <f t="shared" si="329"/>
        <v>11.673203616596304</v>
      </c>
      <c r="W141" s="1">
        <f t="shared" si="299"/>
        <v>-144.56161189287437</v>
      </c>
      <c r="X141" s="1">
        <f t="shared" si="300"/>
        <v>0</v>
      </c>
      <c r="Y141" s="1">
        <f t="shared" si="301"/>
        <v>-0.20696409740762611</v>
      </c>
    </row>
    <row r="142" spans="1:25">
      <c r="A142" s="1">
        <v>0.14000000000000001</v>
      </c>
      <c r="B142" s="1">
        <f t="shared" si="302"/>
        <v>10.149352884611337</v>
      </c>
      <c r="C142" s="1">
        <f t="shared" si="303"/>
        <v>0</v>
      </c>
      <c r="D142" s="1">
        <f t="shared" si="304"/>
        <v>8.6964951822715936E-2</v>
      </c>
      <c r="E142" s="1">
        <f t="shared" si="305"/>
        <v>59.417400012632115</v>
      </c>
      <c r="F142" s="1">
        <f t="shared" si="306"/>
        <v>0</v>
      </c>
      <c r="G142" s="1">
        <f t="shared" si="307"/>
        <v>0.8551111031085129</v>
      </c>
      <c r="H142" s="1">
        <f t="shared" si="0"/>
        <v>59.423552900005859</v>
      </c>
      <c r="I142" s="1">
        <f t="shared" si="290"/>
        <v>-143.69398727750743</v>
      </c>
      <c r="J142" s="1">
        <f t="shared" si="291"/>
        <v>0</v>
      </c>
      <c r="K142" s="1">
        <f t="shared" si="292"/>
        <v>-2.0679855386605097</v>
      </c>
      <c r="L142" s="1">
        <f t="shared" ref="L142:N142" si="330">E142/$H142</f>
        <v>0.99989645709363595</v>
      </c>
      <c r="M142" s="1">
        <f t="shared" si="330"/>
        <v>0</v>
      </c>
      <c r="N142" s="1">
        <f t="shared" si="330"/>
        <v>1.4390103946619263E-2</v>
      </c>
      <c r="O142" s="1">
        <f t="shared" si="5"/>
        <v>1.4390103946619263E-2</v>
      </c>
      <c r="P142" s="1">
        <f t="shared" si="294"/>
        <v>-1.438861395343375E-2</v>
      </c>
      <c r="Q142" s="1">
        <f t="shared" si="295"/>
        <v>0</v>
      </c>
      <c r="R142" s="1">
        <f t="shared" si="296"/>
        <v>0.99979292490840554</v>
      </c>
      <c r="S142" s="1">
        <f t="shared" si="297"/>
        <v>11.61901480389227</v>
      </c>
      <c r="T142" s="1">
        <f t="shared" ref="T142:V142" si="331">$S142*P142</f>
        <v>-0.16718151853243762</v>
      </c>
      <c r="U142" s="1">
        <f t="shared" si="331"/>
        <v>0</v>
      </c>
      <c r="V142" s="1">
        <f t="shared" si="331"/>
        <v>11.616608795337516</v>
      </c>
      <c r="W142" s="1">
        <f t="shared" si="299"/>
        <v>-143.86116879603986</v>
      </c>
      <c r="X142" s="1">
        <f t="shared" si="300"/>
        <v>0</v>
      </c>
      <c r="Y142" s="1">
        <f t="shared" si="301"/>
        <v>-0.25802674332299347</v>
      </c>
    </row>
    <row r="143" spans="1:25">
      <c r="A143" s="1">
        <v>0.14099999999999999</v>
      </c>
      <c r="B143" s="1">
        <f t="shared" si="302"/>
        <v>10.208626423455174</v>
      </c>
      <c r="C143" s="1">
        <f t="shared" si="303"/>
        <v>0</v>
      </c>
      <c r="D143" s="1">
        <f t="shared" si="304"/>
        <v>8.781980489908113E-2</v>
      </c>
      <c r="E143" s="1">
        <f t="shared" si="305"/>
        <v>59.273538843836072</v>
      </c>
      <c r="F143" s="1">
        <f t="shared" si="306"/>
        <v>0</v>
      </c>
      <c r="G143" s="1">
        <f t="shared" si="307"/>
        <v>0.85485307636518992</v>
      </c>
      <c r="H143" s="1">
        <f t="shared" si="0"/>
        <v>59.27970294168076</v>
      </c>
      <c r="I143" s="1">
        <f t="shared" si="290"/>
        <v>-142.9990700156182</v>
      </c>
      <c r="J143" s="1">
        <f t="shared" si="291"/>
        <v>0</v>
      </c>
      <c r="K143" s="1">
        <f t="shared" si="292"/>
        <v>-2.062356952269683</v>
      </c>
      <c r="L143" s="1">
        <f t="shared" ref="L143:N143" si="332">E143/$H143</f>
        <v>0.99989601672176476</v>
      </c>
      <c r="M143" s="1">
        <f t="shared" si="332"/>
        <v>0</v>
      </c>
      <c r="N143" s="1">
        <f t="shared" si="332"/>
        <v>1.4420670717702356E-2</v>
      </c>
      <c r="O143" s="1">
        <f t="shared" si="5"/>
        <v>1.4420670717702356E-2</v>
      </c>
      <c r="P143" s="1">
        <f t="shared" si="294"/>
        <v>-1.4419171209086779E-2</v>
      </c>
      <c r="Q143" s="1">
        <f t="shared" si="295"/>
        <v>0</v>
      </c>
      <c r="R143" s="1">
        <f t="shared" si="296"/>
        <v>0.99979204425605162</v>
      </c>
      <c r="S143" s="1">
        <f t="shared" si="297"/>
        <v>11.562829278326996</v>
      </c>
      <c r="T143" s="1">
        <f t="shared" ref="T143:V143" si="333">$S143*P143</f>
        <v>-0.16672641502563829</v>
      </c>
      <c r="U143" s="1">
        <f t="shared" si="333"/>
        <v>0</v>
      </c>
      <c r="V143" s="1">
        <f t="shared" si="333"/>
        <v>11.560424721562272</v>
      </c>
      <c r="W143" s="1">
        <f t="shared" si="299"/>
        <v>-143.16579643064384</v>
      </c>
      <c r="X143" s="1">
        <f t="shared" si="300"/>
        <v>0</v>
      </c>
      <c r="Y143" s="1">
        <f t="shared" si="301"/>
        <v>-0.30858223070740998</v>
      </c>
    </row>
    <row r="144" spans="1:25">
      <c r="A144" s="1">
        <v>0.14199999999999999</v>
      </c>
      <c r="B144" s="1">
        <f t="shared" si="302"/>
        <v>10.26775679650258</v>
      </c>
      <c r="C144" s="1">
        <f t="shared" si="303"/>
        <v>0</v>
      </c>
      <c r="D144" s="1">
        <f t="shared" si="304"/>
        <v>8.8674349393215612E-2</v>
      </c>
      <c r="E144" s="1">
        <f t="shared" si="305"/>
        <v>59.130373047405428</v>
      </c>
      <c r="F144" s="1">
        <f t="shared" si="306"/>
        <v>0</v>
      </c>
      <c r="G144" s="1">
        <f t="shared" si="307"/>
        <v>0.85454449413448252</v>
      </c>
      <c r="H144" s="1">
        <f t="shared" si="0"/>
        <v>59.136547608207444</v>
      </c>
      <c r="I144" s="1">
        <f t="shared" si="290"/>
        <v>-142.30918228565304</v>
      </c>
      <c r="J144" s="1">
        <f t="shared" si="291"/>
        <v>0</v>
      </c>
      <c r="K144" s="1">
        <f t="shared" si="292"/>
        <v>-2.0566338739227912</v>
      </c>
      <c r="L144" s="1">
        <f t="shared" ref="L144:N144" si="334">E144/$H144</f>
        <v>0.99989558807451995</v>
      </c>
      <c r="M144" s="1">
        <f t="shared" si="334"/>
        <v>0</v>
      </c>
      <c r="N144" s="1">
        <f t="shared" si="334"/>
        <v>1.4450361556376721E-2</v>
      </c>
      <c r="O144" s="1">
        <f t="shared" si="5"/>
        <v>1.4450361556376721E-2</v>
      </c>
      <c r="P144" s="1">
        <f t="shared" si="294"/>
        <v>-1.4448852766302736E-2</v>
      </c>
      <c r="Q144" s="1">
        <f t="shared" si="295"/>
        <v>0</v>
      </c>
      <c r="R144" s="1">
        <f t="shared" si="296"/>
        <v>0.99979118705088998</v>
      </c>
      <c r="S144" s="1">
        <f t="shared" si="297"/>
        <v>11.507050253815756</v>
      </c>
      <c r="T144" s="1">
        <f t="shared" ref="T144:V144" si="335">$S144*P144</f>
        <v>-0.16626367489183039</v>
      </c>
      <c r="U144" s="1">
        <f t="shared" si="335"/>
        <v>0</v>
      </c>
      <c r="V144" s="1">
        <f t="shared" si="335"/>
        <v>11.504647432716698</v>
      </c>
      <c r="W144" s="1">
        <f t="shared" si="299"/>
        <v>-142.47544596054487</v>
      </c>
      <c r="X144" s="1">
        <f t="shared" si="300"/>
        <v>0</v>
      </c>
      <c r="Y144" s="1">
        <f t="shared" si="301"/>
        <v>-0.35863644120609273</v>
      </c>
    </row>
    <row r="145" spans="1:25">
      <c r="A145" s="1">
        <v>0.14299999999999999</v>
      </c>
      <c r="B145" s="1">
        <f t="shared" si="302"/>
        <v>10.326744694104026</v>
      </c>
      <c r="C145" s="1">
        <f t="shared" si="303"/>
        <v>0</v>
      </c>
      <c r="D145" s="1">
        <f t="shared" si="304"/>
        <v>8.9528535250908883E-2</v>
      </c>
      <c r="E145" s="1">
        <f t="shared" si="305"/>
        <v>58.987897601444885</v>
      </c>
      <c r="F145" s="1">
        <f t="shared" si="306"/>
        <v>0</v>
      </c>
      <c r="G145" s="1">
        <f t="shared" si="307"/>
        <v>0.85418585769327648</v>
      </c>
      <c r="H145" s="1">
        <f t="shared" si="0"/>
        <v>58.994081880456704</v>
      </c>
      <c r="I145" s="1">
        <f t="shared" si="290"/>
        <v>-141.6242756858905</v>
      </c>
      <c r="J145" s="1">
        <f t="shared" si="291"/>
        <v>0</v>
      </c>
      <c r="K145" s="1">
        <f t="shared" si="292"/>
        <v>-2.0508181901024085</v>
      </c>
      <c r="L145" s="1">
        <f t="shared" ref="L145:N145" si="336">E145/$H145</f>
        <v>0.99989517119658966</v>
      </c>
      <c r="M145" s="1">
        <f t="shared" si="336"/>
        <v>0</v>
      </c>
      <c r="N145" s="1">
        <f t="shared" si="336"/>
        <v>1.4479178766171245E-2</v>
      </c>
      <c r="O145" s="1">
        <f t="shared" si="5"/>
        <v>1.4479178766171245E-2</v>
      </c>
      <c r="P145" s="1">
        <f t="shared" si="294"/>
        <v>-1.4477660931186824E-2</v>
      </c>
      <c r="Q145" s="1">
        <f t="shared" si="295"/>
        <v>0</v>
      </c>
      <c r="R145" s="1">
        <f t="shared" si="296"/>
        <v>0.9997903533822573</v>
      </c>
      <c r="S145" s="1">
        <f t="shared" si="297"/>
        <v>11.451673818590763</v>
      </c>
      <c r="T145" s="1">
        <f t="shared" ref="T145:V145" si="337">$S145*P145</f>
        <v>-0.1657934506401065</v>
      </c>
      <c r="U145" s="1">
        <f t="shared" si="337"/>
        <v>0</v>
      </c>
      <c r="V145" s="1">
        <f t="shared" si="337"/>
        <v>11.449273013907202</v>
      </c>
      <c r="W145" s="1">
        <f t="shared" si="299"/>
        <v>-141.7900691365306</v>
      </c>
      <c r="X145" s="1">
        <f t="shared" si="300"/>
        <v>0</v>
      </c>
      <c r="Y145" s="1">
        <f t="shared" si="301"/>
        <v>-0.40819517619520518</v>
      </c>
    </row>
    <row r="146" spans="1:25">
      <c r="A146" s="1">
        <v>0.14399999999999999</v>
      </c>
      <c r="B146" s="1">
        <f t="shared" si="302"/>
        <v>10.385590801636335</v>
      </c>
      <c r="C146" s="1">
        <f t="shared" si="303"/>
        <v>0</v>
      </c>
      <c r="D146" s="1">
        <f t="shared" si="304"/>
        <v>9.0382312913425966E-2</v>
      </c>
      <c r="E146" s="1">
        <f t="shared" si="305"/>
        <v>58.846107532308352</v>
      </c>
      <c r="F146" s="1">
        <f t="shared" si="306"/>
        <v>0</v>
      </c>
      <c r="G146" s="1">
        <f t="shared" si="307"/>
        <v>0.85377766251708131</v>
      </c>
      <c r="H146" s="1">
        <f t="shared" si="0"/>
        <v>58.852300787658343</v>
      </c>
      <c r="I146" s="1">
        <f t="shared" si="290"/>
        <v>-140.94430239567978</v>
      </c>
      <c r="J146" s="1">
        <f t="shared" si="291"/>
        <v>0</v>
      </c>
      <c r="K146" s="1">
        <f t="shared" si="292"/>
        <v>-2.0449117552663347</v>
      </c>
      <c r="L146" s="1">
        <f t="shared" ref="L146:N146" si="338">E146/$H146</f>
        <v>0.99989476613034489</v>
      </c>
      <c r="M146" s="1">
        <f t="shared" si="338"/>
        <v>0</v>
      </c>
      <c r="N146" s="1">
        <f t="shared" si="338"/>
        <v>1.450712463387877E-2</v>
      </c>
      <c r="O146" s="1">
        <f t="shared" si="5"/>
        <v>1.450712463387877E-2</v>
      </c>
      <c r="P146" s="1">
        <f t="shared" si="294"/>
        <v>-1.4505597993015979E-2</v>
      </c>
      <c r="Q146" s="1">
        <f t="shared" si="295"/>
        <v>0</v>
      </c>
      <c r="R146" s="1">
        <f t="shared" si="296"/>
        <v>0.99978954333485714</v>
      </c>
      <c r="S146" s="1">
        <f t="shared" si="297"/>
        <v>11.396696107870655</v>
      </c>
      <c r="T146" s="1">
        <f t="shared" ref="T146:V146" si="339">$S146*P146</f>
        <v>-0.16531589218934159</v>
      </c>
      <c r="U146" s="1">
        <f t="shared" si="339"/>
        <v>0</v>
      </c>
      <c r="V146" s="1">
        <f t="shared" si="339"/>
        <v>11.394297597214146</v>
      </c>
      <c r="W146" s="1">
        <f t="shared" si="299"/>
        <v>-141.10961828786913</v>
      </c>
      <c r="X146" s="1">
        <f t="shared" si="300"/>
        <v>0</v>
      </c>
      <c r="Y146" s="1">
        <f t="shared" si="301"/>
        <v>-0.45726415805218856</v>
      </c>
    </row>
    <row r="147" spans="1:25">
      <c r="A147" s="1">
        <v>0.14499999999999999</v>
      </c>
      <c r="B147" s="1">
        <f t="shared" si="302"/>
        <v>10.444295799550355</v>
      </c>
      <c r="C147" s="1">
        <f t="shared" si="303"/>
        <v>0</v>
      </c>
      <c r="D147" s="1">
        <f t="shared" si="304"/>
        <v>9.1235633311784997E-2</v>
      </c>
      <c r="E147" s="1">
        <f t="shared" si="305"/>
        <v>58.704997914020481</v>
      </c>
      <c r="F147" s="1">
        <f t="shared" si="306"/>
        <v>0</v>
      </c>
      <c r="G147" s="1">
        <f t="shared" si="307"/>
        <v>0.85332039835902918</v>
      </c>
      <c r="H147" s="1">
        <f t="shared" si="0"/>
        <v>58.711199406820199</v>
      </c>
      <c r="I147" s="1">
        <f t="shared" si="290"/>
        <v>-140.26921516708748</v>
      </c>
      <c r="J147" s="1">
        <f t="shared" si="291"/>
        <v>0</v>
      </c>
      <c r="K147" s="1">
        <f t="shared" si="292"/>
        <v>-2.0389163924201568</v>
      </c>
      <c r="L147" s="1">
        <f t="shared" ref="L147:N147" si="340">E147/$H147</f>
        <v>0.99989437291585981</v>
      </c>
      <c r="M147" s="1">
        <f t="shared" si="340"/>
        <v>0</v>
      </c>
      <c r="N147" s="1">
        <f t="shared" si="340"/>
        <v>1.4534201429717394E-2</v>
      </c>
      <c r="O147" s="1">
        <f t="shared" si="5"/>
        <v>1.4534201429717394E-2</v>
      </c>
      <c r="P147" s="1">
        <f t="shared" si="294"/>
        <v>-1.4532666224400066E-2</v>
      </c>
      <c r="Q147" s="1">
        <f t="shared" si="295"/>
        <v>0</v>
      </c>
      <c r="R147" s="1">
        <f t="shared" si="296"/>
        <v>0.99978875698880043</v>
      </c>
      <c r="S147" s="1">
        <f t="shared" si="297"/>
        <v>11.342113303184551</v>
      </c>
      <c r="T147" s="1">
        <f t="shared" ref="T147:V147" si="341">$S147*P147</f>
        <v>-0.16483114691450879</v>
      </c>
      <c r="U147" s="1">
        <f t="shared" si="341"/>
        <v>0</v>
      </c>
      <c r="V147" s="1">
        <f t="shared" si="341"/>
        <v>11.339717361017019</v>
      </c>
      <c r="W147" s="1">
        <f t="shared" si="299"/>
        <v>-140.43404631400199</v>
      </c>
      <c r="X147" s="1">
        <f t="shared" si="300"/>
        <v>0</v>
      </c>
      <c r="Y147" s="1">
        <f t="shared" si="301"/>
        <v>-0.50584903140313742</v>
      </c>
    </row>
    <row r="148" spans="1:25">
      <c r="A148" s="1">
        <v>0.14599999999999999</v>
      </c>
      <c r="B148" s="1">
        <f t="shared" si="302"/>
        <v>10.502860363418062</v>
      </c>
      <c r="C148" s="1">
        <f t="shared" si="303"/>
        <v>0</v>
      </c>
      <c r="D148" s="1">
        <f t="shared" si="304"/>
        <v>9.2088447861112629E-2</v>
      </c>
      <c r="E148" s="1">
        <f t="shared" si="305"/>
        <v>58.564563867706482</v>
      </c>
      <c r="F148" s="1">
        <f t="shared" si="306"/>
        <v>0</v>
      </c>
      <c r="G148" s="1">
        <f t="shared" si="307"/>
        <v>0.85281454932762601</v>
      </c>
      <c r="H148" s="1">
        <f t="shared" si="0"/>
        <v>58.570772862155543</v>
      </c>
      <c r="I148" s="1">
        <f t="shared" si="290"/>
        <v>-139.59896731668354</v>
      </c>
      <c r="J148" s="1">
        <f t="shared" si="291"/>
        <v>0</v>
      </c>
      <c r="K148" s="1">
        <f t="shared" si="292"/>
        <v>-2.0328338936786108</v>
      </c>
      <c r="L148" s="1">
        <f t="shared" ref="L148:N148" si="342">E148/$H148</f>
        <v>0.99989399159093095</v>
      </c>
      <c r="M148" s="1">
        <f t="shared" si="342"/>
        <v>0</v>
      </c>
      <c r="N148" s="1">
        <f t="shared" si="342"/>
        <v>1.4560411407489841E-2</v>
      </c>
      <c r="O148" s="1">
        <f t="shared" si="5"/>
        <v>1.4560411407489841E-2</v>
      </c>
      <c r="P148" s="1">
        <f t="shared" si="294"/>
        <v>-1.4558867881441142E-2</v>
      </c>
      <c r="Q148" s="1">
        <f t="shared" si="295"/>
        <v>0</v>
      </c>
      <c r="R148" s="1">
        <f t="shared" si="296"/>
        <v>0.99978799441964461</v>
      </c>
      <c r="S148" s="1">
        <f t="shared" si="297"/>
        <v>11.287921631707436</v>
      </c>
      <c r="T148" s="1">
        <f t="shared" ref="T148:V148" si="343">$S148*P148</f>
        <v>-0.16433935969209007</v>
      </c>
      <c r="U148" s="1">
        <f t="shared" si="343"/>
        <v>0</v>
      </c>
      <c r="V148" s="1">
        <f t="shared" si="343"/>
        <v>11.285528529330898</v>
      </c>
      <c r="W148" s="1">
        <f t="shared" si="299"/>
        <v>-139.76330667637563</v>
      </c>
      <c r="X148" s="1">
        <f t="shared" si="300"/>
        <v>0</v>
      </c>
      <c r="Y148" s="1">
        <f t="shared" si="301"/>
        <v>-0.55395536434771131</v>
      </c>
    </row>
    <row r="149" spans="1:25">
      <c r="A149" s="1">
        <v>0.14699999999999999</v>
      </c>
      <c r="B149" s="1">
        <f t="shared" si="302"/>
        <v>10.561285163979091</v>
      </c>
      <c r="C149" s="1">
        <f t="shared" si="303"/>
        <v>0</v>
      </c>
      <c r="D149" s="1">
        <f t="shared" si="304"/>
        <v>9.2940708455075904E-2</v>
      </c>
      <c r="E149" s="1">
        <f t="shared" si="305"/>
        <v>58.424800561030104</v>
      </c>
      <c r="F149" s="1">
        <f t="shared" si="306"/>
        <v>0</v>
      </c>
      <c r="G149" s="1">
        <f t="shared" si="307"/>
        <v>0.85226059396327836</v>
      </c>
      <c r="H149" s="1">
        <f t="shared" si="0"/>
        <v>58.431016324518659</v>
      </c>
      <c r="I149" s="1">
        <f t="shared" si="290"/>
        <v>-138.93351271746508</v>
      </c>
      <c r="J149" s="1">
        <f t="shared" si="291"/>
        <v>0</v>
      </c>
      <c r="K149" s="1">
        <f t="shared" si="292"/>
        <v>-2.0266660208160032</v>
      </c>
      <c r="L149" s="1">
        <f t="shared" ref="L149:N149" si="344">E149/$H149</f>
        <v>0.99989362219109734</v>
      </c>
      <c r="M149" s="1">
        <f t="shared" si="344"/>
        <v>0</v>
      </c>
      <c r="N149" s="1">
        <f t="shared" si="344"/>
        <v>1.4585756804740963E-2</v>
      </c>
      <c r="O149" s="1">
        <f t="shared" si="5"/>
        <v>1.4585756804740963E-2</v>
      </c>
      <c r="P149" s="1">
        <f t="shared" si="294"/>
        <v>-1.4584205203890888E-2</v>
      </c>
      <c r="Q149" s="1">
        <f t="shared" si="295"/>
        <v>0</v>
      </c>
      <c r="R149" s="1">
        <f t="shared" si="296"/>
        <v>0.99978725569843296</v>
      </c>
      <c r="S149" s="1">
        <f t="shared" si="297"/>
        <v>11.234117365606634</v>
      </c>
      <c r="T149" s="1">
        <f t="shared" ref="T149:V149" si="345">$S149*P149</f>
        <v>-0.16384067294460128</v>
      </c>
      <c r="U149" s="1">
        <f t="shared" si="345"/>
        <v>0</v>
      </c>
      <c r="V149" s="1">
        <f t="shared" si="345"/>
        <v>11.231727371153966</v>
      </c>
      <c r="W149" s="1">
        <f t="shared" si="299"/>
        <v>-139.09735339040967</v>
      </c>
      <c r="X149" s="1">
        <f t="shared" si="300"/>
        <v>0</v>
      </c>
      <c r="Y149" s="1">
        <f t="shared" si="301"/>
        <v>-0.60158864966203751</v>
      </c>
    </row>
    <row r="150" spans="1:25">
      <c r="A150" s="1">
        <v>0.14799999999999999</v>
      </c>
      <c r="B150" s="1">
        <f t="shared" si="302"/>
        <v>10.619570867186731</v>
      </c>
      <c r="C150" s="1">
        <f t="shared" si="303"/>
        <v>0</v>
      </c>
      <c r="D150" s="1">
        <f t="shared" si="304"/>
        <v>9.379236746038952E-2</v>
      </c>
      <c r="E150" s="1">
        <f t="shared" si="305"/>
        <v>58.285703207639692</v>
      </c>
      <c r="F150" s="1">
        <f t="shared" si="306"/>
        <v>0</v>
      </c>
      <c r="G150" s="1">
        <f t="shared" si="307"/>
        <v>0.85165900531361627</v>
      </c>
      <c r="H150" s="1">
        <f t="shared" si="0"/>
        <v>58.291925010848558</v>
      </c>
      <c r="I150" s="1">
        <f t="shared" si="290"/>
        <v>-138.27280579091436</v>
      </c>
      <c r="J150" s="1">
        <f t="shared" si="291"/>
        <v>0</v>
      </c>
      <c r="K150" s="1">
        <f t="shared" si="292"/>
        <v>-2.0204145058059044</v>
      </c>
      <c r="L150" s="1">
        <f t="shared" ref="L150:N150" si="346">E150/$H150</f>
        <v>0.99989326474965945</v>
      </c>
      <c r="M150" s="1">
        <f t="shared" si="346"/>
        <v>0</v>
      </c>
      <c r="N150" s="1">
        <f t="shared" si="346"/>
        <v>1.461023984291334E-2</v>
      </c>
      <c r="O150" s="1">
        <f t="shared" si="5"/>
        <v>1.461023984291334E-2</v>
      </c>
      <c r="P150" s="1">
        <f t="shared" si="294"/>
        <v>-1.4608680415306172E-2</v>
      </c>
      <c r="Q150" s="1">
        <f t="shared" si="295"/>
        <v>0</v>
      </c>
      <c r="R150" s="1">
        <f t="shared" si="296"/>
        <v>0.99978654089173258</v>
      </c>
      <c r="S150" s="1">
        <f t="shared" si="297"/>
        <v>11.180696821399206</v>
      </c>
      <c r="T150" s="1">
        <f t="shared" ref="T150:V150" si="347">$S150*P150</f>
        <v>-0.16333522668425055</v>
      </c>
      <c r="U150" s="1">
        <f t="shared" si="347"/>
        <v>0</v>
      </c>
      <c r="V150" s="1">
        <f t="shared" si="347"/>
        <v>11.178310199825901</v>
      </c>
      <c r="W150" s="1">
        <f t="shared" si="299"/>
        <v>-138.4361410175986</v>
      </c>
      <c r="X150" s="1">
        <f t="shared" si="300"/>
        <v>0</v>
      </c>
      <c r="Y150" s="1">
        <f t="shared" si="301"/>
        <v>-0.6487543059800025</v>
      </c>
    </row>
    <row r="151" spans="1:25">
      <c r="A151" s="1">
        <v>0.14899999999999999</v>
      </c>
      <c r="B151" s="1">
        <f t="shared" si="302"/>
        <v>10.677718134253352</v>
      </c>
      <c r="C151" s="1">
        <f t="shared" si="303"/>
        <v>0</v>
      </c>
      <c r="D151" s="1">
        <f t="shared" si="304"/>
        <v>9.464337771139715E-2</v>
      </c>
      <c r="E151" s="1">
        <f t="shared" si="305"/>
        <v>58.147267066622092</v>
      </c>
      <c r="F151" s="1">
        <f t="shared" si="306"/>
        <v>0</v>
      </c>
      <c r="G151" s="1">
        <f t="shared" si="307"/>
        <v>0.85101025100763628</v>
      </c>
      <c r="H151" s="1">
        <f t="shared" si="0"/>
        <v>58.153494183620595</v>
      </c>
      <c r="I151" s="1">
        <f t="shared" si="290"/>
        <v>-137.61680149918868</v>
      </c>
      <c r="J151" s="1">
        <f t="shared" si="291"/>
        <v>0</v>
      </c>
      <c r="K151" s="1">
        <f t="shared" si="292"/>
        <v>-2.014081051350364</v>
      </c>
      <c r="L151" s="1">
        <f t="shared" ref="L151:N151" si="348">E151/$H151</f>
        <v>0.99989291929769797</v>
      </c>
      <c r="M151" s="1">
        <f t="shared" si="348"/>
        <v>0</v>
      </c>
      <c r="N151" s="1">
        <f t="shared" si="348"/>
        <v>1.4633862727501079E-2</v>
      </c>
      <c r="O151" s="1">
        <f t="shared" si="5"/>
        <v>1.4633862727501079E-2</v>
      </c>
      <c r="P151" s="1">
        <f t="shared" si="294"/>
        <v>-1.4632295723202828E-2</v>
      </c>
      <c r="Q151" s="1">
        <f t="shared" si="295"/>
        <v>0</v>
      </c>
      <c r="R151" s="1">
        <f t="shared" si="296"/>
        <v>0.99978585006167264</v>
      </c>
      <c r="S151" s="1">
        <f t="shared" si="297"/>
        <v>11.127656359319996</v>
      </c>
      <c r="T151" s="1">
        <f t="shared" ref="T151:V151" si="349">$S151*P151</f>
        <v>-0.16282315855574872</v>
      </c>
      <c r="U151" s="1">
        <f t="shared" si="349"/>
        <v>0</v>
      </c>
      <c r="V151" s="1">
        <f t="shared" si="349"/>
        <v>11.12527337239692</v>
      </c>
      <c r="W151" s="1">
        <f t="shared" si="299"/>
        <v>-137.77962465774442</v>
      </c>
      <c r="X151" s="1">
        <f t="shared" si="300"/>
        <v>0</v>
      </c>
      <c r="Y151" s="1">
        <f t="shared" si="301"/>
        <v>-0.6954576789534439</v>
      </c>
    </row>
    <row r="152" spans="1:25">
      <c r="A152" s="1">
        <v>0.15</v>
      </c>
      <c r="B152" s="1">
        <f t="shared" si="302"/>
        <v>10.735727621695316</v>
      </c>
      <c r="C152" s="1">
        <f t="shared" si="303"/>
        <v>0</v>
      </c>
      <c r="D152" s="1">
        <f t="shared" si="304"/>
        <v>9.5493692504725836E-2</v>
      </c>
      <c r="E152" s="1">
        <f t="shared" si="305"/>
        <v>58.009487441964346</v>
      </c>
      <c r="F152" s="1">
        <f t="shared" si="306"/>
        <v>0</v>
      </c>
      <c r="G152" s="1">
        <f t="shared" si="307"/>
        <v>0.85031479332868287</v>
      </c>
      <c r="H152" s="1">
        <f t="shared" si="0"/>
        <v>58.01571915030592</v>
      </c>
      <c r="I152" s="1">
        <f t="shared" si="290"/>
        <v>-136.96545533743989</v>
      </c>
      <c r="J152" s="1">
        <f t="shared" si="291"/>
        <v>0</v>
      </c>
      <c r="K152" s="1">
        <f t="shared" si="292"/>
        <v>-2.0076673313988587</v>
      </c>
      <c r="L152" s="1">
        <f t="shared" ref="L152:N152" si="350">E152/$H152</f>
        <v>0.99989258586409269</v>
      </c>
      <c r="M152" s="1">
        <f t="shared" si="350"/>
        <v>0</v>
      </c>
      <c r="N152" s="1">
        <f t="shared" si="350"/>
        <v>1.4656627648201774E-2</v>
      </c>
      <c r="O152" s="1">
        <f t="shared" si="5"/>
        <v>1.4656627648201774E-2</v>
      </c>
      <c r="P152" s="1">
        <f t="shared" si="294"/>
        <v>-1.4655053319207627E-2</v>
      </c>
      <c r="Q152" s="1">
        <f t="shared" si="295"/>
        <v>0</v>
      </c>
      <c r="R152" s="1">
        <f t="shared" si="296"/>
        <v>0.99978518326598198</v>
      </c>
      <c r="S152" s="1">
        <f t="shared" si="297"/>
        <v>11.074992382700195</v>
      </c>
      <c r="T152" s="1">
        <f t="shared" ref="T152:V152" si="351">$S152*P152</f>
        <v>-0.16230460387828968</v>
      </c>
      <c r="U152" s="1">
        <f t="shared" si="351"/>
        <v>0</v>
      </c>
      <c r="V152" s="1">
        <f t="shared" si="351"/>
        <v>11.072613289007268</v>
      </c>
      <c r="W152" s="1">
        <f t="shared" si="299"/>
        <v>-137.12775994131817</v>
      </c>
      <c r="X152" s="1">
        <f t="shared" si="300"/>
        <v>0</v>
      </c>
      <c r="Y152" s="1">
        <f t="shared" si="301"/>
        <v>-0.74170404239158927</v>
      </c>
    </row>
    <row r="153" spans="1:25">
      <c r="A153" s="1">
        <v>0.151</v>
      </c>
      <c r="B153" s="1">
        <f t="shared" si="302"/>
        <v>10.793599981377339</v>
      </c>
      <c r="C153" s="1">
        <f t="shared" si="303"/>
        <v>0</v>
      </c>
      <c r="D153" s="1">
        <f t="shared" si="304"/>
        <v>9.6343265594012129E-2</v>
      </c>
      <c r="E153" s="1">
        <f t="shared" si="305"/>
        <v>57.872359682023031</v>
      </c>
      <c r="F153" s="1">
        <f t="shared" si="306"/>
        <v>0</v>
      </c>
      <c r="G153" s="1">
        <f t="shared" si="307"/>
        <v>0.84957308928629127</v>
      </c>
      <c r="H153" s="1">
        <f t="shared" si="0"/>
        <v>57.878595262838616</v>
      </c>
      <c r="I153" s="1">
        <f t="shared" si="290"/>
        <v>-136.31872332626102</v>
      </c>
      <c r="J153" s="1">
        <f t="shared" si="291"/>
        <v>0</v>
      </c>
      <c r="K153" s="1">
        <f t="shared" si="292"/>
        <v>-2.0011749916571979</v>
      </c>
      <c r="L153" s="1">
        <f t="shared" ref="L153:N153" si="352">E153/$H153</f>
        <v>0.99989226447554114</v>
      </c>
      <c r="M153" s="1">
        <f t="shared" si="352"/>
        <v>0</v>
      </c>
      <c r="N153" s="1">
        <f t="shared" si="352"/>
        <v>1.4678536779066682E-2</v>
      </c>
      <c r="O153" s="1">
        <f t="shared" si="5"/>
        <v>1.4678536779066682E-2</v>
      </c>
      <c r="P153" s="1">
        <f t="shared" si="294"/>
        <v>-1.46769553792085E-2</v>
      </c>
      <c r="Q153" s="1">
        <f t="shared" si="295"/>
        <v>0</v>
      </c>
      <c r="R153" s="1">
        <f t="shared" si="296"/>
        <v>0.99978454055802557</v>
      </c>
      <c r="S153" s="1">
        <f t="shared" si="297"/>
        <v>11.022701337356171</v>
      </c>
      <c r="T153" s="1">
        <f t="shared" ref="T153:V153" si="353">$S153*P153</f>
        <v>-0.16177969568671838</v>
      </c>
      <c r="U153" s="1">
        <f t="shared" si="353"/>
        <v>0</v>
      </c>
      <c r="V153" s="1">
        <f t="shared" si="353"/>
        <v>11.020326392276974</v>
      </c>
      <c r="W153" s="1">
        <f t="shared" si="299"/>
        <v>-136.48050302194775</v>
      </c>
      <c r="X153" s="1">
        <f t="shared" si="300"/>
        <v>0</v>
      </c>
      <c r="Y153" s="1">
        <f t="shared" si="301"/>
        <v>-0.78749859938022304</v>
      </c>
    </row>
    <row r="154" spans="1:25">
      <c r="A154" s="1">
        <v>0.152</v>
      </c>
      <c r="B154" s="1">
        <f t="shared" si="302"/>
        <v>10.85133586055634</v>
      </c>
      <c r="C154" s="1">
        <f t="shared" si="303"/>
        <v>0</v>
      </c>
      <c r="D154" s="1">
        <f t="shared" si="304"/>
        <v>9.7192051184699035E-2</v>
      </c>
      <c r="E154" s="1">
        <f t="shared" si="305"/>
        <v>57.735879179001081</v>
      </c>
      <c r="F154" s="1">
        <f t="shared" si="306"/>
        <v>0</v>
      </c>
      <c r="G154" s="1">
        <f t="shared" si="307"/>
        <v>0.84878559068691106</v>
      </c>
      <c r="H154" s="1">
        <f t="shared" si="0"/>
        <v>57.742117917090368</v>
      </c>
      <c r="I154" s="1">
        <f t="shared" si="290"/>
        <v>-135.67656200425722</v>
      </c>
      <c r="J154" s="1">
        <f t="shared" si="291"/>
        <v>0</v>
      </c>
      <c r="K154" s="1">
        <f t="shared" si="292"/>
        <v>-1.9946056500865987</v>
      </c>
      <c r="L154" s="1">
        <f t="shared" ref="L154:N154" si="354">E154/$H154</f>
        <v>0.99989195515657658</v>
      </c>
      <c r="M154" s="1">
        <f t="shared" si="354"/>
        <v>0</v>
      </c>
      <c r="N154" s="1">
        <f t="shared" si="354"/>
        <v>1.4699592278649164E-2</v>
      </c>
      <c r="O154" s="1">
        <f t="shared" si="5"/>
        <v>1.4699592278649164E-2</v>
      </c>
      <c r="P154" s="1">
        <f t="shared" si="294"/>
        <v>-1.4698004063503028E-2</v>
      </c>
      <c r="Q154" s="1">
        <f t="shared" si="295"/>
        <v>0</v>
      </c>
      <c r="R154" s="1">
        <f t="shared" si="296"/>
        <v>0.99978392198684152</v>
      </c>
      <c r="S154" s="1">
        <f t="shared" si="297"/>
        <v>10.970779710988392</v>
      </c>
      <c r="T154" s="1">
        <f t="shared" ref="T154:V154" si="355">$S154*P154</f>
        <v>-0.16124856477190397</v>
      </c>
      <c r="U154" s="1">
        <f t="shared" si="355"/>
        <v>0</v>
      </c>
      <c r="V154" s="1">
        <f t="shared" si="355"/>
        <v>10.968409166705642</v>
      </c>
      <c r="W154" s="1">
        <f t="shared" si="299"/>
        <v>-135.83781056902913</v>
      </c>
      <c r="X154" s="1">
        <f t="shared" si="300"/>
        <v>0</v>
      </c>
      <c r="Y154" s="1">
        <f t="shared" si="301"/>
        <v>-0.83284648338095657</v>
      </c>
    </row>
    <row r="155" spans="1:25">
      <c r="A155" s="1">
        <v>0.153</v>
      </c>
      <c r="B155" s="1">
        <f t="shared" si="302"/>
        <v>10.908935901924771</v>
      </c>
      <c r="C155" s="1">
        <f t="shared" si="303"/>
        <v>0</v>
      </c>
      <c r="D155" s="1">
        <f t="shared" si="304"/>
        <v>9.8040003928902567E-2</v>
      </c>
      <c r="E155" s="1">
        <f t="shared" si="305"/>
        <v>57.600041368432052</v>
      </c>
      <c r="F155" s="1">
        <f t="shared" si="306"/>
        <v>0</v>
      </c>
      <c r="G155" s="1">
        <f t="shared" si="307"/>
        <v>0.84795274420353006</v>
      </c>
      <c r="H155" s="1">
        <f t="shared" si="0"/>
        <v>57.606282552352617</v>
      </c>
      <c r="I155" s="1">
        <f t="shared" si="290"/>
        <v>-135.03892842073927</v>
      </c>
      <c r="J155" s="1">
        <f t="shared" si="291"/>
        <v>0</v>
      </c>
      <c r="K155" s="1">
        <f t="shared" si="292"/>
        <v>-1.9879608973931358</v>
      </c>
      <c r="L155" s="1">
        <f t="shared" ref="L155:N155" si="356">E155/$H155</f>
        <v>0.99989165792958623</v>
      </c>
      <c r="M155" s="1">
        <f t="shared" si="356"/>
        <v>0</v>
      </c>
      <c r="N155" s="1">
        <f t="shared" si="356"/>
        <v>1.4719796290151342E-2</v>
      </c>
      <c r="O155" s="1">
        <f t="shared" si="5"/>
        <v>1.4719796290151342E-2</v>
      </c>
      <c r="P155" s="1">
        <f t="shared" si="294"/>
        <v>-1.4718201516945199E-2</v>
      </c>
      <c r="Q155" s="1">
        <f t="shared" si="295"/>
        <v>0</v>
      </c>
      <c r="R155" s="1">
        <f t="shared" si="296"/>
        <v>0.99978332759717647</v>
      </c>
      <c r="S155" s="1">
        <f t="shared" si="297"/>
        <v>10.919224032590263</v>
      </c>
      <c r="T155" s="1">
        <f t="shared" ref="T155:V155" si="357">$S155*P155</f>
        <v>-0.16071133972033447</v>
      </c>
      <c r="U155" s="1">
        <f t="shared" si="357"/>
        <v>0</v>
      </c>
      <c r="V155" s="1">
        <f t="shared" si="357"/>
        <v>10.916858138082153</v>
      </c>
      <c r="W155" s="1">
        <f t="shared" si="299"/>
        <v>-135.1996397604596</v>
      </c>
      <c r="X155" s="1">
        <f t="shared" si="300"/>
        <v>0</v>
      </c>
      <c r="Y155" s="1">
        <f t="shared" si="301"/>
        <v>-0.87775275931098129</v>
      </c>
    </row>
    <row r="156" spans="1:25">
      <c r="A156" s="1">
        <v>0.154</v>
      </c>
      <c r="B156" s="1">
        <f t="shared" si="302"/>
        <v>10.966400743653443</v>
      </c>
      <c r="C156" s="1">
        <f t="shared" si="303"/>
        <v>0</v>
      </c>
      <c r="D156" s="1">
        <f t="shared" si="304"/>
        <v>9.8887078920346788E-2</v>
      </c>
      <c r="E156" s="1">
        <f t="shared" si="305"/>
        <v>57.464841728671594</v>
      </c>
      <c r="F156" s="1">
        <f t="shared" si="306"/>
        <v>0</v>
      </c>
      <c r="G156" s="1">
        <f t="shared" si="307"/>
        <v>0.84707499144421905</v>
      </c>
      <c r="H156" s="1">
        <f t="shared" si="0"/>
        <v>57.471084650825986</v>
      </c>
      <c r="I156" s="1">
        <f t="shared" si="290"/>
        <v>-134.40578012853706</v>
      </c>
      <c r="J156" s="1">
        <f t="shared" si="291"/>
        <v>0</v>
      </c>
      <c r="K156" s="1">
        <f t="shared" si="292"/>
        <v>-1.9812422975077775</v>
      </c>
      <c r="L156" s="1">
        <f t="shared" ref="L156:N156" si="358">E156/$H156</f>
        <v>0.99989137281482821</v>
      </c>
      <c r="M156" s="1">
        <f t="shared" si="358"/>
        <v>0</v>
      </c>
      <c r="N156" s="1">
        <f t="shared" si="358"/>
        <v>1.4739150941569096E-2</v>
      </c>
      <c r="O156" s="1">
        <f t="shared" si="5"/>
        <v>1.4739150941569096E-2</v>
      </c>
      <c r="P156" s="1">
        <f t="shared" si="294"/>
        <v>-1.4737549869090491E-2</v>
      </c>
      <c r="Q156" s="1">
        <f t="shared" si="295"/>
        <v>0</v>
      </c>
      <c r="R156" s="1">
        <f t="shared" si="296"/>
        <v>0.99978275742952161</v>
      </c>
      <c r="S156" s="1">
        <f t="shared" si="297"/>
        <v>10.868030871866669</v>
      </c>
      <c r="T156" s="1">
        <f t="shared" ref="T156:V156" si="359">$S156*P156</f>
        <v>-0.16016814695295004</v>
      </c>
      <c r="U156" s="1">
        <f t="shared" si="359"/>
        <v>0</v>
      </c>
      <c r="V156" s="1">
        <f t="shared" si="359"/>
        <v>10.865669872904025</v>
      </c>
      <c r="W156" s="1">
        <f t="shared" si="299"/>
        <v>-134.56594827549</v>
      </c>
      <c r="X156" s="1">
        <f t="shared" si="300"/>
        <v>0</v>
      </c>
      <c r="Y156" s="1">
        <f t="shared" si="301"/>
        <v>-0.92222242460375092</v>
      </c>
    </row>
    <row r="157" spans="1:25">
      <c r="A157" s="1">
        <v>0.155</v>
      </c>
      <c r="B157" s="1">
        <f t="shared" si="302"/>
        <v>11.023731019433839</v>
      </c>
      <c r="C157" s="1">
        <f t="shared" si="303"/>
        <v>0</v>
      </c>
      <c r="D157" s="1">
        <f t="shared" si="304"/>
        <v>9.9733231689366403E-2</v>
      </c>
      <c r="E157" s="1">
        <f t="shared" si="305"/>
        <v>57.330275780396107</v>
      </c>
      <c r="F157" s="1">
        <f t="shared" si="306"/>
        <v>0</v>
      </c>
      <c r="G157" s="1">
        <f t="shared" si="307"/>
        <v>0.84615276901961534</v>
      </c>
      <c r="H157" s="1">
        <f t="shared" si="0"/>
        <v>57.336519737116866</v>
      </c>
      <c r="I157" s="1">
        <f t="shared" si="290"/>
        <v>-133.77707517693054</v>
      </c>
      <c r="J157" s="1">
        <f t="shared" si="291"/>
        <v>0</v>
      </c>
      <c r="K157" s="1">
        <f t="shared" si="292"/>
        <v>-1.9744513880571974</v>
      </c>
      <c r="L157" s="1">
        <f t="shared" ref="L157:N157" si="360">E157/$H157</f>
        <v>0.99989109983045033</v>
      </c>
      <c r="M157" s="1">
        <f t="shared" si="360"/>
        <v>0</v>
      </c>
      <c r="N157" s="1">
        <f t="shared" si="360"/>
        <v>1.4757658345835339E-2</v>
      </c>
      <c r="O157" s="1">
        <f t="shared" si="5"/>
        <v>1.4757658345835339E-2</v>
      </c>
      <c r="P157" s="1">
        <f t="shared" si="294"/>
        <v>-1.4756051234339321E-2</v>
      </c>
      <c r="Q157" s="1">
        <f t="shared" si="295"/>
        <v>0</v>
      </c>
      <c r="R157" s="1">
        <f t="shared" si="296"/>
        <v>0.99978221152014757</v>
      </c>
      <c r="S157" s="1">
        <f t="shared" si="297"/>
        <v>10.817196838662039</v>
      </c>
      <c r="T157" s="1">
        <f t="shared" ref="T157:V157" si="361">$S157*P157</f>
        <v>-0.15961911076323038</v>
      </c>
      <c r="U157" s="1">
        <f t="shared" si="361"/>
        <v>0</v>
      </c>
      <c r="V157" s="1">
        <f t="shared" si="361"/>
        <v>10.814840977806282</v>
      </c>
      <c r="W157" s="1">
        <f t="shared" si="299"/>
        <v>-133.93669428769377</v>
      </c>
      <c r="X157" s="1">
        <f t="shared" si="300"/>
        <v>0</v>
      </c>
      <c r="Y157" s="1">
        <f t="shared" si="301"/>
        <v>-0.96626041025091425</v>
      </c>
    </row>
    <row r="158" spans="1:25">
      <c r="A158" s="1">
        <v>0.156</v>
      </c>
      <c r="B158" s="1">
        <f t="shared" si="302"/>
        <v>11.080927358519947</v>
      </c>
      <c r="C158" s="1">
        <f t="shared" si="303"/>
        <v>0</v>
      </c>
      <c r="D158" s="1">
        <f t="shared" si="304"/>
        <v>0.10057841819797576</v>
      </c>
      <c r="E158" s="1">
        <f t="shared" si="305"/>
        <v>57.196339086108416</v>
      </c>
      <c r="F158" s="1">
        <f t="shared" si="306"/>
        <v>0</v>
      </c>
      <c r="G158" s="1">
        <f t="shared" si="307"/>
        <v>0.8451865086093644</v>
      </c>
      <c r="H158" s="1">
        <f t="shared" si="0"/>
        <v>57.202583377741156</v>
      </c>
      <c r="I158" s="1">
        <f t="shared" si="290"/>
        <v>-133.15277210469665</v>
      </c>
      <c r="J158" s="1">
        <f t="shared" si="291"/>
        <v>0</v>
      </c>
      <c r="K158" s="1">
        <f t="shared" si="292"/>
        <v>-1.9675896808255664</v>
      </c>
      <c r="L158" s="1">
        <f t="shared" ref="L158:N158" si="362">E158/$H158</f>
        <v>0.99989083899250664</v>
      </c>
      <c r="M158" s="1">
        <f t="shared" si="362"/>
        <v>0</v>
      </c>
      <c r="N158" s="1">
        <f t="shared" si="362"/>
        <v>1.4775320600961633E-2</v>
      </c>
      <c r="O158" s="1">
        <f t="shared" si="5"/>
        <v>1.4775320600961633E-2</v>
      </c>
      <c r="P158" s="1">
        <f t="shared" si="294"/>
        <v>-1.4773707712078794E-2</v>
      </c>
      <c r="Q158" s="1">
        <f t="shared" si="295"/>
        <v>0</v>
      </c>
      <c r="R158" s="1">
        <f t="shared" si="296"/>
        <v>0.9997816899011388</v>
      </c>
      <c r="S158" s="1">
        <f t="shared" si="297"/>
        <v>10.766718582397793</v>
      </c>
      <c r="T158" s="1">
        <f t="shared" ref="T158:V158" si="363">$S158*P158</f>
        <v>-0.15906435335455232</v>
      </c>
      <c r="U158" s="1">
        <f t="shared" si="363"/>
        <v>0</v>
      </c>
      <c r="V158" s="1">
        <f t="shared" si="363"/>
        <v>10.764368098999659</v>
      </c>
      <c r="W158" s="1">
        <f t="shared" si="299"/>
        <v>-133.3118364580512</v>
      </c>
      <c r="X158" s="1">
        <f t="shared" si="300"/>
        <v>0</v>
      </c>
      <c r="Y158" s="1">
        <f t="shared" si="301"/>
        <v>-1.009871581825907</v>
      </c>
    </row>
    <row r="159" spans="1:25">
      <c r="A159" s="1">
        <v>0.157</v>
      </c>
      <c r="B159" s="1">
        <f t="shared" si="302"/>
        <v>11.137990385769598</v>
      </c>
      <c r="C159" s="1">
        <f t="shared" si="303"/>
        <v>0</v>
      </c>
      <c r="D159" s="1">
        <f t="shared" si="304"/>
        <v>0.10142259483500331</v>
      </c>
      <c r="E159" s="1">
        <f t="shared" si="305"/>
        <v>57.063027249650368</v>
      </c>
      <c r="F159" s="1">
        <f t="shared" si="306"/>
        <v>0</v>
      </c>
      <c r="G159" s="1">
        <f t="shared" si="307"/>
        <v>0.84417663702753853</v>
      </c>
      <c r="H159" s="1">
        <f t="shared" si="0"/>
        <v>57.069271180634885</v>
      </c>
      <c r="I159" s="1">
        <f t="shared" si="290"/>
        <v>-132.53282993326911</v>
      </c>
      <c r="J159" s="1">
        <f t="shared" si="291"/>
        <v>0</v>
      </c>
      <c r="K159" s="1">
        <f t="shared" si="292"/>
        <v>-1.9606586622075037</v>
      </c>
      <c r="L159" s="1">
        <f t="shared" ref="L159:N159" si="364">E159/$H159</f>
        <v>0.99989059031497429</v>
      </c>
      <c r="M159" s="1">
        <f t="shared" si="364"/>
        <v>0</v>
      </c>
      <c r="N159" s="1">
        <f t="shared" si="364"/>
        <v>1.4792139790178186E-2</v>
      </c>
      <c r="O159" s="1">
        <f t="shared" si="5"/>
        <v>1.4792139790178186E-2</v>
      </c>
      <c r="P159" s="1">
        <f t="shared" si="294"/>
        <v>-1.4790521386822887E-2</v>
      </c>
      <c r="Q159" s="1">
        <f t="shared" si="295"/>
        <v>0</v>
      </c>
      <c r="R159" s="1">
        <f t="shared" si="296"/>
        <v>0.99978119260042786</v>
      </c>
      <c r="S159" s="1">
        <f t="shared" si="297"/>
        <v>10.716592791518945</v>
      </c>
      <c r="T159" s="1">
        <f t="shared" ref="T159:V159" si="365">$S159*P159</f>
        <v>-0.15850399487683295</v>
      </c>
      <c r="U159" s="1">
        <f t="shared" si="365"/>
        <v>0</v>
      </c>
      <c r="V159" s="1">
        <f t="shared" si="365"/>
        <v>10.714247921717959</v>
      </c>
      <c r="W159" s="1">
        <f t="shared" si="299"/>
        <v>-132.69133392814595</v>
      </c>
      <c r="X159" s="1">
        <f t="shared" si="300"/>
        <v>0</v>
      </c>
      <c r="Y159" s="1">
        <f t="shared" si="301"/>
        <v>-1.0530607404895438</v>
      </c>
    </row>
    <row r="160" spans="1:25">
      <c r="A160" s="1">
        <v>0.158</v>
      </c>
      <c r="B160" s="1">
        <f t="shared" si="302"/>
        <v>11.194920721685319</v>
      </c>
      <c r="C160" s="1">
        <f t="shared" si="303"/>
        <v>0</v>
      </c>
      <c r="D160" s="1">
        <f t="shared" si="304"/>
        <v>0.10226571841129035</v>
      </c>
      <c r="E160" s="1">
        <f t="shared" si="305"/>
        <v>56.930335915722225</v>
      </c>
      <c r="F160" s="1">
        <f t="shared" si="306"/>
        <v>0</v>
      </c>
      <c r="G160" s="1">
        <f t="shared" si="307"/>
        <v>0.84312357628704904</v>
      </c>
      <c r="H160" s="1">
        <f t="shared" si="0"/>
        <v>56.936578794671739</v>
      </c>
      <c r="I160" s="1">
        <f t="shared" si="290"/>
        <v>-131.91720816001012</v>
      </c>
      <c r="J160" s="1">
        <f t="shared" si="291"/>
        <v>0</v>
      </c>
      <c r="K160" s="1">
        <f t="shared" si="292"/>
        <v>-1.9536597936523845</v>
      </c>
      <c r="L160" s="1">
        <f t="shared" ref="L160:N160" si="366">E160/$H160</f>
        <v>0.99989035380977087</v>
      </c>
      <c r="M160" s="1">
        <f t="shared" si="366"/>
        <v>0</v>
      </c>
      <c r="N160" s="1">
        <f t="shared" si="366"/>
        <v>1.4808117982072195E-2</v>
      </c>
      <c r="O160" s="1">
        <f t="shared" si="5"/>
        <v>1.4808117982072195E-2</v>
      </c>
      <c r="P160" s="1">
        <f t="shared" si="294"/>
        <v>-1.4806494328350997E-2</v>
      </c>
      <c r="Q160" s="1">
        <f t="shared" si="295"/>
        <v>0</v>
      </c>
      <c r="R160" s="1">
        <f t="shared" si="296"/>
        <v>0.99978071964182902</v>
      </c>
      <c r="S160" s="1">
        <f t="shared" si="297"/>
        <v>10.666816192949739</v>
      </c>
      <c r="T160" s="1">
        <f t="shared" ref="T160:V160" si="367">$S160*P160</f>
        <v>-0.15793815346247289</v>
      </c>
      <c r="U160" s="1">
        <f t="shared" si="367"/>
        <v>0</v>
      </c>
      <c r="V160" s="1">
        <f t="shared" si="367"/>
        <v>10.664477169674404</v>
      </c>
      <c r="W160" s="1">
        <f t="shared" si="299"/>
        <v>-132.0751463134726</v>
      </c>
      <c r="X160" s="1">
        <f t="shared" si="300"/>
        <v>0</v>
      </c>
      <c r="Y160" s="1">
        <f t="shared" si="301"/>
        <v>-1.0958326239779801</v>
      </c>
    </row>
    <row r="161" spans="1:25">
      <c r="A161" s="1">
        <v>0.159</v>
      </c>
      <c r="B161" s="1">
        <f t="shared" si="302"/>
        <v>11.251718982454728</v>
      </c>
      <c r="C161" s="1">
        <f t="shared" si="303"/>
        <v>0</v>
      </c>
      <c r="D161" s="1">
        <f t="shared" si="304"/>
        <v>0.10310774615495343</v>
      </c>
      <c r="E161" s="1">
        <f t="shared" si="305"/>
        <v>56.798260769408749</v>
      </c>
      <c r="F161" s="1">
        <f t="shared" si="306"/>
        <v>0</v>
      </c>
      <c r="G161" s="1">
        <f t="shared" si="307"/>
        <v>0.84202774366307109</v>
      </c>
      <c r="H161" s="1">
        <f t="shared" si="0"/>
        <v>56.804501909187231</v>
      </c>
      <c r="I161" s="1">
        <f t="shared" si="290"/>
        <v>-131.30586675159054</v>
      </c>
      <c r="J161" s="1">
        <f t="shared" si="291"/>
        <v>0</v>
      </c>
      <c r="K161" s="1">
        <f t="shared" si="292"/>
        <v>-1.9465945121001733</v>
      </c>
      <c r="L161" s="1">
        <f t="shared" ref="L161:N161" si="368">E161/$H161</f>
        <v>0.99989012948677103</v>
      </c>
      <c r="M161" s="1">
        <f t="shared" si="368"/>
        <v>0</v>
      </c>
      <c r="N161" s="1">
        <f t="shared" si="368"/>
        <v>1.4823257230724637E-2</v>
      </c>
      <c r="O161" s="1">
        <f t="shared" si="5"/>
        <v>1.4823257230724637E-2</v>
      </c>
      <c r="P161" s="1">
        <f t="shared" si="294"/>
        <v>-1.4821628591844972E-2</v>
      </c>
      <c r="Q161" s="1">
        <f t="shared" si="295"/>
        <v>0</v>
      </c>
      <c r="R161" s="1">
        <f t="shared" si="296"/>
        <v>0.99978027104507172</v>
      </c>
      <c r="S161" s="1">
        <f t="shared" si="297"/>
        <v>10.617385551558083</v>
      </c>
      <c r="T161" s="1">
        <f t="shared" ref="T161:V161" si="369">$S161*P161</f>
        <v>-0.15736694526161499</v>
      </c>
      <c r="U161" s="1">
        <f t="shared" si="369"/>
        <v>0</v>
      </c>
      <c r="V161" s="1">
        <f t="shared" si="369"/>
        <v>10.615052604526769</v>
      </c>
      <c r="W161" s="1">
        <f t="shared" si="299"/>
        <v>-131.46323369685217</v>
      </c>
      <c r="X161" s="1">
        <f t="shared" si="300"/>
        <v>0</v>
      </c>
      <c r="Y161" s="1">
        <f t="shared" si="301"/>
        <v>-1.1381919075734039</v>
      </c>
    </row>
    <row r="162" spans="1:25">
      <c r="A162" s="1">
        <v>0.16</v>
      </c>
      <c r="B162" s="1">
        <f t="shared" si="302"/>
        <v>11.30838577999044</v>
      </c>
      <c r="C162" s="1">
        <f t="shared" si="303"/>
        <v>0</v>
      </c>
      <c r="D162" s="1">
        <f t="shared" si="304"/>
        <v>0.10394863570670893</v>
      </c>
      <c r="E162" s="1">
        <f t="shared" si="305"/>
        <v>56.6667975357119</v>
      </c>
      <c r="F162" s="1">
        <f t="shared" si="306"/>
        <v>0</v>
      </c>
      <c r="G162" s="1">
        <f t="shared" si="307"/>
        <v>0.84088955175549773</v>
      </c>
      <c r="H162" s="1">
        <f t="shared" si="0"/>
        <v>56.673036253509622</v>
      </c>
      <c r="I162" s="1">
        <f t="shared" si="290"/>
        <v>-130.698766137478</v>
      </c>
      <c r="J162" s="1">
        <f t="shared" si="291"/>
        <v>0</v>
      </c>
      <c r="K162" s="1">
        <f t="shared" si="292"/>
        <v>-1.9394642304089718</v>
      </c>
      <c r="L162" s="1">
        <f t="shared" ref="L162:N162" si="370">E162/$H162</f>
        <v>0.99988991735382216</v>
      </c>
      <c r="M162" s="1">
        <f t="shared" si="370"/>
        <v>0</v>
      </c>
      <c r="N162" s="1">
        <f t="shared" si="370"/>
        <v>1.4837559575845444E-2</v>
      </c>
      <c r="O162" s="1">
        <f t="shared" si="5"/>
        <v>1.4837559575845444E-2</v>
      </c>
      <c r="P162" s="1">
        <f t="shared" si="294"/>
        <v>-1.4835926218024514E-2</v>
      </c>
      <c r="Q162" s="1">
        <f t="shared" si="295"/>
        <v>0</v>
      </c>
      <c r="R162" s="1">
        <f t="shared" si="296"/>
        <v>0.99977984682583321</v>
      </c>
      <c r="S162" s="1">
        <f t="shared" si="297"/>
        <v>10.568297669628736</v>
      </c>
      <c r="T162" s="1">
        <f t="shared" ref="T162:V162" si="371">$S162*P162</f>
        <v>-0.15679048447673233</v>
      </c>
      <c r="U162" s="1">
        <f t="shared" si="371"/>
        <v>0</v>
      </c>
      <c r="V162" s="1">
        <f t="shared" si="371"/>
        <v>10.565971025351228</v>
      </c>
      <c r="W162" s="1">
        <f t="shared" si="299"/>
        <v>-130.85555662195475</v>
      </c>
      <c r="X162" s="1">
        <f t="shared" si="300"/>
        <v>0</v>
      </c>
      <c r="Y162" s="1">
        <f t="shared" si="301"/>
        <v>-1.1801432050577425</v>
      </c>
    </row>
    <row r="163" spans="1:25">
      <c r="A163" s="1">
        <v>0.161</v>
      </c>
      <c r="B163" s="1">
        <f t="shared" si="302"/>
        <v>11.36492172196953</v>
      </c>
      <c r="C163" s="1">
        <f t="shared" si="303"/>
        <v>0</v>
      </c>
      <c r="D163" s="1">
        <f t="shared" si="304"/>
        <v>0.10478834511525936</v>
      </c>
      <c r="E163" s="1">
        <f t="shared" si="305"/>
        <v>56.535941979089948</v>
      </c>
      <c r="F163" s="1">
        <f t="shared" si="306"/>
        <v>0</v>
      </c>
      <c r="G163" s="1">
        <f t="shared" si="307"/>
        <v>0.83970940855043996</v>
      </c>
      <c r="H163" s="1">
        <f t="shared" si="0"/>
        <v>56.542177596497226</v>
      </c>
      <c r="I163" s="1">
        <f t="shared" si="290"/>
        <v>-130.09586720352968</v>
      </c>
      <c r="J163" s="1">
        <f t="shared" si="291"/>
        <v>0</v>
      </c>
      <c r="K163" s="1">
        <f t="shared" si="292"/>
        <v>-1.9322703377744437</v>
      </c>
      <c r="L163" s="1">
        <f t="shared" ref="L163:N163" si="372">E163/$H163</f>
        <v>0.99988971741676136</v>
      </c>
      <c r="M163" s="1">
        <f t="shared" si="372"/>
        <v>0</v>
      </c>
      <c r="N163" s="1">
        <f t="shared" si="372"/>
        <v>1.4851027042907165E-2</v>
      </c>
      <c r="O163" s="1">
        <f t="shared" si="5"/>
        <v>1.4851027042907165E-2</v>
      </c>
      <c r="P163" s="1">
        <f t="shared" si="294"/>
        <v>-1.4849389233281126E-2</v>
      </c>
      <c r="Q163" s="1">
        <f t="shared" si="295"/>
        <v>0</v>
      </c>
      <c r="R163" s="1">
        <f t="shared" si="296"/>
        <v>0.99977944699577082</v>
      </c>
      <c r="S163" s="1">
        <f t="shared" si="297"/>
        <v>10.519549386344933</v>
      </c>
      <c r="T163" s="1">
        <f t="shared" ref="T163:V163" si="373">$S163*P163</f>
        <v>-0.15620888339655953</v>
      </c>
      <c r="U163" s="1">
        <f t="shared" si="373"/>
        <v>0</v>
      </c>
      <c r="V163" s="1">
        <f t="shared" si="373"/>
        <v>10.517229268124638</v>
      </c>
      <c r="W163" s="1">
        <f t="shared" si="299"/>
        <v>-130.25207608692625</v>
      </c>
      <c r="X163" s="1">
        <f t="shared" si="300"/>
        <v>0</v>
      </c>
      <c r="Y163" s="1">
        <f t="shared" si="301"/>
        <v>-1.2216910696498058</v>
      </c>
    </row>
    <row r="164" spans="1:25">
      <c r="A164" s="1">
        <v>0.16200000000000001</v>
      </c>
      <c r="B164" s="1">
        <f t="shared" si="302"/>
        <v>11.421327411872534</v>
      </c>
      <c r="C164" s="1">
        <f t="shared" si="303"/>
        <v>0</v>
      </c>
      <c r="D164" s="1">
        <f t="shared" si="304"/>
        <v>0.10562683283274016</v>
      </c>
      <c r="E164" s="1">
        <f t="shared" si="305"/>
        <v>56.405689903003022</v>
      </c>
      <c r="F164" s="1">
        <f t="shared" si="306"/>
        <v>0</v>
      </c>
      <c r="G164" s="1">
        <f t="shared" si="307"/>
        <v>0.83848771748079021</v>
      </c>
      <c r="H164" s="1">
        <f t="shared" si="0"/>
        <v>56.411921746082214</v>
      </c>
      <c r="I164" s="1">
        <f t="shared" si="290"/>
        <v>-129.49713128568848</v>
      </c>
      <c r="J164" s="1">
        <f t="shared" si="291"/>
        <v>0</v>
      </c>
      <c r="K164" s="1">
        <f t="shared" si="292"/>
        <v>-1.9250142001412931</v>
      </c>
      <c r="L164" s="1">
        <f t="shared" ref="L164:N164" si="374">E164/$H164</f>
        <v>0.99988952967943123</v>
      </c>
      <c r="M164" s="1">
        <f t="shared" si="374"/>
        <v>0</v>
      </c>
      <c r="N164" s="1">
        <f t="shared" si="374"/>
        <v>1.4863661643277076E-2</v>
      </c>
      <c r="O164" s="1">
        <f t="shared" si="5"/>
        <v>1.4863661643277076E-2</v>
      </c>
      <c r="P164" s="1">
        <f t="shared" si="294"/>
        <v>-1.4862019649810517E-2</v>
      </c>
      <c r="Q164" s="1">
        <f t="shared" si="295"/>
        <v>0</v>
      </c>
      <c r="R164" s="1">
        <f t="shared" si="296"/>
        <v>0.99977907156255419</v>
      </c>
      <c r="S164" s="1">
        <f t="shared" si="297"/>
        <v>10.471137577278419</v>
      </c>
      <c r="T164" s="1">
        <f t="shared" ref="T164:V164" si="375">$S164*P164</f>
        <v>-0.15562225242938116</v>
      </c>
      <c r="U164" s="1">
        <f t="shared" si="375"/>
        <v>0</v>
      </c>
      <c r="V164" s="1">
        <f t="shared" si="375"/>
        <v>10.468824205215192</v>
      </c>
      <c r="W164" s="1">
        <f t="shared" si="299"/>
        <v>-129.65275353811785</v>
      </c>
      <c r="X164" s="1">
        <f t="shared" si="300"/>
        <v>0</v>
      </c>
      <c r="Y164" s="1">
        <f t="shared" si="301"/>
        <v>-1.2628399949261002</v>
      </c>
    </row>
    <row r="165" spans="1:25">
      <c r="A165" s="1">
        <v>0.16300000000000001</v>
      </c>
      <c r="B165" s="1">
        <f t="shared" si="302"/>
        <v>11.477603449021998</v>
      </c>
      <c r="C165" s="1">
        <f t="shared" si="303"/>
        <v>0</v>
      </c>
      <c r="D165" s="1">
        <f t="shared" si="304"/>
        <v>0.10646405771022602</v>
      </c>
      <c r="E165" s="1">
        <f t="shared" si="305"/>
        <v>56.276037149464905</v>
      </c>
      <c r="F165" s="1">
        <f t="shared" si="306"/>
        <v>0</v>
      </c>
      <c r="G165" s="1">
        <f t="shared" si="307"/>
        <v>0.83722487748586416</v>
      </c>
      <c r="H165" s="1">
        <f t="shared" si="0"/>
        <v>56.28226454882067</v>
      </c>
      <c r="I165" s="1">
        <f t="shared" si="290"/>
        <v>-128.90252016378093</v>
      </c>
      <c r="J165" s="1">
        <f t="shared" si="291"/>
        <v>0</v>
      </c>
      <c r="K165" s="1">
        <f t="shared" si="292"/>
        <v>-1.9176971606069595</v>
      </c>
      <c r="L165" s="1">
        <f t="shared" ref="L165:N165" si="376">E165/$H165</f>
        <v>0.9998893541436954</v>
      </c>
      <c r="M165" s="1">
        <f t="shared" si="376"/>
        <v>0</v>
      </c>
      <c r="N165" s="1">
        <f t="shared" si="376"/>
        <v>1.4875465374347793E-2</v>
      </c>
      <c r="O165" s="1">
        <f t="shared" si="5"/>
        <v>1.4875465374347793E-2</v>
      </c>
      <c r="P165" s="1">
        <f t="shared" si="294"/>
        <v>-1.4873819465743518E-2</v>
      </c>
      <c r="Q165" s="1">
        <f t="shared" si="295"/>
        <v>0</v>
      </c>
      <c r="R165" s="1">
        <f t="shared" si="296"/>
        <v>0.99977872052989658</v>
      </c>
      <c r="S165" s="1">
        <f t="shared" si="297"/>
        <v>10.423059153887683</v>
      </c>
      <c r="T165" s="1">
        <f t="shared" ref="T165:V165" si="377">$S165*P165</f>
        <v>-0.15503070013569079</v>
      </c>
      <c r="U165" s="1">
        <f t="shared" si="377"/>
        <v>0</v>
      </c>
      <c r="V165" s="1">
        <f t="shared" si="377"/>
        <v>10.420752744881254</v>
      </c>
      <c r="W165" s="1">
        <f t="shared" si="299"/>
        <v>-129.05755086391662</v>
      </c>
      <c r="X165" s="1">
        <f t="shared" si="300"/>
        <v>0</v>
      </c>
      <c r="Y165" s="1">
        <f t="shared" si="301"/>
        <v>-1.3035944157257049</v>
      </c>
    </row>
    <row r="166" spans="1:25">
      <c r="A166" s="1">
        <v>0.16400000000000001</v>
      </c>
      <c r="B166" s="1">
        <f t="shared" si="302"/>
        <v>11.5337504286206</v>
      </c>
      <c r="C166" s="1">
        <f t="shared" si="303"/>
        <v>0</v>
      </c>
      <c r="D166" s="1">
        <f t="shared" si="304"/>
        <v>0.10729997899329616</v>
      </c>
      <c r="E166" s="1">
        <f t="shared" si="305"/>
        <v>56.146979598600986</v>
      </c>
      <c r="F166" s="1">
        <f t="shared" si="306"/>
        <v>0</v>
      </c>
      <c r="G166" s="1">
        <f t="shared" si="307"/>
        <v>0.83592128307013847</v>
      </c>
      <c r="H166" s="1">
        <f t="shared" si="0"/>
        <v>56.153201889448873</v>
      </c>
      <c r="I166" s="1">
        <f t="shared" si="290"/>
        <v>-128.31199605541397</v>
      </c>
      <c r="J166" s="1">
        <f t="shared" si="291"/>
        <v>0</v>
      </c>
      <c r="K166" s="1">
        <f t="shared" si="292"/>
        <v>-1.9103205398176888</v>
      </c>
      <c r="L166" s="1">
        <f t="shared" ref="L166:N166" si="378">E166/$H166</f>
        <v>0.99988919080945482</v>
      </c>
      <c r="M166" s="1">
        <f t="shared" si="378"/>
        <v>0</v>
      </c>
      <c r="N166" s="1">
        <f t="shared" si="378"/>
        <v>1.488644021966639E-2</v>
      </c>
      <c r="O166" s="1">
        <f t="shared" si="5"/>
        <v>1.488644021966639E-2</v>
      </c>
      <c r="P166" s="1">
        <f t="shared" si="294"/>
        <v>-1.488479066527555E-2</v>
      </c>
      <c r="Q166" s="1">
        <f t="shared" si="295"/>
        <v>0</v>
      </c>
      <c r="R166" s="1">
        <f t="shared" si="296"/>
        <v>0.99977839389758627</v>
      </c>
      <c r="S166" s="1">
        <f t="shared" si="297"/>
        <v>10.375311063024229</v>
      </c>
      <c r="T166" s="1">
        <f t="shared" ref="T166:V166" si="379">$S166*P166</f>
        <v>-0.1544343332602332</v>
      </c>
      <c r="U166" s="1">
        <f t="shared" si="379"/>
        <v>0</v>
      </c>
      <c r="V166" s="1">
        <f t="shared" si="379"/>
        <v>10.373011830778223</v>
      </c>
      <c r="W166" s="1">
        <f t="shared" si="299"/>
        <v>-128.46643038867421</v>
      </c>
      <c r="X166" s="1">
        <f t="shared" si="300"/>
        <v>0</v>
      </c>
      <c r="Y166" s="1">
        <f t="shared" si="301"/>
        <v>-1.3439587090394642</v>
      </c>
    </row>
    <row r="167" spans="1:25">
      <c r="A167" s="1">
        <v>0.16500000000000001</v>
      </c>
      <c r="B167" s="1">
        <f t="shared" si="302"/>
        <v>11.589768941788812</v>
      </c>
      <c r="C167" s="1">
        <f t="shared" si="303"/>
        <v>0</v>
      </c>
      <c r="D167" s="1">
        <f t="shared" si="304"/>
        <v>0.10813455631765725</v>
      </c>
      <c r="E167" s="1">
        <f t="shared" si="305"/>
        <v>56.018513168212309</v>
      </c>
      <c r="F167" s="1">
        <f t="shared" si="306"/>
        <v>0</v>
      </c>
      <c r="G167" s="1">
        <f t="shared" si="307"/>
        <v>0.83457732436109899</v>
      </c>
      <c r="H167" s="1">
        <f t="shared" si="0"/>
        <v>56.024729690445753</v>
      </c>
      <c r="I167" s="1">
        <f t="shared" si="290"/>
        <v>-127.72552160997012</v>
      </c>
      <c r="J167" s="1">
        <f t="shared" si="291"/>
        <v>0</v>
      </c>
      <c r="K167" s="1">
        <f t="shared" si="292"/>
        <v>-1.9028856363571416</v>
      </c>
      <c r="L167" s="1">
        <f t="shared" ref="L167:N167" si="380">E167/$H167</f>
        <v>0.99988903967466169</v>
      </c>
      <c r="M167" s="1">
        <f t="shared" si="380"/>
        <v>0</v>
      </c>
      <c r="N167" s="1">
        <f t="shared" si="380"/>
        <v>1.489658814906205E-2</v>
      </c>
      <c r="O167" s="1">
        <f t="shared" si="5"/>
        <v>1.489658814906205E-2</v>
      </c>
      <c r="P167" s="1">
        <f t="shared" si="294"/>
        <v>-1.4894935218794599E-2</v>
      </c>
      <c r="Q167" s="1">
        <f t="shared" si="295"/>
        <v>0</v>
      </c>
      <c r="R167" s="1">
        <f t="shared" si="296"/>
        <v>0.99977809166151721</v>
      </c>
      <c r="S167" s="1">
        <f t="shared" si="297"/>
        <v>10.327890286446806</v>
      </c>
      <c r="T167" s="1">
        <f t="shared" ref="T167:V167" si="381">$S167*P167</f>
        <v>-0.15383325676344317</v>
      </c>
      <c r="U167" s="1">
        <f t="shared" si="381"/>
        <v>0</v>
      </c>
      <c r="V167" s="1">
        <f t="shared" si="381"/>
        <v>10.325598441473307</v>
      </c>
      <c r="W167" s="1">
        <f t="shared" si="299"/>
        <v>-127.87935486673356</v>
      </c>
      <c r="X167" s="1">
        <f t="shared" si="300"/>
        <v>0</v>
      </c>
      <c r="Y167" s="1">
        <f t="shared" si="301"/>
        <v>-1.383937194883833</v>
      </c>
    </row>
    <row r="168" spans="1:25">
      <c r="A168" s="1">
        <v>0.16600000000000001</v>
      </c>
      <c r="B168" s="1">
        <f t="shared" si="302"/>
        <v>11.645659575602156</v>
      </c>
      <c r="C168" s="1">
        <f t="shared" si="303"/>
        <v>0</v>
      </c>
      <c r="D168" s="1">
        <f t="shared" si="304"/>
        <v>0.10896774970482347</v>
      </c>
      <c r="E168" s="1">
        <f t="shared" si="305"/>
        <v>55.890633813345573</v>
      </c>
      <c r="F168" s="1">
        <f t="shared" si="306"/>
        <v>0</v>
      </c>
      <c r="G168" s="1">
        <f t="shared" si="307"/>
        <v>0.83319338716621516</v>
      </c>
      <c r="H168" s="1">
        <f t="shared" si="0"/>
        <v>55.896843911601167</v>
      </c>
      <c r="I168" s="1">
        <f t="shared" si="290"/>
        <v>-127.1430599026979</v>
      </c>
      <c r="J168" s="1">
        <f t="shared" si="291"/>
        <v>0</v>
      </c>
      <c r="K168" s="1">
        <f t="shared" si="292"/>
        <v>-1.8953937271276882</v>
      </c>
      <c r="L168" s="1">
        <f t="shared" ref="L168:N168" si="382">E168/$H168</f>
        <v>0.99988890073533643</v>
      </c>
      <c r="M168" s="1">
        <f t="shared" si="382"/>
        <v>0</v>
      </c>
      <c r="N168" s="1">
        <f t="shared" si="382"/>
        <v>1.4905911118772293E-2</v>
      </c>
      <c r="O168" s="1">
        <f t="shared" si="5"/>
        <v>1.4905911118772293E-2</v>
      </c>
      <c r="P168" s="1">
        <f t="shared" si="294"/>
        <v>-1.4904255083007857E-2</v>
      </c>
      <c r="Q168" s="1">
        <f t="shared" si="295"/>
        <v>0</v>
      </c>
      <c r="R168" s="1">
        <f t="shared" si="296"/>
        <v>0.99977781381371922</v>
      </c>
      <c r="S168" s="1">
        <f t="shared" si="297"/>
        <v>10.280793840343309</v>
      </c>
      <c r="T168" s="1">
        <f t="shared" ref="T168:V168" si="383">$S168*P168</f>
        <v>-0.15322757385229263</v>
      </c>
      <c r="U168" s="1">
        <f t="shared" si="383"/>
        <v>0</v>
      </c>
      <c r="V168" s="1">
        <f t="shared" si="383"/>
        <v>10.278509589967983</v>
      </c>
      <c r="W168" s="1">
        <f t="shared" si="299"/>
        <v>-127.29628747655019</v>
      </c>
      <c r="X168" s="1">
        <f t="shared" si="300"/>
        <v>0</v>
      </c>
      <c r="Y168" s="1">
        <f t="shared" si="301"/>
        <v>-1.4235341371597041</v>
      </c>
    </row>
    <row r="169" spans="1:25">
      <c r="A169" s="1">
        <v>0.16700000000000001</v>
      </c>
      <c r="B169" s="1">
        <f t="shared" si="302"/>
        <v>11.701422913128026</v>
      </c>
      <c r="C169" s="1">
        <f t="shared" si="303"/>
        <v>0</v>
      </c>
      <c r="D169" s="1">
        <f t="shared" si="304"/>
        <v>0.10979951955785253</v>
      </c>
      <c r="E169" s="1">
        <f t="shared" si="305"/>
        <v>55.763337525869026</v>
      </c>
      <c r="F169" s="1">
        <f t="shared" si="306"/>
        <v>0</v>
      </c>
      <c r="G169" s="1">
        <f t="shared" si="307"/>
        <v>0.83176985302905548</v>
      </c>
      <c r="H169" s="1">
        <f t="shared" si="0"/>
        <v>55.769540549590339</v>
      </c>
      <c r="I169" s="1">
        <f t="shared" si="290"/>
        <v>-126.56457442889707</v>
      </c>
      <c r="J169" s="1">
        <f t="shared" si="291"/>
        <v>0</v>
      </c>
      <c r="K169" s="1">
        <f t="shared" si="292"/>
        <v>-1.8878460677245499</v>
      </c>
      <c r="L169" s="1">
        <f t="shared" ref="L169:N169" si="384">E169/$H169</f>
        <v>0.99988877398558096</v>
      </c>
      <c r="M169" s="1">
        <f t="shared" si="384"/>
        <v>0</v>
      </c>
      <c r="N169" s="1">
        <f t="shared" si="384"/>
        <v>1.4914411071567728E-2</v>
      </c>
      <c r="O169" s="1">
        <f t="shared" si="5"/>
        <v>1.4914411071567728E-2</v>
      </c>
      <c r="P169" s="1">
        <f t="shared" si="294"/>
        <v>-1.4912752201066831E-2</v>
      </c>
      <c r="Q169" s="1">
        <f t="shared" si="295"/>
        <v>0</v>
      </c>
      <c r="R169" s="1">
        <f t="shared" si="296"/>
        <v>0.99977756034238829</v>
      </c>
      <c r="S169" s="1">
        <f t="shared" si="297"/>
        <v>10.234018774860431</v>
      </c>
      <c r="T169" s="1">
        <f t="shared" ref="T169:V169" si="385">$S169*P169</f>
        <v>-0.15261738601055916</v>
      </c>
      <c r="U169" s="1">
        <f t="shared" si="385"/>
        <v>0</v>
      </c>
      <c r="V169" s="1">
        <f t="shared" si="385"/>
        <v>10.231742323228159</v>
      </c>
      <c r="W169" s="1">
        <f t="shared" si="299"/>
        <v>-126.71719181490764</v>
      </c>
      <c r="X169" s="1">
        <f t="shared" si="300"/>
        <v>0</v>
      </c>
      <c r="Y169" s="1">
        <f t="shared" si="301"/>
        <v>-1.4627537444963892</v>
      </c>
    </row>
    <row r="170" spans="1:25">
      <c r="A170" s="1">
        <v>0.16800000000000001</v>
      </c>
      <c r="B170" s="1">
        <f t="shared" si="302"/>
        <v>11.75705953346208</v>
      </c>
      <c r="C170" s="1">
        <f t="shared" si="303"/>
        <v>0</v>
      </c>
      <c r="D170" s="1">
        <f t="shared" si="304"/>
        <v>0.11062982665713708</v>
      </c>
      <c r="E170" s="1">
        <f t="shared" si="305"/>
        <v>55.636620334054122</v>
      </c>
      <c r="F170" s="1">
        <f t="shared" si="306"/>
        <v>0</v>
      </c>
      <c r="G170" s="1">
        <f t="shared" si="307"/>
        <v>0.83030709928455915</v>
      </c>
      <c r="H170" s="1">
        <f t="shared" si="0"/>
        <v>55.642815637553845</v>
      </c>
      <c r="I170" s="1">
        <f t="shared" si="290"/>
        <v>-125.99002909819563</v>
      </c>
      <c r="J170" s="1">
        <f t="shared" si="291"/>
        <v>0</v>
      </c>
      <c r="K170" s="1">
        <f t="shared" si="292"/>
        <v>-1.8802438928029199</v>
      </c>
      <c r="L170" s="1">
        <f t="shared" ref="L170:N170" si="386">E170/$H170</f>
        <v>0.9998886594175953</v>
      </c>
      <c r="M170" s="1">
        <f t="shared" si="386"/>
        <v>0</v>
      </c>
      <c r="N170" s="1">
        <f t="shared" si="386"/>
        <v>1.4922089936875467E-2</v>
      </c>
      <c r="O170" s="1">
        <f t="shared" si="5"/>
        <v>1.4922089936875467E-2</v>
      </c>
      <c r="P170" s="1">
        <f t="shared" si="294"/>
        <v>-1.4920428502691201E-2</v>
      </c>
      <c r="Q170" s="1">
        <f t="shared" si="295"/>
        <v>0</v>
      </c>
      <c r="R170" s="1">
        <f t="shared" si="296"/>
        <v>0.99977733123191581</v>
      </c>
      <c r="S170" s="1">
        <f t="shared" si="297"/>
        <v>10.187562173640663</v>
      </c>
      <c r="T170" s="1">
        <f t="shared" ref="T170:V170" si="387">$S170*P170</f>
        <v>-0.15200279302852687</v>
      </c>
      <c r="U170" s="1">
        <f t="shared" si="387"/>
        <v>0</v>
      </c>
      <c r="V170" s="1">
        <f t="shared" si="387"/>
        <v>10.185293721721678</v>
      </c>
      <c r="W170" s="1">
        <f t="shared" si="299"/>
        <v>-126.14203189122416</v>
      </c>
      <c r="X170" s="1">
        <f t="shared" si="300"/>
        <v>0</v>
      </c>
      <c r="Y170" s="1">
        <f t="shared" si="301"/>
        <v>-1.5016001710812414</v>
      </c>
    </row>
    <row r="171" spans="1:25">
      <c r="A171" s="1">
        <v>0.16900000000000001</v>
      </c>
      <c r="B171" s="1">
        <f t="shared" si="302"/>
        <v>11.812570011764242</v>
      </c>
      <c r="C171" s="1">
        <f t="shared" si="303"/>
        <v>0</v>
      </c>
      <c r="D171" s="1">
        <f t="shared" si="304"/>
        <v>0.11145863215625056</v>
      </c>
      <c r="E171" s="1">
        <f t="shared" si="305"/>
        <v>55.510478302162895</v>
      </c>
      <c r="F171" s="1">
        <f t="shared" si="306"/>
        <v>0</v>
      </c>
      <c r="G171" s="1">
        <f t="shared" si="307"/>
        <v>0.82880549911347789</v>
      </c>
      <c r="H171" s="1">
        <f t="shared" si="0"/>
        <v>55.516665244683587</v>
      </c>
      <c r="I171" s="1">
        <f t="shared" si="290"/>
        <v>-125.41938822891821</v>
      </c>
      <c r="J171" s="1">
        <f t="shared" si="291"/>
        <v>0</v>
      </c>
      <c r="K171" s="1">
        <f t="shared" si="292"/>
        <v>-1.872588416438224</v>
      </c>
      <c r="L171" s="1">
        <f t="shared" ref="L171:N171" si="388">E171/$H171</f>
        <v>0.99988855702169022</v>
      </c>
      <c r="M171" s="1">
        <f t="shared" si="388"/>
        <v>0</v>
      </c>
      <c r="N171" s="1">
        <f t="shared" si="388"/>
        <v>1.492894963090108E-2</v>
      </c>
      <c r="O171" s="1">
        <f t="shared" si="5"/>
        <v>1.492894963090108E-2</v>
      </c>
      <c r="P171" s="1">
        <f t="shared" si="294"/>
        <v>-1.4927285904291175E-2</v>
      </c>
      <c r="Q171" s="1">
        <f t="shared" si="295"/>
        <v>0</v>
      </c>
      <c r="R171" s="1">
        <f t="shared" si="296"/>
        <v>0.99977712646291805</v>
      </c>
      <c r="S171" s="1">
        <f t="shared" si="297"/>
        <v>10.141421153366757</v>
      </c>
      <c r="T171" s="1">
        <f t="shared" ref="T171:V171" si="389">$S171*P171</f>
        <v>-0.15138389303213196</v>
      </c>
      <c r="U171" s="1">
        <f t="shared" si="389"/>
        <v>0</v>
      </c>
      <c r="V171" s="1">
        <f t="shared" si="389"/>
        <v>10.139160898963269</v>
      </c>
      <c r="W171" s="1">
        <f t="shared" si="299"/>
        <v>-125.57077212195034</v>
      </c>
      <c r="X171" s="1">
        <f t="shared" si="300"/>
        <v>0</v>
      </c>
      <c r="Y171" s="1">
        <f t="shared" si="301"/>
        <v>-1.5400775174749555</v>
      </c>
    </row>
    <row r="172" spans="1:25">
      <c r="A172" s="1">
        <v>0.17</v>
      </c>
      <c r="B172" s="1">
        <f t="shared" si="302"/>
        <v>11.867954919294283</v>
      </c>
      <c r="C172" s="1">
        <f t="shared" si="303"/>
        <v>0</v>
      </c>
      <c r="D172" s="1">
        <f t="shared" si="304"/>
        <v>0.11228589757784656</v>
      </c>
      <c r="E172" s="1">
        <f t="shared" si="305"/>
        <v>55.384907530040941</v>
      </c>
      <c r="F172" s="1">
        <f t="shared" si="306"/>
        <v>0</v>
      </c>
      <c r="G172" s="1">
        <f t="shared" si="307"/>
        <v>0.82726542159600291</v>
      </c>
      <c r="H172" s="1">
        <f t="shared" si="0"/>
        <v>55.391085475814194</v>
      </c>
      <c r="I172" s="1">
        <f t="shared" si="290"/>
        <v>-124.85261654254326</v>
      </c>
      <c r="J172" s="1">
        <f t="shared" si="291"/>
        <v>0</v>
      </c>
      <c r="K172" s="1">
        <f t="shared" si="292"/>
        <v>-1.8648808324796493</v>
      </c>
      <c r="L172" s="1">
        <f t="shared" ref="L172:N172" si="390">E172/$H172</f>
        <v>0.9998884667863035</v>
      </c>
      <c r="M172" s="1">
        <f t="shared" si="390"/>
        <v>0</v>
      </c>
      <c r="N172" s="1">
        <f t="shared" si="390"/>
        <v>1.4934992056749235E-2</v>
      </c>
      <c r="O172" s="1">
        <f t="shared" si="5"/>
        <v>1.4934992056749235E-2</v>
      </c>
      <c r="P172" s="1">
        <f t="shared" si="294"/>
        <v>-1.4933326309088614E-2</v>
      </c>
      <c r="Q172" s="1">
        <f t="shared" si="295"/>
        <v>0</v>
      </c>
      <c r="R172" s="1">
        <f t="shared" si="296"/>
        <v>0.99977694601226486</v>
      </c>
      <c r="S172" s="1">
        <f t="shared" si="297"/>
        <v>10.09559286331333</v>
      </c>
      <c r="T172" s="1">
        <f t="shared" ref="T172:V172" si="391">$S172*P172</f>
        <v>-0.15076078251156422</v>
      </c>
      <c r="U172" s="1">
        <f t="shared" si="391"/>
        <v>0</v>
      </c>
      <c r="V172" s="1">
        <f t="shared" si="391"/>
        <v>10.093341001066618</v>
      </c>
      <c r="W172" s="1">
        <f t="shared" si="299"/>
        <v>-125.00337732505483</v>
      </c>
      <c r="X172" s="1">
        <f t="shared" si="300"/>
        <v>0</v>
      </c>
      <c r="Y172" s="1">
        <f t="shared" si="301"/>
        <v>-1.5781898314130309</v>
      </c>
    </row>
    <row r="173" spans="1:25">
      <c r="A173" s="1">
        <v>0.17100000000000001</v>
      </c>
      <c r="B173" s="1">
        <f t="shared" si="302"/>
        <v>11.923214823446999</v>
      </c>
      <c r="C173" s="1">
        <f t="shared" si="303"/>
        <v>0</v>
      </c>
      <c r="D173" s="1">
        <f t="shared" si="304"/>
        <v>0.11311158480961114</v>
      </c>
      <c r="E173" s="1">
        <f t="shared" si="305"/>
        <v>55.259904152715883</v>
      </c>
      <c r="F173" s="1">
        <f t="shared" si="306"/>
        <v>0</v>
      </c>
      <c r="G173" s="1">
        <f t="shared" si="307"/>
        <v>0.82568723176458991</v>
      </c>
      <c r="H173" s="1">
        <f t="shared" si="0"/>
        <v>55.266072471020095</v>
      </c>
      <c r="I173" s="1">
        <f t="shared" si="290"/>
        <v>-124.28967915824785</v>
      </c>
      <c r="J173" s="1">
        <f t="shared" si="291"/>
        <v>0</v>
      </c>
      <c r="K173" s="1">
        <f t="shared" si="292"/>
        <v>-1.8571223148970841</v>
      </c>
      <c r="L173" s="1">
        <f t="shared" ref="L173:N173" si="392">E173/$H173</f>
        <v>0.99988838869801278</v>
      </c>
      <c r="M173" s="1">
        <f t="shared" si="392"/>
        <v>0</v>
      </c>
      <c r="N173" s="1">
        <f t="shared" si="392"/>
        <v>1.4940219104542955E-2</v>
      </c>
      <c r="O173" s="1">
        <f t="shared" si="5"/>
        <v>1.4940219104542955E-2</v>
      </c>
      <c r="P173" s="1">
        <f t="shared" si="294"/>
        <v>-1.4938551607236722E-2</v>
      </c>
      <c r="Q173" s="1">
        <f t="shared" si="295"/>
        <v>0</v>
      </c>
      <c r="R173" s="1">
        <f t="shared" si="296"/>
        <v>0.99977678985310825</v>
      </c>
      <c r="S173" s="1">
        <f t="shared" si="297"/>
        <v>10.050074484905601</v>
      </c>
      <c r="T173" s="1">
        <f t="shared" ref="T173:V173" si="393">$S173*P173</f>
        <v>-0.15013355634933534</v>
      </c>
      <c r="U173" s="1">
        <f t="shared" si="393"/>
        <v>0</v>
      </c>
      <c r="V173" s="1">
        <f t="shared" si="393"/>
        <v>10.047831206303552</v>
      </c>
      <c r="W173" s="1">
        <f t="shared" si="299"/>
        <v>-124.43981271459718</v>
      </c>
      <c r="X173" s="1">
        <f t="shared" si="300"/>
        <v>0</v>
      </c>
      <c r="Y173" s="1">
        <f t="shared" si="301"/>
        <v>-1.6159411085935318</v>
      </c>
    </row>
    <row r="174" spans="1:25">
      <c r="A174" s="1">
        <v>0.17199999999999999</v>
      </c>
      <c r="B174" s="1">
        <f t="shared" si="302"/>
        <v>11.978350287787</v>
      </c>
      <c r="C174" s="1">
        <f t="shared" si="303"/>
        <v>0</v>
      </c>
      <c r="D174" s="1">
        <f t="shared" si="304"/>
        <v>0.11393565610026714</v>
      </c>
      <c r="E174" s="1">
        <f t="shared" si="305"/>
        <v>55.135464340001285</v>
      </c>
      <c r="F174" s="1">
        <f t="shared" si="306"/>
        <v>0</v>
      </c>
      <c r="G174" s="1">
        <f t="shared" si="307"/>
        <v>0.82407129065599638</v>
      </c>
      <c r="H174" s="1">
        <f t="shared" si="0"/>
        <v>55.141622405217973</v>
      </c>
      <c r="I174" s="1">
        <f t="shared" si="290"/>
        <v>-123.73054158753837</v>
      </c>
      <c r="J174" s="1">
        <f t="shared" si="291"/>
        <v>0</v>
      </c>
      <c r="K174" s="1">
        <f t="shared" si="292"/>
        <v>-1.8493140181216039</v>
      </c>
      <c r="L174" s="1">
        <f t="shared" ref="L174:N174" si="394">E174/$H174</f>
        <v>0.99988832274155026</v>
      </c>
      <c r="M174" s="1">
        <f t="shared" si="394"/>
        <v>0</v>
      </c>
      <c r="N174" s="1">
        <f t="shared" si="394"/>
        <v>1.4944632651541563E-2</v>
      </c>
      <c r="O174" s="1">
        <f t="shared" si="5"/>
        <v>1.4944632651541563E-2</v>
      </c>
      <c r="P174" s="1">
        <f t="shared" si="294"/>
        <v>-1.49429636759385E-2</v>
      </c>
      <c r="Q174" s="1">
        <f t="shared" si="295"/>
        <v>0</v>
      </c>
      <c r="R174" s="1">
        <f t="shared" si="296"/>
        <v>0.99977665795491044</v>
      </c>
      <c r="S174" s="1">
        <f t="shared" si="297"/>
        <v>10.004863231285045</v>
      </c>
      <c r="T174" s="1">
        <f t="shared" ref="T174:V174" si="395">$S174*P174</f>
        <v>-0.14950230784782512</v>
      </c>
      <c r="U174" s="1">
        <f t="shared" si="395"/>
        <v>0</v>
      </c>
      <c r="V174" s="1">
        <f t="shared" si="395"/>
        <v>10.002628724670128</v>
      </c>
      <c r="W174" s="1">
        <f t="shared" si="299"/>
        <v>-123.88004389538619</v>
      </c>
      <c r="X174" s="1">
        <f t="shared" si="300"/>
        <v>0</v>
      </c>
      <c r="Y174" s="1">
        <f t="shared" si="301"/>
        <v>-1.6533352934514749</v>
      </c>
    </row>
    <row r="175" spans="1:25">
      <c r="A175" s="1">
        <v>0.17299999999999999</v>
      </c>
      <c r="B175" s="1">
        <f t="shared" si="302"/>
        <v>12.033361872083105</v>
      </c>
      <c r="C175" s="1">
        <f t="shared" si="303"/>
        <v>0</v>
      </c>
      <c r="D175" s="1">
        <f t="shared" si="304"/>
        <v>0.11475807405562968</v>
      </c>
      <c r="E175" s="1">
        <f t="shared" si="305"/>
        <v>55.011584296105902</v>
      </c>
      <c r="F175" s="1">
        <f t="shared" si="306"/>
        <v>0</v>
      </c>
      <c r="G175" s="1">
        <f t="shared" si="307"/>
        <v>0.82241795536254492</v>
      </c>
      <c r="H175" s="1">
        <f t="shared" si="0"/>
        <v>55.017731487774626</v>
      </c>
      <c r="I175" s="1">
        <f t="shared" si="290"/>
        <v>-123.17516972896573</v>
      </c>
      <c r="J175" s="1">
        <f t="shared" si="291"/>
        <v>0</v>
      </c>
      <c r="K175" s="1">
        <f t="shared" si="292"/>
        <v>-1.8414570773796319</v>
      </c>
      <c r="L175" s="1">
        <f t="shared" ref="L175:N175" si="396">E175/$H175</f>
        <v>0.99988826889981663</v>
      </c>
      <c r="M175" s="1">
        <f t="shared" si="396"/>
        <v>0</v>
      </c>
      <c r="N175" s="1">
        <f t="shared" si="396"/>
        <v>1.494823456225731E-2</v>
      </c>
      <c r="O175" s="1">
        <f t="shared" si="5"/>
        <v>1.494823456225731E-2</v>
      </c>
      <c r="P175" s="1">
        <f t="shared" si="294"/>
        <v>-1.4946564379563869E-2</v>
      </c>
      <c r="Q175" s="1">
        <f t="shared" si="295"/>
        <v>0</v>
      </c>
      <c r="R175" s="1">
        <f t="shared" si="296"/>
        <v>0.99977655028347179</v>
      </c>
      <c r="S175" s="1">
        <f t="shared" si="297"/>
        <v>9.9599563468818992</v>
      </c>
      <c r="T175" s="1">
        <f t="shared" ref="T175:V175" si="397">$S175*P175</f>
        <v>-0.14886712875631608</v>
      </c>
      <c r="U175" s="1">
        <f t="shared" si="397"/>
        <v>0</v>
      </c>
      <c r="V175" s="1">
        <f t="shared" si="397"/>
        <v>9.9577307974595559</v>
      </c>
      <c r="W175" s="1">
        <f t="shared" si="299"/>
        <v>-123.32403685772205</v>
      </c>
      <c r="X175" s="1">
        <f t="shared" si="300"/>
        <v>0</v>
      </c>
      <c r="Y175" s="1">
        <f t="shared" si="301"/>
        <v>-1.6903762799200752</v>
      </c>
    </row>
    <row r="176" spans="1:25">
      <c r="A176" s="1">
        <v>0.17399999999999999</v>
      </c>
      <c r="B176" s="1">
        <f t="shared" si="302"/>
        <v>12.088250132342354</v>
      </c>
      <c r="C176" s="1">
        <f t="shared" si="303"/>
        <v>0</v>
      </c>
      <c r="D176" s="1">
        <f t="shared" si="304"/>
        <v>0.11557880163471231</v>
      </c>
      <c r="E176" s="1">
        <f t="shared" si="305"/>
        <v>54.888260259248177</v>
      </c>
      <c r="F176" s="1">
        <f t="shared" si="306"/>
        <v>0</v>
      </c>
      <c r="G176" s="1">
        <f t="shared" si="307"/>
        <v>0.82072757908262484</v>
      </c>
      <c r="H176" s="1">
        <f t="shared" si="0"/>
        <v>54.894395962120122</v>
      </c>
      <c r="I176" s="1">
        <f t="shared" si="290"/>
        <v>-122.62352986292331</v>
      </c>
      <c r="J176" s="1">
        <f t="shared" si="291"/>
        <v>0</v>
      </c>
      <c r="K176" s="1">
        <f t="shared" si="292"/>
        <v>-1.833552609020906</v>
      </c>
      <c r="L176" s="1">
        <f t="shared" ref="L176:N176" si="398">E176/$H176</f>
        <v>0.99988822715389425</v>
      </c>
      <c r="M176" s="1">
        <f t="shared" si="398"/>
        <v>0</v>
      </c>
      <c r="N176" s="1">
        <f t="shared" si="398"/>
        <v>1.4951026688570686E-2</v>
      </c>
      <c r="O176" s="1">
        <f t="shared" si="5"/>
        <v>1.4951026688570686E-2</v>
      </c>
      <c r="P176" s="1">
        <f t="shared" si="294"/>
        <v>-1.4949355569765501E-2</v>
      </c>
      <c r="Q176" s="1">
        <f t="shared" si="295"/>
        <v>0</v>
      </c>
      <c r="R176" s="1">
        <f t="shared" si="296"/>
        <v>0.99977646680095766</v>
      </c>
      <c r="S176" s="1">
        <f t="shared" si="297"/>
        <v>9.9153511069944003</v>
      </c>
      <c r="T176" s="1">
        <f t="shared" ref="T176:V176" si="399">$S176*P176</f>
        <v>-0.14822810929752728</v>
      </c>
      <c r="U176" s="1">
        <f t="shared" si="399"/>
        <v>0</v>
      </c>
      <c r="V176" s="1">
        <f t="shared" si="399"/>
        <v>9.9131346968418264</v>
      </c>
      <c r="W176" s="1">
        <f t="shared" si="299"/>
        <v>-122.77175797222084</v>
      </c>
      <c r="X176" s="1">
        <f t="shared" si="300"/>
        <v>0</v>
      </c>
      <c r="Y176" s="1">
        <f t="shared" si="301"/>
        <v>-1.7270679121790788</v>
      </c>
    </row>
    <row r="177" spans="1:25">
      <c r="A177" s="1">
        <v>0.17499999999999999</v>
      </c>
      <c r="B177" s="1">
        <f t="shared" si="302"/>
        <v>12.143015620843631</v>
      </c>
      <c r="C177" s="1">
        <f t="shared" si="303"/>
        <v>0</v>
      </c>
      <c r="D177" s="1">
        <f t="shared" si="304"/>
        <v>0.11639780214588274</v>
      </c>
      <c r="E177" s="1">
        <f t="shared" si="305"/>
        <v>54.765488501275954</v>
      </c>
      <c r="F177" s="1">
        <f t="shared" si="306"/>
        <v>0</v>
      </c>
      <c r="G177" s="1">
        <f t="shared" si="307"/>
        <v>0.81900051117044581</v>
      </c>
      <c r="H177" s="1">
        <f t="shared" si="0"/>
        <v>54.771612105366103</v>
      </c>
      <c r="I177" s="1">
        <f t="shared" si="290"/>
        <v>-122.07558864652648</v>
      </c>
      <c r="J177" s="1">
        <f t="shared" si="291"/>
        <v>0</v>
      </c>
      <c r="K177" s="1">
        <f t="shared" si="292"/>
        <v>-1.8256017108403748</v>
      </c>
      <c r="L177" s="1">
        <f t="shared" ref="L177:N177" si="400">E177/$H177</f>
        <v>0.99988819748306168</v>
      </c>
      <c r="M177" s="1">
        <f t="shared" si="400"/>
        <v>0</v>
      </c>
      <c r="N177" s="1">
        <f t="shared" si="400"/>
        <v>1.4953010869844498E-2</v>
      </c>
      <c r="O177" s="1">
        <f t="shared" si="5"/>
        <v>1.4953010869844498E-2</v>
      </c>
      <c r="P177" s="1">
        <f t="shared" si="294"/>
        <v>-1.4951339085593443E-2</v>
      </c>
      <c r="Q177" s="1">
        <f t="shared" si="295"/>
        <v>0</v>
      </c>
      <c r="R177" s="1">
        <f t="shared" si="296"/>
        <v>0.99977640746592633</v>
      </c>
      <c r="S177" s="1">
        <f t="shared" si="297"/>
        <v>9.8710448173745551</v>
      </c>
      <c r="T177" s="1">
        <f t="shared" ref="T177:V177" si="401">$S177*P177</f>
        <v>-0.14758533819365677</v>
      </c>
      <c r="U177" s="1">
        <f t="shared" si="401"/>
        <v>0</v>
      </c>
      <c r="V177" s="1">
        <f t="shared" si="401"/>
        <v>9.8688377254498842</v>
      </c>
      <c r="W177" s="1">
        <f t="shared" si="299"/>
        <v>-122.22317398472013</v>
      </c>
      <c r="X177" s="1">
        <f t="shared" si="300"/>
        <v>0</v>
      </c>
      <c r="Y177" s="1">
        <f t="shared" si="301"/>
        <v>-1.7634139853904909</v>
      </c>
    </row>
    <row r="178" spans="1:25">
      <c r="A178" s="1">
        <v>0.17599999999999999</v>
      </c>
      <c r="B178" s="1">
        <f t="shared" si="302"/>
        <v>12.197658886170922</v>
      </c>
      <c r="C178" s="1">
        <f t="shared" si="303"/>
        <v>0</v>
      </c>
      <c r="D178" s="1">
        <f t="shared" si="304"/>
        <v>0.1172150392430678</v>
      </c>
      <c r="E178" s="1">
        <f t="shared" si="305"/>
        <v>54.643265327291232</v>
      </c>
      <c r="F178" s="1">
        <f t="shared" si="306"/>
        <v>0</v>
      </c>
      <c r="G178" s="1">
        <f t="shared" si="307"/>
        <v>0.81723709718505533</v>
      </c>
      <c r="H178" s="1">
        <f t="shared" si="0"/>
        <v>54.649376227929295</v>
      </c>
      <c r="I178" s="1">
        <f t="shared" si="290"/>
        <v>-121.53131310857195</v>
      </c>
      <c r="J178" s="1">
        <f t="shared" si="291"/>
        <v>0</v>
      </c>
      <c r="K178" s="1">
        <f t="shared" si="292"/>
        <v>-1.81760546239415</v>
      </c>
      <c r="L178" s="1">
        <f t="shared" ref="L178:N178" si="402">E178/$H178</f>
        <v>0.99988817986480616</v>
      </c>
      <c r="M178" s="1">
        <f t="shared" si="402"/>
        <v>0</v>
      </c>
      <c r="N178" s="1">
        <f t="shared" si="402"/>
        <v>1.4954188933036629E-2</v>
      </c>
      <c r="O178" s="1">
        <f t="shared" si="5"/>
        <v>1.4954188933036629E-2</v>
      </c>
      <c r="P178" s="1">
        <f t="shared" si="294"/>
        <v>-1.4952516753608423E-2</v>
      </c>
      <c r="Q178" s="1">
        <f t="shared" si="295"/>
        <v>0</v>
      </c>
      <c r="R178" s="1">
        <f t="shared" si="296"/>
        <v>0.99977637223335503</v>
      </c>
      <c r="S178" s="1">
        <f t="shared" si="297"/>
        <v>9.8270348138204451</v>
      </c>
      <c r="T178" s="1">
        <f t="shared" ref="T178:V178" si="403">$S178*P178</f>
        <v>-0.14693890269194343</v>
      </c>
      <c r="U178" s="1">
        <f t="shared" si="403"/>
        <v>0</v>
      </c>
      <c r="V178" s="1">
        <f t="shared" si="403"/>
        <v>9.8248372159722877</v>
      </c>
      <c r="W178" s="1">
        <f t="shared" si="299"/>
        <v>-121.67825201126389</v>
      </c>
      <c r="X178" s="1">
        <f t="shared" si="300"/>
        <v>0</v>
      </c>
      <c r="Y178" s="1">
        <f t="shared" si="301"/>
        <v>-1.7994182464218618</v>
      </c>
    </row>
    <row r="179" spans="1:25">
      <c r="A179" s="1">
        <v>0.17699999999999999</v>
      </c>
      <c r="B179" s="1">
        <f t="shared" si="302"/>
        <v>12.252180473246202</v>
      </c>
      <c r="C179" s="1">
        <f t="shared" si="303"/>
        <v>0</v>
      </c>
      <c r="D179" s="1">
        <f t="shared" si="304"/>
        <v>0.11803047692200642</v>
      </c>
      <c r="E179" s="1">
        <f t="shared" si="305"/>
        <v>54.521587075279967</v>
      </c>
      <c r="F179" s="1">
        <f t="shared" si="306"/>
        <v>0</v>
      </c>
      <c r="G179" s="1">
        <f t="shared" si="307"/>
        <v>0.8154376789386335</v>
      </c>
      <c r="H179" s="1">
        <f t="shared" si="0"/>
        <v>54.527684673160003</v>
      </c>
      <c r="I179" s="1">
        <f t="shared" si="290"/>
        <v>-120.99067064457579</v>
      </c>
      <c r="J179" s="1">
        <f t="shared" si="291"/>
        <v>0</v>
      </c>
      <c r="K179" s="1">
        <f t="shared" si="292"/>
        <v>-1.8095649253096311</v>
      </c>
      <c r="L179" s="1">
        <f t="shared" ref="L179:N179" si="404">E179/$H179</f>
        <v>0.999888174274837</v>
      </c>
      <c r="M179" s="1">
        <f t="shared" si="404"/>
        <v>0</v>
      </c>
      <c r="N179" s="1">
        <f t="shared" si="404"/>
        <v>1.4954562692811601E-2</v>
      </c>
      <c r="O179" s="1">
        <f t="shared" si="5"/>
        <v>1.4954562692811601E-2</v>
      </c>
      <c r="P179" s="1">
        <f t="shared" si="294"/>
        <v>-1.4952890387993982E-2</v>
      </c>
      <c r="Q179" s="1">
        <f t="shared" si="295"/>
        <v>0</v>
      </c>
      <c r="R179" s="1">
        <f t="shared" si="296"/>
        <v>0.99977636105466672</v>
      </c>
      <c r="S179" s="1">
        <f t="shared" si="297"/>
        <v>9.7833184617748508</v>
      </c>
      <c r="T179" s="1">
        <f t="shared" ref="T179:V179" si="405">$S179*P179</f>
        <v>-0.14628888858975725</v>
      </c>
      <c r="U179" s="1">
        <f t="shared" si="405"/>
        <v>0</v>
      </c>
      <c r="V179" s="1">
        <f t="shared" si="405"/>
        <v>9.7811305307522005</v>
      </c>
      <c r="W179" s="1">
        <f t="shared" si="299"/>
        <v>-121.13695953316554</v>
      </c>
      <c r="X179" s="1">
        <f t="shared" si="300"/>
        <v>0</v>
      </c>
      <c r="Y179" s="1">
        <f t="shared" si="301"/>
        <v>-1.8350843945574304</v>
      </c>
    </row>
    <row r="180" spans="1:25">
      <c r="A180" s="1">
        <v>0.17799999999999999</v>
      </c>
      <c r="B180" s="1">
        <f t="shared" si="302"/>
        <v>12.306580923361949</v>
      </c>
      <c r="C180" s="1">
        <f t="shared" si="303"/>
        <v>0</v>
      </c>
      <c r="D180" s="1">
        <f t="shared" si="304"/>
        <v>0.1188440795165505</v>
      </c>
      <c r="E180" s="1">
        <f t="shared" si="305"/>
        <v>54.4004501157468</v>
      </c>
      <c r="F180" s="1">
        <f t="shared" si="306"/>
        <v>0</v>
      </c>
      <c r="G180" s="1">
        <f t="shared" si="307"/>
        <v>0.81360259454407602</v>
      </c>
      <c r="H180" s="1">
        <f t="shared" si="0"/>
        <v>54.406533816975553</v>
      </c>
      <c r="I180" s="1">
        <f t="shared" si="290"/>
        <v>-120.4536290118883</v>
      </c>
      <c r="J180" s="1">
        <f t="shared" si="291"/>
        <v>0</v>
      </c>
      <c r="K180" s="1">
        <f t="shared" si="292"/>
        <v>-1.8014811435899194</v>
      </c>
      <c r="L180" s="1">
        <f t="shared" ref="L180:N180" si="406">E180/$H180</f>
        <v>0.99988818068709873</v>
      </c>
      <c r="M180" s="1">
        <f t="shared" si="406"/>
        <v>0</v>
      </c>
      <c r="N180" s="1">
        <f t="shared" si="406"/>
        <v>1.4954133951650883E-2</v>
      </c>
      <c r="O180" s="1">
        <f t="shared" si="5"/>
        <v>1.4954133951650883E-2</v>
      </c>
      <c r="P180" s="1">
        <f t="shared" si="294"/>
        <v>-1.4952461790667376E-2</v>
      </c>
      <c r="Q180" s="1">
        <f t="shared" si="295"/>
        <v>0</v>
      </c>
      <c r="R180" s="1">
        <f t="shared" si="296"/>
        <v>0.99977637387775609</v>
      </c>
      <c r="S180" s="1">
        <f t="shared" si="297"/>
        <v>9.739893155930119</v>
      </c>
      <c r="T180" s="1">
        <f t="shared" ref="T180:V180" si="407">$S180*P180</f>
        <v>-0.14563538025922779</v>
      </c>
      <c r="U180" s="1">
        <f t="shared" si="407"/>
        <v>0</v>
      </c>
      <c r="V180" s="1">
        <f t="shared" si="407"/>
        <v>9.7377150613925885</v>
      </c>
      <c r="W180" s="1">
        <f t="shared" si="299"/>
        <v>-120.59926439214752</v>
      </c>
      <c r="X180" s="1">
        <f t="shared" si="300"/>
        <v>0</v>
      </c>
      <c r="Y180" s="1">
        <f t="shared" si="301"/>
        <v>-1.8704160821973304</v>
      </c>
    </row>
    <row r="181" spans="1:25">
      <c r="A181" s="1">
        <v>0.17899999999999999</v>
      </c>
      <c r="B181" s="1">
        <f t="shared" si="302"/>
        <v>12.360860774213304</v>
      </c>
      <c r="C181" s="1">
        <f t="shared" si="303"/>
        <v>0</v>
      </c>
      <c r="D181" s="1">
        <f t="shared" si="304"/>
        <v>0.11965581169501238</v>
      </c>
      <c r="E181" s="1">
        <f t="shared" si="305"/>
        <v>54.279850851354652</v>
      </c>
      <c r="F181" s="1">
        <f t="shared" si="306"/>
        <v>0</v>
      </c>
      <c r="G181" s="1">
        <f t="shared" si="307"/>
        <v>0.81173217846187873</v>
      </c>
      <c r="H181" s="1">
        <f t="shared" si="0"/>
        <v>54.285920067498687</v>
      </c>
      <c r="I181" s="1">
        <f t="shared" si="290"/>
        <v>-119.920156324885</v>
      </c>
      <c r="J181" s="1">
        <f t="shared" si="291"/>
        <v>0</v>
      </c>
      <c r="K181" s="1">
        <f t="shared" si="292"/>
        <v>-1.7933551439126434</v>
      </c>
      <c r="L181" s="1">
        <f t="shared" ref="L181:N181" si="408">E181/$H181</f>
        <v>0.99988819907378401</v>
      </c>
      <c r="M181" s="1">
        <f t="shared" si="408"/>
        <v>0</v>
      </c>
      <c r="N181" s="1">
        <f t="shared" si="408"/>
        <v>1.4952904499962004E-2</v>
      </c>
      <c r="O181" s="1">
        <f t="shared" si="5"/>
        <v>1.4952904499962004E-2</v>
      </c>
      <c r="P181" s="1">
        <f t="shared" si="294"/>
        <v>-1.4951232751389289E-2</v>
      </c>
      <c r="Q181" s="1">
        <f t="shared" si="295"/>
        <v>0</v>
      </c>
      <c r="R181" s="1">
        <f t="shared" si="296"/>
        <v>0.99977641064701506</v>
      </c>
      <c r="S181" s="1">
        <f t="shared" si="297"/>
        <v>9.6967563198391886</v>
      </c>
      <c r="T181" s="1">
        <f t="shared" ref="T181:V181" si="409">$S181*P181</f>
        <v>-0.14497846067142076</v>
      </c>
      <c r="U181" s="1">
        <f t="shared" si="409"/>
        <v>0</v>
      </c>
      <c r="V181" s="1">
        <f t="shared" si="409"/>
        <v>9.6945882283675839</v>
      </c>
      <c r="W181" s="1">
        <f t="shared" si="299"/>
        <v>-120.06513478555642</v>
      </c>
      <c r="X181" s="1">
        <f t="shared" si="300"/>
        <v>0</v>
      </c>
      <c r="Y181" s="1">
        <f t="shared" si="301"/>
        <v>-1.9054169155450591</v>
      </c>
    </row>
    <row r="182" spans="1:25">
      <c r="A182" s="1">
        <v>0.18</v>
      </c>
      <c r="B182" s="1">
        <f t="shared" si="302"/>
        <v>12.415020559929873</v>
      </c>
      <c r="C182" s="1">
        <f t="shared" si="303"/>
        <v>0</v>
      </c>
      <c r="D182" s="1">
        <f t="shared" si="304"/>
        <v>0.12046563845655872</v>
      </c>
      <c r="E182" s="1">
        <f t="shared" si="305"/>
        <v>54.159785716569097</v>
      </c>
      <c r="F182" s="1">
        <f t="shared" si="306"/>
        <v>0</v>
      </c>
      <c r="G182" s="1">
        <f t="shared" si="307"/>
        <v>0.80982676154633371</v>
      </c>
      <c r="H182" s="1">
        <f t="shared" si="0"/>
        <v>54.165839864700693</v>
      </c>
      <c r="I182" s="1">
        <f t="shared" si="290"/>
        <v>-119.39022105023186</v>
      </c>
      <c r="J182" s="1">
        <f t="shared" si="291"/>
        <v>0</v>
      </c>
      <c r="K182" s="1">
        <f t="shared" si="292"/>
        <v>-1.7851879359232996</v>
      </c>
      <c r="L182" s="1">
        <f t="shared" ref="L182:N182" si="410">E182/$H182</f>
        <v>0.99988822940534627</v>
      </c>
      <c r="M182" s="1">
        <f t="shared" si="410"/>
        <v>0</v>
      </c>
      <c r="N182" s="1">
        <f t="shared" si="410"/>
        <v>1.4950876116186455E-2</v>
      </c>
      <c r="O182" s="1">
        <f t="shared" si="5"/>
        <v>1.4950876116186455E-2</v>
      </c>
      <c r="P182" s="1">
        <f t="shared" si="294"/>
        <v>-1.4949205047872354E-2</v>
      </c>
      <c r="Q182" s="1">
        <f t="shared" si="295"/>
        <v>0</v>
      </c>
      <c r="R182" s="1">
        <f t="shared" si="296"/>
        <v>0.99977647130335845</v>
      </c>
      <c r="S182" s="1">
        <f t="shared" si="297"/>
        <v>9.6539054055326101</v>
      </c>
      <c r="T182" s="1">
        <f t="shared" ref="T182:V182" si="411">$S182*P182</f>
        <v>-0.14431821142007029</v>
      </c>
      <c r="U182" s="1">
        <f t="shared" si="411"/>
        <v>0</v>
      </c>
      <c r="V182" s="1">
        <f t="shared" si="411"/>
        <v>9.6517474806398109</v>
      </c>
      <c r="W182" s="1">
        <f t="shared" si="299"/>
        <v>-119.53453926165193</v>
      </c>
      <c r="X182" s="1">
        <f t="shared" si="300"/>
        <v>0</v>
      </c>
      <c r="Y182" s="1">
        <f t="shared" si="301"/>
        <v>-1.9400904552834879</v>
      </c>
    </row>
    <row r="183" spans="1:25">
      <c r="A183" s="1">
        <v>0.18099999999999999</v>
      </c>
      <c r="B183" s="1">
        <f t="shared" si="302"/>
        <v>12.46906081110718</v>
      </c>
      <c r="C183" s="1">
        <f t="shared" si="303"/>
        <v>0</v>
      </c>
      <c r="D183" s="1">
        <f t="shared" si="304"/>
        <v>0.12127352512764977</v>
      </c>
      <c r="E183" s="1">
        <f t="shared" si="305"/>
        <v>54.040251177307447</v>
      </c>
      <c r="F183" s="1">
        <f t="shared" si="306"/>
        <v>0</v>
      </c>
      <c r="G183" s="1">
        <f t="shared" si="307"/>
        <v>0.80788667109105017</v>
      </c>
      <c r="H183" s="1">
        <f t="shared" si="0"/>
        <v>54.04628968004932</v>
      </c>
      <c r="I183" s="1">
        <f t="shared" si="290"/>
        <v>-118.86379200222353</v>
      </c>
      <c r="J183" s="1">
        <f t="shared" si="291"/>
        <v>0</v>
      </c>
      <c r="K183" s="1">
        <f t="shared" si="292"/>
        <v>-1.7769805125232205</v>
      </c>
      <c r="L183" s="1">
        <f t="shared" ref="L183:N183" si="412">E183/$H183</f>
        <v>0.99988827165051253</v>
      </c>
      <c r="M183" s="1">
        <f t="shared" si="412"/>
        <v>0</v>
      </c>
      <c r="N183" s="1">
        <f t="shared" si="412"/>
        <v>1.4948050566906426E-2</v>
      </c>
      <c r="O183" s="1">
        <f t="shared" si="5"/>
        <v>1.4948050566906426E-2</v>
      </c>
      <c r="P183" s="1">
        <f t="shared" si="294"/>
        <v>-1.494638044588853E-2</v>
      </c>
      <c r="Q183" s="1">
        <f t="shared" si="295"/>
        <v>0</v>
      </c>
      <c r="R183" s="1">
        <f t="shared" si="296"/>
        <v>0.99977655578424918</v>
      </c>
      <c r="S183" s="1">
        <f t="shared" si="297"/>
        <v>9.6113378931414957</v>
      </c>
      <c r="T183" s="1">
        <f t="shared" ref="T183:V183" si="413">$S183*P183</f>
        <v>-0.14365471274487751</v>
      </c>
      <c r="U183" s="1">
        <f t="shared" si="413"/>
        <v>0</v>
      </c>
      <c r="V183" s="1">
        <f t="shared" si="413"/>
        <v>9.6091902952836463</v>
      </c>
      <c r="W183" s="1">
        <f t="shared" si="299"/>
        <v>-119.00744671496841</v>
      </c>
      <c r="X183" s="1">
        <f t="shared" si="300"/>
        <v>0</v>
      </c>
      <c r="Y183" s="1">
        <f t="shared" si="301"/>
        <v>-1.9744402172395734</v>
      </c>
    </row>
    <row r="184" spans="1:25">
      <c r="A184" s="1">
        <v>0.182</v>
      </c>
      <c r="B184" s="1">
        <f t="shared" si="302"/>
        <v>12.522982054837772</v>
      </c>
      <c r="C184" s="1">
        <f t="shared" si="303"/>
        <v>0</v>
      </c>
      <c r="D184" s="1">
        <f t="shared" si="304"/>
        <v>0.12207943735852358</v>
      </c>
      <c r="E184" s="1">
        <f t="shared" si="305"/>
        <v>53.921243730592479</v>
      </c>
      <c r="F184" s="1">
        <f t="shared" si="306"/>
        <v>0</v>
      </c>
      <c r="G184" s="1">
        <f t="shared" si="307"/>
        <v>0.80591223087381059</v>
      </c>
      <c r="H184" s="1">
        <f t="shared" si="0"/>
        <v>53.927266016161347</v>
      </c>
      <c r="I184" s="1">
        <f t="shared" si="290"/>
        <v>-118.34083833819376</v>
      </c>
      <c r="J184" s="1">
        <f t="shared" si="291"/>
        <v>0</v>
      </c>
      <c r="K184" s="1">
        <f t="shared" si="292"/>
        <v>-1.7687338501522871</v>
      </c>
      <c r="L184" s="1">
        <f t="shared" ref="L184:N184" si="414">E184/$H184</f>
        <v>0.99988832577629538</v>
      </c>
      <c r="M184" s="1">
        <f t="shared" si="414"/>
        <v>0</v>
      </c>
      <c r="N184" s="1">
        <f t="shared" si="414"/>
        <v>1.4944429606950378E-2</v>
      </c>
      <c r="O184" s="1">
        <f t="shared" si="5"/>
        <v>1.4944429606950378E-2</v>
      </c>
      <c r="P184" s="1">
        <f t="shared" si="294"/>
        <v>-1.4942760699375312E-2</v>
      </c>
      <c r="Q184" s="1">
        <f t="shared" si="295"/>
        <v>0</v>
      </c>
      <c r="R184" s="1">
        <f t="shared" si="296"/>
        <v>0.99977666402372289</v>
      </c>
      <c r="S184" s="1">
        <f t="shared" si="297"/>
        <v>9.5690512905262946</v>
      </c>
      <c r="T184" s="1">
        <f t="shared" ref="T184:V184" si="415">$S184*P184</f>
        <v>-0.14298804355438294</v>
      </c>
      <c r="U184" s="1">
        <f t="shared" si="415"/>
        <v>0</v>
      </c>
      <c r="V184" s="1">
        <f t="shared" si="415"/>
        <v>9.5669141771142794</v>
      </c>
      <c r="W184" s="1">
        <f t="shared" si="299"/>
        <v>-118.48382638174814</v>
      </c>
      <c r="X184" s="1">
        <f t="shared" si="300"/>
        <v>0</v>
      </c>
      <c r="Y184" s="1">
        <f t="shared" si="301"/>
        <v>-2.0084696730380074</v>
      </c>
    </row>
    <row r="185" spans="1:25">
      <c r="A185" s="1">
        <v>0.183</v>
      </c>
      <c r="B185" s="1">
        <f t="shared" si="302"/>
        <v>12.576784814741982</v>
      </c>
      <c r="C185" s="1">
        <f t="shared" si="303"/>
        <v>0</v>
      </c>
      <c r="D185" s="1">
        <f t="shared" si="304"/>
        <v>0.12288334111972436</v>
      </c>
      <c r="E185" s="1">
        <f t="shared" si="305"/>
        <v>53.802759904210731</v>
      </c>
      <c r="F185" s="1">
        <f t="shared" si="306"/>
        <v>0</v>
      </c>
      <c r="G185" s="1">
        <f t="shared" si="307"/>
        <v>0.80390376120077256</v>
      </c>
      <c r="H185" s="1">
        <f t="shared" si="0"/>
        <v>53.808765406459742</v>
      </c>
      <c r="I185" s="1">
        <f t="shared" si="290"/>
        <v>-117.82132955399595</v>
      </c>
      <c r="J185" s="1">
        <f t="shared" si="291"/>
        <v>0</v>
      </c>
      <c r="K185" s="1">
        <f t="shared" si="292"/>
        <v>-1.7604489090664717</v>
      </c>
      <c r="L185" s="1">
        <f t="shared" ref="L185:N185" si="416">E185/$H185</f>
        <v>0.99988839174800526</v>
      </c>
      <c r="M185" s="1">
        <f t="shared" si="416"/>
        <v>0</v>
      </c>
      <c r="N185" s="1">
        <f t="shared" si="416"/>
        <v>1.4940014979497446E-2</v>
      </c>
      <c r="O185" s="1">
        <f t="shared" si="5"/>
        <v>1.4940014979497446E-2</v>
      </c>
      <c r="P185" s="1">
        <f t="shared" si="294"/>
        <v>-1.493834755054081E-2</v>
      </c>
      <c r="Q185" s="1">
        <f t="shared" si="295"/>
        <v>0</v>
      </c>
      <c r="R185" s="1">
        <f t="shared" si="296"/>
        <v>0.99977679595241242</v>
      </c>
      <c r="S185" s="1">
        <f t="shared" si="297"/>
        <v>9.5270431329112668</v>
      </c>
      <c r="T185" s="1">
        <f t="shared" ref="T185:V185" si="417">$S185*P185</f>
        <v>-0.14231828144842168</v>
      </c>
      <c r="U185" s="1">
        <f t="shared" si="417"/>
        <v>0</v>
      </c>
      <c r="V185" s="1">
        <f t="shared" si="417"/>
        <v>9.5249166583224589</v>
      </c>
      <c r="W185" s="1">
        <f t="shared" si="299"/>
        <v>-117.96364783544438</v>
      </c>
      <c r="X185" s="1">
        <f t="shared" si="300"/>
        <v>0</v>
      </c>
      <c r="Y185" s="1">
        <f t="shared" si="301"/>
        <v>-2.0421822507440126</v>
      </c>
    </row>
    <row r="186" spans="1:25">
      <c r="A186" s="1">
        <v>0.184</v>
      </c>
      <c r="B186" s="1">
        <f t="shared" si="302"/>
        <v>12.630469610998357</v>
      </c>
      <c r="C186" s="1">
        <f t="shared" si="303"/>
        <v>0</v>
      </c>
      <c r="D186" s="1">
        <f t="shared" si="304"/>
        <v>0.12368520269867439</v>
      </c>
      <c r="E186" s="1">
        <f t="shared" si="305"/>
        <v>53.684796256375286</v>
      </c>
      <c r="F186" s="1">
        <f t="shared" si="306"/>
        <v>0</v>
      </c>
      <c r="G186" s="1">
        <f t="shared" si="307"/>
        <v>0.80186157895002852</v>
      </c>
      <c r="H186" s="1">
        <f t="shared" si="0"/>
        <v>53.690784414835306</v>
      </c>
      <c r="I186" s="1">
        <f t="shared" si="290"/>
        <v>-117.30523547955336</v>
      </c>
      <c r="J186" s="1">
        <f t="shared" si="291"/>
        <v>0</v>
      </c>
      <c r="K186" s="1">
        <f t="shared" si="292"/>
        <v>-1.7521266336103354</v>
      </c>
      <c r="L186" s="1">
        <f t="shared" ref="L186:N186" si="418">E186/$H186</f>
        <v>0.99988846952926314</v>
      </c>
      <c r="M186" s="1">
        <f t="shared" si="418"/>
        <v>0</v>
      </c>
      <c r="N186" s="1">
        <f t="shared" si="418"/>
        <v>1.4934808416180749E-2</v>
      </c>
      <c r="O186" s="1">
        <f t="shared" si="5"/>
        <v>1.4934808416180749E-2</v>
      </c>
      <c r="P186" s="1">
        <f t="shared" si="294"/>
        <v>-1.4933142729967727E-2</v>
      </c>
      <c r="Q186" s="1">
        <f t="shared" si="295"/>
        <v>0</v>
      </c>
      <c r="R186" s="1">
        <f t="shared" si="296"/>
        <v>0.99977695149757195</v>
      </c>
      <c r="S186" s="1">
        <f t="shared" si="297"/>
        <v>9.4853109825245596</v>
      </c>
      <c r="T186" s="1">
        <f t="shared" ref="T186:V186" si="419">$S186*P186</f>
        <v>-0.14164550274016965</v>
      </c>
      <c r="U186" s="1">
        <f t="shared" si="419"/>
        <v>0</v>
      </c>
      <c r="V186" s="1">
        <f t="shared" si="419"/>
        <v>9.4831952981148433</v>
      </c>
      <c r="W186" s="1">
        <f t="shared" si="299"/>
        <v>-117.44688098229354</v>
      </c>
      <c r="X186" s="1">
        <f t="shared" si="300"/>
        <v>0</v>
      </c>
      <c r="Y186" s="1">
        <f t="shared" si="301"/>
        <v>-2.0755813354954915</v>
      </c>
    </row>
    <row r="187" spans="1:25">
      <c r="A187" s="1">
        <v>0.185</v>
      </c>
      <c r="B187" s="1">
        <f t="shared" si="302"/>
        <v>12.684036960373751</v>
      </c>
      <c r="C187" s="1">
        <f t="shared" si="303"/>
        <v>0</v>
      </c>
      <c r="D187" s="1">
        <f t="shared" si="304"/>
        <v>0.12448498869628892</v>
      </c>
      <c r="E187" s="1">
        <f t="shared" si="305"/>
        <v>53.567349375392993</v>
      </c>
      <c r="F187" s="1">
        <f t="shared" si="306"/>
        <v>0</v>
      </c>
      <c r="G187" s="1">
        <f t="shared" si="307"/>
        <v>0.79978599761453306</v>
      </c>
      <c r="H187" s="1">
        <f t="shared" si="0"/>
        <v>53.573319635312842</v>
      </c>
      <c r="I187" s="1">
        <f t="shared" si="290"/>
        <v>-116.79252627447728</v>
      </c>
      <c r="J187" s="1">
        <f t="shared" si="291"/>
        <v>0</v>
      </c>
      <c r="K187" s="1">
        <f t="shared" si="292"/>
        <v>-1.7437679524845648</v>
      </c>
      <c r="L187" s="1">
        <f t="shared" ref="L187:N187" si="420">E187/$H187</f>
        <v>0.99988855908201157</v>
      </c>
      <c r="M187" s="1">
        <f t="shared" si="420"/>
        <v>0</v>
      </c>
      <c r="N187" s="1">
        <f t="shared" si="420"/>
        <v>1.4928811637189537E-2</v>
      </c>
      <c r="O187" s="1">
        <f t="shared" si="5"/>
        <v>1.4928811637189537E-2</v>
      </c>
      <c r="P187" s="1">
        <f t="shared" si="294"/>
        <v>-1.4927147956716213E-2</v>
      </c>
      <c r="Q187" s="1">
        <f t="shared" si="295"/>
        <v>0</v>
      </c>
      <c r="R187" s="1">
        <f t="shared" si="296"/>
        <v>0.99977713058310136</v>
      </c>
      <c r="S187" s="1">
        <f t="shared" si="297"/>
        <v>9.443852428243817</v>
      </c>
      <c r="T187" s="1">
        <f t="shared" ref="T187:V187" si="421">$S187*P187</f>
        <v>-0.14096978247778913</v>
      </c>
      <c r="U187" s="1">
        <f t="shared" si="421"/>
        <v>0</v>
      </c>
      <c r="V187" s="1">
        <f t="shared" si="421"/>
        <v>9.441747682359857</v>
      </c>
      <c r="W187" s="1">
        <f t="shared" si="299"/>
        <v>-116.93349605695506</v>
      </c>
      <c r="X187" s="1">
        <f t="shared" si="300"/>
        <v>0</v>
      </c>
      <c r="Y187" s="1">
        <f t="shared" si="301"/>
        <v>-2.1086702701247075</v>
      </c>
    </row>
    <row r="188" spans="1:25">
      <c r="A188" s="1">
        <v>0.186</v>
      </c>
      <c r="B188" s="1">
        <f t="shared" si="302"/>
        <v>12.737487376253087</v>
      </c>
      <c r="C188" s="1">
        <f t="shared" si="303"/>
        <v>0</v>
      </c>
      <c r="D188" s="1">
        <f t="shared" si="304"/>
        <v>0.12528266602363333</v>
      </c>
      <c r="E188" s="1">
        <f t="shared" si="305"/>
        <v>53.450415879336035</v>
      </c>
      <c r="F188" s="1">
        <f t="shared" si="306"/>
        <v>0</v>
      </c>
      <c r="G188" s="1">
        <f t="shared" si="307"/>
        <v>0.79767732734440833</v>
      </c>
      <c r="H188" s="1">
        <f t="shared" si="0"/>
        <v>53.456367691721603</v>
      </c>
      <c r="I188" s="1">
        <f t="shared" si="290"/>
        <v>-116.28317242375201</v>
      </c>
      <c r="J188" s="1">
        <f t="shared" si="291"/>
        <v>0</v>
      </c>
      <c r="K188" s="1">
        <f t="shared" si="292"/>
        <v>-1.7353737790086534</v>
      </c>
      <c r="L188" s="1">
        <f t="shared" ref="L188:N188" si="422">E188/$H188</f>
        <v>0.99988866036652746</v>
      </c>
      <c r="M188" s="1">
        <f t="shared" si="422"/>
        <v>0</v>
      </c>
      <c r="N188" s="1">
        <f t="shared" si="422"/>
        <v>1.4922026351370275E-2</v>
      </c>
      <c r="O188" s="1">
        <f t="shared" si="5"/>
        <v>1.4922026351370275E-2</v>
      </c>
      <c r="P188" s="1">
        <f t="shared" si="294"/>
        <v>-1.4920364938425645E-2</v>
      </c>
      <c r="Q188" s="1">
        <f t="shared" si="295"/>
        <v>0</v>
      </c>
      <c r="R188" s="1">
        <f t="shared" si="296"/>
        <v>0.99977733312956896</v>
      </c>
      <c r="S188" s="1">
        <f t="shared" si="297"/>
        <v>9.4026650852471825</v>
      </c>
      <c r="T188" s="1">
        <f t="shared" ref="T188:V188" si="423">$S188*P188</f>
        <v>-0.14029119446568103</v>
      </c>
      <c r="U188" s="1">
        <f t="shared" si="423"/>
        <v>0</v>
      </c>
      <c r="V188" s="1">
        <f t="shared" si="423"/>
        <v>9.4005714232389401</v>
      </c>
      <c r="W188" s="1">
        <f t="shared" si="299"/>
        <v>-116.42346361821768</v>
      </c>
      <c r="X188" s="1">
        <f t="shared" si="300"/>
        <v>0</v>
      </c>
      <c r="Y188" s="1">
        <f t="shared" si="301"/>
        <v>-2.1414523557697125</v>
      </c>
    </row>
    <row r="189" spans="1:25">
      <c r="A189" s="1">
        <v>0.187</v>
      </c>
      <c r="B189" s="1">
        <f t="shared" si="302"/>
        <v>12.790821368668805</v>
      </c>
      <c r="C189" s="1">
        <f t="shared" si="303"/>
        <v>0</v>
      </c>
      <c r="D189" s="1">
        <f t="shared" si="304"/>
        <v>0.12607820189862198</v>
      </c>
      <c r="E189" s="1">
        <f t="shared" si="305"/>
        <v>53.333992415717816</v>
      </c>
      <c r="F189" s="1">
        <f t="shared" si="306"/>
        <v>0</v>
      </c>
      <c r="G189" s="1">
        <f t="shared" si="307"/>
        <v>0.79553587498863865</v>
      </c>
      <c r="H189" s="1">
        <f t="shared" si="0"/>
        <v>53.339925237370174</v>
      </c>
      <c r="I189" s="1">
        <f t="shared" si="290"/>
        <v>-115.77714473348594</v>
      </c>
      <c r="J189" s="1">
        <f t="shared" si="291"/>
        <v>0</v>
      </c>
      <c r="K189" s="1">
        <f t="shared" si="292"/>
        <v>-1.7269450113788254</v>
      </c>
      <c r="L189" s="1">
        <f t="shared" ref="L189:N189" si="424">E189/$H189</f>
        <v>0.99988877334143311</v>
      </c>
      <c r="M189" s="1">
        <f t="shared" si="424"/>
        <v>0</v>
      </c>
      <c r="N189" s="1">
        <f t="shared" si="424"/>
        <v>1.4914454256326608E-2</v>
      </c>
      <c r="O189" s="1">
        <f t="shared" si="5"/>
        <v>1.4914454256326608E-2</v>
      </c>
      <c r="P189" s="1">
        <f t="shared" si="294"/>
        <v>-1.4912795371415329E-2</v>
      </c>
      <c r="Q189" s="1">
        <f t="shared" si="295"/>
        <v>0</v>
      </c>
      <c r="R189" s="1">
        <f t="shared" si="296"/>
        <v>0.99977755905423593</v>
      </c>
      <c r="S189" s="1">
        <f t="shared" si="297"/>
        <v>9.3617465946696612</v>
      </c>
      <c r="T189" s="1">
        <f t="shared" ref="T189:V189" si="425">$S189*P189</f>
        <v>-0.13960981128535294</v>
      </c>
      <c r="U189" s="1">
        <f t="shared" si="425"/>
        <v>0</v>
      </c>
      <c r="V189" s="1">
        <f t="shared" si="425"/>
        <v>9.35966415890314</v>
      </c>
      <c r="W189" s="1">
        <f t="shared" si="299"/>
        <v>-115.91675454477129</v>
      </c>
      <c r="X189" s="1">
        <f t="shared" si="300"/>
        <v>0</v>
      </c>
      <c r="Y189" s="1">
        <f t="shared" si="301"/>
        <v>-2.1739308524756851</v>
      </c>
    </row>
    <row r="190" spans="1:25">
      <c r="A190" s="1">
        <v>0.188</v>
      </c>
      <c r="B190" s="1">
        <f t="shared" si="302"/>
        <v>12.844039444329978</v>
      </c>
      <c r="C190" s="1">
        <f t="shared" si="303"/>
        <v>0</v>
      </c>
      <c r="D190" s="1">
        <f t="shared" si="304"/>
        <v>0.12687156384275813</v>
      </c>
      <c r="E190" s="1">
        <f t="shared" si="305"/>
        <v>53.218075661173046</v>
      </c>
      <c r="F190" s="1">
        <f t="shared" si="306"/>
        <v>0</v>
      </c>
      <c r="G190" s="1">
        <f t="shared" si="307"/>
        <v>0.79336194413616301</v>
      </c>
      <c r="H190" s="1">
        <f t="shared" si="0"/>
        <v>53.223988954725506</v>
      </c>
      <c r="I190" s="1">
        <f t="shared" si="290"/>
        <v>-115.27441432672695</v>
      </c>
      <c r="J190" s="1">
        <f t="shared" si="291"/>
        <v>0</v>
      </c>
      <c r="K190" s="1">
        <f t="shared" si="292"/>
        <v>-1.7184825329212927</v>
      </c>
      <c r="L190" s="1">
        <f t="shared" ref="L190:N190" si="426">E190/$H190</f>
        <v>0.99988889796370783</v>
      </c>
      <c r="M190" s="1">
        <f t="shared" si="426"/>
        <v>0</v>
      </c>
      <c r="N190" s="1">
        <f t="shared" si="426"/>
        <v>1.490609703851827E-2</v>
      </c>
      <c r="O190" s="1">
        <f t="shared" si="5"/>
        <v>1.490609703851827E-2</v>
      </c>
      <c r="P190" s="1">
        <f t="shared" si="294"/>
        <v>-1.4904440940784122E-2</v>
      </c>
      <c r="Q190" s="1">
        <f t="shared" si="295"/>
        <v>0</v>
      </c>
      <c r="R190" s="1">
        <f t="shared" si="296"/>
        <v>0.99977780827107832</v>
      </c>
      <c r="S190" s="1">
        <f t="shared" si="297"/>
        <v>9.3210946232646581</v>
      </c>
      <c r="T190" s="1">
        <f t="shared" ref="T190:V190" si="427">$S190*P190</f>
        <v>-0.13892570431590853</v>
      </c>
      <c r="U190" s="1">
        <f t="shared" si="427"/>
        <v>0</v>
      </c>
      <c r="V190" s="1">
        <f t="shared" si="427"/>
        <v>9.3190235531348726</v>
      </c>
      <c r="W190" s="1">
        <f t="shared" si="299"/>
        <v>-115.41334003104286</v>
      </c>
      <c r="X190" s="1">
        <f t="shared" si="300"/>
        <v>0</v>
      </c>
      <c r="Y190" s="1">
        <f t="shared" si="301"/>
        <v>-2.2061089797864195</v>
      </c>
    </row>
    <row r="191" spans="1:25">
      <c r="A191" s="1">
        <v>0.189</v>
      </c>
      <c r="B191" s="1">
        <f t="shared" si="302"/>
        <v>12.89714210665112</v>
      </c>
      <c r="C191" s="1">
        <f t="shared" si="303"/>
        <v>0</v>
      </c>
      <c r="D191" s="1">
        <f t="shared" si="304"/>
        <v>0.12766271967791451</v>
      </c>
      <c r="E191" s="1">
        <f t="shared" si="305"/>
        <v>53.102662321142006</v>
      </c>
      <c r="F191" s="1">
        <f t="shared" si="306"/>
        <v>0</v>
      </c>
      <c r="G191" s="1">
        <f t="shared" si="307"/>
        <v>0.79115583515637655</v>
      </c>
      <c r="H191" s="1">
        <f t="shared" si="0"/>
        <v>53.108555555096174</v>
      </c>
      <c r="I191" s="1">
        <f t="shared" si="290"/>
        <v>-114.77495263934134</v>
      </c>
      <c r="J191" s="1">
        <f t="shared" si="291"/>
        <v>0</v>
      </c>
      <c r="K191" s="1">
        <f t="shared" si="292"/>
        <v>-1.7099872123409356</v>
      </c>
      <c r="L191" s="1">
        <f t="shared" ref="L191:N191" si="428">E191/$H191</f>
        <v>0.99988903418869945</v>
      </c>
      <c r="M191" s="1">
        <f t="shared" si="428"/>
        <v>0</v>
      </c>
      <c r="N191" s="1">
        <f t="shared" si="428"/>
        <v>1.4896956373358927E-2</v>
      </c>
      <c r="O191" s="1">
        <f t="shared" si="5"/>
        <v>1.4896956373358927E-2</v>
      </c>
      <c r="P191" s="1">
        <f t="shared" si="294"/>
        <v>-1.4895303320509048E-2</v>
      </c>
      <c r="Q191" s="1">
        <f t="shared" si="295"/>
        <v>0</v>
      </c>
      <c r="R191" s="1">
        <f t="shared" si="296"/>
        <v>0.9997780806908102</v>
      </c>
      <c r="S191" s="1">
        <f t="shared" si="297"/>
        <v>9.2807068630706944</v>
      </c>
      <c r="T191" s="1">
        <f t="shared" ref="T191:V191" si="429">$S191*P191</f>
        <v>-0.13823894375416804</v>
      </c>
      <c r="U191" s="1">
        <f t="shared" si="429"/>
        <v>0</v>
      </c>
      <c r="V191" s="1">
        <f t="shared" si="429"/>
        <v>9.2786472950148493</v>
      </c>
      <c r="W191" s="1">
        <f t="shared" si="299"/>
        <v>-114.91319158309551</v>
      </c>
      <c r="X191" s="1">
        <f t="shared" si="300"/>
        <v>0</v>
      </c>
      <c r="Y191" s="1">
        <f t="shared" si="301"/>
        <v>-2.237989917326086</v>
      </c>
    </row>
    <row r="192" spans="1:25">
      <c r="A192" s="1">
        <v>0.19</v>
      </c>
      <c r="B192" s="1">
        <f t="shared" si="302"/>
        <v>12.950129855780679</v>
      </c>
      <c r="C192" s="1">
        <f t="shared" si="303"/>
        <v>0</v>
      </c>
      <c r="D192" s="1">
        <f t="shared" si="304"/>
        <v>0.12845163752315356</v>
      </c>
      <c r="E192" s="1">
        <f t="shared" si="305"/>
        <v>52.987749129558914</v>
      </c>
      <c r="F192" s="1">
        <f t="shared" si="306"/>
        <v>0</v>
      </c>
      <c r="G192" s="1">
        <f t="shared" si="307"/>
        <v>0.78891784523905051</v>
      </c>
      <c r="H192" s="1">
        <f t="shared" si="0"/>
        <v>52.993621778319778</v>
      </c>
      <c r="I192" s="1">
        <f t="shared" si="290"/>
        <v>-114.27873141595524</v>
      </c>
      <c r="J192" s="1">
        <f t="shared" si="291"/>
        <v>0</v>
      </c>
      <c r="K192" s="1">
        <f t="shared" si="292"/>
        <v>-1.7014599039655052</v>
      </c>
      <c r="L192" s="1">
        <f t="shared" ref="L192:N192" si="430">E192/$H192</f>
        <v>0.99988918197013543</v>
      </c>
      <c r="M192" s="1">
        <f t="shared" si="430"/>
        <v>0</v>
      </c>
      <c r="N192" s="1">
        <f t="shared" si="430"/>
        <v>1.4887033925312964E-2</v>
      </c>
      <c r="O192" s="1">
        <f t="shared" si="5"/>
        <v>1.4887033925312964E-2</v>
      </c>
      <c r="P192" s="1">
        <f t="shared" si="294"/>
        <v>-1.4885384173542834E-2</v>
      </c>
      <c r="Q192" s="1">
        <f t="shared" si="295"/>
        <v>0</v>
      </c>
      <c r="R192" s="1">
        <f t="shared" si="296"/>
        <v>0.99977837622090659</v>
      </c>
      <c r="S192" s="1">
        <f t="shared" si="297"/>
        <v>9.2405810310831793</v>
      </c>
      <c r="T192" s="1">
        <f t="shared" ref="T192:V192" si="431">$S192*P192</f>
        <v>-0.13754959863442567</v>
      </c>
      <c r="U192" s="1">
        <f t="shared" si="431"/>
        <v>0</v>
      </c>
      <c r="V192" s="1">
        <f t="shared" si="431"/>
        <v>9.2385330985940524</v>
      </c>
      <c r="W192" s="1">
        <f t="shared" si="299"/>
        <v>-114.41628101458966</v>
      </c>
      <c r="X192" s="1">
        <f t="shared" si="300"/>
        <v>0</v>
      </c>
      <c r="Y192" s="1">
        <f t="shared" si="301"/>
        <v>-2.269576805371452</v>
      </c>
    </row>
    <row r="193" spans="1:25">
      <c r="A193" s="1">
        <v>0.191</v>
      </c>
      <c r="B193" s="1">
        <f t="shared" si="302"/>
        <v>13.003003188629224</v>
      </c>
      <c r="C193" s="1">
        <f t="shared" si="303"/>
        <v>0</v>
      </c>
      <c r="D193" s="1">
        <f t="shared" si="304"/>
        <v>0.12923828579158725</v>
      </c>
      <c r="E193" s="1">
        <f t="shared" si="305"/>
        <v>52.873332848544322</v>
      </c>
      <c r="F193" s="1">
        <f t="shared" si="306"/>
        <v>0</v>
      </c>
      <c r="G193" s="1">
        <f t="shared" si="307"/>
        <v>0.78664826843367908</v>
      </c>
      <c r="H193" s="1">
        <f t="shared" si="0"/>
        <v>52.879184392454334</v>
      </c>
      <c r="I193" s="1">
        <f t="shared" si="290"/>
        <v>-113.78572270595734</v>
      </c>
      <c r="J193" s="1">
        <f t="shared" si="291"/>
        <v>0</v>
      </c>
      <c r="K193" s="1">
        <f t="shared" si="292"/>
        <v>-1.6929014479854265</v>
      </c>
      <c r="L193" s="1">
        <f t="shared" ref="L193:N193" si="432">E193/$H193</f>
        <v>0.99988934126013396</v>
      </c>
      <c r="M193" s="1">
        <f t="shared" si="432"/>
        <v>0</v>
      </c>
      <c r="N193" s="1">
        <f t="shared" si="432"/>
        <v>1.4876331347991269E-2</v>
      </c>
      <c r="O193" s="1">
        <f t="shared" si="5"/>
        <v>1.4876331347991269E-2</v>
      </c>
      <c r="P193" s="1">
        <f t="shared" si="294"/>
        <v>-1.4874685151910471E-2</v>
      </c>
      <c r="Q193" s="1">
        <f t="shared" si="295"/>
        <v>0</v>
      </c>
      <c r="R193" s="1">
        <f t="shared" si="296"/>
        <v>0.99977869476562475</v>
      </c>
      <c r="S193" s="1">
        <f t="shared" si="297"/>
        <v>9.2007148689310903</v>
      </c>
      <c r="T193" s="1">
        <f t="shared" ref="T193:V193" si="433">$S193*P193</f>
        <v>-0.13685773684785119</v>
      </c>
      <c r="U193" s="1">
        <f t="shared" si="433"/>
        <v>0</v>
      </c>
      <c r="V193" s="1">
        <f t="shared" si="433"/>
        <v>9.1986787025706018</v>
      </c>
      <c r="W193" s="1">
        <f t="shared" si="299"/>
        <v>-113.92258044280518</v>
      </c>
      <c r="X193" s="1">
        <f t="shared" si="300"/>
        <v>0</v>
      </c>
      <c r="Y193" s="1">
        <f t="shared" si="301"/>
        <v>-2.3008727454148241</v>
      </c>
    </row>
    <row r="194" spans="1:25">
      <c r="A194" s="1">
        <v>0.192</v>
      </c>
      <c r="B194" s="1">
        <f t="shared" si="302"/>
        <v>13.055762598897326</v>
      </c>
      <c r="C194" s="1">
        <f t="shared" si="303"/>
        <v>0</v>
      </c>
      <c r="D194" s="1">
        <f t="shared" si="304"/>
        <v>0.1300226331872755</v>
      </c>
      <c r="E194" s="1">
        <f t="shared" si="305"/>
        <v>52.759410268101519</v>
      </c>
      <c r="F194" s="1">
        <f t="shared" si="306"/>
        <v>0</v>
      </c>
      <c r="G194" s="1">
        <f t="shared" si="307"/>
        <v>0.78434739568826428</v>
      </c>
      <c r="H194" s="1">
        <f t="shared" si="0"/>
        <v>52.765240193473758</v>
      </c>
      <c r="I194" s="1">
        <f t="shared" ref="I194:I257" si="434">-K_drag*$H194*E194</f>
        <v>-113.29589885956183</v>
      </c>
      <c r="J194" s="1">
        <f t="shared" ref="J194:J257" si="435">-K_drag*$H194*F194</f>
        <v>0</v>
      </c>
      <c r="K194" s="1">
        <f t="shared" ref="K194:K257" si="436">-K_drag*$H194*G194</f>
        <v>-1.6843126706892955</v>
      </c>
      <c r="L194" s="1">
        <f t="shared" ref="L194:N194" si="437">E194/$H194</f>
        <v>0.9998895120092155</v>
      </c>
      <c r="M194" s="1">
        <f t="shared" si="437"/>
        <v>0</v>
      </c>
      <c r="N194" s="1">
        <f t="shared" si="437"/>
        <v>1.486485028424595E-2</v>
      </c>
      <c r="O194" s="1">
        <f t="shared" si="5"/>
        <v>1.486485028424595E-2</v>
      </c>
      <c r="P194" s="1">
        <f t="shared" ref="P194:P257" si="438">u_axis_f-$O194*L194</f>
        <v>-1.4863207896804731E-2</v>
      </c>
      <c r="Q194" s="1">
        <f t="shared" ref="Q194:Q257" si="439">u_axis_r-$O194*M194</f>
        <v>0</v>
      </c>
      <c r="R194" s="1">
        <f t="shared" ref="R194:R257" si="440">u_axis_u-$O194*N194</f>
        <v>0.99977903622602693</v>
      </c>
      <c r="S194" s="1">
        <f t="shared" ref="S194:S257" si="441">K_lift*H194^2</f>
        <v>9.1611061425586069</v>
      </c>
      <c r="T194" s="1">
        <f t="shared" ref="T194:V194" si="442">$S194*P194</f>
        <v>-0.13616342516154342</v>
      </c>
      <c r="U194" s="1">
        <f t="shared" si="442"/>
        <v>0</v>
      </c>
      <c r="V194" s="1">
        <f t="shared" si="442"/>
        <v>9.1590818699715797</v>
      </c>
      <c r="W194" s="1">
        <f t="shared" ref="W194:W257" si="443">I194+T194+g_f</f>
        <v>-113.43206228472337</v>
      </c>
      <c r="X194" s="1">
        <f t="shared" ref="X194:X257" si="444">J194+U194+g_r</f>
        <v>0</v>
      </c>
      <c r="Y194" s="1">
        <f t="shared" ref="Y194:Y257" si="445">K194+V194+g_u</f>
        <v>-2.3318808007177152</v>
      </c>
    </row>
    <row r="195" spans="1:25">
      <c r="A195" s="1">
        <v>0.193</v>
      </c>
      <c r="B195" s="1">
        <f t="shared" ref="B195:B258" si="446">B194+E195*dt</f>
        <v>13.108408577103143</v>
      </c>
      <c r="C195" s="1">
        <f t="shared" ref="C195:C258" si="447">C194+F195*dt</f>
        <v>0</v>
      </c>
      <c r="D195" s="1">
        <f t="shared" ref="D195:D258" si="448">D194+G195*dt</f>
        <v>0.13080464870216305</v>
      </c>
      <c r="E195" s="1">
        <f t="shared" ref="E195:E258" si="449">E194+W194*dt</f>
        <v>52.645978205816796</v>
      </c>
      <c r="F195" s="1">
        <f t="shared" ref="F195:F258" si="450">F194+X194*dt</f>
        <v>0</v>
      </c>
      <c r="G195" s="1">
        <f t="shared" ref="G195:G258" si="451">G194+Y194*dt</f>
        <v>0.78201551488754661</v>
      </c>
      <c r="H195" s="1">
        <f t="shared" si="0"/>
        <v>52.651786004967221</v>
      </c>
      <c r="I195" s="1">
        <f t="shared" si="434"/>
        <v>-112.80923252393053</v>
      </c>
      <c r="J195" s="1">
        <f t="shared" si="435"/>
        <v>0</v>
      </c>
      <c r="K195" s="1">
        <f t="shared" si="436"/>
        <v>-1.6756943846951509</v>
      </c>
      <c r="L195" s="1">
        <f t="shared" ref="L195:N195" si="452">E195/$H195</f>
        <v>0.99988969416631224</v>
      </c>
      <c r="M195" s="1">
        <f t="shared" si="452"/>
        <v>0</v>
      </c>
      <c r="N195" s="1">
        <f t="shared" si="452"/>
        <v>1.485259236626409E-2</v>
      </c>
      <c r="O195" s="1">
        <f t="shared" si="5"/>
        <v>1.485259236626409E-2</v>
      </c>
      <c r="P195" s="1">
        <f t="shared" si="438"/>
        <v>-1.4850954038680704E-2</v>
      </c>
      <c r="Q195" s="1">
        <f t="shared" si="439"/>
        <v>0</v>
      </c>
      <c r="R195" s="1">
        <f t="shared" si="440"/>
        <v>0.99977940050000158</v>
      </c>
      <c r="S195" s="1">
        <f t="shared" si="441"/>
        <v>9.1217526419114758</v>
      </c>
      <c r="T195" s="1">
        <f t="shared" ref="T195:V195" si="453">$S195*P195</f>
        <v>-0.13546672923724162</v>
      </c>
      <c r="U195" s="1">
        <f t="shared" si="453"/>
        <v>0</v>
      </c>
      <c r="V195" s="1">
        <f t="shared" si="453"/>
        <v>9.1197403878395615</v>
      </c>
      <c r="W195" s="1">
        <f t="shared" si="443"/>
        <v>-112.94469925316777</v>
      </c>
      <c r="X195" s="1">
        <f t="shared" si="444"/>
        <v>0</v>
      </c>
      <c r="Y195" s="1">
        <f t="shared" si="445"/>
        <v>-2.3626039968555883</v>
      </c>
    </row>
    <row r="196" spans="1:25">
      <c r="A196" s="1">
        <v>0.19400000000000001</v>
      </c>
      <c r="B196" s="1">
        <f t="shared" si="446"/>
        <v>13.160941610609706</v>
      </c>
      <c r="C196" s="1">
        <f t="shared" si="447"/>
        <v>0</v>
      </c>
      <c r="D196" s="1">
        <f t="shared" si="448"/>
        <v>0.13158430161305373</v>
      </c>
      <c r="E196" s="1">
        <f t="shared" si="449"/>
        <v>52.533033506563626</v>
      </c>
      <c r="F196" s="1">
        <f t="shared" si="450"/>
        <v>0</v>
      </c>
      <c r="G196" s="1">
        <f t="shared" si="451"/>
        <v>0.779652910890691</v>
      </c>
      <c r="H196" s="1">
        <f t="shared" si="0"/>
        <v>52.538818677842357</v>
      </c>
      <c r="I196" s="1">
        <f t="shared" si="434"/>
        <v>-112.32569663935331</v>
      </c>
      <c r="J196" s="1">
        <f t="shared" si="435"/>
        <v>0</v>
      </c>
      <c r="K196" s="1">
        <f t="shared" si="436"/>
        <v>-1.6670473891776045</v>
      </c>
      <c r="L196" s="1">
        <f t="shared" ref="L196:N196" si="454">E196/$H196</f>
        <v>0.99988988767878084</v>
      </c>
      <c r="M196" s="1">
        <f t="shared" si="454"/>
        <v>0</v>
      </c>
      <c r="N196" s="1">
        <f t="shared" si="454"/>
        <v>1.483955921566049E-2</v>
      </c>
      <c r="O196" s="1">
        <f t="shared" si="5"/>
        <v>1.483955921566049E-2</v>
      </c>
      <c r="P196" s="1">
        <f t="shared" si="438"/>
        <v>-1.4837925197349385E-2</v>
      </c>
      <c r="Q196" s="1">
        <f t="shared" si="439"/>
        <v>0</v>
      </c>
      <c r="R196" s="1">
        <f t="shared" si="440"/>
        <v>0.99977978748228491</v>
      </c>
      <c r="S196" s="1">
        <f t="shared" si="441"/>
        <v>9.0826521806281075</v>
      </c>
      <c r="T196" s="1">
        <f t="shared" ref="T196:V196" si="455">$S196*P196</f>
        <v>-0.13476771364970214</v>
      </c>
      <c r="U196" s="1">
        <f t="shared" si="455"/>
        <v>0</v>
      </c>
      <c r="V196" s="1">
        <f t="shared" si="455"/>
        <v>9.0806520669238804</v>
      </c>
      <c r="W196" s="1">
        <f t="shared" si="443"/>
        <v>-112.46046435300302</v>
      </c>
      <c r="X196" s="1">
        <f t="shared" si="444"/>
        <v>0</v>
      </c>
      <c r="Y196" s="1">
        <f t="shared" si="445"/>
        <v>-2.3930453222537231</v>
      </c>
    </row>
    <row r="197" spans="1:25">
      <c r="A197" s="1">
        <v>0.19500000000000001</v>
      </c>
      <c r="B197" s="1">
        <f t="shared" si="446"/>
        <v>13.213362183651917</v>
      </c>
      <c r="C197" s="1">
        <f t="shared" si="447"/>
        <v>0</v>
      </c>
      <c r="D197" s="1">
        <f t="shared" si="448"/>
        <v>0.13236156147862216</v>
      </c>
      <c r="E197" s="1">
        <f t="shared" si="449"/>
        <v>52.42057304221062</v>
      </c>
      <c r="F197" s="1">
        <f t="shared" si="450"/>
        <v>0</v>
      </c>
      <c r="G197" s="1">
        <f t="shared" si="451"/>
        <v>0.77725986556843729</v>
      </c>
      <c r="H197" s="1">
        <f t="shared" si="0"/>
        <v>52.426335090032396</v>
      </c>
      <c r="I197" s="1">
        <f t="shared" si="434"/>
        <v>-111.84526443548569</v>
      </c>
      <c r="J197" s="1">
        <f t="shared" si="435"/>
        <v>0</v>
      </c>
      <c r="K197" s="1">
        <f t="shared" si="436"/>
        <v>-1.6583724700909126</v>
      </c>
      <c r="L197" s="1">
        <f t="shared" ref="L197:N197" si="456">E197/$H197</f>
        <v>0.9998900924924109</v>
      </c>
      <c r="M197" s="1">
        <f t="shared" si="456"/>
        <v>0</v>
      </c>
      <c r="N197" s="1">
        <f t="shared" si="456"/>
        <v>1.4825752443569425E-2</v>
      </c>
      <c r="O197" s="1">
        <f t="shared" si="5"/>
        <v>1.4825752443569425E-2</v>
      </c>
      <c r="P197" s="1">
        <f t="shared" si="438"/>
        <v>-1.4824122982070219E-2</v>
      </c>
      <c r="Q197" s="1">
        <f t="shared" si="439"/>
        <v>0</v>
      </c>
      <c r="R197" s="1">
        <f t="shared" si="440"/>
        <v>0.99978019706448196</v>
      </c>
      <c r="S197" s="1">
        <f t="shared" si="441"/>
        <v>9.0438025957353112</v>
      </c>
      <c r="T197" s="1">
        <f t="shared" ref="T197:V197" si="457">$S197*P197</f>
        <v>-0.13406644190474612</v>
      </c>
      <c r="U197" s="1">
        <f t="shared" si="457"/>
        <v>0</v>
      </c>
      <c r="V197" s="1">
        <f t="shared" si="457"/>
        <v>9.0418147413765233</v>
      </c>
      <c r="W197" s="1">
        <f t="shared" si="443"/>
        <v>-111.97933087739044</v>
      </c>
      <c r="X197" s="1">
        <f t="shared" si="444"/>
        <v>0</v>
      </c>
      <c r="Y197" s="1">
        <f t="shared" si="445"/>
        <v>-2.4232077287143889</v>
      </c>
    </row>
    <row r="198" spans="1:25">
      <c r="A198" s="1">
        <v>0.19600000000000001</v>
      </c>
      <c r="B198" s="1">
        <f t="shared" si="446"/>
        <v>13.265670777363249</v>
      </c>
      <c r="C198" s="1">
        <f t="shared" si="447"/>
        <v>0</v>
      </c>
      <c r="D198" s="1">
        <f t="shared" si="448"/>
        <v>0.13313639813646189</v>
      </c>
      <c r="E198" s="1">
        <f t="shared" si="449"/>
        <v>52.308593711333231</v>
      </c>
      <c r="F198" s="1">
        <f t="shared" si="450"/>
        <v>0</v>
      </c>
      <c r="G198" s="1">
        <f t="shared" si="451"/>
        <v>0.77483665783972289</v>
      </c>
      <c r="H198" s="1">
        <f t="shared" si="0"/>
        <v>52.314332146206958</v>
      </c>
      <c r="I198" s="1">
        <f t="shared" si="434"/>
        <v>-111.36790942764277</v>
      </c>
      <c r="J198" s="1">
        <f t="shared" si="435"/>
        <v>0</v>
      </c>
      <c r="K198" s="1">
        <f t="shared" si="436"/>
        <v>-1.6496704003880647</v>
      </c>
      <c r="L198" s="1">
        <f t="shared" ref="L198:N198" si="458">E198/$H198</f>
        <v>0.9998903085514369</v>
      </c>
      <c r="M198" s="1">
        <f t="shared" si="458"/>
        <v>0</v>
      </c>
      <c r="N198" s="1">
        <f t="shared" si="458"/>
        <v>1.4811173650735447E-2</v>
      </c>
      <c r="O198" s="1">
        <f t="shared" si="5"/>
        <v>1.4811173650735447E-2</v>
      </c>
      <c r="P198" s="1">
        <f t="shared" si="438"/>
        <v>-1.4809548991642779E-2</v>
      </c>
      <c r="Q198" s="1">
        <f t="shared" si="439"/>
        <v>0</v>
      </c>
      <c r="R198" s="1">
        <f t="shared" si="440"/>
        <v>0.99978062913508781</v>
      </c>
      <c r="S198" s="1">
        <f t="shared" si="441"/>
        <v>9.0052017473485773</v>
      </c>
      <c r="T198" s="1">
        <f t="shared" ref="T198:V198" si="459">$S198*P198</f>
        <v>-0.13336297645698592</v>
      </c>
      <c r="U198" s="1">
        <f t="shared" si="459"/>
        <v>0</v>
      </c>
      <c r="V198" s="1">
        <f t="shared" si="459"/>
        <v>9.0032262684525524</v>
      </c>
      <c r="W198" s="1">
        <f t="shared" si="443"/>
        <v>-111.50127240409975</v>
      </c>
      <c r="X198" s="1">
        <f t="shared" si="444"/>
        <v>0</v>
      </c>
      <c r="Y198" s="1">
        <f t="shared" si="445"/>
        <v>-2.4530941319355115</v>
      </c>
    </row>
    <row r="199" spans="1:25">
      <c r="A199" s="1">
        <v>0.19700000000000001</v>
      </c>
      <c r="B199" s="1">
        <f t="shared" si="446"/>
        <v>13.317867869802178</v>
      </c>
      <c r="C199" s="1">
        <f t="shared" si="447"/>
        <v>0</v>
      </c>
      <c r="D199" s="1">
        <f t="shared" si="448"/>
        <v>0.13390878170016968</v>
      </c>
      <c r="E199" s="1">
        <f t="shared" si="449"/>
        <v>52.197092438929133</v>
      </c>
      <c r="F199" s="1">
        <f t="shared" si="450"/>
        <v>0</v>
      </c>
      <c r="G199" s="1">
        <f t="shared" si="451"/>
        <v>0.77238356370778738</v>
      </c>
      <c r="H199" s="1">
        <f t="shared" si="0"/>
        <v>52.202806777486579</v>
      </c>
      <c r="I199" s="1">
        <f t="shared" si="434"/>
        <v>-110.89360541314802</v>
      </c>
      <c r="J199" s="1">
        <f t="shared" si="435"/>
        <v>0</v>
      </c>
      <c r="K199" s="1">
        <f t="shared" si="436"/>
        <v>-1.6409419402359662</v>
      </c>
      <c r="L199" s="1">
        <f t="shared" ref="L199:N199" si="460">E199/$H199</f>
        <v>0.99989053579854803</v>
      </c>
      <c r="M199" s="1">
        <f t="shared" si="460"/>
        <v>0</v>
      </c>
      <c r="N199" s="1">
        <f t="shared" si="460"/>
        <v>1.479582442760323E-2</v>
      </c>
      <c r="O199" s="1">
        <f t="shared" si="5"/>
        <v>1.479582442760323E-2</v>
      </c>
      <c r="P199" s="1">
        <f t="shared" si="438"/>
        <v>-1.4794204814497438E-2</v>
      </c>
      <c r="Q199" s="1">
        <f t="shared" si="439"/>
        <v>0</v>
      </c>
      <c r="R199" s="1">
        <f t="shared" si="440"/>
        <v>0.99978108357950757</v>
      </c>
      <c r="S199" s="1">
        <f t="shared" si="441"/>
        <v>8.9668475183768095</v>
      </c>
      <c r="T199" s="1">
        <f t="shared" ref="T199:V199" si="461">$S199*P199</f>
        <v>-0.1326573787272346</v>
      </c>
      <c r="U199" s="1">
        <f t="shared" si="461"/>
        <v>0</v>
      </c>
      <c r="V199" s="1">
        <f t="shared" si="461"/>
        <v>8.9648845282149843</v>
      </c>
      <c r="W199" s="1">
        <f t="shared" si="443"/>
        <v>-111.02626279187525</v>
      </c>
      <c r="X199" s="1">
        <f t="shared" si="444"/>
        <v>0</v>
      </c>
      <c r="Y199" s="1">
        <f t="shared" si="445"/>
        <v>-2.4827074120209813</v>
      </c>
    </row>
    <row r="200" spans="1:25">
      <c r="A200" s="1">
        <v>0.19800000000000001</v>
      </c>
      <c r="B200" s="1">
        <f t="shared" si="446"/>
        <v>13.369953935978316</v>
      </c>
      <c r="C200" s="1">
        <f t="shared" si="447"/>
        <v>0</v>
      </c>
      <c r="D200" s="1">
        <f t="shared" si="448"/>
        <v>0.13467868255646545</v>
      </c>
      <c r="E200" s="1">
        <f t="shared" si="449"/>
        <v>52.086066176137258</v>
      </c>
      <c r="F200" s="1">
        <f t="shared" si="450"/>
        <v>0</v>
      </c>
      <c r="G200" s="1">
        <f t="shared" si="451"/>
        <v>0.76990085629576643</v>
      </c>
      <c r="H200" s="1">
        <f t="shared" si="0"/>
        <v>52.091755941160933</v>
      </c>
      <c r="I200" s="1">
        <f t="shared" si="434"/>
        <v>-110.42232646773715</v>
      </c>
      <c r="J200" s="1">
        <f t="shared" si="435"/>
        <v>0</v>
      </c>
      <c r="K200" s="1">
        <f t="shared" si="436"/>
        <v>-1.6321878372268011</v>
      </c>
      <c r="L200" s="1">
        <f t="shared" ref="L200:N200" si="462">E200/$H200</f>
        <v>0.99989077417489824</v>
      </c>
      <c r="M200" s="1">
        <f t="shared" si="462"/>
        <v>0</v>
      </c>
      <c r="N200" s="1">
        <f t="shared" si="462"/>
        <v>1.4779706354406454E-2</v>
      </c>
      <c r="O200" s="1">
        <f t="shared" si="5"/>
        <v>1.4779706354406454E-2</v>
      </c>
      <c r="P200" s="1">
        <f t="shared" si="438"/>
        <v>-1.4778092028785132E-2</v>
      </c>
      <c r="Q200" s="1">
        <f t="shared" si="439"/>
        <v>0</v>
      </c>
      <c r="R200" s="1">
        <f t="shared" si="440"/>
        <v>0.99978156028007747</v>
      </c>
      <c r="S200" s="1">
        <f t="shared" si="441"/>
        <v>8.9287378142314981</v>
      </c>
      <c r="T200" s="1">
        <f t="shared" ref="T200:V200" si="463">$S200*P200</f>
        <v>-0.13194970911960688</v>
      </c>
      <c r="U200" s="1">
        <f t="shared" si="463"/>
        <v>0</v>
      </c>
      <c r="V200" s="1">
        <f t="shared" si="463"/>
        <v>8.9267874232440949</v>
      </c>
      <c r="W200" s="1">
        <f t="shared" si="443"/>
        <v>-110.55427617685676</v>
      </c>
      <c r="X200" s="1">
        <f t="shared" si="444"/>
        <v>0</v>
      </c>
      <c r="Y200" s="1">
        <f t="shared" si="445"/>
        <v>-2.5120504139827053</v>
      </c>
    </row>
    <row r="201" spans="1:25">
      <c r="A201" s="1">
        <v>0.19900000000000001</v>
      </c>
      <c r="B201" s="1">
        <f t="shared" si="446"/>
        <v>13.421929447878277</v>
      </c>
      <c r="C201" s="1">
        <f t="shared" si="447"/>
        <v>0</v>
      </c>
      <c r="D201" s="1">
        <f t="shared" si="448"/>
        <v>0.13544607136234724</v>
      </c>
      <c r="E201" s="1">
        <f t="shared" si="449"/>
        <v>51.975511899960402</v>
      </c>
      <c r="F201" s="1">
        <f t="shared" si="450"/>
        <v>0</v>
      </c>
      <c r="G201" s="1">
        <f t="shared" si="451"/>
        <v>0.76738880588178371</v>
      </c>
      <c r="H201" s="1">
        <f t="shared" si="0"/>
        <v>51.981176620410565</v>
      </c>
      <c r="I201" s="1">
        <f t="shared" si="434"/>
        <v>-109.95404694201459</v>
      </c>
      <c r="J201" s="1">
        <f t="shared" si="435"/>
        <v>0</v>
      </c>
      <c r="K201" s="1">
        <f t="shared" si="436"/>
        <v>-1.6234088265856299</v>
      </c>
      <c r="L201" s="1">
        <f t="shared" ref="L201:N201" si="464">E201/$H201</f>
        <v>0.99989102362011673</v>
      </c>
      <c r="M201" s="1">
        <f t="shared" si="464"/>
        <v>0</v>
      </c>
      <c r="N201" s="1">
        <f t="shared" si="464"/>
        <v>1.4762821001255793E-2</v>
      </c>
      <c r="O201" s="1">
        <f t="shared" si="5"/>
        <v>1.4762821001255793E-2</v>
      </c>
      <c r="P201" s="1">
        <f t="shared" si="438"/>
        <v>-1.4761212202466211E-2</v>
      </c>
      <c r="Q201" s="1">
        <f t="shared" si="439"/>
        <v>0</v>
      </c>
      <c r="R201" s="1">
        <f t="shared" si="440"/>
        <v>0.99978205911608486</v>
      </c>
      <c r="S201" s="1">
        <f t="shared" si="441"/>
        <v>8.8908705625401563</v>
      </c>
      <c r="T201" s="1">
        <f t="shared" ref="T201:V201" si="465">$S201*P201</f>
        <v>-0.13124002703831539</v>
      </c>
      <c r="U201" s="1">
        <f t="shared" si="465"/>
        <v>0</v>
      </c>
      <c r="V201" s="1">
        <f t="shared" si="465"/>
        <v>8.8889328783509818</v>
      </c>
      <c r="W201" s="1">
        <f t="shared" si="443"/>
        <v>-110.0852869690529</v>
      </c>
      <c r="X201" s="1">
        <f t="shared" si="444"/>
        <v>0</v>
      </c>
      <c r="Y201" s="1">
        <f t="shared" si="445"/>
        <v>-2.5411259482346473</v>
      </c>
    </row>
    <row r="202" spans="1:25">
      <c r="A202" s="1">
        <v>0.2</v>
      </c>
      <c r="B202" s="1">
        <f t="shared" si="446"/>
        <v>13.473794874491269</v>
      </c>
      <c r="C202" s="1">
        <f t="shared" si="447"/>
        <v>0</v>
      </c>
      <c r="D202" s="1">
        <f t="shared" si="448"/>
        <v>0.13621091904228078</v>
      </c>
      <c r="E202" s="1">
        <f t="shared" si="449"/>
        <v>51.865426612991349</v>
      </c>
      <c r="F202" s="1">
        <f t="shared" si="450"/>
        <v>0</v>
      </c>
      <c r="G202" s="1">
        <f t="shared" si="451"/>
        <v>0.76484767993354907</v>
      </c>
      <c r="H202" s="1">
        <f t="shared" si="0"/>
        <v>51.871065824032293</v>
      </c>
      <c r="I202" s="1">
        <f t="shared" si="434"/>
        <v>-109.48874145796304</v>
      </c>
      <c r="J202" s="1">
        <f t="shared" si="435"/>
        <v>0</v>
      </c>
      <c r="K202" s="1">
        <f t="shared" si="436"/>
        <v>-1.6146056313743176</v>
      </c>
      <c r="L202" s="1">
        <f t="shared" ref="L202:N202" si="466">E202/$H202</f>
        <v>0.99989128407231742</v>
      </c>
      <c r="M202" s="1">
        <f t="shared" si="466"/>
        <v>0</v>
      </c>
      <c r="N202" s="1">
        <f t="shared" si="466"/>
        <v>1.4745169928225936E-2</v>
      </c>
      <c r="O202" s="1">
        <f t="shared" si="5"/>
        <v>1.4745169928225936E-2</v>
      </c>
      <c r="P202" s="1">
        <f t="shared" si="438"/>
        <v>-1.4743566893398351E-2</v>
      </c>
      <c r="Q202" s="1">
        <f t="shared" si="439"/>
        <v>0</v>
      </c>
      <c r="R202" s="1">
        <f t="shared" si="440"/>
        <v>0.99978257996378772</v>
      </c>
      <c r="S202" s="1">
        <f t="shared" si="441"/>
        <v>8.8532437128640868</v>
      </c>
      <c r="T202" s="1">
        <f t="shared" ref="T202:V202" si="467">$S202*P202</f>
        <v>-0.13052839090417004</v>
      </c>
      <c r="U202" s="1">
        <f t="shared" si="467"/>
        <v>0</v>
      </c>
      <c r="V202" s="1">
        <f t="shared" si="467"/>
        <v>8.8513188402954395</v>
      </c>
      <c r="W202" s="1">
        <f t="shared" si="443"/>
        <v>-109.61926984886722</v>
      </c>
      <c r="X202" s="1">
        <f t="shared" si="444"/>
        <v>0</v>
      </c>
      <c r="Y202" s="1">
        <f t="shared" si="445"/>
        <v>-2.5699367910788773</v>
      </c>
    </row>
    <row r="203" spans="1:25">
      <c r="A203" s="1">
        <v>0.20100000000000001</v>
      </c>
      <c r="B203" s="1">
        <f t="shared" si="446"/>
        <v>13.52555068183441</v>
      </c>
      <c r="C203" s="1">
        <f t="shared" si="447"/>
        <v>0</v>
      </c>
      <c r="D203" s="1">
        <f t="shared" si="448"/>
        <v>0.13697319678542325</v>
      </c>
      <c r="E203" s="1">
        <f t="shared" si="449"/>
        <v>51.755807343142479</v>
      </c>
      <c r="F203" s="1">
        <f t="shared" si="450"/>
        <v>0</v>
      </c>
      <c r="G203" s="1">
        <f t="shared" si="451"/>
        <v>0.76227774314247021</v>
      </c>
      <c r="H203" s="1">
        <f t="shared" si="0"/>
        <v>51.761420586167951</v>
      </c>
      <c r="I203" s="1">
        <f t="shared" si="434"/>
        <v>-109.02638490550449</v>
      </c>
      <c r="J203" s="1">
        <f t="shared" si="435"/>
        <v>0</v>
      </c>
      <c r="K203" s="1">
        <f t="shared" si="436"/>
        <v>-1.6057789626918437</v>
      </c>
      <c r="L203" s="1">
        <f t="shared" ref="L203:N203" si="468">E203/$H203</f>
        <v>0.99989155546810915</v>
      </c>
      <c r="M203" s="1">
        <f t="shared" si="468"/>
        <v>0</v>
      </c>
      <c r="N203" s="1">
        <f t="shared" si="468"/>
        <v>1.4726754685441755E-2</v>
      </c>
      <c r="O203" s="1">
        <f t="shared" si="5"/>
        <v>1.4726754685441755E-2</v>
      </c>
      <c r="P203" s="1">
        <f t="shared" si="438"/>
        <v>-1.4725157649423622E-2</v>
      </c>
      <c r="Q203" s="1">
        <f t="shared" si="439"/>
        <v>0</v>
      </c>
      <c r="R203" s="1">
        <f t="shared" si="440"/>
        <v>0.99978312269643477</v>
      </c>
      <c r="S203" s="1">
        <f t="shared" si="441"/>
        <v>8.8158552364202265</v>
      </c>
      <c r="T203" s="1">
        <f t="shared" ref="T203:V203" si="469">$S203*P203</f>
        <v>-0.12981485817078459</v>
      </c>
      <c r="U203" s="1">
        <f t="shared" si="469"/>
        <v>0</v>
      </c>
      <c r="V203" s="1">
        <f t="shared" si="469"/>
        <v>8.8139432775079296</v>
      </c>
      <c r="W203" s="1">
        <f t="shared" si="443"/>
        <v>-109.15619976367527</v>
      </c>
      <c r="X203" s="1">
        <f t="shared" si="444"/>
        <v>0</v>
      </c>
      <c r="Y203" s="1">
        <f t="shared" si="445"/>
        <v>-2.5984856851839133</v>
      </c>
    </row>
    <row r="204" spans="1:25">
      <c r="A204" s="1">
        <v>0.20200000000000001</v>
      </c>
      <c r="B204" s="1">
        <f t="shared" si="446"/>
        <v>13.577197332977789</v>
      </c>
      <c r="C204" s="1">
        <f t="shared" si="447"/>
        <v>0</v>
      </c>
      <c r="D204" s="1">
        <f t="shared" si="448"/>
        <v>0.13773287604288054</v>
      </c>
      <c r="E204" s="1">
        <f t="shared" si="449"/>
        <v>51.646651143378804</v>
      </c>
      <c r="F204" s="1">
        <f t="shared" si="450"/>
        <v>0</v>
      </c>
      <c r="G204" s="1">
        <f t="shared" si="451"/>
        <v>0.75967925745728626</v>
      </c>
      <c r="H204" s="1">
        <f t="shared" si="0"/>
        <v>51.652237966036687</v>
      </c>
      <c r="I204" s="1">
        <f t="shared" si="434"/>
        <v>-108.56695243911182</v>
      </c>
      <c r="J204" s="1">
        <f t="shared" si="435"/>
        <v>0</v>
      </c>
      <c r="K204" s="1">
        <f t="shared" si="436"/>
        <v>-1.596929519871078</v>
      </c>
      <c r="L204" s="1">
        <f t="shared" ref="L204:N204" si="470">E204/$H204</f>
        <v>0.99989183774260559</v>
      </c>
      <c r="M204" s="1">
        <f t="shared" si="470"/>
        <v>0</v>
      </c>
      <c r="N204" s="1">
        <f t="shared" si="470"/>
        <v>1.4707576813163533E-2</v>
      </c>
      <c r="O204" s="1">
        <f t="shared" si="5"/>
        <v>1.4707576813163533E-2</v>
      </c>
      <c r="P204" s="1">
        <f t="shared" si="438"/>
        <v>-1.470598600845462E-2</v>
      </c>
      <c r="Q204" s="1">
        <f t="shared" si="439"/>
        <v>0</v>
      </c>
      <c r="R204" s="1">
        <f t="shared" si="440"/>
        <v>0.9997836871842849</v>
      </c>
      <c r="S204" s="1">
        <f t="shared" si="441"/>
        <v>8.778703125807187</v>
      </c>
      <c r="T204" s="1">
        <f t="shared" ref="T204:V204" si="471">$S204*P204</f>
        <v>-0.12909948534049734</v>
      </c>
      <c r="U204" s="1">
        <f t="shared" si="471"/>
        <v>0</v>
      </c>
      <c r="V204" s="1">
        <f t="shared" si="471"/>
        <v>8.7768041798157164</v>
      </c>
      <c r="W204" s="1">
        <f t="shared" si="443"/>
        <v>-108.69605192445232</v>
      </c>
      <c r="X204" s="1">
        <f t="shared" si="444"/>
        <v>0</v>
      </c>
      <c r="Y204" s="1">
        <f t="shared" si="445"/>
        <v>-2.6267753400553611</v>
      </c>
    </row>
    <row r="205" spans="1:25">
      <c r="A205" s="1">
        <v>0.20300000000000001</v>
      </c>
      <c r="B205" s="1">
        <f t="shared" si="446"/>
        <v>13.628735288069244</v>
      </c>
      <c r="C205" s="1">
        <f t="shared" si="447"/>
        <v>0</v>
      </c>
      <c r="D205" s="1">
        <f t="shared" si="448"/>
        <v>0.13848992852499778</v>
      </c>
      <c r="E205" s="1">
        <f t="shared" si="449"/>
        <v>51.53795509145435</v>
      </c>
      <c r="F205" s="1">
        <f t="shared" si="450"/>
        <v>0</v>
      </c>
      <c r="G205" s="1">
        <f t="shared" si="451"/>
        <v>0.75705248211723086</v>
      </c>
      <c r="H205" s="1">
        <f t="shared" si="0"/>
        <v>51.543515047670596</v>
      </c>
      <c r="I205" s="1">
        <f t="shared" si="434"/>
        <v>-108.11041947447043</v>
      </c>
      <c r="J205" s="1">
        <f t="shared" si="435"/>
        <v>0</v>
      </c>
      <c r="K205" s="1">
        <f t="shared" si="436"/>
        <v>-1.5880579906720793</v>
      </c>
      <c r="L205" s="1">
        <f t="shared" ref="L205:N205" si="472">E205/$H205</f>
        <v>0.99989213082943407</v>
      </c>
      <c r="M205" s="1">
        <f t="shared" si="472"/>
        <v>0</v>
      </c>
      <c r="N205" s="1">
        <f t="shared" si="472"/>
        <v>1.4687637841871328E-2</v>
      </c>
      <c r="O205" s="1">
        <f t="shared" si="5"/>
        <v>1.4687637841871328E-2</v>
      </c>
      <c r="P205" s="1">
        <f t="shared" si="438"/>
        <v>-1.4686053498559752E-2</v>
      </c>
      <c r="Q205" s="1">
        <f t="shared" si="439"/>
        <v>0</v>
      </c>
      <c r="R205" s="1">
        <f t="shared" si="440"/>
        <v>0.99978427329462605</v>
      </c>
      <c r="S205" s="1">
        <f t="shared" si="441"/>
        <v>8.7417853947352775</v>
      </c>
      <c r="T205" s="1">
        <f t="shared" ref="T205:V205" si="473">$S205*P205</f>
        <v>-0.12838232798001056</v>
      </c>
      <c r="U205" s="1">
        <f t="shared" si="473"/>
        <v>0</v>
      </c>
      <c r="V205" s="1">
        <f t="shared" si="473"/>
        <v>8.7398995581729846</v>
      </c>
      <c r="W205" s="1">
        <f t="shared" si="443"/>
        <v>-108.23880180245044</v>
      </c>
      <c r="X205" s="1">
        <f t="shared" si="444"/>
        <v>0</v>
      </c>
      <c r="Y205" s="1">
        <f t="shared" si="445"/>
        <v>-2.6548084324990944</v>
      </c>
    </row>
    <row r="206" spans="1:25">
      <c r="A206" s="1">
        <v>0.20399999999999999</v>
      </c>
      <c r="B206" s="1">
        <f t="shared" si="446"/>
        <v>13.680165004358896</v>
      </c>
      <c r="C206" s="1">
        <f t="shared" si="447"/>
        <v>0</v>
      </c>
      <c r="D206" s="1">
        <f t="shared" si="448"/>
        <v>0.13924432619868252</v>
      </c>
      <c r="E206" s="1">
        <f t="shared" si="449"/>
        <v>51.4297162896519</v>
      </c>
      <c r="F206" s="1">
        <f t="shared" si="450"/>
        <v>0</v>
      </c>
      <c r="G206" s="1">
        <f t="shared" si="451"/>
        <v>0.75439767368473176</v>
      </c>
      <c r="H206" s="1">
        <f t="shared" si="0"/>
        <v>51.435248939653697</v>
      </c>
      <c r="I206" s="1">
        <f t="shared" si="434"/>
        <v>-107.6567616851891</v>
      </c>
      <c r="J206" s="1">
        <f t="shared" si="435"/>
        <v>0</v>
      </c>
      <c r="K206" s="1">
        <f t="shared" si="436"/>
        <v>-1.5791650514719946</v>
      </c>
      <c r="L206" s="1">
        <f t="shared" ref="L206:N206" si="474">E206/$H206</f>
        <v>0.99989243466074618</v>
      </c>
      <c r="M206" s="1">
        <f t="shared" si="474"/>
        <v>0</v>
      </c>
      <c r="N206" s="1">
        <f t="shared" si="474"/>
        <v>1.466693929234847E-2</v>
      </c>
      <c r="O206" s="1">
        <f t="shared" si="5"/>
        <v>1.466693929234847E-2</v>
      </c>
      <c r="P206" s="1">
        <f t="shared" si="438"/>
        <v>-1.4665361638047674E-2</v>
      </c>
      <c r="Q206" s="1">
        <f t="shared" si="439"/>
        <v>0</v>
      </c>
      <c r="R206" s="1">
        <f t="shared" si="440"/>
        <v>0.99978488089179451</v>
      </c>
      <c r="S206" s="1">
        <f t="shared" si="441"/>
        <v>8.7051000777605179</v>
      </c>
      <c r="T206" s="1">
        <f t="shared" ref="T206:V206" si="475">$S206*P206</f>
        <v>-0.12766344073575492</v>
      </c>
      <c r="U206" s="1">
        <f t="shared" si="475"/>
        <v>0</v>
      </c>
      <c r="V206" s="1">
        <f t="shared" si="475"/>
        <v>8.7032274443949511</v>
      </c>
      <c r="W206" s="1">
        <f t="shared" si="443"/>
        <v>-107.78442512592486</v>
      </c>
      <c r="X206" s="1">
        <f t="shared" si="444"/>
        <v>0</v>
      </c>
      <c r="Y206" s="1">
        <f t="shared" si="445"/>
        <v>-2.6825876070770427</v>
      </c>
    </row>
    <row r="207" spans="1:25">
      <c r="A207" s="1">
        <v>0.20499999999999999</v>
      </c>
      <c r="B207" s="1">
        <f t="shared" si="446"/>
        <v>13.731486936223423</v>
      </c>
      <c r="C207" s="1">
        <f t="shared" si="447"/>
        <v>0</v>
      </c>
      <c r="D207" s="1">
        <f t="shared" si="448"/>
        <v>0.13999604128476018</v>
      </c>
      <c r="E207" s="1">
        <f t="shared" si="449"/>
        <v>51.321931864525972</v>
      </c>
      <c r="F207" s="1">
        <f t="shared" si="450"/>
        <v>0</v>
      </c>
      <c r="G207" s="1">
        <f t="shared" si="451"/>
        <v>0.75171508607765469</v>
      </c>
      <c r="H207" s="1">
        <f t="shared" si="0"/>
        <v>51.327436774864211</v>
      </c>
      <c r="I207" s="1">
        <f t="shared" si="434"/>
        <v>-107.20595499955861</v>
      </c>
      <c r="J207" s="1">
        <f t="shared" si="435"/>
        <v>0</v>
      </c>
      <c r="K207" s="1">
        <f t="shared" si="436"/>
        <v>-1.5702513674516123</v>
      </c>
      <c r="L207" s="1">
        <f t="shared" ref="L207:N207" si="476">E207/$H207</f>
        <v>0.99989274916722637</v>
      </c>
      <c r="M207" s="1">
        <f t="shared" si="476"/>
        <v>0</v>
      </c>
      <c r="N207" s="1">
        <f t="shared" si="476"/>
        <v>1.4645482675764173E-2</v>
      </c>
      <c r="O207" s="1">
        <f t="shared" si="5"/>
        <v>1.4645482675764173E-2</v>
      </c>
      <c r="P207" s="1">
        <f t="shared" si="438"/>
        <v>-1.4643911935550825E-2</v>
      </c>
      <c r="Q207" s="1">
        <f t="shared" si="439"/>
        <v>0</v>
      </c>
      <c r="R207" s="1">
        <f t="shared" si="440"/>
        <v>0.99978550983719394</v>
      </c>
      <c r="S207" s="1">
        <f t="shared" si="441"/>
        <v>8.6686452300225501</v>
      </c>
      <c r="T207" s="1">
        <f t="shared" ref="T207:V207" si="477">$S207*P207</f>
        <v>-0.12694287734898294</v>
      </c>
      <c r="U207" s="1">
        <f t="shared" si="477"/>
        <v>0</v>
      </c>
      <c r="V207" s="1">
        <f t="shared" si="477"/>
        <v>8.6667858908958539</v>
      </c>
      <c r="W207" s="1">
        <f t="shared" si="443"/>
        <v>-107.33289787690759</v>
      </c>
      <c r="X207" s="1">
        <f t="shared" si="444"/>
        <v>0</v>
      </c>
      <c r="Y207" s="1">
        <f t="shared" si="445"/>
        <v>-2.7101154765557576</v>
      </c>
    </row>
    <row r="208" spans="1:25">
      <c r="A208" s="1">
        <v>0.20599999999999999</v>
      </c>
      <c r="B208" s="1">
        <f t="shared" si="446"/>
        <v>13.782701535190071</v>
      </c>
      <c r="C208" s="1">
        <f t="shared" si="447"/>
        <v>0</v>
      </c>
      <c r="D208" s="1">
        <f t="shared" si="448"/>
        <v>0.14074504625536127</v>
      </c>
      <c r="E208" s="1">
        <f t="shared" si="449"/>
        <v>51.214598966649064</v>
      </c>
      <c r="F208" s="1">
        <f t="shared" si="450"/>
        <v>0</v>
      </c>
      <c r="G208" s="1">
        <f t="shared" si="451"/>
        <v>0.74900497060109894</v>
      </c>
      <c r="H208" s="1">
        <f t="shared" si="0"/>
        <v>51.220075710220073</v>
      </c>
      <c r="I208" s="1">
        <f t="shared" si="434"/>
        <v>-106.7579755973584</v>
      </c>
      <c r="J208" s="1">
        <f t="shared" si="435"/>
        <v>0</v>
      </c>
      <c r="K208" s="1">
        <f t="shared" si="436"/>
        <v>-1.5613175927786465</v>
      </c>
      <c r="L208" s="1">
        <f t="shared" ref="L208:N208" si="478">E208/$H208</f>
        <v>0.99989307427810159</v>
      </c>
      <c r="M208" s="1">
        <f t="shared" si="478"/>
        <v>0</v>
      </c>
      <c r="N208" s="1">
        <f t="shared" si="478"/>
        <v>1.4623269493755317E-2</v>
      </c>
      <c r="O208" s="1">
        <f t="shared" si="5"/>
        <v>1.4623269493755317E-2</v>
      </c>
      <c r="P208" s="1">
        <f t="shared" si="438"/>
        <v>-1.4621705890108182E-2</v>
      </c>
      <c r="Q208" s="1">
        <f t="shared" si="439"/>
        <v>0</v>
      </c>
      <c r="R208" s="1">
        <f t="shared" si="440"/>
        <v>0.99978615998931297</v>
      </c>
      <c r="S208" s="1">
        <f t="shared" si="441"/>
        <v>8.6324189269863894</v>
      </c>
      <c r="T208" s="1">
        <f t="shared" ref="T208:V208" si="479">$S208*P208</f>
        <v>-0.12622069067059824</v>
      </c>
      <c r="U208" s="1">
        <f t="shared" si="479"/>
        <v>0</v>
      </c>
      <c r="V208" s="1">
        <f t="shared" si="479"/>
        <v>8.6305729704307872</v>
      </c>
      <c r="W208" s="1">
        <f t="shared" si="443"/>
        <v>-106.88419628802899</v>
      </c>
      <c r="X208" s="1">
        <f t="shared" si="444"/>
        <v>0</v>
      </c>
      <c r="Y208" s="1">
        <f t="shared" si="445"/>
        <v>-2.7373946223478587</v>
      </c>
    </row>
    <row r="209" spans="1:25">
      <c r="A209" s="1">
        <v>0.20699999999999999</v>
      </c>
      <c r="B209" s="1">
        <f t="shared" si="446"/>
        <v>13.833809249960431</v>
      </c>
      <c r="C209" s="1">
        <f t="shared" si="447"/>
        <v>0</v>
      </c>
      <c r="D209" s="1">
        <f t="shared" si="448"/>
        <v>0.14149131383134003</v>
      </c>
      <c r="E209" s="1">
        <f t="shared" si="449"/>
        <v>51.107714770361035</v>
      </c>
      <c r="F209" s="1">
        <f t="shared" si="450"/>
        <v>0</v>
      </c>
      <c r="G209" s="1">
        <f t="shared" si="451"/>
        <v>0.74626757597875104</v>
      </c>
      <c r="H209" s="1">
        <f t="shared" si="0"/>
        <v>51.113162926427634</v>
      </c>
      <c r="I209" s="1">
        <f t="shared" si="434"/>
        <v>-106.31279990670929</v>
      </c>
      <c r="J209" s="1">
        <f t="shared" si="435"/>
        <v>0</v>
      </c>
      <c r="K209" s="1">
        <f t="shared" si="436"/>
        <v>-1.5523643707878014</v>
      </c>
      <c r="L209" s="1">
        <f t="shared" ref="L209:N209" si="480">E209/$H209</f>
        <v>0.99989340992115006</v>
      </c>
      <c r="M209" s="1">
        <f t="shared" si="480"/>
        <v>0</v>
      </c>
      <c r="N209" s="1">
        <f t="shared" si="480"/>
        <v>1.4600301238507384E-2</v>
      </c>
      <c r="O209" s="1">
        <f t="shared" si="5"/>
        <v>1.4600301238507384E-2</v>
      </c>
      <c r="P209" s="1">
        <f t="shared" si="438"/>
        <v>-1.4598744991247138E-2</v>
      </c>
      <c r="Q209" s="1">
        <f t="shared" si="439"/>
        <v>0</v>
      </c>
      <c r="R209" s="1">
        <f t="shared" si="440"/>
        <v>0.99978683120374479</v>
      </c>
      <c r="S209" s="1">
        <f t="shared" si="441"/>
        <v>8.5964192641879471</v>
      </c>
      <c r="T209" s="1">
        <f t="shared" ref="T209:V209" si="481">$S209*P209</f>
        <v>-0.1254969326757242</v>
      </c>
      <c r="U209" s="1">
        <f t="shared" si="481"/>
        <v>0</v>
      </c>
      <c r="V209" s="1">
        <f t="shared" si="481"/>
        <v>8.5945867758412948</v>
      </c>
      <c r="W209" s="1">
        <f t="shared" si="443"/>
        <v>-106.43829683938502</v>
      </c>
      <c r="X209" s="1">
        <f t="shared" si="444"/>
        <v>0</v>
      </c>
      <c r="Y209" s="1">
        <f t="shared" si="445"/>
        <v>-2.7644275949465058</v>
      </c>
    </row>
    <row r="210" spans="1:25">
      <c r="A210" s="1">
        <v>0.20799999999999999</v>
      </c>
      <c r="B210" s="1">
        <f t="shared" si="446"/>
        <v>13.884810526433952</v>
      </c>
      <c r="C210" s="1">
        <f t="shared" si="447"/>
        <v>0</v>
      </c>
      <c r="D210" s="1">
        <f t="shared" si="448"/>
        <v>0.14223481697972384</v>
      </c>
      <c r="E210" s="1">
        <f t="shared" si="449"/>
        <v>51.001276473521649</v>
      </c>
      <c r="F210" s="1">
        <f t="shared" si="450"/>
        <v>0</v>
      </c>
      <c r="G210" s="1">
        <f t="shared" si="451"/>
        <v>0.74350314838380449</v>
      </c>
      <c r="H210" s="1">
        <f t="shared" si="0"/>
        <v>51.006695627733514</v>
      </c>
      <c r="I210" s="1">
        <f t="shared" si="434"/>
        <v>-105.87040460097244</v>
      </c>
      <c r="J210" s="1">
        <f t="shared" si="435"/>
        <v>0</v>
      </c>
      <c r="K210" s="1">
        <f t="shared" si="436"/>
        <v>-1.5433923341576894</v>
      </c>
      <c r="L210" s="1">
        <f t="shared" ref="L210:N210" si="482">E210/$H210</f>
        <v>0.99989375602271091</v>
      </c>
      <c r="M210" s="1">
        <f t="shared" si="482"/>
        <v>0</v>
      </c>
      <c r="N210" s="1">
        <f t="shared" si="482"/>
        <v>1.4576579392834551E-2</v>
      </c>
      <c r="O210" s="1">
        <f t="shared" si="5"/>
        <v>1.4576579392834551E-2</v>
      </c>
      <c r="P210" s="1">
        <f t="shared" si="438"/>
        <v>-1.4575030719064585E-2</v>
      </c>
      <c r="Q210" s="1">
        <f t="shared" si="439"/>
        <v>0</v>
      </c>
      <c r="R210" s="1">
        <f t="shared" si="440"/>
        <v>0.99978752333320442</v>
      </c>
      <c r="S210" s="1">
        <f t="shared" si="441"/>
        <v>8.560644356983266</v>
      </c>
      <c r="T210" s="1">
        <f t="shared" ref="T210:V210" si="483">$S210*P210</f>
        <v>-0.124771654478018</v>
      </c>
      <c r="U210" s="1">
        <f t="shared" si="483"/>
        <v>0</v>
      </c>
      <c r="V210" s="1">
        <f t="shared" si="483"/>
        <v>8.5588254198046716</v>
      </c>
      <c r="W210" s="1">
        <f t="shared" si="443"/>
        <v>-105.99517625545046</v>
      </c>
      <c r="X210" s="1">
        <f t="shared" si="444"/>
        <v>0</v>
      </c>
      <c r="Y210" s="1">
        <f t="shared" si="445"/>
        <v>-2.7912169143530168</v>
      </c>
    </row>
    <row r="211" spans="1:25">
      <c r="A211" s="1">
        <v>0.20899999999999999</v>
      </c>
      <c r="B211" s="1">
        <f t="shared" si="446"/>
        <v>13.935705807731219</v>
      </c>
      <c r="C211" s="1">
        <f t="shared" si="447"/>
        <v>0</v>
      </c>
      <c r="D211" s="1">
        <f t="shared" si="448"/>
        <v>0.14297552891119331</v>
      </c>
      <c r="E211" s="1">
        <f t="shared" si="449"/>
        <v>50.895281297266202</v>
      </c>
      <c r="F211" s="1">
        <f t="shared" si="450"/>
        <v>0</v>
      </c>
      <c r="G211" s="1">
        <f t="shared" si="451"/>
        <v>0.74071193146945147</v>
      </c>
      <c r="H211" s="1">
        <f t="shared" si="0"/>
        <v>50.900671041679558</v>
      </c>
      <c r="I211" s="1">
        <f t="shared" si="434"/>
        <v>-105.43076659569333</v>
      </c>
      <c r="J211" s="1">
        <f t="shared" si="435"/>
        <v>0</v>
      </c>
      <c r="K211" s="1">
        <f t="shared" si="436"/>
        <v>-1.534402105084655</v>
      </c>
      <c r="L211" s="1">
        <f t="shared" ref="L211:N211" si="484">E211/$H211</f>
        <v>0.99989411250769278</v>
      </c>
      <c r="M211" s="1">
        <f t="shared" si="484"/>
        <v>0</v>
      </c>
      <c r="N211" s="1">
        <f t="shared" si="484"/>
        <v>1.4552105430258987E-2</v>
      </c>
      <c r="O211" s="1">
        <f t="shared" si="5"/>
        <v>1.4552105430258987E-2</v>
      </c>
      <c r="P211" s="1">
        <f t="shared" si="438"/>
        <v>-1.4550564544307186E-2</v>
      </c>
      <c r="Q211" s="1">
        <f t="shared" si="439"/>
        <v>0</v>
      </c>
      <c r="R211" s="1">
        <f t="shared" si="440"/>
        <v>0.99978823622754665</v>
      </c>
      <c r="S211" s="1">
        <f t="shared" si="441"/>
        <v>8.5250923403014021</v>
      </c>
      <c r="T211" s="1">
        <f t="shared" ref="T211:V211" si="485">$S211*P211</f>
        <v>-0.12404490634373436</v>
      </c>
      <c r="U211" s="1">
        <f t="shared" si="485"/>
        <v>0</v>
      </c>
      <c r="V211" s="1">
        <f t="shared" si="485"/>
        <v>8.5232870345869074</v>
      </c>
      <c r="W211" s="1">
        <f t="shared" si="443"/>
        <v>-105.55481150203707</v>
      </c>
      <c r="X211" s="1">
        <f t="shared" si="444"/>
        <v>0</v>
      </c>
      <c r="Y211" s="1">
        <f t="shared" si="445"/>
        <v>-2.8177650704977468</v>
      </c>
    </row>
    <row r="212" spans="1:25">
      <c r="A212" s="1">
        <v>0.21</v>
      </c>
      <c r="B212" s="1">
        <f t="shared" si="446"/>
        <v>13.986495534216983</v>
      </c>
      <c r="C212" s="1">
        <f t="shared" si="447"/>
        <v>0</v>
      </c>
      <c r="D212" s="1">
        <f t="shared" si="448"/>
        <v>0.14371342307759227</v>
      </c>
      <c r="E212" s="1">
        <f t="shared" si="449"/>
        <v>50.789726485764163</v>
      </c>
      <c r="F212" s="1">
        <f t="shared" si="450"/>
        <v>0</v>
      </c>
      <c r="G212" s="1">
        <f t="shared" si="451"/>
        <v>0.73789416639895367</v>
      </c>
      <c r="H212" s="1">
        <f t="shared" si="0"/>
        <v>50.795086418860826</v>
      </c>
      <c r="I212" s="1">
        <f t="shared" si="434"/>
        <v>-104.99386304558983</v>
      </c>
      <c r="J212" s="1">
        <f t="shared" si="435"/>
        <v>0</v>
      </c>
      <c r="K212" s="1">
        <f t="shared" si="436"/>
        <v>-1.5253942954535633</v>
      </c>
      <c r="L212" s="1">
        <f t="shared" ref="L212:N212" si="486">E212/$H212</f>
        <v>0.99989447929958297</v>
      </c>
      <c r="M212" s="1">
        <f t="shared" si="486"/>
        <v>0</v>
      </c>
      <c r="N212" s="1">
        <f t="shared" si="486"/>
        <v>1.4526880815089325E-2</v>
      </c>
      <c r="O212" s="1">
        <f t="shared" si="5"/>
        <v>1.4526880815089325E-2</v>
      </c>
      <c r="P212" s="1">
        <f t="shared" si="438"/>
        <v>-1.4525347928450841E-2</v>
      </c>
      <c r="Q212" s="1">
        <f t="shared" si="439"/>
        <v>0</v>
      </c>
      <c r="R212" s="1">
        <f t="shared" si="440"/>
        <v>0.99978896973378417</v>
      </c>
      <c r="S212" s="1">
        <f t="shared" si="441"/>
        <v>8.4897613684008899</v>
      </c>
      <c r="T212" s="1">
        <f t="shared" ref="T212:V212" si="487">$S212*P212</f>
        <v>-0.12331673770554384</v>
      </c>
      <c r="U212" s="1">
        <f t="shared" si="487"/>
        <v>0</v>
      </c>
      <c r="V212" s="1">
        <f t="shared" si="487"/>
        <v>8.4879697717992073</v>
      </c>
      <c r="W212" s="1">
        <f t="shared" si="443"/>
        <v>-105.11717978329538</v>
      </c>
      <c r="X212" s="1">
        <f t="shared" si="444"/>
        <v>0</v>
      </c>
      <c r="Y212" s="1">
        <f t="shared" si="445"/>
        <v>-2.8440745236543554</v>
      </c>
    </row>
    <row r="213" spans="1:25">
      <c r="A213" s="1">
        <v>0.21099999999999999</v>
      </c>
      <c r="B213" s="1">
        <f t="shared" si="446"/>
        <v>14.037180143522964</v>
      </c>
      <c r="C213" s="1">
        <f t="shared" si="447"/>
        <v>0</v>
      </c>
      <c r="D213" s="1">
        <f t="shared" si="448"/>
        <v>0.14444847316946757</v>
      </c>
      <c r="E213" s="1">
        <f t="shared" si="449"/>
        <v>50.684609305980871</v>
      </c>
      <c r="F213" s="1">
        <f t="shared" si="450"/>
        <v>0</v>
      </c>
      <c r="G213" s="1">
        <f t="shared" si="451"/>
        <v>0.73505009187529935</v>
      </c>
      <c r="H213" s="1">
        <f t="shared" si="0"/>
        <v>50.689939032686638</v>
      </c>
      <c r="I213" s="1">
        <f t="shared" si="434"/>
        <v>-104.55967134158439</v>
      </c>
      <c r="J213" s="1">
        <f t="shared" si="435"/>
        <v>0</v>
      </c>
      <c r="K213" s="1">
        <f t="shared" si="436"/>
        <v>-1.5163695070056207</v>
      </c>
      <c r="L213" s="1">
        <f t="shared" ref="L213:N213" si="488">E213/$H213</f>
        <v>0.99989485632045583</v>
      </c>
      <c r="M213" s="1">
        <f t="shared" si="488"/>
        <v>0</v>
      </c>
      <c r="N213" s="1">
        <f t="shared" si="488"/>
        <v>1.4500907002498335E-2</v>
      </c>
      <c r="O213" s="1">
        <f t="shared" si="5"/>
        <v>1.4500907002498335E-2</v>
      </c>
      <c r="P213" s="1">
        <f t="shared" si="438"/>
        <v>-1.4499382323779364E-2</v>
      </c>
      <c r="Q213" s="1">
        <f t="shared" si="439"/>
        <v>0</v>
      </c>
      <c r="R213" s="1">
        <f t="shared" si="440"/>
        <v>0.99978972369610486</v>
      </c>
      <c r="S213" s="1">
        <f t="shared" si="441"/>
        <v>8.454649614629755</v>
      </c>
      <c r="T213" s="1">
        <f t="shared" ref="T213:V213" si="489">$S213*P213</f>
        <v>-0.12258719717611068</v>
      </c>
      <c r="U213" s="1">
        <f t="shared" si="489"/>
        <v>0</v>
      </c>
      <c r="V213" s="1">
        <f t="shared" si="489"/>
        <v>8.4528718021580627</v>
      </c>
      <c r="W213" s="1">
        <f t="shared" si="443"/>
        <v>-104.68225853876051</v>
      </c>
      <c r="X213" s="1">
        <f t="shared" si="444"/>
        <v>0</v>
      </c>
      <c r="Y213" s="1">
        <f t="shared" si="445"/>
        <v>-2.8701477048475574</v>
      </c>
    </row>
    <row r="214" spans="1:25">
      <c r="A214" s="1">
        <v>0.21199999999999999</v>
      </c>
      <c r="B214" s="1">
        <f t="shared" si="446"/>
        <v>14.087760070570406</v>
      </c>
      <c r="C214" s="1">
        <f t="shared" si="447"/>
        <v>0</v>
      </c>
      <c r="D214" s="1">
        <f t="shared" si="448"/>
        <v>0.14518065311363804</v>
      </c>
      <c r="E214" s="1">
        <f t="shared" si="449"/>
        <v>50.579927047442112</v>
      </c>
      <c r="F214" s="1">
        <f t="shared" si="450"/>
        <v>0</v>
      </c>
      <c r="G214" s="1">
        <f t="shared" si="451"/>
        <v>0.73217994417045185</v>
      </c>
      <c r="H214" s="1">
        <f t="shared" si="0"/>
        <v>50.585226179144556</v>
      </c>
      <c r="I214" s="1">
        <f t="shared" si="434"/>
        <v>-104.12816910787865</v>
      </c>
      <c r="J214" s="1">
        <f t="shared" si="435"/>
        <v>0</v>
      </c>
      <c r="K214" s="1">
        <f t="shared" si="436"/>
        <v>-1.5073283315032686</v>
      </c>
      <c r="L214" s="1">
        <f t="shared" ref="L214:N214" si="490">E214/$H214</f>
        <v>0.99989524349098136</v>
      </c>
      <c r="M214" s="1">
        <f t="shared" si="490"/>
        <v>0</v>
      </c>
      <c r="N214" s="1">
        <f t="shared" si="490"/>
        <v>1.4474185438599806E-2</v>
      </c>
      <c r="O214" s="1">
        <f t="shared" si="5"/>
        <v>1.4474185438599806E-2</v>
      </c>
      <c r="P214" s="1">
        <f t="shared" si="438"/>
        <v>-1.447266917346237E-2</v>
      </c>
      <c r="Q214" s="1">
        <f t="shared" si="439"/>
        <v>0</v>
      </c>
      <c r="R214" s="1">
        <f t="shared" si="440"/>
        <v>0.99979049795588903</v>
      </c>
      <c r="S214" s="1">
        <f t="shared" si="441"/>
        <v>8.4197552711889756</v>
      </c>
      <c r="T214" s="1">
        <f t="shared" ref="T214:V214" si="491">$S214*P214</f>
        <v>-0.12185633256143398</v>
      </c>
      <c r="U214" s="1">
        <f t="shared" si="491"/>
        <v>0</v>
      </c>
      <c r="V214" s="1">
        <f t="shared" si="491"/>
        <v>8.4179913152487469</v>
      </c>
      <c r="W214" s="1">
        <f t="shared" si="443"/>
        <v>-104.25002544044008</v>
      </c>
      <c r="X214" s="1">
        <f t="shared" si="444"/>
        <v>0</v>
      </c>
      <c r="Y214" s="1">
        <f t="shared" si="445"/>
        <v>-2.8959870162545212</v>
      </c>
    </row>
    <row r="215" spans="1:25">
      <c r="A215" s="1">
        <v>0.21299999999999999</v>
      </c>
      <c r="B215" s="1">
        <f t="shared" si="446"/>
        <v>14.138235747592407</v>
      </c>
      <c r="C215" s="1">
        <f t="shared" si="447"/>
        <v>0</v>
      </c>
      <c r="D215" s="1">
        <f t="shared" si="448"/>
        <v>0.14590993707079222</v>
      </c>
      <c r="E215" s="1">
        <f t="shared" si="449"/>
        <v>50.475677022001669</v>
      </c>
      <c r="F215" s="1">
        <f t="shared" si="450"/>
        <v>0</v>
      </c>
      <c r="G215" s="1">
        <f t="shared" si="451"/>
        <v>0.72928395715419736</v>
      </c>
      <c r="H215" s="1">
        <f t="shared" si="0"/>
        <v>50.480945176567268</v>
      </c>
      <c r="I215" s="1">
        <f t="shared" si="434"/>
        <v>-103.69933419907035</v>
      </c>
      <c r="J215" s="1">
        <f t="shared" si="435"/>
        <v>0</v>
      </c>
      <c r="K215" s="1">
        <f t="shared" si="436"/>
        <v>-1.4982713508922159</v>
      </c>
      <c r="L215" s="1">
        <f t="shared" ref="L215:N215" si="492">E215/$H215</f>
        <v>0.99989564073043458</v>
      </c>
      <c r="M215" s="1">
        <f t="shared" si="492"/>
        <v>0</v>
      </c>
      <c r="N215" s="1">
        <f t="shared" si="492"/>
        <v>1.4446717560524668E-2</v>
      </c>
      <c r="O215" s="1">
        <f t="shared" si="5"/>
        <v>1.4446717560524668E-2</v>
      </c>
      <c r="P215" s="1">
        <f t="shared" si="438"/>
        <v>-1.4445209911632433E-2</v>
      </c>
      <c r="Q215" s="1">
        <f t="shared" si="439"/>
        <v>0</v>
      </c>
      <c r="R215" s="1">
        <f t="shared" si="440"/>
        <v>0.99979129235172648</v>
      </c>
      <c r="S215" s="1">
        <f t="shared" si="441"/>
        <v>8.3850765488993684</v>
      </c>
      <c r="T215" s="1">
        <f t="shared" ref="T215:V215" si="493">$S215*P215</f>
        <v>-0.12112419087395783</v>
      </c>
      <c r="U215" s="1">
        <f t="shared" si="493"/>
        <v>0</v>
      </c>
      <c r="V215" s="1">
        <f t="shared" si="493"/>
        <v>8.3833265192922539</v>
      </c>
      <c r="W215" s="1">
        <f t="shared" si="443"/>
        <v>-103.82045838994431</v>
      </c>
      <c r="X215" s="1">
        <f t="shared" si="444"/>
        <v>0</v>
      </c>
      <c r="Y215" s="1">
        <f t="shared" si="445"/>
        <v>-2.9215948315999611</v>
      </c>
    </row>
    <row r="216" spans="1:25">
      <c r="A216" s="1">
        <v>0.214</v>
      </c>
      <c r="B216" s="1">
        <f t="shared" si="446"/>
        <v>14.188607604156019</v>
      </c>
      <c r="C216" s="1">
        <f t="shared" si="447"/>
        <v>0</v>
      </c>
      <c r="D216" s="1">
        <f t="shared" si="448"/>
        <v>0.14663629943311482</v>
      </c>
      <c r="E216" s="1">
        <f t="shared" si="449"/>
        <v>50.371856563611722</v>
      </c>
      <c r="F216" s="1">
        <f t="shared" si="450"/>
        <v>0</v>
      </c>
      <c r="G216" s="1">
        <f t="shared" si="451"/>
        <v>0.72636236232259743</v>
      </c>
      <c r="H216" s="1">
        <f t="shared" si="0"/>
        <v>50.377093365402416</v>
      </c>
      <c r="I216" s="1">
        <f t="shared" si="434"/>
        <v>-103.27314469731202</v>
      </c>
      <c r="J216" s="1">
        <f t="shared" si="435"/>
        <v>0</v>
      </c>
      <c r="K216" s="1">
        <f t="shared" si="436"/>
        <v>-1.4891991374606666</v>
      </c>
      <c r="L216" s="1">
        <f t="shared" ref="L216:N216" si="494">E216/$H216</f>
        <v>0.99989604795670306</v>
      </c>
      <c r="M216" s="1">
        <f t="shared" si="494"/>
        <v>0</v>
      </c>
      <c r="N216" s="1">
        <f t="shared" si="494"/>
        <v>1.4418504796496315E-2</v>
      </c>
      <c r="O216" s="1">
        <f t="shared" si="5"/>
        <v>1.4418504796496315E-2</v>
      </c>
      <c r="P216" s="1">
        <f t="shared" si="438"/>
        <v>-1.4417005963461432E-2</v>
      </c>
      <c r="Q216" s="1">
        <f t="shared" si="439"/>
        <v>0</v>
      </c>
      <c r="R216" s="1">
        <f t="shared" si="440"/>
        <v>0.99979210671943342</v>
      </c>
      <c r="S216" s="1">
        <f t="shared" si="441"/>
        <v>8.3506116769718286</v>
      </c>
      <c r="T216" s="1">
        <f t="shared" ref="T216:V216" si="495">$S216*P216</f>
        <v>-0.12039081834545352</v>
      </c>
      <c r="U216" s="1">
        <f t="shared" si="495"/>
        <v>0</v>
      </c>
      <c r="V216" s="1">
        <f t="shared" si="495"/>
        <v>8.3488756409155656</v>
      </c>
      <c r="W216" s="1">
        <f t="shared" si="443"/>
        <v>-103.39353551565748</v>
      </c>
      <c r="X216" s="1">
        <f t="shared" si="444"/>
        <v>0</v>
      </c>
      <c r="Y216" s="1">
        <f t="shared" si="445"/>
        <v>-2.9469734965451</v>
      </c>
    </row>
    <row r="217" spans="1:25">
      <c r="A217" s="1">
        <v>0.215</v>
      </c>
      <c r="B217" s="1">
        <f t="shared" si="446"/>
        <v>14.238876067184115</v>
      </c>
      <c r="C217" s="1">
        <f t="shared" si="447"/>
        <v>0</v>
      </c>
      <c r="D217" s="1">
        <f t="shared" si="448"/>
        <v>0.14735971482194088</v>
      </c>
      <c r="E217" s="1">
        <f t="shared" si="449"/>
        <v>50.268463028096065</v>
      </c>
      <c r="F217" s="1">
        <f t="shared" si="450"/>
        <v>0</v>
      </c>
      <c r="G217" s="1">
        <f t="shared" si="451"/>
        <v>0.72341538882605239</v>
      </c>
      <c r="H217" s="1">
        <f t="shared" si="0"/>
        <v>50.27366810798523</v>
      </c>
      <c r="I217" s="1">
        <f t="shared" si="434"/>
        <v>-102.84957890951011</v>
      </c>
      <c r="J217" s="1">
        <f t="shared" si="435"/>
        <v>0</v>
      </c>
      <c r="K217" s="1">
        <f t="shared" si="436"/>
        <v>-1.4801122539957843</v>
      </c>
      <c r="L217" s="1">
        <f t="shared" ref="L217:N217" si="496">E217/$H217</f>
        <v>0.99989646508629559</v>
      </c>
      <c r="M217" s="1">
        <f t="shared" si="496"/>
        <v>0</v>
      </c>
      <c r="N217" s="1">
        <f t="shared" si="496"/>
        <v>1.4389548565905191E-2</v>
      </c>
      <c r="O217" s="1">
        <f t="shared" si="5"/>
        <v>1.4389548565905191E-2</v>
      </c>
      <c r="P217" s="1">
        <f t="shared" si="438"/>
        <v>-1.4388058745236175E-2</v>
      </c>
      <c r="Q217" s="1">
        <f t="shared" si="439"/>
        <v>0</v>
      </c>
      <c r="R217" s="1">
        <f t="shared" si="440"/>
        <v>0.99979294089206949</v>
      </c>
      <c r="S217" s="1">
        <f t="shared" si="441"/>
        <v>8.3163589027808769</v>
      </c>
      <c r="T217" s="1">
        <f t="shared" ref="T217:V217" si="497">$S217*P217</f>
        <v>-0.11965626043967911</v>
      </c>
      <c r="U217" s="1">
        <f t="shared" si="497"/>
        <v>0</v>
      </c>
      <c r="V217" s="1">
        <f t="shared" si="497"/>
        <v>8.314636924925237</v>
      </c>
      <c r="W217" s="1">
        <f t="shared" si="443"/>
        <v>-102.9692351699498</v>
      </c>
      <c r="X217" s="1">
        <f t="shared" si="444"/>
        <v>0</v>
      </c>
      <c r="Y217" s="1">
        <f t="shared" si="445"/>
        <v>-2.9721253290705469</v>
      </c>
    </row>
    <row r="218" spans="1:25">
      <c r="A218" s="1">
        <v>0.216</v>
      </c>
      <c r="B218" s="1">
        <f t="shared" si="446"/>
        <v>14.289041560977042</v>
      </c>
      <c r="C218" s="1">
        <f t="shared" si="447"/>
        <v>0</v>
      </c>
      <c r="D218" s="1">
        <f t="shared" si="448"/>
        <v>0.14808015808543787</v>
      </c>
      <c r="E218" s="1">
        <f t="shared" si="449"/>
        <v>50.165493792926114</v>
      </c>
      <c r="F218" s="1">
        <f t="shared" si="450"/>
        <v>0</v>
      </c>
      <c r="G218" s="1">
        <f t="shared" si="451"/>
        <v>0.72044326349698184</v>
      </c>
      <c r="H218" s="1">
        <f t="shared" si="0"/>
        <v>50.170666788313937</v>
      </c>
      <c r="I218" s="1">
        <f t="shared" si="434"/>
        <v>-102.42861536456444</v>
      </c>
      <c r="J218" s="1">
        <f t="shared" si="435"/>
        <v>0</v>
      </c>
      <c r="K218" s="1">
        <f t="shared" si="436"/>
        <v>-1.4710112539374558</v>
      </c>
      <c r="L218" s="1">
        <f t="shared" ref="L218:N218" si="498">E218/$H218</f>
        <v>0.9998968920343505</v>
      </c>
      <c r="M218" s="1">
        <f t="shared" si="498"/>
        <v>0</v>
      </c>
      <c r="N218" s="1">
        <f t="shared" si="498"/>
        <v>1.4359850279382613E-2</v>
      </c>
      <c r="O218" s="1">
        <f t="shared" si="5"/>
        <v>1.4359850279382613E-2</v>
      </c>
      <c r="P218" s="1">
        <f t="shared" si="438"/>
        <v>-1.4358369664433275E-2</v>
      </c>
      <c r="Q218" s="1">
        <f t="shared" si="439"/>
        <v>0</v>
      </c>
      <c r="R218" s="1">
        <f t="shared" si="440"/>
        <v>0.99979379469995366</v>
      </c>
      <c r="S218" s="1">
        <f t="shared" si="441"/>
        <v>8.2823164916414438</v>
      </c>
      <c r="T218" s="1">
        <f t="shared" ref="T218:V218" si="499">$S218*P218</f>
        <v>-0.11892056186481993</v>
      </c>
      <c r="U218" s="1">
        <f t="shared" si="499"/>
        <v>0</v>
      </c>
      <c r="V218" s="1">
        <f t="shared" si="499"/>
        <v>8.2806086340842064</v>
      </c>
      <c r="W218" s="1">
        <f t="shared" si="443"/>
        <v>-102.54753592642926</v>
      </c>
      <c r="X218" s="1">
        <f t="shared" si="444"/>
        <v>0</v>
      </c>
      <c r="Y218" s="1">
        <f t="shared" si="445"/>
        <v>-2.9970526198532488</v>
      </c>
    </row>
    <row r="219" spans="1:25">
      <c r="A219" s="1">
        <v>0.217</v>
      </c>
      <c r="B219" s="1">
        <f t="shared" si="446"/>
        <v>14.339104507234042</v>
      </c>
      <c r="C219" s="1">
        <f t="shared" si="447"/>
        <v>0</v>
      </c>
      <c r="D219" s="1">
        <f t="shared" si="448"/>
        <v>0.148797604296315</v>
      </c>
      <c r="E219" s="1">
        <f t="shared" si="449"/>
        <v>50.062946256999687</v>
      </c>
      <c r="F219" s="1">
        <f t="shared" si="450"/>
        <v>0</v>
      </c>
      <c r="G219" s="1">
        <f t="shared" si="451"/>
        <v>0.71744621087712857</v>
      </c>
      <c r="H219" s="1">
        <f t="shared" si="0"/>
        <v>50.068086811827961</v>
      </c>
      <c r="I219" s="1">
        <f t="shared" si="434"/>
        <v>-102.01023281064705</v>
      </c>
      <c r="J219" s="1">
        <f t="shared" si="435"/>
        <v>0</v>
      </c>
      <c r="K219" s="1">
        <f t="shared" si="436"/>
        <v>-1.4618966815293986</v>
      </c>
      <c r="L219" s="1">
        <f t="shared" ref="L219:N219" si="500">E219/$H219</f>
        <v>0.99989732871464432</v>
      </c>
      <c r="M219" s="1">
        <f t="shared" si="500"/>
        <v>0</v>
      </c>
      <c r="N219" s="1">
        <f t="shared" si="500"/>
        <v>1.4329411338873865E-2</v>
      </c>
      <c r="O219" s="1">
        <f t="shared" si="5"/>
        <v>1.4329411338873865E-2</v>
      </c>
      <c r="P219" s="1">
        <f t="shared" si="438"/>
        <v>-1.4327940119793313E-2</v>
      </c>
      <c r="Q219" s="1">
        <f t="shared" si="439"/>
        <v>0</v>
      </c>
      <c r="R219" s="1">
        <f t="shared" si="440"/>
        <v>0.99979466797068139</v>
      </c>
      <c r="S219" s="1">
        <f t="shared" si="441"/>
        <v>8.2484827265888541</v>
      </c>
      <c r="T219" s="1">
        <f t="shared" ref="T219:V219" si="501">$S219*P219</f>
        <v>-0.11818376658571458</v>
      </c>
      <c r="U219" s="1">
        <f t="shared" si="501"/>
        <v>0</v>
      </c>
      <c r="V219" s="1">
        <f t="shared" si="501"/>
        <v>8.2467890488918041</v>
      </c>
      <c r="W219" s="1">
        <f t="shared" si="443"/>
        <v>-102.12841657723277</v>
      </c>
      <c r="X219" s="1">
        <f t="shared" si="444"/>
        <v>0</v>
      </c>
      <c r="Y219" s="1">
        <f t="shared" si="445"/>
        <v>-3.0217576326375939</v>
      </c>
    </row>
    <row r="220" spans="1:25">
      <c r="A220" s="1">
        <v>0.218</v>
      </c>
      <c r="B220" s="1">
        <f t="shared" si="446"/>
        <v>14.389065325074464</v>
      </c>
      <c r="C220" s="1">
        <f t="shared" si="447"/>
        <v>0</v>
      </c>
      <c r="D220" s="1">
        <f t="shared" si="448"/>
        <v>0.14951202874955949</v>
      </c>
      <c r="E220" s="1">
        <f t="shared" si="449"/>
        <v>49.960817840422457</v>
      </c>
      <c r="F220" s="1">
        <f t="shared" si="450"/>
        <v>0</v>
      </c>
      <c r="G220" s="1">
        <f t="shared" si="451"/>
        <v>0.714424453244491</v>
      </c>
      <c r="H220" s="1">
        <f t="shared" si="0"/>
        <v>49.965925605188872</v>
      </c>
      <c r="I220" s="1">
        <f t="shared" si="434"/>
        <v>-101.59441021252012</v>
      </c>
      <c r="J220" s="1">
        <f t="shared" si="435"/>
        <v>0</v>
      </c>
      <c r="K220" s="1">
        <f t="shared" si="436"/>
        <v>-1.4527690719676674</v>
      </c>
      <c r="L220" s="1">
        <f t="shared" ref="L220:N220" si="502">E220/$H220</f>
        <v>0.99989777503959854</v>
      </c>
      <c r="M220" s="1">
        <f t="shared" si="502"/>
        <v>0</v>
      </c>
      <c r="N220" s="1">
        <f t="shared" si="502"/>
        <v>1.4298233137710538E-2</v>
      </c>
      <c r="O220" s="1">
        <f t="shared" si="5"/>
        <v>1.4298233137710538E-2</v>
      </c>
      <c r="P220" s="1">
        <f t="shared" si="438"/>
        <v>-1.4296771501394225E-2</v>
      </c>
      <c r="Q220" s="1">
        <f t="shared" si="439"/>
        <v>0</v>
      </c>
      <c r="R220" s="1">
        <f t="shared" si="440"/>
        <v>0.99979556052913965</v>
      </c>
      <c r="S220" s="1">
        <f t="shared" si="441"/>
        <v>8.214855908161967</v>
      </c>
      <c r="T220" s="1">
        <f t="shared" ref="T220:V220" si="503">$S220*P220</f>
        <v>-0.11744591783586998</v>
      </c>
      <c r="U220" s="1">
        <f t="shared" si="503"/>
        <v>0</v>
      </c>
      <c r="V220" s="1">
        <f t="shared" si="503"/>
        <v>8.2131764673669085</v>
      </c>
      <c r="W220" s="1">
        <f t="shared" si="443"/>
        <v>-101.71185613035598</v>
      </c>
      <c r="X220" s="1">
        <f t="shared" si="444"/>
        <v>0</v>
      </c>
      <c r="Y220" s="1">
        <f t="shared" si="445"/>
        <v>-3.0462426046007582</v>
      </c>
    </row>
    <row r="221" spans="1:25">
      <c r="A221" s="1">
        <v>0.219</v>
      </c>
      <c r="B221" s="1">
        <f t="shared" si="446"/>
        <v>14.438924431058755</v>
      </c>
      <c r="C221" s="1">
        <f t="shared" si="447"/>
        <v>0</v>
      </c>
      <c r="D221" s="1">
        <f t="shared" si="448"/>
        <v>0.15022340696019937</v>
      </c>
      <c r="E221" s="1">
        <f t="shared" si="449"/>
        <v>49.8591059842921</v>
      </c>
      <c r="F221" s="1">
        <f t="shared" si="450"/>
        <v>0</v>
      </c>
      <c r="G221" s="1">
        <f t="shared" si="451"/>
        <v>0.71137821063989026</v>
      </c>
      <c r="H221" s="1">
        <f t="shared" si="0"/>
        <v>49.864180616063926</v>
      </c>
      <c r="I221" s="1">
        <f t="shared" si="434"/>
        <v>-101.1811267488917</v>
      </c>
      <c r="J221" s="1">
        <f t="shared" si="435"/>
        <v>0</v>
      </c>
      <c r="K221" s="1">
        <f t="shared" si="436"/>
        <v>-1.4436289515466021</v>
      </c>
      <c r="L221" s="1">
        <f t="shared" ref="L221:N221" si="504">E221/$H221</f>
        <v>0.99989823092028929</v>
      </c>
      <c r="M221" s="1">
        <f t="shared" si="504"/>
        <v>0</v>
      </c>
      <c r="N221" s="1">
        <f t="shared" si="504"/>
        <v>1.4266317060682177E-2</v>
      </c>
      <c r="O221" s="1">
        <f t="shared" si="5"/>
        <v>1.4266317060682177E-2</v>
      </c>
      <c r="P221" s="1">
        <f t="shared" si="438"/>
        <v>-1.4264865190724049E-2</v>
      </c>
      <c r="Q221" s="1">
        <f t="shared" si="439"/>
        <v>0</v>
      </c>
      <c r="R221" s="1">
        <f t="shared" si="440"/>
        <v>0.9997964721975241</v>
      </c>
      <c r="S221" s="1">
        <f t="shared" si="441"/>
        <v>8.1814343541893759</v>
      </c>
      <c r="T221" s="1">
        <f t="shared" ref="T221:V221" si="505">$S221*P221</f>
        <v>-0.11670705812926992</v>
      </c>
      <c r="U221" s="1">
        <f t="shared" si="505"/>
        <v>0</v>
      </c>
      <c r="V221" s="1">
        <f t="shared" si="505"/>
        <v>8.1797692048341677</v>
      </c>
      <c r="W221" s="1">
        <f t="shared" si="443"/>
        <v>-101.29783380702096</v>
      </c>
      <c r="X221" s="1">
        <f t="shared" si="444"/>
        <v>0</v>
      </c>
      <c r="Y221" s="1">
        <f t="shared" si="445"/>
        <v>-3.0705097467124336</v>
      </c>
    </row>
    <row r="222" spans="1:25">
      <c r="A222" s="1">
        <v>0.22</v>
      </c>
      <c r="B222" s="1">
        <f t="shared" si="446"/>
        <v>14.48868223920924</v>
      </c>
      <c r="C222" s="1">
        <f t="shared" si="447"/>
        <v>0</v>
      </c>
      <c r="D222" s="1">
        <f t="shared" si="448"/>
        <v>0.15093171466109254</v>
      </c>
      <c r="E222" s="1">
        <f t="shared" si="449"/>
        <v>49.757808150485076</v>
      </c>
      <c r="F222" s="1">
        <f t="shared" si="450"/>
        <v>0</v>
      </c>
      <c r="G222" s="1">
        <f t="shared" si="451"/>
        <v>0.70830770089317785</v>
      </c>
      <c r="H222" s="1">
        <f t="shared" si="0"/>
        <v>49.76284931291238</v>
      </c>
      <c r="I222" s="1">
        <f t="shared" si="434"/>
        <v>-100.77036180980954</v>
      </c>
      <c r="J222" s="1">
        <f t="shared" si="435"/>
        <v>0</v>
      </c>
      <c r="K222" s="1">
        <f t="shared" si="436"/>
        <v>-1.434476837802271</v>
      </c>
      <c r="L222" s="1">
        <f t="shared" ref="L222:N222" si="506">E222/$H222</f>
        <v>0.99989869626645367</v>
      </c>
      <c r="M222" s="1">
        <f t="shared" si="506"/>
        <v>0</v>
      </c>
      <c r="N222" s="1">
        <f t="shared" si="506"/>
        <v>1.4233664484107171E-2</v>
      </c>
      <c r="O222" s="1">
        <f t="shared" si="5"/>
        <v>1.4233664484107171E-2</v>
      </c>
      <c r="P222" s="1">
        <f t="shared" si="438"/>
        <v>-1.4232222560752884E-2</v>
      </c>
      <c r="Q222" s="1">
        <f t="shared" si="439"/>
        <v>0</v>
      </c>
      <c r="R222" s="1">
        <f t="shared" si="440"/>
        <v>0.9997974027953539</v>
      </c>
      <c r="S222" s="1">
        <f t="shared" si="441"/>
        <v>8.148216399578688</v>
      </c>
      <c r="T222" s="1">
        <f t="shared" ref="T222:V222" si="507">$S222*P222</f>
        <v>-0.11596722927198044</v>
      </c>
      <c r="U222" s="1">
        <f t="shared" si="507"/>
        <v>0</v>
      </c>
      <c r="V222" s="1">
        <f t="shared" si="507"/>
        <v>8.1465655937132819</v>
      </c>
      <c r="W222" s="1">
        <f t="shared" si="443"/>
        <v>-100.88632903908152</v>
      </c>
      <c r="X222" s="1">
        <f t="shared" si="444"/>
        <v>0</v>
      </c>
      <c r="Y222" s="1">
        <f t="shared" si="445"/>
        <v>-3.0945612440889887</v>
      </c>
    </row>
    <row r="223" spans="1:25">
      <c r="A223" s="1">
        <v>0.221</v>
      </c>
      <c r="B223" s="1">
        <f t="shared" si="446"/>
        <v>14.538339161030686</v>
      </c>
      <c r="C223" s="1">
        <f t="shared" si="447"/>
        <v>0</v>
      </c>
      <c r="D223" s="1">
        <f t="shared" si="448"/>
        <v>0.15163692780074162</v>
      </c>
      <c r="E223" s="1">
        <f t="shared" si="449"/>
        <v>49.656921821445991</v>
      </c>
      <c r="F223" s="1">
        <f t="shared" si="450"/>
        <v>0</v>
      </c>
      <c r="G223" s="1">
        <f t="shared" si="451"/>
        <v>0.70521313964908883</v>
      </c>
      <c r="H223" s="1">
        <f t="shared" si="0"/>
        <v>49.661929184774252</v>
      </c>
      <c r="I223" s="1">
        <f t="shared" si="434"/>
        <v>-100.36209499409139</v>
      </c>
      <c r="J223" s="1">
        <f t="shared" si="435"/>
        <v>0</v>
      </c>
      <c r="K223" s="1">
        <f t="shared" si="436"/>
        <v>-1.4253132396534502</v>
      </c>
      <c r="L223" s="1">
        <f t="shared" ref="L223:N223" si="508">E223/$H223</f>
        <v>0.99989917098649894</v>
      </c>
      <c r="M223" s="1">
        <f t="shared" si="508"/>
        <v>0</v>
      </c>
      <c r="N223" s="1">
        <f t="shared" si="508"/>
        <v>1.4200276775902992E-2</v>
      </c>
      <c r="O223" s="1">
        <f t="shared" si="5"/>
        <v>1.4200276775902992E-2</v>
      </c>
      <c r="P223" s="1">
        <f t="shared" si="438"/>
        <v>-1.4198844976004236E-2</v>
      </c>
      <c r="Q223" s="1">
        <f t="shared" si="439"/>
        <v>0</v>
      </c>
      <c r="R223" s="1">
        <f t="shared" si="440"/>
        <v>0.99979835213948776</v>
      </c>
      <c r="S223" s="1">
        <f t="shared" si="441"/>
        <v>8.1152003961087544</v>
      </c>
      <c r="T223" s="1">
        <f t="shared" ref="T223:V223" si="509">$S223*P223</f>
        <v>-0.11522647237355638</v>
      </c>
      <c r="U223" s="1">
        <f t="shared" si="509"/>
        <v>0</v>
      </c>
      <c r="V223" s="1">
        <f t="shared" si="509"/>
        <v>8.1135639833112503</v>
      </c>
      <c r="W223" s="1">
        <f t="shared" si="443"/>
        <v>-100.47732146646494</v>
      </c>
      <c r="X223" s="1">
        <f t="shared" si="444"/>
        <v>0</v>
      </c>
      <c r="Y223" s="1">
        <f t="shared" si="445"/>
        <v>-3.1183992563421992</v>
      </c>
    </row>
    <row r="224" spans="1:25">
      <c r="A224" s="1">
        <v>0.222</v>
      </c>
      <c r="B224" s="1">
        <f t="shared" si="446"/>
        <v>14.587895605530665</v>
      </c>
      <c r="C224" s="1">
        <f t="shared" si="447"/>
        <v>0</v>
      </c>
      <c r="D224" s="1">
        <f t="shared" si="448"/>
        <v>0.15233902254113435</v>
      </c>
      <c r="E224" s="1">
        <f t="shared" si="449"/>
        <v>49.556444499979527</v>
      </c>
      <c r="F224" s="1">
        <f t="shared" si="450"/>
        <v>0</v>
      </c>
      <c r="G224" s="1">
        <f t="shared" si="451"/>
        <v>0.70209474039274666</v>
      </c>
      <c r="H224" s="1">
        <f t="shared" si="0"/>
        <v>49.561417741061831</v>
      </c>
      <c r="I224" s="1">
        <f t="shared" si="434"/>
        <v>-99.956306106791999</v>
      </c>
      <c r="J224" s="1">
        <f t="shared" si="435"/>
        <v>0</v>
      </c>
      <c r="K224" s="1">
        <f t="shared" si="436"/>
        <v>-1.4161386575401922</v>
      </c>
      <c r="L224" s="1">
        <f t="shared" ref="L224:N224" si="510">E224/$H224</f>
        <v>0.99989965498750888</v>
      </c>
      <c r="M224" s="1">
        <f t="shared" si="510"/>
        <v>0</v>
      </c>
      <c r="N224" s="1">
        <f t="shared" si="510"/>
        <v>1.4166155295655685E-2</v>
      </c>
      <c r="O224" s="1">
        <f t="shared" si="5"/>
        <v>1.4166155295655685E-2</v>
      </c>
      <c r="P224" s="1">
        <f t="shared" si="438"/>
        <v>-1.4164733792625592E-2</v>
      </c>
      <c r="Q224" s="1">
        <f t="shared" si="439"/>
        <v>0</v>
      </c>
      <c r="R224" s="1">
        <f t="shared" si="440"/>
        <v>0.99979932004413941</v>
      </c>
      <c r="S224" s="1">
        <f t="shared" si="441"/>
        <v>8.0823847122248971</v>
      </c>
      <c r="T224" s="1">
        <f t="shared" ref="T224:V224" si="511">$S224*P224</f>
        <v>-0.11448482785825248</v>
      </c>
      <c r="U224" s="1">
        <f t="shared" si="511"/>
        <v>0</v>
      </c>
      <c r="V224" s="1">
        <f t="shared" si="511"/>
        <v>8.0807627396175992</v>
      </c>
      <c r="W224" s="1">
        <f t="shared" si="443"/>
        <v>-100.07079093465025</v>
      </c>
      <c r="X224" s="1">
        <f t="shared" si="444"/>
        <v>0</v>
      </c>
      <c r="Y224" s="1">
        <f t="shared" si="445"/>
        <v>-3.1420259179225924</v>
      </c>
    </row>
    <row r="225" spans="1:25">
      <c r="A225" s="1">
        <v>0.223</v>
      </c>
      <c r="B225" s="1">
        <f t="shared" si="446"/>
        <v>14.63735197923971</v>
      </c>
      <c r="C225" s="1">
        <f t="shared" si="447"/>
        <v>0</v>
      </c>
      <c r="D225" s="1">
        <f t="shared" si="448"/>
        <v>0.15303797525560917</v>
      </c>
      <c r="E225" s="1">
        <f t="shared" si="449"/>
        <v>49.456373709044875</v>
      </c>
      <c r="F225" s="1">
        <f t="shared" si="450"/>
        <v>0</v>
      </c>
      <c r="G225" s="1">
        <f t="shared" si="451"/>
        <v>0.6989527144748241</v>
      </c>
      <c r="H225" s="1">
        <f t="shared" si="0"/>
        <v>49.461312511353526</v>
      </c>
      <c r="I225" s="1">
        <f t="shared" si="434"/>
        <v>-99.552975156705813</v>
      </c>
      <c r="J225" s="1">
        <f t="shared" si="435"/>
        <v>0</v>
      </c>
      <c r="K225" s="1">
        <f t="shared" si="436"/>
        <v>-1.4069535835600202</v>
      </c>
      <c r="L225" s="1">
        <f t="shared" ref="L225:N225" si="512">E225/$H225</f>
        <v>0.99990014817525275</v>
      </c>
      <c r="M225" s="1">
        <f t="shared" si="512"/>
        <v>0</v>
      </c>
      <c r="N225" s="1">
        <f t="shared" si="512"/>
        <v>1.4131301394688708E-2</v>
      </c>
      <c r="O225" s="1">
        <f t="shared" si="5"/>
        <v>1.4131301394688708E-2</v>
      </c>
      <c r="P225" s="1">
        <f t="shared" si="438"/>
        <v>-1.4129890358458394E-2</v>
      </c>
      <c r="Q225" s="1">
        <f t="shared" si="439"/>
        <v>0</v>
      </c>
      <c r="R225" s="1">
        <f t="shared" si="440"/>
        <v>0.99980030632089245</v>
      </c>
      <c r="S225" s="1">
        <f t="shared" si="441"/>
        <v>8.0497677328369583</v>
      </c>
      <c r="T225" s="1">
        <f t="shared" ref="T225:V225" si="513">$S225*P225</f>
        <v>-0.11374233547604243</v>
      </c>
      <c r="U225" s="1">
        <f t="shared" si="513"/>
        <v>0</v>
      </c>
      <c r="V225" s="1">
        <f t="shared" si="513"/>
        <v>8.0481602451024266</v>
      </c>
      <c r="W225" s="1">
        <f t="shared" si="443"/>
        <v>-99.66671749218186</v>
      </c>
      <c r="X225" s="1">
        <f t="shared" si="444"/>
        <v>0</v>
      </c>
      <c r="Y225" s="1">
        <f t="shared" si="445"/>
        <v>-3.1654433384575933</v>
      </c>
    </row>
    <row r="226" spans="1:25">
      <c r="A226" s="1">
        <v>0.224</v>
      </c>
      <c r="B226" s="1">
        <f t="shared" si="446"/>
        <v>14.686708686231263</v>
      </c>
      <c r="C226" s="1">
        <f t="shared" si="447"/>
        <v>0</v>
      </c>
      <c r="D226" s="1">
        <f t="shared" si="448"/>
        <v>0.15373376252674553</v>
      </c>
      <c r="E226" s="1">
        <f t="shared" si="449"/>
        <v>49.356706991552691</v>
      </c>
      <c r="F226" s="1">
        <f t="shared" si="450"/>
        <v>0</v>
      </c>
      <c r="G226" s="1">
        <f t="shared" si="451"/>
        <v>0.69578727113636651</v>
      </c>
      <c r="H226" s="1">
        <f t="shared" si="0"/>
        <v>49.361611045190386</v>
      </c>
      <c r="I226" s="1">
        <f t="shared" si="434"/>
        <v>-99.152082353904845</v>
      </c>
      <c r="J226" s="1">
        <f t="shared" si="435"/>
        <v>0</v>
      </c>
      <c r="K226" s="1">
        <f t="shared" si="436"/>
        <v>-1.397758501601799</v>
      </c>
      <c r="L226" s="1">
        <f t="shared" ref="L226:N226" si="514">E226/$H226</f>
        <v>0.99990065045419196</v>
      </c>
      <c r="M226" s="1">
        <f t="shared" si="514"/>
        <v>0</v>
      </c>
      <c r="N226" s="1">
        <f t="shared" si="514"/>
        <v>1.4095716416131063E-2</v>
      </c>
      <c r="O226" s="1">
        <f t="shared" si="5"/>
        <v>1.4095716416131063E-2</v>
      </c>
      <c r="P226" s="1">
        <f t="shared" si="438"/>
        <v>-1.4094316013107282E-2</v>
      </c>
      <c r="Q226" s="1">
        <f t="shared" si="439"/>
        <v>0</v>
      </c>
      <c r="R226" s="1">
        <f t="shared" si="440"/>
        <v>0.99980131077871603</v>
      </c>
      <c r="S226" s="1">
        <f t="shared" si="441"/>
        <v>8.0173478591202691</v>
      </c>
      <c r="T226" s="1">
        <f t="shared" ref="T226:V226" si="515">$S226*P226</f>
        <v>-0.11299903431345019</v>
      </c>
      <c r="U226" s="1">
        <f t="shared" si="515"/>
        <v>0</v>
      </c>
      <c r="V226" s="1">
        <f t="shared" si="515"/>
        <v>8.0157548985173772</v>
      </c>
      <c r="W226" s="1">
        <f t="shared" si="443"/>
        <v>-99.265081388218292</v>
      </c>
      <c r="X226" s="1">
        <f t="shared" si="444"/>
        <v>0</v>
      </c>
      <c r="Y226" s="1">
        <f t="shared" si="445"/>
        <v>-3.188653603084421</v>
      </c>
    </row>
    <row r="227" spans="1:25">
      <c r="A227" s="1">
        <v>0.22500000000000001</v>
      </c>
      <c r="B227" s="1">
        <f t="shared" si="446"/>
        <v>14.735966128141428</v>
      </c>
      <c r="C227" s="1">
        <f t="shared" si="447"/>
        <v>0</v>
      </c>
      <c r="D227" s="1">
        <f t="shared" si="448"/>
        <v>0.15442636114427882</v>
      </c>
      <c r="E227" s="1">
        <f t="shared" si="449"/>
        <v>49.257441910164474</v>
      </c>
      <c r="F227" s="1">
        <f t="shared" si="450"/>
        <v>0</v>
      </c>
      <c r="G227" s="1">
        <f t="shared" si="451"/>
        <v>0.69259861753328211</v>
      </c>
      <c r="H227" s="1">
        <f t="shared" si="0"/>
        <v>49.262310911874984</v>
      </c>
      <c r="I227" s="1">
        <f t="shared" si="434"/>
        <v>-98.753608107311393</v>
      </c>
      <c r="J227" s="1">
        <f t="shared" si="435"/>
        <v>0</v>
      </c>
      <c r="K227" s="1">
        <f t="shared" si="436"/>
        <v>-1.3885538874773249</v>
      </c>
      <c r="L227" s="1">
        <f t="shared" ref="L227:N227" si="516">E227/$H227</f>
        <v>0.99990116172748733</v>
      </c>
      <c r="M227" s="1">
        <f t="shared" si="516"/>
        <v>0</v>
      </c>
      <c r="N227" s="1">
        <f t="shared" si="516"/>
        <v>1.4059401694984775E-2</v>
      </c>
      <c r="O227" s="1">
        <f t="shared" si="5"/>
        <v>1.4059401694984775E-2</v>
      </c>
      <c r="P227" s="1">
        <f t="shared" si="438"/>
        <v>-1.4058012088008682E-2</v>
      </c>
      <c r="Q227" s="1">
        <f t="shared" si="439"/>
        <v>0</v>
      </c>
      <c r="R227" s="1">
        <f t="shared" si="440"/>
        <v>0.99980233322397905</v>
      </c>
      <c r="S227" s="1">
        <f t="shared" si="441"/>
        <v>7.9851235083193899</v>
      </c>
      <c r="T227" s="1">
        <f t="shared" ref="T227:V227" si="517">$S227*P227</f>
        <v>-0.11225496280419628</v>
      </c>
      <c r="U227" s="1">
        <f t="shared" si="517"/>
        <v>0</v>
      </c>
      <c r="V227" s="1">
        <f t="shared" si="517"/>
        <v>7.9835451146993712</v>
      </c>
      <c r="W227" s="1">
        <f t="shared" si="443"/>
        <v>-98.865863070115594</v>
      </c>
      <c r="X227" s="1">
        <f t="shared" si="444"/>
        <v>0</v>
      </c>
      <c r="Y227" s="1">
        <f t="shared" si="445"/>
        <v>-3.2116587727779535</v>
      </c>
    </row>
    <row r="228" spans="1:25">
      <c r="A228" s="1">
        <v>0.22600000000000001</v>
      </c>
      <c r="B228" s="1">
        <f t="shared" si="446"/>
        <v>14.785124704188522</v>
      </c>
      <c r="C228" s="1">
        <f t="shared" si="447"/>
        <v>0</v>
      </c>
      <c r="D228" s="1">
        <f t="shared" si="448"/>
        <v>0.15511574810303932</v>
      </c>
      <c r="E228" s="1">
        <f t="shared" si="449"/>
        <v>49.158576047094357</v>
      </c>
      <c r="F228" s="1">
        <f t="shared" si="450"/>
        <v>0</v>
      </c>
      <c r="G228" s="1">
        <f t="shared" si="451"/>
        <v>0.68938695876050415</v>
      </c>
      <c r="H228" s="1">
        <f t="shared" si="0"/>
        <v>49.163409700272702</v>
      </c>
      <c r="I228" s="1">
        <f t="shared" si="434"/>
        <v>-98.357533022304466</v>
      </c>
      <c r="J228" s="1">
        <f t="shared" si="435"/>
        <v>0</v>
      </c>
      <c r="K228" s="1">
        <f t="shared" si="436"/>
        <v>-1.3793402090506688</v>
      </c>
      <c r="L228" s="1">
        <f t="shared" ref="L228:N228" si="518">E228/$H228</f>
        <v>0.99990168189700812</v>
      </c>
      <c r="M228" s="1">
        <f t="shared" si="518"/>
        <v>0</v>
      </c>
      <c r="N228" s="1">
        <f t="shared" si="518"/>
        <v>1.4022358558191709E-2</v>
      </c>
      <c r="O228" s="1">
        <f t="shared" si="5"/>
        <v>1.4022358558191709E-2</v>
      </c>
      <c r="P228" s="1">
        <f t="shared" si="438"/>
        <v>-1.4020979906498796E-2</v>
      </c>
      <c r="Q228" s="1">
        <f t="shared" si="439"/>
        <v>0</v>
      </c>
      <c r="R228" s="1">
        <f t="shared" si="440"/>
        <v>0.99980337346046555</v>
      </c>
      <c r="S228" s="1">
        <f t="shared" si="441"/>
        <v>7.9530931135545853</v>
      </c>
      <c r="T228" s="1">
        <f t="shared" ref="T228:V228" si="519">$S228*P228</f>
        <v>-0.11151015873966279</v>
      </c>
      <c r="U228" s="1">
        <f t="shared" si="519"/>
        <v>0</v>
      </c>
      <c r="V228" s="1">
        <f t="shared" si="519"/>
        <v>7.9515293243770717</v>
      </c>
      <c r="W228" s="1">
        <f t="shared" si="443"/>
        <v>-98.469043181044128</v>
      </c>
      <c r="X228" s="1">
        <f t="shared" si="444"/>
        <v>0</v>
      </c>
      <c r="Y228" s="1">
        <f t="shared" si="445"/>
        <v>-3.2344608846735969</v>
      </c>
    </row>
    <row r="229" spans="1:25">
      <c r="A229" s="1">
        <v>0.22700000000000001</v>
      </c>
      <c r="B229" s="1">
        <f t="shared" si="446"/>
        <v>14.834184811192436</v>
      </c>
      <c r="C229" s="1">
        <f t="shared" si="447"/>
        <v>0</v>
      </c>
      <c r="D229" s="1">
        <f t="shared" si="448"/>
        <v>0.15580190060091514</v>
      </c>
      <c r="E229" s="1">
        <f t="shared" si="449"/>
        <v>49.060107003913316</v>
      </c>
      <c r="F229" s="1">
        <f t="shared" si="450"/>
        <v>0</v>
      </c>
      <c r="G229" s="1">
        <f t="shared" si="451"/>
        <v>0.68615249787583055</v>
      </c>
      <c r="H229" s="1">
        <f t="shared" si="0"/>
        <v>49.064905018615555</v>
      </c>
      <c r="I229" s="1">
        <f t="shared" si="434"/>
        <v>-97.963837898360239</v>
      </c>
      <c r="J229" s="1">
        <f t="shared" si="435"/>
        <v>0</v>
      </c>
      <c r="K229" s="1">
        <f t="shared" si="436"/>
        <v>-1.3701179263653283</v>
      </c>
      <c r="L229" s="1">
        <f t="shared" ref="L229:N229" si="520">E229/$H229</f>
        <v>0.99990221086333664</v>
      </c>
      <c r="M229" s="1">
        <f t="shared" si="520"/>
        <v>0</v>
      </c>
      <c r="N229" s="1">
        <f t="shared" si="520"/>
        <v>1.3984588324699695E-2</v>
      </c>
      <c r="O229" s="1">
        <f t="shared" si="5"/>
        <v>1.3984588324699695E-2</v>
      </c>
      <c r="P229" s="1">
        <f t="shared" si="438"/>
        <v>-1.3983220783880829E-2</v>
      </c>
      <c r="Q229" s="1">
        <f t="shared" si="439"/>
        <v>0</v>
      </c>
      <c r="R229" s="1">
        <f t="shared" si="440"/>
        <v>0.99980443128938867</v>
      </c>
      <c r="S229" s="1">
        <f t="shared" si="441"/>
        <v>7.9212551236310826</v>
      </c>
      <c r="T229" s="1">
        <f t="shared" ref="T229:V229" si="521">$S229*P229</f>
        <v>-0.11076465927918067</v>
      </c>
      <c r="U229" s="1">
        <f t="shared" si="521"/>
        <v>0</v>
      </c>
      <c r="V229" s="1">
        <f t="shared" si="521"/>
        <v>7.9197059739801308</v>
      </c>
      <c r="W229" s="1">
        <f t="shared" si="443"/>
        <v>-98.074602557639423</v>
      </c>
      <c r="X229" s="1">
        <f t="shared" si="444"/>
        <v>0</v>
      </c>
      <c r="Y229" s="1">
        <f t="shared" si="445"/>
        <v>-3.2570619523851967</v>
      </c>
    </row>
    <row r="230" spans="1:25">
      <c r="A230" s="1">
        <v>0.22800000000000001</v>
      </c>
      <c r="B230" s="1">
        <f t="shared" si="446"/>
        <v>14.883146843593792</v>
      </c>
      <c r="C230" s="1">
        <f t="shared" si="447"/>
        <v>0</v>
      </c>
      <c r="D230" s="1">
        <f t="shared" si="448"/>
        <v>0.1564847960368386</v>
      </c>
      <c r="E230" s="1">
        <f t="shared" si="449"/>
        <v>48.962032401355678</v>
      </c>
      <c r="F230" s="1">
        <f t="shared" si="450"/>
        <v>0</v>
      </c>
      <c r="G230" s="1">
        <f t="shared" si="451"/>
        <v>0.68289543592344537</v>
      </c>
      <c r="H230" s="1">
        <f t="shared" si="0"/>
        <v>48.966794494308168</v>
      </c>
      <c r="I230" s="1">
        <f t="shared" si="434"/>
        <v>-97.572503726725103</v>
      </c>
      <c r="J230" s="1">
        <f t="shared" si="435"/>
        <v>0</v>
      </c>
      <c r="K230" s="1">
        <f t="shared" si="436"/>
        <v>-1.3608874917692144</v>
      </c>
      <c r="L230" s="1">
        <f t="shared" ref="L230:N230" si="522">E230/$H230</f>
        <v>0.99990274852577821</v>
      </c>
      <c r="M230" s="1">
        <f t="shared" si="522"/>
        <v>0</v>
      </c>
      <c r="N230" s="1">
        <f t="shared" si="522"/>
        <v>1.394609230552807E-2</v>
      </c>
      <c r="O230" s="1">
        <f t="shared" si="5"/>
        <v>1.394609230552807E-2</v>
      </c>
      <c r="P230" s="1">
        <f t="shared" si="438"/>
        <v>-1.3944736027491723E-2</v>
      </c>
      <c r="Q230" s="1">
        <f t="shared" si="439"/>
        <v>0</v>
      </c>
      <c r="R230" s="1">
        <f t="shared" si="440"/>
        <v>0.99980550650940569</v>
      </c>
      <c r="S230" s="1">
        <f t="shared" si="441"/>
        <v>7.8896080028509132</v>
      </c>
      <c r="T230" s="1">
        <f t="shared" ref="T230:V230" si="523">$S230*P230</f>
        <v>-0.11001850096014215</v>
      </c>
      <c r="U230" s="1">
        <f t="shared" si="523"/>
        <v>0</v>
      </c>
      <c r="V230" s="1">
        <f t="shared" si="523"/>
        <v>7.8880735254510181</v>
      </c>
      <c r="W230" s="1">
        <f t="shared" si="443"/>
        <v>-97.68252222768524</v>
      </c>
      <c r="X230" s="1">
        <f t="shared" si="444"/>
        <v>0</v>
      </c>
      <c r="Y230" s="1">
        <f t="shared" si="445"/>
        <v>-3.2794639663181959</v>
      </c>
    </row>
    <row r="231" spans="1:25">
      <c r="A231" s="1">
        <v>0.22900000000000001</v>
      </c>
      <c r="B231" s="1">
        <f t="shared" si="446"/>
        <v>14.93201119347292</v>
      </c>
      <c r="C231" s="1">
        <f t="shared" si="447"/>
        <v>0</v>
      </c>
      <c r="D231" s="1">
        <f t="shared" si="448"/>
        <v>0.15716441200879572</v>
      </c>
      <c r="E231" s="1">
        <f t="shared" si="449"/>
        <v>48.864349879127992</v>
      </c>
      <c r="F231" s="1">
        <f t="shared" si="450"/>
        <v>0</v>
      </c>
      <c r="G231" s="1">
        <f t="shared" si="451"/>
        <v>0.6796159719571272</v>
      </c>
      <c r="H231" s="1">
        <f t="shared" si="0"/>
        <v>48.869075773736249</v>
      </c>
      <c r="I231" s="1">
        <f t="shared" si="434"/>
        <v>-97.183511688121413</v>
      </c>
      <c r="J231" s="1">
        <f t="shared" si="435"/>
        <v>0</v>
      </c>
      <c r="K231" s="1">
        <f t="shared" si="436"/>
        <v>-1.3516493500375231</v>
      </c>
      <c r="L231" s="1">
        <f t="shared" ref="L231:N231" si="524">E231/$H231</f>
        <v>0.99990329478236628</v>
      </c>
      <c r="M231" s="1">
        <f t="shared" si="524"/>
        <v>0</v>
      </c>
      <c r="N231" s="1">
        <f t="shared" si="524"/>
        <v>1.3906871803832514E-2</v>
      </c>
      <c r="O231" s="1">
        <f t="shared" si="5"/>
        <v>1.3906871803832514E-2</v>
      </c>
      <c r="P231" s="1">
        <f t="shared" si="438"/>
        <v>-1.3905526936768119E-2</v>
      </c>
      <c r="Q231" s="1">
        <f t="shared" si="439"/>
        <v>0</v>
      </c>
      <c r="R231" s="1">
        <f t="shared" si="440"/>
        <v>0.99980659891663182</v>
      </c>
      <c r="S231" s="1">
        <f t="shared" si="441"/>
        <v>7.858150230827448</v>
      </c>
      <c r="T231" s="1">
        <f t="shared" ref="T231:V231" si="525">$S231*P231</f>
        <v>-0.10927171970794169</v>
      </c>
      <c r="U231" s="1">
        <f t="shared" si="525"/>
        <v>0</v>
      </c>
      <c r="V231" s="1">
        <f t="shared" si="525"/>
        <v>7.8566304560595359</v>
      </c>
      <c r="W231" s="1">
        <f t="shared" si="443"/>
        <v>-97.292783407829361</v>
      </c>
      <c r="X231" s="1">
        <f t="shared" si="444"/>
        <v>0</v>
      </c>
      <c r="Y231" s="1">
        <f t="shared" si="445"/>
        <v>-3.3016688939779861</v>
      </c>
    </row>
    <row r="232" spans="1:25">
      <c r="A232" s="1">
        <v>0.23</v>
      </c>
      <c r="B232" s="1">
        <f t="shared" si="446"/>
        <v>14.98077825056864</v>
      </c>
      <c r="C232" s="1">
        <f t="shared" si="447"/>
        <v>0</v>
      </c>
      <c r="D232" s="1">
        <f t="shared" si="448"/>
        <v>0.15784072631185886</v>
      </c>
      <c r="E232" s="1">
        <f t="shared" si="449"/>
        <v>48.767057095720162</v>
      </c>
      <c r="F232" s="1">
        <f t="shared" si="450"/>
        <v>0</v>
      </c>
      <c r="G232" s="1">
        <f t="shared" si="451"/>
        <v>0.67631430306314921</v>
      </c>
      <c r="H232" s="1">
        <f t="shared" si="0"/>
        <v>48.771746522077287</v>
      </c>
      <c r="I232" s="1">
        <f t="shared" si="434"/>
        <v>-96.796843150485174</v>
      </c>
      <c r="J232" s="1">
        <f t="shared" si="435"/>
        <v>0</v>
      </c>
      <c r="K232" s="1">
        <f t="shared" si="436"/>
        <v>-1.3424039384935249</v>
      </c>
      <c r="L232" s="1">
        <f t="shared" ref="L232:N232" si="526">E232/$H232</f>
        <v>0.99990384952987066</v>
      </c>
      <c r="M232" s="1">
        <f t="shared" si="526"/>
        <v>0</v>
      </c>
      <c r="N232" s="1">
        <f t="shared" si="526"/>
        <v>1.386692811496929E-2</v>
      </c>
      <c r="O232" s="1">
        <f t="shared" si="5"/>
        <v>1.386692811496929E-2</v>
      </c>
      <c r="P232" s="1">
        <f t="shared" si="438"/>
        <v>-1.3865594803311785E-2</v>
      </c>
      <c r="Q232" s="1">
        <f t="shared" si="439"/>
        <v>0</v>
      </c>
      <c r="R232" s="1">
        <f t="shared" si="440"/>
        <v>0.99980770830465426</v>
      </c>
      <c r="S232" s="1">
        <f t="shared" si="441"/>
        <v>7.8268803023024915</v>
      </c>
      <c r="T232" s="1">
        <f t="shared" ref="T232:V232" si="527">$S232*P232</f>
        <v>-0.1085243508457488</v>
      </c>
      <c r="U232" s="1">
        <f t="shared" si="527"/>
        <v>0</v>
      </c>
      <c r="V232" s="1">
        <f t="shared" si="527"/>
        <v>7.8253752582198937</v>
      </c>
      <c r="W232" s="1">
        <f t="shared" si="443"/>
        <v>-96.905367501330929</v>
      </c>
      <c r="X232" s="1">
        <f t="shared" si="444"/>
        <v>0</v>
      </c>
      <c r="Y232" s="1">
        <f t="shared" si="445"/>
        <v>-3.3236786802736304</v>
      </c>
    </row>
    <row r="233" spans="1:25">
      <c r="A233" s="1">
        <v>0.23100000000000001</v>
      </c>
      <c r="B233" s="1">
        <f t="shared" si="446"/>
        <v>15.029448402296859</v>
      </c>
      <c r="C233" s="1">
        <f t="shared" si="447"/>
        <v>0</v>
      </c>
      <c r="D233" s="1">
        <f t="shared" si="448"/>
        <v>0.15851371693624172</v>
      </c>
      <c r="E233" s="1">
        <f t="shared" si="449"/>
        <v>48.670151728218833</v>
      </c>
      <c r="F233" s="1">
        <f t="shared" si="450"/>
        <v>0</v>
      </c>
      <c r="G233" s="1">
        <f t="shared" si="451"/>
        <v>0.6729906243828756</v>
      </c>
      <c r="H233" s="1">
        <f t="shared" si="0"/>
        <v>48.674804423113507</v>
      </c>
      <c r="I233" s="1">
        <f t="shared" si="434"/>
        <v>-96.412479666735223</v>
      </c>
      <c r="J233" s="1">
        <f t="shared" si="435"/>
        <v>0</v>
      </c>
      <c r="K233" s="1">
        <f t="shared" si="436"/>
        <v>-1.333151687127317</v>
      </c>
      <c r="L233" s="1">
        <f t="shared" ref="L233:N233" si="528">E233/$H233</f>
        <v>0.99990441266380381</v>
      </c>
      <c r="M233" s="1">
        <f t="shared" si="528"/>
        <v>0</v>
      </c>
      <c r="N233" s="1">
        <f t="shared" si="528"/>
        <v>1.3826262526558858E-2</v>
      </c>
      <c r="O233" s="1">
        <f t="shared" si="5"/>
        <v>1.3826262526558858E-2</v>
      </c>
      <c r="P233" s="1">
        <f t="shared" si="438"/>
        <v>-1.3824940910954394E-2</v>
      </c>
      <c r="Q233" s="1">
        <f t="shared" si="439"/>
        <v>0</v>
      </c>
      <c r="R233" s="1">
        <f t="shared" si="440"/>
        <v>0.99980883446454671</v>
      </c>
      <c r="S233" s="1">
        <f t="shared" si="441"/>
        <v>7.7957967269659294</v>
      </c>
      <c r="T233" s="1">
        <f t="shared" ref="T233:V233" si="529">$S233*P233</f>
        <v>-0.10777642910411564</v>
      </c>
      <c r="U233" s="1">
        <f t="shared" si="529"/>
        <v>0</v>
      </c>
      <c r="V233" s="1">
        <f t="shared" si="529"/>
        <v>7.7943064393103336</v>
      </c>
      <c r="W233" s="1">
        <f t="shared" si="443"/>
        <v>-96.520256095839343</v>
      </c>
      <c r="X233" s="1">
        <f t="shared" si="444"/>
        <v>0</v>
      </c>
      <c r="Y233" s="1">
        <f t="shared" si="445"/>
        <v>-3.3454952478169826</v>
      </c>
    </row>
    <row r="234" spans="1:25">
      <c r="A234" s="1">
        <v>0.23200000000000001</v>
      </c>
      <c r="B234" s="1">
        <f t="shared" si="446"/>
        <v>15.078022033768983</v>
      </c>
      <c r="C234" s="1">
        <f t="shared" si="447"/>
        <v>0</v>
      </c>
      <c r="D234" s="1">
        <f t="shared" si="448"/>
        <v>0.15918336206537678</v>
      </c>
      <c r="E234" s="1">
        <f t="shared" si="449"/>
        <v>48.573631472122997</v>
      </c>
      <c r="F234" s="1">
        <f t="shared" si="450"/>
        <v>0</v>
      </c>
      <c r="G234" s="1">
        <f t="shared" si="451"/>
        <v>0.66964512913505858</v>
      </c>
      <c r="H234" s="1">
        <f t="shared" si="0"/>
        <v>48.578247179047047</v>
      </c>
      <c r="I234" s="1">
        <f t="shared" si="434"/>
        <v>-96.030402972573143</v>
      </c>
      <c r="J234" s="1">
        <f t="shared" si="435"/>
        <v>0</v>
      </c>
      <c r="K234" s="1">
        <f t="shared" si="436"/>
        <v>-1.3238930187125628</v>
      </c>
      <c r="L234" s="1">
        <f t="shared" ref="L234:N234" si="530">E234/$H234</f>
        <v>0.99990498407842843</v>
      </c>
      <c r="M234" s="1">
        <f t="shared" si="530"/>
        <v>0</v>
      </c>
      <c r="N234" s="1">
        <f t="shared" si="530"/>
        <v>1.3784876318548859E-2</v>
      </c>
      <c r="O234" s="1">
        <f t="shared" si="5"/>
        <v>1.3784876318548859E-2</v>
      </c>
      <c r="P234" s="1">
        <f t="shared" si="438"/>
        <v>-1.3783566535821702E-2</v>
      </c>
      <c r="Q234" s="1">
        <f t="shared" si="439"/>
        <v>0</v>
      </c>
      <c r="R234" s="1">
        <f t="shared" si="440"/>
        <v>0.99980997718488229</v>
      </c>
      <c r="S234" s="1">
        <f t="shared" si="441"/>
        <v>7.7648980292778624</v>
      </c>
      <c r="T234" s="1">
        <f t="shared" ref="T234:V234" si="531">$S234*P234</f>
        <v>-0.10702798863042222</v>
      </c>
      <c r="U234" s="1">
        <f t="shared" si="531"/>
        <v>0</v>
      </c>
      <c r="V234" s="1">
        <f t="shared" si="531"/>
        <v>7.7634225214952375</v>
      </c>
      <c r="W234" s="1">
        <f t="shared" si="443"/>
        <v>-96.137430961203563</v>
      </c>
      <c r="X234" s="1">
        <f t="shared" si="444"/>
        <v>0</v>
      </c>
      <c r="Y234" s="1">
        <f t="shared" si="445"/>
        <v>-3.367120497217325</v>
      </c>
    </row>
    <row r="235" spans="1:25">
      <c r="A235" s="1">
        <v>0.23300000000000001</v>
      </c>
      <c r="B235" s="1">
        <f t="shared" si="446"/>
        <v>15.126499527810145</v>
      </c>
      <c r="C235" s="1">
        <f t="shared" si="447"/>
        <v>0</v>
      </c>
      <c r="D235" s="1">
        <f t="shared" si="448"/>
        <v>0.15984964007401462</v>
      </c>
      <c r="E235" s="1">
        <f t="shared" si="449"/>
        <v>48.477494041161791</v>
      </c>
      <c r="F235" s="1">
        <f t="shared" si="450"/>
        <v>0</v>
      </c>
      <c r="G235" s="1">
        <f t="shared" si="451"/>
        <v>0.66627800863784126</v>
      </c>
      <c r="H235" s="1">
        <f t="shared" si="0"/>
        <v>48.482072510317373</v>
      </c>
      <c r="I235" s="1">
        <f t="shared" si="434"/>
        <v>-95.650594984313969</v>
      </c>
      <c r="J235" s="1">
        <f t="shared" si="435"/>
        <v>0</v>
      </c>
      <c r="K235" s="1">
        <f t="shared" si="436"/>
        <v>-1.3146283489212733</v>
      </c>
      <c r="L235" s="1">
        <f t="shared" ref="L235:N235" si="532">E235/$H235</f>
        <v>0.99990556366676342</v>
      </c>
      <c r="M235" s="1">
        <f t="shared" si="532"/>
        <v>0</v>
      </c>
      <c r="N235" s="1">
        <f t="shared" si="532"/>
        <v>1.3742770763276508E-2</v>
      </c>
      <c r="O235" s="1">
        <f t="shared" si="5"/>
        <v>1.3742770763276508E-2</v>
      </c>
      <c r="P235" s="1">
        <f t="shared" si="438"/>
        <v>-1.3741472946397113E-2</v>
      </c>
      <c r="Q235" s="1">
        <f t="shared" si="439"/>
        <v>0</v>
      </c>
      <c r="R235" s="1">
        <f t="shared" si="440"/>
        <v>0.999811136251748</v>
      </c>
      <c r="S235" s="1">
        <f t="shared" si="441"/>
        <v>7.7341827482932253</v>
      </c>
      <c r="T235" s="1">
        <f t="shared" ref="T235:V235" si="533">$S235*P235</f>
        <v>-0.10627906299816263</v>
      </c>
      <c r="U235" s="1">
        <f t="shared" si="533"/>
        <v>0</v>
      </c>
      <c r="V235" s="1">
        <f t="shared" si="533"/>
        <v>7.7327220415497164</v>
      </c>
      <c r="W235" s="1">
        <f t="shared" si="443"/>
        <v>-95.756874047312138</v>
      </c>
      <c r="X235" s="1">
        <f t="shared" si="444"/>
        <v>0</v>
      </c>
      <c r="Y235" s="1">
        <f t="shared" si="445"/>
        <v>-3.3885563073715561</v>
      </c>
    </row>
    <row r="236" spans="1:25">
      <c r="A236" s="1">
        <v>0.23400000000000001</v>
      </c>
      <c r="B236" s="1">
        <f t="shared" si="446"/>
        <v>15.174881264977259</v>
      </c>
      <c r="C236" s="1">
        <f t="shared" si="447"/>
        <v>0</v>
      </c>
      <c r="D236" s="1">
        <f t="shared" si="448"/>
        <v>0.16051252952634509</v>
      </c>
      <c r="E236" s="1">
        <f t="shared" si="449"/>
        <v>48.38173716711448</v>
      </c>
      <c r="F236" s="1">
        <f t="shared" si="450"/>
        <v>0</v>
      </c>
      <c r="G236" s="1">
        <f t="shared" si="451"/>
        <v>0.6628894523304697</v>
      </c>
      <c r="H236" s="1">
        <f t="shared" si="0"/>
        <v>48.386278155420861</v>
      </c>
      <c r="I236" s="1">
        <f t="shared" si="434"/>
        <v>-95.273037796746735</v>
      </c>
      <c r="J236" s="1">
        <f t="shared" si="435"/>
        <v>0</v>
      </c>
      <c r="K236" s="1">
        <f t="shared" si="436"/>
        <v>-1.3053580864366516</v>
      </c>
      <c r="L236" s="1">
        <f t="shared" ref="L236:N236" si="534">E236/$H236</f>
        <v>0.99990615132059146</v>
      </c>
      <c r="M236" s="1">
        <f t="shared" si="534"/>
        <v>0</v>
      </c>
      <c r="N236" s="1">
        <f t="shared" si="534"/>
        <v>1.3699947125530344E-2</v>
      </c>
      <c r="O236" s="1">
        <f t="shared" si="5"/>
        <v>1.3699947125530344E-2</v>
      </c>
      <c r="P236" s="1">
        <f t="shared" si="438"/>
        <v>-1.3698661403584646E-2</v>
      </c>
      <c r="Q236" s="1">
        <f t="shared" si="439"/>
        <v>0</v>
      </c>
      <c r="R236" s="1">
        <f t="shared" si="440"/>
        <v>0.99981231144875771</v>
      </c>
      <c r="S236" s="1">
        <f t="shared" si="441"/>
        <v>7.7036494374888367</v>
      </c>
      <c r="T236" s="1">
        <f t="shared" ref="T236:V236" si="535">$S236*P236</f>
        <v>-0.10552968521607489</v>
      </c>
      <c r="U236" s="1">
        <f t="shared" si="535"/>
        <v>0</v>
      </c>
      <c r="V236" s="1">
        <f t="shared" si="535"/>
        <v>7.7022035506866358</v>
      </c>
      <c r="W236" s="1">
        <f t="shared" si="443"/>
        <v>-95.378567481962804</v>
      </c>
      <c r="X236" s="1">
        <f t="shared" si="444"/>
        <v>0</v>
      </c>
      <c r="Y236" s="1">
        <f t="shared" si="445"/>
        <v>-3.4098045357500153</v>
      </c>
    </row>
    <row r="237" spans="1:25">
      <c r="A237" s="1">
        <v>0.23499999999999999</v>
      </c>
      <c r="B237" s="1">
        <f t="shared" si="446"/>
        <v>15.223167623576892</v>
      </c>
      <c r="C237" s="1">
        <f t="shared" si="447"/>
        <v>0</v>
      </c>
      <c r="D237" s="1">
        <f t="shared" si="448"/>
        <v>0.16117200917413982</v>
      </c>
      <c r="E237" s="1">
        <f t="shared" si="449"/>
        <v>48.286358599632514</v>
      </c>
      <c r="F237" s="1">
        <f t="shared" si="450"/>
        <v>0</v>
      </c>
      <c r="G237" s="1">
        <f t="shared" si="451"/>
        <v>0.65947964779471968</v>
      </c>
      <c r="H237" s="1">
        <f t="shared" si="0"/>
        <v>48.290861870732442</v>
      </c>
      <c r="I237" s="1">
        <f t="shared" si="434"/>
        <v>-94.897713681024413</v>
      </c>
      <c r="J237" s="1">
        <f t="shared" si="435"/>
        <v>0</v>
      </c>
      <c r="K237" s="1">
        <f t="shared" si="436"/>
        <v>-1.2960826330640394</v>
      </c>
      <c r="L237" s="1">
        <f t="shared" ref="L237:N237" si="536">E237/$H237</f>
        <v>0.99990674693046522</v>
      </c>
      <c r="M237" s="1">
        <f t="shared" si="536"/>
        <v>0</v>
      </c>
      <c r="N237" s="1">
        <f t="shared" si="536"/>
        <v>1.3656406662611448E-2</v>
      </c>
      <c r="O237" s="1">
        <f t="shared" si="5"/>
        <v>1.3656406662611448E-2</v>
      </c>
      <c r="P237" s="1">
        <f t="shared" si="438"/>
        <v>-1.3655133160771344E-2</v>
      </c>
      <c r="Q237" s="1">
        <f t="shared" si="439"/>
        <v>0</v>
      </c>
      <c r="R237" s="1">
        <f t="shared" si="440"/>
        <v>0.99981350255706536</v>
      </c>
      <c r="S237" s="1">
        <f t="shared" si="441"/>
        <v>7.6732966645928036</v>
      </c>
      <c r="T237" s="1">
        <f t="shared" ref="T237:V237" si="537">$S237*P237</f>
        <v>-0.10477988773711734</v>
      </c>
      <c r="U237" s="1">
        <f t="shared" si="537"/>
        <v>0</v>
      </c>
      <c r="V237" s="1">
        <f t="shared" si="537"/>
        <v>7.671865614385978</v>
      </c>
      <c r="W237" s="1">
        <f t="shared" si="443"/>
        <v>-95.002493568761537</v>
      </c>
      <c r="X237" s="1">
        <f t="shared" si="444"/>
        <v>0</v>
      </c>
      <c r="Y237" s="1">
        <f t="shared" si="445"/>
        <v>-3.430867018678061</v>
      </c>
    </row>
    <row r="238" spans="1:25">
      <c r="A238" s="1">
        <v>0.23599999999999999</v>
      </c>
      <c r="B238" s="1">
        <f t="shared" si="446"/>
        <v>15.271358979682955</v>
      </c>
      <c r="C238" s="1">
        <f t="shared" si="447"/>
        <v>0</v>
      </c>
      <c r="D238" s="1">
        <f t="shared" si="448"/>
        <v>0.16182805795491587</v>
      </c>
      <c r="E238" s="1">
        <f t="shared" si="449"/>
        <v>48.191356106063751</v>
      </c>
      <c r="F238" s="1">
        <f t="shared" si="450"/>
        <v>0</v>
      </c>
      <c r="G238" s="1">
        <f t="shared" si="451"/>
        <v>0.65604878077604167</v>
      </c>
      <c r="H238" s="1">
        <f t="shared" si="0"/>
        <v>48.195821430329474</v>
      </c>
      <c r="I238" s="1">
        <f t="shared" si="434"/>
        <v>-94.524605082583165</v>
      </c>
      <c r="J238" s="1">
        <f t="shared" si="435"/>
        <v>0</v>
      </c>
      <c r="K238" s="1">
        <f t="shared" si="436"/>
        <v>-1.2868023838400071</v>
      </c>
      <c r="L238" s="1">
        <f t="shared" ref="L238:N238" si="538">E238/$H238</f>
        <v>0.99990735038571388</v>
      </c>
      <c r="M238" s="1">
        <f t="shared" si="538"/>
        <v>0</v>
      </c>
      <c r="N238" s="1">
        <f t="shared" si="538"/>
        <v>1.3612150624394012E-2</v>
      </c>
      <c r="O238" s="1">
        <f t="shared" si="5"/>
        <v>1.3612150624394012E-2</v>
      </c>
      <c r="P238" s="1">
        <f t="shared" si="438"/>
        <v>-1.3610889463889057E-2</v>
      </c>
      <c r="Q238" s="1">
        <f t="shared" si="439"/>
        <v>0</v>
      </c>
      <c r="R238" s="1">
        <f t="shared" si="440"/>
        <v>0.99981470935537886</v>
      </c>
      <c r="S238" s="1">
        <f t="shared" si="441"/>
        <v>7.6431230114163107</v>
      </c>
      <c r="T238" s="1">
        <f t="shared" ref="T238:V238" si="539">$S238*P238</f>
        <v>-0.10402970246729426</v>
      </c>
      <c r="U238" s="1">
        <f t="shared" si="539"/>
        <v>0</v>
      </c>
      <c r="V238" s="1">
        <f t="shared" si="539"/>
        <v>7.641706812226607</v>
      </c>
      <c r="W238" s="1">
        <f t="shared" si="443"/>
        <v>-94.628634785050465</v>
      </c>
      <c r="X238" s="1">
        <f t="shared" si="444"/>
        <v>0</v>
      </c>
      <c r="Y238" s="1">
        <f t="shared" si="445"/>
        <v>-3.4517455716133991</v>
      </c>
    </row>
    <row r="239" spans="1:25">
      <c r="A239" s="1">
        <v>0.23699999999999999</v>
      </c>
      <c r="B239" s="1">
        <f t="shared" si="446"/>
        <v>15.319455707154233</v>
      </c>
      <c r="C239" s="1">
        <f t="shared" si="447"/>
        <v>0</v>
      </c>
      <c r="D239" s="1">
        <f t="shared" si="448"/>
        <v>0.16248065499012029</v>
      </c>
      <c r="E239" s="1">
        <f t="shared" si="449"/>
        <v>48.096727471278697</v>
      </c>
      <c r="F239" s="1">
        <f t="shared" si="450"/>
        <v>0</v>
      </c>
      <c r="G239" s="1">
        <f t="shared" si="451"/>
        <v>0.65259703520442824</v>
      </c>
      <c r="H239" s="1">
        <f t="shared" si="0"/>
        <v>48.101154625817585</v>
      </c>
      <c r="I239" s="1">
        <f t="shared" si="434"/>
        <v>-94.153694619089904</v>
      </c>
      <c r="J239" s="1">
        <f t="shared" si="435"/>
        <v>0</v>
      </c>
      <c r="K239" s="1">
        <f t="shared" si="436"/>
        <v>-1.2775177271396099</v>
      </c>
      <c r="L239" s="1">
        <f t="shared" ref="L239:N239" si="540">E239/$H239</f>
        <v>0.99990796157445017</v>
      </c>
      <c r="M239" s="1">
        <f t="shared" si="540"/>
        <v>0</v>
      </c>
      <c r="N239" s="1">
        <f t="shared" si="540"/>
        <v>1.3567180253385361E-2</v>
      </c>
      <c r="O239" s="1">
        <f t="shared" si="5"/>
        <v>1.3567180253385361E-2</v>
      </c>
      <c r="P239" s="1">
        <f t="shared" si="438"/>
        <v>-1.356593155147569E-2</v>
      </c>
      <c r="Q239" s="1">
        <f t="shared" si="439"/>
        <v>0</v>
      </c>
      <c r="R239" s="1">
        <f t="shared" si="440"/>
        <v>0.99981593161997218</v>
      </c>
      <c r="S239" s="1">
        <f t="shared" si="441"/>
        <v>7.6131270736877052</v>
      </c>
      <c r="T239" s="1">
        <f t="shared" ref="T239:V239" si="541">$S239*P239</f>
        <v>-0.10327916077433383</v>
      </c>
      <c r="U239" s="1">
        <f t="shared" si="541"/>
        <v>0</v>
      </c>
      <c r="V239" s="1">
        <f t="shared" si="541"/>
        <v>7.6117257377203051</v>
      </c>
      <c r="W239" s="1">
        <f t="shared" si="443"/>
        <v>-94.256973779864239</v>
      </c>
      <c r="X239" s="1">
        <f t="shared" si="444"/>
        <v>0</v>
      </c>
      <c r="Y239" s="1">
        <f t="shared" si="445"/>
        <v>-3.4724419894193037</v>
      </c>
    </row>
    <row r="240" spans="1:25">
      <c r="A240" s="1">
        <v>0.23799999999999999</v>
      </c>
      <c r="B240" s="1">
        <f t="shared" si="446"/>
        <v>15.367458177651732</v>
      </c>
      <c r="C240" s="1">
        <f t="shared" si="447"/>
        <v>0</v>
      </c>
      <c r="D240" s="1">
        <f t="shared" si="448"/>
        <v>0.1631297795833353</v>
      </c>
      <c r="E240" s="1">
        <f t="shared" si="449"/>
        <v>48.002470497498834</v>
      </c>
      <c r="F240" s="1">
        <f t="shared" si="450"/>
        <v>0</v>
      </c>
      <c r="G240" s="1">
        <f t="shared" si="451"/>
        <v>0.64912459321500893</v>
      </c>
      <c r="H240" s="1">
        <f t="shared" si="0"/>
        <v>48.006859266158649</v>
      </c>
      <c r="I240" s="1">
        <f t="shared" si="434"/>
        <v>-93.784965078418281</v>
      </c>
      <c r="J240" s="1">
        <f t="shared" si="435"/>
        <v>0</v>
      </c>
      <c r="K240" s="1">
        <f t="shared" si="436"/>
        <v>-1.2682290447818543</v>
      </c>
      <c r="L240" s="1">
        <f t="shared" ref="L240:N240" si="542">E240/$H240</f>
        <v>0.99990858038357633</v>
      </c>
      <c r="M240" s="1">
        <f t="shared" si="542"/>
        <v>0</v>
      </c>
      <c r="N240" s="1">
        <f t="shared" si="542"/>
        <v>1.352149678478539E-2</v>
      </c>
      <c r="O240" s="1">
        <f t="shared" si="5"/>
        <v>1.352149678478539E-2</v>
      </c>
      <c r="P240" s="1">
        <f t="shared" si="438"/>
        <v>-1.3520260654735852E-2</v>
      </c>
      <c r="Q240" s="1">
        <f t="shared" si="439"/>
        <v>0</v>
      </c>
      <c r="R240" s="1">
        <f t="shared" si="440"/>
        <v>0.99981716912469909</v>
      </c>
      <c r="S240" s="1">
        <f t="shared" si="441"/>
        <v>7.5833074608888591</v>
      </c>
      <c r="T240" s="1">
        <f t="shared" ref="T240:V240" si="543">$S240*P240</f>
        <v>-0.10252829349622047</v>
      </c>
      <c r="U240" s="1">
        <f t="shared" si="543"/>
        <v>0</v>
      </c>
      <c r="V240" s="1">
        <f t="shared" si="543"/>
        <v>7.5819209981481093</v>
      </c>
      <c r="W240" s="1">
        <f t="shared" si="443"/>
        <v>-93.887493371914502</v>
      </c>
      <c r="X240" s="1">
        <f t="shared" si="444"/>
        <v>0</v>
      </c>
      <c r="Y240" s="1">
        <f t="shared" si="445"/>
        <v>-3.4929580466337447</v>
      </c>
    </row>
    <row r="241" spans="1:25">
      <c r="A241" s="1">
        <v>0.23899999999999999</v>
      </c>
      <c r="B241" s="1">
        <f t="shared" si="446"/>
        <v>15.415366760655859</v>
      </c>
      <c r="C241" s="1">
        <f t="shared" si="447"/>
        <v>0</v>
      </c>
      <c r="D241" s="1">
        <f t="shared" si="448"/>
        <v>0.16377541121850367</v>
      </c>
      <c r="E241" s="1">
        <f t="shared" si="449"/>
        <v>47.908583004126918</v>
      </c>
      <c r="F241" s="1">
        <f t="shared" si="450"/>
        <v>0</v>
      </c>
      <c r="G241" s="1">
        <f t="shared" si="451"/>
        <v>0.64563163516837518</v>
      </c>
      <c r="H241" s="1">
        <f t="shared" si="0"/>
        <v>47.912933177500712</v>
      </c>
      <c r="I241" s="1">
        <f t="shared" si="434"/>
        <v>-93.418399416652065</v>
      </c>
      <c r="J241" s="1">
        <f t="shared" si="435"/>
        <v>0</v>
      </c>
      <c r="K241" s="1">
        <f t="shared" si="436"/>
        <v>-1.2589367121333965</v>
      </c>
      <c r="L241" s="1">
        <f t="shared" ref="L241:N241" si="544">E241/$H241</f>
        <v>0.99990920669879091</v>
      </c>
      <c r="M241" s="1">
        <f t="shared" si="544"/>
        <v>0</v>
      </c>
      <c r="N241" s="1">
        <f t="shared" si="544"/>
        <v>1.3475101446545448E-2</v>
      </c>
      <c r="O241" s="1">
        <f t="shared" si="5"/>
        <v>1.3475101446545448E-2</v>
      </c>
      <c r="P241" s="1">
        <f t="shared" si="438"/>
        <v>-1.3473877997600988E-2</v>
      </c>
      <c r="Q241" s="1">
        <f t="shared" si="439"/>
        <v>0</v>
      </c>
      <c r="R241" s="1">
        <f t="shared" si="440"/>
        <v>0.99981842164100532</v>
      </c>
      <c r="S241" s="1">
        <f t="shared" si="441"/>
        <v>7.5536627960937723</v>
      </c>
      <c r="T241" s="1">
        <f t="shared" ref="T241:V241" si="545">$S241*P241</f>
        <v>-0.10177713094958504</v>
      </c>
      <c r="U241" s="1">
        <f t="shared" si="545"/>
        <v>0</v>
      </c>
      <c r="V241" s="1">
        <f t="shared" si="545"/>
        <v>7.5522912143988581</v>
      </c>
      <c r="W241" s="1">
        <f t="shared" si="443"/>
        <v>-93.52017654760165</v>
      </c>
      <c r="X241" s="1">
        <f t="shared" si="444"/>
        <v>0</v>
      </c>
      <c r="Y241" s="1">
        <f t="shared" si="445"/>
        <v>-3.5132954977345374</v>
      </c>
    </row>
    <row r="242" spans="1:25">
      <c r="A242" s="1">
        <v>0.24</v>
      </c>
      <c r="B242" s="1">
        <f t="shared" si="446"/>
        <v>15.463181823483438</v>
      </c>
      <c r="C242" s="1">
        <f t="shared" si="447"/>
        <v>0</v>
      </c>
      <c r="D242" s="1">
        <f t="shared" si="448"/>
        <v>0.16441752955817432</v>
      </c>
      <c r="E242" s="1">
        <f t="shared" si="449"/>
        <v>47.815062827579318</v>
      </c>
      <c r="F242" s="1">
        <f t="shared" si="450"/>
        <v>0</v>
      </c>
      <c r="G242" s="1">
        <f t="shared" si="451"/>
        <v>0.64211833967064069</v>
      </c>
      <c r="H242" s="1">
        <f t="shared" si="0"/>
        <v>47.819374203010007</v>
      </c>
      <c r="I242" s="1">
        <f t="shared" si="434"/>
        <v>-93.053980756116204</v>
      </c>
      <c r="J242" s="1">
        <f t="shared" si="435"/>
        <v>0</v>
      </c>
      <c r="K242" s="1">
        <f t="shared" si="436"/>
        <v>-1.2496410982105168</v>
      </c>
      <c r="L242" s="1">
        <f t="shared" ref="L242:N242" si="546">E242/$H242</f>
        <v>0.99990984040459452</v>
      </c>
      <c r="M242" s="1">
        <f t="shared" si="546"/>
        <v>0</v>
      </c>
      <c r="N242" s="1">
        <f t="shared" si="546"/>
        <v>1.3427995459426618E-2</v>
      </c>
      <c r="O242" s="1">
        <f t="shared" si="5"/>
        <v>1.3427995459426618E-2</v>
      </c>
      <c r="P242" s="1">
        <f t="shared" si="438"/>
        <v>-1.3426784796788889E-2</v>
      </c>
      <c r="Q242" s="1">
        <f t="shared" si="439"/>
        <v>0</v>
      </c>
      <c r="R242" s="1">
        <f t="shared" si="440"/>
        <v>0.9998196889379416</v>
      </c>
      <c r="S242" s="1">
        <f t="shared" si="441"/>
        <v>7.5241917158093941</v>
      </c>
      <c r="T242" s="1">
        <f t="shared" ref="T242:V242" si="547">$S242*P242</f>
        <v>-0.10102570293795447</v>
      </c>
      <c r="U242" s="1">
        <f t="shared" si="547"/>
        <v>0</v>
      </c>
      <c r="V242" s="1">
        <f t="shared" si="547"/>
        <v>7.5228350208099855</v>
      </c>
      <c r="W242" s="1">
        <f t="shared" si="443"/>
        <v>-93.155006459054164</v>
      </c>
      <c r="X242" s="1">
        <f t="shared" si="444"/>
        <v>0</v>
      </c>
      <c r="Y242" s="1">
        <f t="shared" si="445"/>
        <v>-3.5334560774005306</v>
      </c>
    </row>
    <row r="243" spans="1:25">
      <c r="A243" s="1">
        <v>0.24099999999999999</v>
      </c>
      <c r="B243" s="1">
        <f t="shared" si="446"/>
        <v>15.510903731304559</v>
      </c>
      <c r="C243" s="1">
        <f t="shared" si="447"/>
        <v>0</v>
      </c>
      <c r="D243" s="1">
        <f t="shared" si="448"/>
        <v>0.16505611444176757</v>
      </c>
      <c r="E243" s="1">
        <f t="shared" si="449"/>
        <v>47.721907821120261</v>
      </c>
      <c r="F243" s="1">
        <f t="shared" si="450"/>
        <v>0</v>
      </c>
      <c r="G243" s="1">
        <f t="shared" si="451"/>
        <v>0.63858488359324017</v>
      </c>
      <c r="H243" s="1">
        <f t="shared" si="0"/>
        <v>47.726180202704818</v>
      </c>
      <c r="I243" s="1">
        <f t="shared" si="434"/>
        <v>-92.691692383434201</v>
      </c>
      <c r="J243" s="1">
        <f t="shared" si="435"/>
        <v>0</v>
      </c>
      <c r="K243" s="1">
        <f t="shared" si="436"/>
        <v>-1.2403425657793881</v>
      </c>
      <c r="L243" s="1">
        <f t="shared" ref="L243:N243" si="548">E243/$H243</f>
        <v>0.99991048138429661</v>
      </c>
      <c r="M243" s="1">
        <f t="shared" si="548"/>
        <v>0</v>
      </c>
      <c r="N243" s="1">
        <f t="shared" si="548"/>
        <v>1.3380180037057507E-2</v>
      </c>
      <c r="O243" s="1">
        <f t="shared" si="5"/>
        <v>1.3380180037057507E-2</v>
      </c>
      <c r="P243" s="1">
        <f t="shared" si="438"/>
        <v>-1.3378982261862727E-2</v>
      </c>
      <c r="Q243" s="1">
        <f t="shared" si="439"/>
        <v>0</v>
      </c>
      <c r="R243" s="1">
        <f t="shared" si="440"/>
        <v>0.99982097078217591</v>
      </c>
      <c r="S243" s="1">
        <f t="shared" si="441"/>
        <v>7.4948928698185933</v>
      </c>
      <c r="T243" s="1">
        <f t="shared" ref="T243:V243" si="549">$S243*P243</f>
        <v>-0.10027403875986439</v>
      </c>
      <c r="U243" s="1">
        <f t="shared" si="549"/>
        <v>0</v>
      </c>
      <c r="V243" s="1">
        <f t="shared" si="549"/>
        <v>7.4935510650104344</v>
      </c>
      <c r="W243" s="1">
        <f t="shared" si="443"/>
        <v>-92.791966422194065</v>
      </c>
      <c r="X243" s="1">
        <f t="shared" si="444"/>
        <v>0</v>
      </c>
      <c r="Y243" s="1">
        <f t="shared" si="445"/>
        <v>-3.5534415007689528</v>
      </c>
    </row>
    <row r="244" spans="1:25">
      <c r="A244" s="1">
        <v>0.24199999999999999</v>
      </c>
      <c r="B244" s="1">
        <f t="shared" si="446"/>
        <v>15.558532847159258</v>
      </c>
      <c r="C244" s="1">
        <f t="shared" si="447"/>
        <v>0</v>
      </c>
      <c r="D244" s="1">
        <f t="shared" si="448"/>
        <v>0.16569114588386005</v>
      </c>
      <c r="E244" s="1">
        <f t="shared" si="449"/>
        <v>47.629115854698064</v>
      </c>
      <c r="F244" s="1">
        <f t="shared" si="450"/>
        <v>0</v>
      </c>
      <c r="G244" s="1">
        <f t="shared" si="451"/>
        <v>0.6350314420924712</v>
      </c>
      <c r="H244" s="1">
        <f t="shared" si="0"/>
        <v>47.633349053291397</v>
      </c>
      <c r="I244" s="1">
        <f t="shared" si="434"/>
        <v>-92.33151774761248</v>
      </c>
      <c r="J244" s="1">
        <f t="shared" si="435"/>
        <v>0</v>
      </c>
      <c r="K244" s="1">
        <f t="shared" si="436"/>
        <v>-1.2310414714546805</v>
      </c>
      <c r="L244" s="1">
        <f t="shared" ref="L244:N244" si="550">E244/$H244</f>
        <v>0.99991112952002181</v>
      </c>
      <c r="M244" s="1">
        <f t="shared" si="550"/>
        <v>0</v>
      </c>
      <c r="N244" s="1">
        <f t="shared" si="550"/>
        <v>1.3331656385991432E-2</v>
      </c>
      <c r="O244" s="1">
        <f t="shared" si="5"/>
        <v>1.3331656385991432E-2</v>
      </c>
      <c r="P244" s="1">
        <f t="shared" si="438"/>
        <v>-1.3330471595289505E-2</v>
      </c>
      <c r="Q244" s="1">
        <f t="shared" si="439"/>
        <v>0</v>
      </c>
      <c r="R244" s="1">
        <f t="shared" si="440"/>
        <v>0.9998222669380058</v>
      </c>
      <c r="S244" s="1">
        <f t="shared" si="441"/>
        <v>7.4657649210252846</v>
      </c>
      <c r="T244" s="1">
        <f t="shared" ref="T244:V244" si="551">$S244*P244</f>
        <v>-9.9522167216836349E-2</v>
      </c>
      <c r="U244" s="1">
        <f t="shared" si="551"/>
        <v>0</v>
      </c>
      <c r="V244" s="1">
        <f t="shared" si="551"/>
        <v>7.4644380077657422</v>
      </c>
      <c r="W244" s="1">
        <f t="shared" si="443"/>
        <v>-92.431039914829313</v>
      </c>
      <c r="X244" s="1">
        <f t="shared" si="444"/>
        <v>0</v>
      </c>
      <c r="Y244" s="1">
        <f t="shared" si="445"/>
        <v>-3.5732534636889373</v>
      </c>
    </row>
    <row r="245" spans="1:25">
      <c r="A245" s="1">
        <v>0.24299999999999999</v>
      </c>
      <c r="B245" s="1">
        <f t="shared" si="446"/>
        <v>15.606069531974041</v>
      </c>
      <c r="C245" s="1">
        <f t="shared" si="447"/>
        <v>0</v>
      </c>
      <c r="D245" s="1">
        <f t="shared" si="448"/>
        <v>0.16632260407248883</v>
      </c>
      <c r="E245" s="1">
        <f t="shared" si="449"/>
        <v>47.536684814783236</v>
      </c>
      <c r="F245" s="1">
        <f t="shared" si="450"/>
        <v>0</v>
      </c>
      <c r="G245" s="1">
        <f t="shared" si="451"/>
        <v>0.63145818862878222</v>
      </c>
      <c r="H245" s="1">
        <f t="shared" si="0"/>
        <v>47.540878648001758</v>
      </c>
      <c r="I245" s="1">
        <f t="shared" si="434"/>
        <v>-91.973440458150407</v>
      </c>
      <c r="J245" s="1">
        <f t="shared" si="435"/>
        <v>0</v>
      </c>
      <c r="K245" s="1">
        <f t="shared" si="436"/>
        <v>-1.2217381657965254</v>
      </c>
      <c r="L245" s="1">
        <f t="shared" ref="L245:N245" si="552">E245/$H245</f>
        <v>0.99991178469271524</v>
      </c>
      <c r="M245" s="1">
        <f t="shared" si="552"/>
        <v>0</v>
      </c>
      <c r="N245" s="1">
        <f t="shared" si="552"/>
        <v>1.3282425705763091E-2</v>
      </c>
      <c r="O245" s="1">
        <f t="shared" si="5"/>
        <v>1.3282425705763091E-2</v>
      </c>
      <c r="P245" s="1">
        <f t="shared" si="438"/>
        <v>-1.3281253992497971E-2</v>
      </c>
      <c r="Q245" s="1">
        <f t="shared" si="439"/>
        <v>0</v>
      </c>
      <c r="R245" s="1">
        <f t="shared" si="440"/>
        <v>0.99982357716737091</v>
      </c>
      <c r="S245" s="1">
        <f t="shared" si="441"/>
        <v>7.4368065453016658</v>
      </c>
      <c r="T245" s="1">
        <f t="shared" ref="T245:V245" si="553">$S245*P245</f>
        <v>-9.8770116621222787E-2</v>
      </c>
      <c r="U245" s="1">
        <f t="shared" si="553"/>
        <v>0</v>
      </c>
      <c r="V245" s="1">
        <f t="shared" si="553"/>
        <v>7.4354945228252296</v>
      </c>
      <c r="W245" s="1">
        <f t="shared" si="443"/>
        <v>-92.072210574771631</v>
      </c>
      <c r="X245" s="1">
        <f t="shared" si="444"/>
        <v>0</v>
      </c>
      <c r="Y245" s="1">
        <f t="shared" si="445"/>
        <v>-3.592893642971295</v>
      </c>
    </row>
    <row r="246" spans="1:25">
      <c r="A246" s="1">
        <v>0.24399999999999999</v>
      </c>
      <c r="B246" s="1">
        <f t="shared" si="446"/>
        <v>15.653514144578249</v>
      </c>
      <c r="C246" s="1">
        <f t="shared" si="447"/>
        <v>0</v>
      </c>
      <c r="D246" s="1">
        <f t="shared" si="448"/>
        <v>0.16695046936747465</v>
      </c>
      <c r="E246" s="1">
        <f t="shared" si="449"/>
        <v>47.444612604208466</v>
      </c>
      <c r="F246" s="1">
        <f t="shared" si="450"/>
        <v>0</v>
      </c>
      <c r="G246" s="1">
        <f t="shared" si="451"/>
        <v>0.6278652949858109</v>
      </c>
      <c r="H246" s="1">
        <f t="shared" si="0"/>
        <v>47.448766896433298</v>
      </c>
      <c r="I246" s="1">
        <f t="shared" si="434"/>
        <v>-91.617444283175985</v>
      </c>
      <c r="J246" s="1">
        <f t="shared" si="435"/>
        <v>0</v>
      </c>
      <c r="K246" s="1">
        <f t="shared" si="436"/>
        <v>-1.2124329934058711</v>
      </c>
      <c r="L246" s="1">
        <f t="shared" ref="L246:N246" si="554">E246/$H246</f>
        <v>0.9999124467821493</v>
      </c>
      <c r="M246" s="1">
        <f t="shared" si="554"/>
        <v>0</v>
      </c>
      <c r="N246" s="1">
        <f t="shared" si="554"/>
        <v>1.3232489188944702E-2</v>
      </c>
      <c r="O246" s="1">
        <f t="shared" si="5"/>
        <v>1.3232489188944702E-2</v>
      </c>
      <c r="P246" s="1">
        <f t="shared" si="438"/>
        <v>-1.3231330641936035E-2</v>
      </c>
      <c r="Q246" s="1">
        <f t="shared" si="439"/>
        <v>0</v>
      </c>
      <c r="R246" s="1">
        <f t="shared" si="440"/>
        <v>0.99982490122986445</v>
      </c>
      <c r="S246" s="1">
        <f t="shared" si="441"/>
        <v>7.4080164313374928</v>
      </c>
      <c r="T246" s="1">
        <f t="shared" ref="T246:V246" si="555">$S246*P246</f>
        <v>-9.8017914803921399E-2</v>
      </c>
      <c r="U246" s="1">
        <f t="shared" si="555"/>
        <v>0</v>
      </c>
      <c r="V246" s="1">
        <f t="shared" si="555"/>
        <v>7.4067192967712217</v>
      </c>
      <c r="W246" s="1">
        <f t="shared" si="443"/>
        <v>-91.715462197979903</v>
      </c>
      <c r="X246" s="1">
        <f t="shared" si="444"/>
        <v>0</v>
      </c>
      <c r="Y246" s="1">
        <f t="shared" si="445"/>
        <v>-3.6123636966346488</v>
      </c>
    </row>
    <row r="247" spans="1:25">
      <c r="A247" s="1">
        <v>0.245</v>
      </c>
      <c r="B247" s="1">
        <f t="shared" si="446"/>
        <v>15.70086704172026</v>
      </c>
      <c r="C247" s="1">
        <f t="shared" si="447"/>
        <v>0</v>
      </c>
      <c r="D247" s="1">
        <f t="shared" si="448"/>
        <v>0.16757472229876383</v>
      </c>
      <c r="E247" s="1">
        <f t="shared" si="449"/>
        <v>47.352897142010484</v>
      </c>
      <c r="F247" s="1">
        <f t="shared" si="450"/>
        <v>0</v>
      </c>
      <c r="G247" s="1">
        <f t="shared" si="451"/>
        <v>0.62425293128917625</v>
      </c>
      <c r="H247" s="1">
        <f t="shared" si="0"/>
        <v>47.357011724390382</v>
      </c>
      <c r="I247" s="1">
        <f t="shared" si="434"/>
        <v>-91.263513147606872</v>
      </c>
      <c r="J247" s="1">
        <f t="shared" si="435"/>
        <v>0</v>
      </c>
      <c r="K247" s="1">
        <f t="shared" si="436"/>
        <v>-1.2031262930182565</v>
      </c>
      <c r="L247" s="1">
        <f t="shared" ref="L247:N247" si="556">E247/$H247</f>
        <v>0.9999131156669292</v>
      </c>
      <c r="M247" s="1">
        <f t="shared" si="556"/>
        <v>0</v>
      </c>
      <c r="N247" s="1">
        <f t="shared" si="556"/>
        <v>1.3181848021201599E-2</v>
      </c>
      <c r="O247" s="1">
        <f t="shared" si="5"/>
        <v>1.3181848021201599E-2</v>
      </c>
      <c r="P247" s="1">
        <f t="shared" si="438"/>
        <v>-1.3180702725127636E-2</v>
      </c>
      <c r="Q247" s="1">
        <f t="shared" si="439"/>
        <v>0</v>
      </c>
      <c r="R247" s="1">
        <f t="shared" si="440"/>
        <v>0.99982623888274591</v>
      </c>
      <c r="S247" s="1">
        <f t="shared" si="441"/>
        <v>7.3793932804914313</v>
      </c>
      <c r="T247" s="1">
        <f t="shared" ref="T247:V247" si="557">$S247*P247</f>
        <v>-9.7265589121961968E-2</v>
      </c>
      <c r="U247" s="1">
        <f t="shared" si="557"/>
        <v>0</v>
      </c>
      <c r="V247" s="1">
        <f t="shared" si="557"/>
        <v>7.3781110288703555</v>
      </c>
      <c r="W247" s="1">
        <f t="shared" si="443"/>
        <v>-91.360778736728832</v>
      </c>
      <c r="X247" s="1">
        <f t="shared" si="444"/>
        <v>0</v>
      </c>
      <c r="Y247" s="1">
        <f t="shared" si="445"/>
        <v>-3.6316652641478999</v>
      </c>
    </row>
    <row r="248" spans="1:25">
      <c r="A248" s="1">
        <v>0.246</v>
      </c>
      <c r="B248" s="1">
        <f t="shared" si="446"/>
        <v>15.748128578083534</v>
      </c>
      <c r="C248" s="1">
        <f t="shared" si="447"/>
        <v>0</v>
      </c>
      <c r="D248" s="1">
        <f t="shared" si="448"/>
        <v>0.16819534356478885</v>
      </c>
      <c r="E248" s="1">
        <f t="shared" si="449"/>
        <v>47.261536363273756</v>
      </c>
      <c r="F248" s="1">
        <f t="shared" si="450"/>
        <v>0</v>
      </c>
      <c r="G248" s="1">
        <f t="shared" si="451"/>
        <v>0.62062126602502832</v>
      </c>
      <c r="H248" s="1">
        <f t="shared" si="0"/>
        <v>47.26561107372769</v>
      </c>
      <c r="I248" s="1">
        <f t="shared" si="434"/>
        <v>-90.911631131336108</v>
      </c>
      <c r="J248" s="1">
        <f t="shared" si="435"/>
        <v>0</v>
      </c>
      <c r="K248" s="1">
        <f t="shared" si="436"/>
        <v>-1.1938183975960346</v>
      </c>
      <c r="L248" s="1">
        <f t="shared" ref="L248:N248" si="558">E248/$H248</f>
        <v>0.99991379122449975</v>
      </c>
      <c r="M248" s="1">
        <f t="shared" si="558"/>
        <v>0</v>
      </c>
      <c r="N248" s="1">
        <f t="shared" si="558"/>
        <v>1.313050338134731E-2</v>
      </c>
      <c r="O248" s="1">
        <f t="shared" si="5"/>
        <v>1.313050338134731E-2</v>
      </c>
      <c r="P248" s="1">
        <f t="shared" si="438"/>
        <v>-1.3129371416729102E-2</v>
      </c>
      <c r="Q248" s="1">
        <f t="shared" si="439"/>
        <v>0</v>
      </c>
      <c r="R248" s="1">
        <f t="shared" si="440"/>
        <v>0.99982758988095244</v>
      </c>
      <c r="S248" s="1">
        <f t="shared" si="441"/>
        <v>7.3509358066443991</v>
      </c>
      <c r="T248" s="1">
        <f t="shared" ref="T248:V248" si="559">$S248*P248</f>
        <v>-9.6513166465967457E-2</v>
      </c>
      <c r="U248" s="1">
        <f t="shared" si="559"/>
        <v>0</v>
      </c>
      <c r="V248" s="1">
        <f t="shared" si="559"/>
        <v>7.3496684309268643</v>
      </c>
      <c r="W248" s="1">
        <f t="shared" si="443"/>
        <v>-91.008144297802076</v>
      </c>
      <c r="X248" s="1">
        <f t="shared" si="444"/>
        <v>0</v>
      </c>
      <c r="Y248" s="1">
        <f t="shared" si="445"/>
        <v>-3.6507999666691697</v>
      </c>
    </row>
    <row r="249" spans="1:25">
      <c r="A249" s="1">
        <v>0.247</v>
      </c>
      <c r="B249" s="1">
        <f t="shared" si="446"/>
        <v>15.79529910630251</v>
      </c>
      <c r="C249" s="1">
        <f t="shared" si="447"/>
        <v>0</v>
      </c>
      <c r="D249" s="1">
        <f t="shared" si="448"/>
        <v>0.1688123140308472</v>
      </c>
      <c r="E249" s="1">
        <f t="shared" si="449"/>
        <v>47.170528218975953</v>
      </c>
      <c r="F249" s="1">
        <f t="shared" si="450"/>
        <v>0</v>
      </c>
      <c r="G249" s="1">
        <f t="shared" si="451"/>
        <v>0.61697046605835915</v>
      </c>
      <c r="H249" s="1">
        <f t="shared" si="0"/>
        <v>47.174562902195447</v>
      </c>
      <c r="I249" s="1">
        <f t="shared" si="434"/>
        <v>-90.561782467442484</v>
      </c>
      <c r="J249" s="1">
        <f t="shared" si="435"/>
        <v>0</v>
      </c>
      <c r="K249" s="1">
        <f t="shared" si="436"/>
        <v>-1.184509634419072</v>
      </c>
      <c r="L249" s="1">
        <f t="shared" ref="L249:N249" si="560">E249/$H249</f>
        <v>0.99991447333114969</v>
      </c>
      <c r="M249" s="1">
        <f t="shared" si="560"/>
        <v>0</v>
      </c>
      <c r="N249" s="1">
        <f t="shared" si="560"/>
        <v>1.3078456441398127E-2</v>
      </c>
      <c r="O249" s="1">
        <f t="shared" si="5"/>
        <v>1.3078456441398127E-2</v>
      </c>
      <c r="P249" s="1">
        <f t="shared" si="438"/>
        <v>-1.307733788458499E-2</v>
      </c>
      <c r="Q249" s="1">
        <f t="shared" si="439"/>
        <v>0</v>
      </c>
      <c r="R249" s="1">
        <f t="shared" si="440"/>
        <v>0.99982895397711047</v>
      </c>
      <c r="S249" s="1">
        <f t="shared" si="441"/>
        <v>7.3226427360548945</v>
      </c>
      <c r="T249" s="1">
        <f t="shared" ref="T249:V249" si="561">$S249*P249</f>
        <v>-9.5760673267491755E-2</v>
      </c>
      <c r="U249" s="1">
        <f t="shared" si="561"/>
        <v>0</v>
      </c>
      <c r="V249" s="1">
        <f t="shared" si="561"/>
        <v>7.3213902271378517</v>
      </c>
      <c r="W249" s="1">
        <f t="shared" si="443"/>
        <v>-90.657543140709976</v>
      </c>
      <c r="X249" s="1">
        <f t="shared" si="444"/>
        <v>0</v>
      </c>
      <c r="Y249" s="1">
        <f t="shared" si="445"/>
        <v>-3.6697694072812199</v>
      </c>
    </row>
    <row r="250" spans="1:25">
      <c r="A250" s="1">
        <v>0.248</v>
      </c>
      <c r="B250" s="1">
        <f t="shared" si="446"/>
        <v>15.842378976978345</v>
      </c>
      <c r="C250" s="1">
        <f t="shared" si="447"/>
        <v>0</v>
      </c>
      <c r="D250" s="1">
        <f t="shared" si="448"/>
        <v>0.16942561472749829</v>
      </c>
      <c r="E250" s="1">
        <f t="shared" si="449"/>
        <v>47.079870675835245</v>
      </c>
      <c r="F250" s="1">
        <f t="shared" si="450"/>
        <v>0</v>
      </c>
      <c r="G250" s="1">
        <f t="shared" si="451"/>
        <v>0.61330069665107789</v>
      </c>
      <c r="H250" s="1">
        <f t="shared" si="0"/>
        <v>47.083865183286342</v>
      </c>
      <c r="I250" s="1">
        <f t="shared" si="434"/>
        <v>-90.213951540424702</v>
      </c>
      <c r="J250" s="1">
        <f t="shared" si="435"/>
        <v>0</v>
      </c>
      <c r="K250" s="1">
        <f t="shared" si="436"/>
        <v>-1.1752003251739491</v>
      </c>
      <c r="L250" s="1">
        <f t="shared" ref="L250:N250" si="562">E250/$H250</f>
        <v>0.99991516186201901</v>
      </c>
      <c r="M250" s="1">
        <f t="shared" si="562"/>
        <v>0</v>
      </c>
      <c r="N250" s="1">
        <f t="shared" si="562"/>
        <v>1.3025708366627154E-2</v>
      </c>
      <c r="O250" s="1">
        <f t="shared" si="5"/>
        <v>1.3025708366627154E-2</v>
      </c>
      <c r="P250" s="1">
        <f t="shared" si="438"/>
        <v>-1.3024603289783446E-2</v>
      </c>
      <c r="Q250" s="1">
        <f t="shared" si="439"/>
        <v>0</v>
      </c>
      <c r="R250" s="1">
        <f t="shared" si="440"/>
        <v>0.99983033092154761</v>
      </c>
      <c r="S250" s="1">
        <f t="shared" si="441"/>
        <v>7.2945128072162522</v>
      </c>
      <c r="T250" s="1">
        <f t="shared" ref="T250:V250" si="563">$S250*P250</f>
        <v>-9.5008135506236283E-2</v>
      </c>
      <c r="U250" s="1">
        <f t="shared" si="563"/>
        <v>0</v>
      </c>
      <c r="V250" s="1">
        <f t="shared" si="563"/>
        <v>7.2932751539504928</v>
      </c>
      <c r="W250" s="1">
        <f t="shared" si="443"/>
        <v>-90.308959675930936</v>
      </c>
      <c r="X250" s="1">
        <f t="shared" si="444"/>
        <v>0</v>
      </c>
      <c r="Y250" s="1">
        <f t="shared" si="445"/>
        <v>-3.688575171223456</v>
      </c>
    </row>
    <row r="251" spans="1:25">
      <c r="A251" s="1">
        <v>0.249</v>
      </c>
      <c r="B251" s="1">
        <f t="shared" si="446"/>
        <v>15.889368538694505</v>
      </c>
      <c r="C251" s="1">
        <f t="shared" si="447"/>
        <v>0</v>
      </c>
      <c r="D251" s="1">
        <f t="shared" si="448"/>
        <v>0.17003522684897815</v>
      </c>
      <c r="E251" s="1">
        <f t="shared" si="449"/>
        <v>46.989561716159315</v>
      </c>
      <c r="F251" s="1">
        <f t="shared" si="450"/>
        <v>0</v>
      </c>
      <c r="G251" s="1">
        <f t="shared" si="451"/>
        <v>0.60961212147985444</v>
      </c>
      <c r="H251" s="1">
        <f t="shared" si="0"/>
        <v>46.993515906084326</v>
      </c>
      <c r="I251" s="1">
        <f t="shared" si="434"/>
        <v>-89.868122884459453</v>
      </c>
      <c r="J251" s="1">
        <f t="shared" si="435"/>
        <v>0</v>
      </c>
      <c r="K251" s="1">
        <f t="shared" si="436"/>
        <v>-1.1658907860416921</v>
      </c>
      <c r="L251" s="1">
        <f t="shared" ref="L251:N251" si="564">E251/$H251</f>
        <v>0.99991585669110361</v>
      </c>
      <c r="M251" s="1">
        <f t="shared" si="564"/>
        <v>0</v>
      </c>
      <c r="N251" s="1">
        <f t="shared" si="564"/>
        <v>1.2972260315617861E-2</v>
      </c>
      <c r="O251" s="1">
        <f t="shared" si="5"/>
        <v>1.2972260315617861E-2</v>
      </c>
      <c r="P251" s="1">
        <f t="shared" si="438"/>
        <v>-1.297116878671104E-2</v>
      </c>
      <c r="Q251" s="1">
        <f t="shared" si="439"/>
        <v>0</v>
      </c>
      <c r="R251" s="1">
        <f t="shared" si="440"/>
        <v>0.99983172046230384</v>
      </c>
      <c r="S251" s="1">
        <f t="shared" si="441"/>
        <v>7.2665447707158446</v>
      </c>
      <c r="T251" s="1">
        <f t="shared" ref="T251:V251" si="565">$S251*P251</f>
        <v>-9.4255578717147695E-2</v>
      </c>
      <c r="U251" s="1">
        <f t="shared" si="565"/>
        <v>0</v>
      </c>
      <c r="V251" s="1">
        <f t="shared" si="565"/>
        <v>7.26532195992118</v>
      </c>
      <c r="W251" s="1">
        <f t="shared" si="443"/>
        <v>-89.962378463176606</v>
      </c>
      <c r="X251" s="1">
        <f t="shared" si="444"/>
        <v>0</v>
      </c>
      <c r="Y251" s="1">
        <f t="shared" si="445"/>
        <v>-3.7072188261205117</v>
      </c>
    </row>
    <row r="252" spans="1:25">
      <c r="A252" s="1">
        <v>0.25</v>
      </c>
      <c r="B252" s="1">
        <f t="shared" si="446"/>
        <v>15.936268138032201</v>
      </c>
      <c r="C252" s="1">
        <f t="shared" si="447"/>
        <v>0</v>
      </c>
      <c r="D252" s="1">
        <f t="shared" si="448"/>
        <v>0.1706411317516319</v>
      </c>
      <c r="E252" s="1">
        <f t="shared" si="449"/>
        <v>46.899599337696138</v>
      </c>
      <c r="F252" s="1">
        <f t="shared" si="450"/>
        <v>0</v>
      </c>
      <c r="G252" s="1">
        <f t="shared" si="451"/>
        <v>0.60590490265373398</v>
      </c>
      <c r="H252" s="1">
        <f t="shared" si="0"/>
        <v>46.903513075115043</v>
      </c>
      <c r="I252" s="1">
        <f t="shared" si="434"/>
        <v>-89.524281181682781</v>
      </c>
      <c r="J252" s="1">
        <f t="shared" si="435"/>
        <v>0</v>
      </c>
      <c r="K252" s="1">
        <f t="shared" si="436"/>
        <v>-1.1565813277840598</v>
      </c>
      <c r="L252" s="1">
        <f t="shared" ref="L252:N252" si="566">E252/$H252</f>
        <v>0.99991655769126209</v>
      </c>
      <c r="M252" s="1">
        <f t="shared" si="566"/>
        <v>0</v>
      </c>
      <c r="N252" s="1">
        <f t="shared" si="566"/>
        <v>1.2918113440317132E-2</v>
      </c>
      <c r="O252" s="1">
        <f t="shared" si="5"/>
        <v>1.2918113440317132E-2</v>
      </c>
      <c r="P252" s="1">
        <f t="shared" si="438"/>
        <v>-1.2917035523107134E-2</v>
      </c>
      <c r="Q252" s="1">
        <f t="shared" si="439"/>
        <v>0</v>
      </c>
      <c r="R252" s="1">
        <f t="shared" si="440"/>
        <v>0.9998331223451431</v>
      </c>
      <c r="S252" s="1">
        <f t="shared" si="441"/>
        <v>7.2387373890961477</v>
      </c>
      <c r="T252" s="1">
        <f t="shared" ref="T252:V252" si="567">$S252*P252</f>
        <v>-9.3503027997398735E-2</v>
      </c>
      <c r="U252" s="1">
        <f t="shared" si="567"/>
        <v>0</v>
      </c>
      <c r="V252" s="1">
        <f t="shared" si="567"/>
        <v>7.23752940557653</v>
      </c>
      <c r="W252" s="1">
        <f t="shared" si="443"/>
        <v>-89.617784209680181</v>
      </c>
      <c r="X252" s="1">
        <f t="shared" si="444"/>
        <v>0</v>
      </c>
      <c r="Y252" s="1">
        <f t="shared" si="445"/>
        <v>-3.7257019222075289</v>
      </c>
    </row>
    <row r="253" spans="1:25">
      <c r="A253" s="1">
        <v>0.251</v>
      </c>
      <c r="B253" s="1">
        <f t="shared" si="446"/>
        <v>15.983078119585688</v>
      </c>
      <c r="C253" s="1">
        <f t="shared" si="447"/>
        <v>0</v>
      </c>
      <c r="D253" s="1">
        <f t="shared" si="448"/>
        <v>0.17124331095236342</v>
      </c>
      <c r="E253" s="1">
        <f t="shared" si="449"/>
        <v>46.809981553486459</v>
      </c>
      <c r="F253" s="1">
        <f t="shared" si="450"/>
        <v>0</v>
      </c>
      <c r="G253" s="1">
        <f t="shared" si="451"/>
        <v>0.60217920073152642</v>
      </c>
      <c r="H253" s="1">
        <f t="shared" si="0"/>
        <v>46.813854710198093</v>
      </c>
      <c r="I253" s="1">
        <f t="shared" si="434"/>
        <v>-89.182411260494447</v>
      </c>
      <c r="J253" s="1">
        <f t="shared" si="435"/>
        <v>0</v>
      </c>
      <c r="K253" s="1">
        <f t="shared" si="436"/>
        <v>-1.1472722558284132</v>
      </c>
      <c r="L253" s="1">
        <f t="shared" ref="L253:N253" si="568">E253/$H253</f>
        <v>0.99991726473422005</v>
      </c>
      <c r="M253" s="1">
        <f t="shared" si="568"/>
        <v>0</v>
      </c>
      <c r="N253" s="1">
        <f t="shared" si="568"/>
        <v>1.286326888608781E-2</v>
      </c>
      <c r="O253" s="1">
        <f t="shared" si="5"/>
        <v>1.286326888608781E-2</v>
      </c>
      <c r="P253" s="1">
        <f t="shared" si="438"/>
        <v>-1.286220464011772E-2</v>
      </c>
      <c r="Q253" s="1">
        <f t="shared" si="439"/>
        <v>0</v>
      </c>
      <c r="R253" s="1">
        <f t="shared" si="440"/>
        <v>0.99983453631356423</v>
      </c>
      <c r="S253" s="1">
        <f t="shared" si="441"/>
        <v>7.2110894367176828</v>
      </c>
      <c r="T253" s="1">
        <f t="shared" ref="T253:V253" si="569">$S253*P253</f>
        <v>-9.2750508013254046E-2</v>
      </c>
      <c r="U253" s="1">
        <f t="shared" si="569"/>
        <v>0</v>
      </c>
      <c r="V253" s="1">
        <f t="shared" si="569"/>
        <v>7.2098962632762653</v>
      </c>
      <c r="W253" s="1">
        <f t="shared" si="443"/>
        <v>-89.275161768507701</v>
      </c>
      <c r="X253" s="1">
        <f t="shared" si="444"/>
        <v>0</v>
      </c>
      <c r="Y253" s="1">
        <f t="shared" si="445"/>
        <v>-3.7440259925521477</v>
      </c>
    </row>
    <row r="254" spans="1:25">
      <c r="A254" s="1">
        <v>0.252</v>
      </c>
      <c r="B254" s="1">
        <f t="shared" si="446"/>
        <v>16.029798825977405</v>
      </c>
      <c r="C254" s="1">
        <f t="shared" si="447"/>
        <v>0</v>
      </c>
      <c r="D254" s="1">
        <f t="shared" si="448"/>
        <v>0.1718417461271024</v>
      </c>
      <c r="E254" s="1">
        <f t="shared" si="449"/>
        <v>46.720706391717954</v>
      </c>
      <c r="F254" s="1">
        <f t="shared" si="450"/>
        <v>0</v>
      </c>
      <c r="G254" s="1">
        <f t="shared" si="451"/>
        <v>0.59843517473897423</v>
      </c>
      <c r="H254" s="1">
        <f t="shared" si="0"/>
        <v>46.724538846300874</v>
      </c>
      <c r="I254" s="1">
        <f t="shared" si="434"/>
        <v>-88.842498093884814</v>
      </c>
      <c r="J254" s="1">
        <f t="shared" si="435"/>
        <v>0</v>
      </c>
      <c r="K254" s="1">
        <f t="shared" si="436"/>
        <v>-1.1379638703511901</v>
      </c>
      <c r="L254" s="1">
        <f t="shared" ref="L254:N254" si="570">E254/$H254</f>
        <v>0.99991797769057655</v>
      </c>
      <c r="M254" s="1">
        <f t="shared" si="570"/>
        <v>0</v>
      </c>
      <c r="N254" s="1">
        <f t="shared" si="570"/>
        <v>1.2807727791760787E-2</v>
      </c>
      <c r="O254" s="1">
        <f t="shared" si="5"/>
        <v>1.2807727791760787E-2</v>
      </c>
      <c r="P254" s="1">
        <f t="shared" si="438"/>
        <v>-1.280667727234884E-2</v>
      </c>
      <c r="Q254" s="1">
        <f t="shared" si="439"/>
        <v>0</v>
      </c>
      <c r="R254" s="1">
        <f t="shared" si="440"/>
        <v>0.9998359621088122</v>
      </c>
      <c r="S254" s="1">
        <f t="shared" si="441"/>
        <v>7.1835996996237679</v>
      </c>
      <c r="T254" s="1">
        <f t="shared" ref="T254:V254" si="571">$S254*P254</f>
        <v>-9.1998043006823668E-2</v>
      </c>
      <c r="U254" s="1">
        <f t="shared" si="571"/>
        <v>0</v>
      </c>
      <c r="V254" s="1">
        <f t="shared" si="571"/>
        <v>7.1824213170779041</v>
      </c>
      <c r="W254" s="1">
        <f t="shared" si="443"/>
        <v>-88.934496136891639</v>
      </c>
      <c r="X254" s="1">
        <f t="shared" si="444"/>
        <v>0</v>
      </c>
      <c r="Y254" s="1">
        <f t="shared" si="445"/>
        <v>-3.7621925532732856</v>
      </c>
    </row>
    <row r="255" spans="1:25">
      <c r="A255" s="1">
        <v>0.253</v>
      </c>
      <c r="B255" s="1">
        <f t="shared" si="446"/>
        <v>16.076430597872985</v>
      </c>
      <c r="C255" s="1">
        <f t="shared" si="447"/>
        <v>0</v>
      </c>
      <c r="D255" s="1">
        <f t="shared" si="448"/>
        <v>0.17243641910928811</v>
      </c>
      <c r="E255" s="1">
        <f t="shared" si="449"/>
        <v>46.631771895581061</v>
      </c>
      <c r="F255" s="1">
        <f t="shared" si="450"/>
        <v>0</v>
      </c>
      <c r="G255" s="1">
        <f t="shared" si="451"/>
        <v>0.59467298218570097</v>
      </c>
      <c r="H255" s="1">
        <f t="shared" si="0"/>
        <v>46.635563533394183</v>
      </c>
      <c r="I255" s="1">
        <f t="shared" si="434"/>
        <v>-88.50452679778418</v>
      </c>
      <c r="J255" s="1">
        <f t="shared" si="435"/>
        <v>0</v>
      </c>
      <c r="K255" s="1">
        <f t="shared" si="436"/>
        <v>-1.1286564663600114</v>
      </c>
      <c r="L255" s="1">
        <f t="shared" ref="L255:N255" si="572">E255/$H255</f>
        <v>0.99991869642980924</v>
      </c>
      <c r="M255" s="1">
        <f t="shared" si="572"/>
        <v>0</v>
      </c>
      <c r="N255" s="1">
        <f t="shared" si="572"/>
        <v>1.2751491289686579E-2</v>
      </c>
      <c r="O255" s="1">
        <f t="shared" si="5"/>
        <v>1.2751491289686579E-2</v>
      </c>
      <c r="P255" s="1">
        <f t="shared" si="438"/>
        <v>-1.2750454547919472E-2</v>
      </c>
      <c r="Q255" s="1">
        <f t="shared" si="439"/>
        <v>0</v>
      </c>
      <c r="R255" s="1">
        <f t="shared" si="440"/>
        <v>0.99983739946988903</v>
      </c>
      <c r="S255" s="1">
        <f t="shared" si="441"/>
        <v>7.1562669754071022</v>
      </c>
      <c r="T255" s="1">
        <f t="shared" ref="T255:V255" si="573">$S255*P255</f>
        <v>-9.124565680270541E-2</v>
      </c>
      <c r="U255" s="1">
        <f t="shared" si="573"/>
        <v>0</v>
      </c>
      <c r="V255" s="1">
        <f t="shared" si="573"/>
        <v>7.1551033626032856</v>
      </c>
      <c r="W255" s="1">
        <f t="shared" si="443"/>
        <v>-88.595772454586893</v>
      </c>
      <c r="X255" s="1">
        <f t="shared" si="444"/>
        <v>0</v>
      </c>
      <c r="Y255" s="1">
        <f t="shared" si="445"/>
        <v>-3.7802031037567252</v>
      </c>
    </row>
    <row r="256" spans="1:25">
      <c r="A256" s="1">
        <v>0.254</v>
      </c>
      <c r="B256" s="1">
        <f t="shared" si="446"/>
        <v>16.122973773996112</v>
      </c>
      <c r="C256" s="1">
        <f t="shared" si="447"/>
        <v>0</v>
      </c>
      <c r="D256" s="1">
        <f t="shared" si="448"/>
        <v>0.17302731188837006</v>
      </c>
      <c r="E256" s="1">
        <f t="shared" si="449"/>
        <v>46.543176123126472</v>
      </c>
      <c r="F256" s="1">
        <f t="shared" si="450"/>
        <v>0</v>
      </c>
      <c r="G256" s="1">
        <f t="shared" si="451"/>
        <v>0.59089277908194426</v>
      </c>
      <c r="H256" s="1">
        <f t="shared" si="0"/>
        <v>46.54692683630941</v>
      </c>
      <c r="I256" s="1">
        <f t="shared" si="434"/>
        <v>-88.168482629433967</v>
      </c>
      <c r="J256" s="1">
        <f t="shared" si="435"/>
        <v>0</v>
      </c>
      <c r="K256" s="1">
        <f t="shared" si="436"/>
        <v>-1.1193503337744444</v>
      </c>
      <c r="L256" s="1">
        <f t="shared" ref="L256:N256" si="574">E256/$H256</f>
        <v>0.9999194208202804</v>
      </c>
      <c r="M256" s="1">
        <f t="shared" si="574"/>
        <v>0</v>
      </c>
      <c r="N256" s="1">
        <f t="shared" si="574"/>
        <v>1.2694560505786438E-2</v>
      </c>
      <c r="O256" s="1">
        <f t="shared" si="5"/>
        <v>1.2694560505786438E-2</v>
      </c>
      <c r="P256" s="1">
        <f t="shared" si="438"/>
        <v>-1.269353758851398E-2</v>
      </c>
      <c r="Q256" s="1">
        <f t="shared" si="439"/>
        <v>0</v>
      </c>
      <c r="R256" s="1">
        <f t="shared" si="440"/>
        <v>0.99983884813356494</v>
      </c>
      <c r="S256" s="1">
        <f t="shared" si="441"/>
        <v>7.1290900730780873</v>
      </c>
      <c r="T256" s="1">
        <f t="shared" ref="T256:V256" si="575">$S256*P256</f>
        <v>-9.049337281451858E-2</v>
      </c>
      <c r="U256" s="1">
        <f t="shared" si="575"/>
        <v>0</v>
      </c>
      <c r="V256" s="1">
        <f t="shared" si="575"/>
        <v>7.1279412069068275</v>
      </c>
      <c r="W256" s="1">
        <f t="shared" si="443"/>
        <v>-88.258976002248488</v>
      </c>
      <c r="X256" s="1">
        <f t="shared" si="444"/>
        <v>0</v>
      </c>
      <c r="Y256" s="1">
        <f t="shared" si="445"/>
        <v>-3.7980591268676163</v>
      </c>
    </row>
    <row r="257" spans="1:25">
      <c r="A257" s="1">
        <v>0.255</v>
      </c>
      <c r="B257" s="1">
        <f t="shared" si="446"/>
        <v>16.169428691143235</v>
      </c>
      <c r="C257" s="1">
        <f t="shared" si="447"/>
        <v>0</v>
      </c>
      <c r="D257" s="1">
        <f t="shared" si="448"/>
        <v>0.17361440660832514</v>
      </c>
      <c r="E257" s="1">
        <f t="shared" si="449"/>
        <v>46.45491714712422</v>
      </c>
      <c r="F257" s="1">
        <f t="shared" si="450"/>
        <v>0</v>
      </c>
      <c r="G257" s="1">
        <f t="shared" si="451"/>
        <v>0.58709471995507667</v>
      </c>
      <c r="H257" s="1">
        <f t="shared" ref="H257:H511" si="576">SQRT(E257^2+F257^2+G257^2)</f>
        <v>46.45862683459741</v>
      </c>
      <c r="I257" s="1">
        <f t="shared" si="434"/>
        <v>-87.834350985779523</v>
      </c>
      <c r="J257" s="1">
        <f t="shared" si="435"/>
        <v>0</v>
      </c>
      <c r="K257" s="1">
        <f t="shared" si="436"/>
        <v>-1.1100457575054439</v>
      </c>
      <c r="L257" s="1">
        <f t="shared" ref="L257:N257" si="577">E257/$H257</f>
        <v>0.99992015072924134</v>
      </c>
      <c r="M257" s="1">
        <f t="shared" si="577"/>
        <v>0</v>
      </c>
      <c r="N257" s="1">
        <f t="shared" si="577"/>
        <v>1.2636936559602992E-2</v>
      </c>
      <c r="O257" s="1">
        <f t="shared" ref="O257:O511" si="578">N257</f>
        <v>1.2636936559602992E-2</v>
      </c>
      <c r="P257" s="1">
        <f t="shared" si="438"/>
        <v>-1.2635927509434085E-2</v>
      </c>
      <c r="Q257" s="1">
        <f t="shared" si="439"/>
        <v>0</v>
      </c>
      <c r="R257" s="1">
        <f t="shared" si="440"/>
        <v>0.9998403078343886</v>
      </c>
      <c r="S257" s="1">
        <f t="shared" si="441"/>
        <v>7.1020678129349362</v>
      </c>
      <c r="T257" s="1">
        <f t="shared" ref="T257:V257" si="579">$S257*P257</f>
        <v>-8.9741214051330925E-2</v>
      </c>
      <c r="U257" s="1">
        <f t="shared" si="579"/>
        <v>0</v>
      </c>
      <c r="V257" s="1">
        <f t="shared" si="579"/>
        <v>7.1009336683455695</v>
      </c>
      <c r="W257" s="1">
        <f t="shared" si="443"/>
        <v>-87.924092199830852</v>
      </c>
      <c r="X257" s="1">
        <f t="shared" si="444"/>
        <v>0</v>
      </c>
      <c r="Y257" s="1">
        <f t="shared" si="445"/>
        <v>-3.8157620891598736</v>
      </c>
    </row>
    <row r="258" spans="1:25">
      <c r="A258" s="1">
        <v>0.25600000000000001</v>
      </c>
      <c r="B258" s="1">
        <f t="shared" si="446"/>
        <v>16.215795684198159</v>
      </c>
      <c r="C258" s="1">
        <f t="shared" si="447"/>
        <v>0</v>
      </c>
      <c r="D258" s="1">
        <f t="shared" si="448"/>
        <v>0.17419768556619106</v>
      </c>
      <c r="E258" s="1">
        <f t="shared" si="449"/>
        <v>46.366993054924393</v>
      </c>
      <c r="F258" s="1">
        <f t="shared" si="450"/>
        <v>0</v>
      </c>
      <c r="G258" s="1">
        <f t="shared" si="451"/>
        <v>0.58327895786591677</v>
      </c>
      <c r="H258" s="1">
        <f t="shared" si="576"/>
        <v>46.370661622388958</v>
      </c>
      <c r="I258" s="1">
        <f t="shared" ref="I258:I321" si="580">-K_drag*$H258*E258</f>
        <v>-87.50211740188432</v>
      </c>
      <c r="J258" s="1">
        <f t="shared" ref="J258:J321" si="581">-K_drag*$H258*F258</f>
        <v>0</v>
      </c>
      <c r="K258" s="1">
        <f t="shared" ref="K258:K321" si="582">-K_drag*$H258*G258</f>
        <v>-1.1007430175334973</v>
      </c>
      <c r="L258" s="1">
        <f t="shared" ref="L258:N258" si="583">E258/$H258</f>
        <v>0.99992088602283835</v>
      </c>
      <c r="M258" s="1">
        <f t="shared" si="583"/>
        <v>0</v>
      </c>
      <c r="N258" s="1">
        <f t="shared" si="583"/>
        <v>1.2578620564350424E-2</v>
      </c>
      <c r="O258" s="1">
        <f t="shared" si="578"/>
        <v>1.2578620564350424E-2</v>
      </c>
      <c r="P258" s="1">
        <f t="shared" ref="P258:P321" si="584">u_axis_f-$O258*L258</f>
        <v>-1.2577625419650372E-2</v>
      </c>
      <c r="Q258" s="1">
        <f t="shared" ref="Q258:Q321" si="585">u_axis_r-$O258*M258</f>
        <v>0</v>
      </c>
      <c r="R258" s="1">
        <f t="shared" ref="R258:R321" si="586">u_axis_u-$O258*N258</f>
        <v>0.99984177830469811</v>
      </c>
      <c r="S258" s="1">
        <f t="shared" ref="S258:S321" si="587">K_lift*H258^2</f>
        <v>7.0751990264354774</v>
      </c>
      <c r="T258" s="1">
        <f t="shared" ref="T258:V258" si="588">$S258*P258</f>
        <v>-8.8989203123980426E-2</v>
      </c>
      <c r="U258" s="1">
        <f t="shared" si="588"/>
        <v>0</v>
      </c>
      <c r="V258" s="1">
        <f t="shared" si="588"/>
        <v>7.0740795764509166</v>
      </c>
      <c r="W258" s="1">
        <f t="shared" ref="W258:W321" si="589">I258+T258+g_f</f>
        <v>-87.591106605008306</v>
      </c>
      <c r="X258" s="1">
        <f t="shared" ref="X258:X321" si="590">J258+U258+g_r</f>
        <v>0</v>
      </c>
      <c r="Y258" s="1">
        <f t="shared" ref="Y258:Y321" si="591">K258+V258+g_u</f>
        <v>-3.8333134410825807</v>
      </c>
    </row>
    <row r="259" spans="1:25">
      <c r="A259" s="1">
        <v>0.25700000000000001</v>
      </c>
      <c r="B259" s="1">
        <f t="shared" ref="B259:B322" si="592">B258+E259*dt</f>
        <v>16.262075086146478</v>
      </c>
      <c r="C259" s="1">
        <f t="shared" ref="C259:C322" si="593">C258+F259*dt</f>
        <v>0</v>
      </c>
      <c r="D259" s="1">
        <f t="shared" ref="D259:D322" si="594">D258+G259*dt</f>
        <v>0.17477713121061589</v>
      </c>
      <c r="E259" s="1">
        <f t="shared" ref="E259:E322" si="595">E258+W258*dt</f>
        <v>46.279401948319382</v>
      </c>
      <c r="F259" s="1">
        <f t="shared" ref="F259:F322" si="596">F258+X258*dt</f>
        <v>0</v>
      </c>
      <c r="G259" s="1">
        <f t="shared" ref="G259:G322" si="597">G258+Y258*dt</f>
        <v>0.57944564442483415</v>
      </c>
      <c r="H259" s="1">
        <f t="shared" si="576"/>
        <v>46.283029308256722</v>
      </c>
      <c r="I259" s="1">
        <f t="shared" si="580"/>
        <v>-87.171767549364858</v>
      </c>
      <c r="J259" s="1">
        <f t="shared" si="581"/>
        <v>0</v>
      </c>
      <c r="K259" s="1">
        <f t="shared" si="582"/>
        <v>-1.0914423889854925</v>
      </c>
      <c r="L259" s="1">
        <f t="shared" ref="L259:N259" si="598">E259/$H259</f>
        <v>0.99992162656611816</v>
      </c>
      <c r="M259" s="1">
        <f t="shared" si="598"/>
        <v>0</v>
      </c>
      <c r="N259" s="1">
        <f t="shared" si="598"/>
        <v>1.2519613626964196E-2</v>
      </c>
      <c r="O259" s="1">
        <f t="shared" si="578"/>
        <v>1.2519613626964196E-2</v>
      </c>
      <c r="P259" s="1">
        <f t="shared" si="584"/>
        <v>-1.2518632421853377E-2</v>
      </c>
      <c r="Q259" s="1">
        <f t="shared" si="585"/>
        <v>0</v>
      </c>
      <c r="R259" s="1">
        <f t="shared" si="586"/>
        <v>0.99984325927463158</v>
      </c>
      <c r="S259" s="1">
        <f t="shared" si="587"/>
        <v>7.048482556070649</v>
      </c>
      <c r="T259" s="1">
        <f t="shared" ref="T259:V259" si="599">$S259*P259</f>
        <v>-8.8237362251293985E-2</v>
      </c>
      <c r="U259" s="1">
        <f t="shared" si="599"/>
        <v>0</v>
      </c>
      <c r="V259" s="1">
        <f t="shared" si="599"/>
        <v>7.047377771802064</v>
      </c>
      <c r="W259" s="1">
        <f t="shared" si="589"/>
        <v>-87.26000491161615</v>
      </c>
      <c r="X259" s="1">
        <f t="shared" si="590"/>
        <v>0</v>
      </c>
      <c r="Y259" s="1">
        <f t="shared" si="591"/>
        <v>-3.8507146171834279</v>
      </c>
    </row>
    <row r="260" spans="1:25">
      <c r="A260" s="1">
        <v>0.25800000000000001</v>
      </c>
      <c r="B260" s="1">
        <f t="shared" si="592"/>
        <v>16.308267228089885</v>
      </c>
      <c r="C260" s="1">
        <f t="shared" si="593"/>
        <v>0</v>
      </c>
      <c r="D260" s="1">
        <f t="shared" si="594"/>
        <v>0.17535272614042355</v>
      </c>
      <c r="E260" s="1">
        <f t="shared" si="595"/>
        <v>46.192141943407769</v>
      </c>
      <c r="F260" s="1">
        <f t="shared" si="596"/>
        <v>0</v>
      </c>
      <c r="G260" s="1">
        <f t="shared" si="597"/>
        <v>0.5755949298076507</v>
      </c>
      <c r="H260" s="1">
        <f t="shared" si="576"/>
        <v>46.195728015078963</v>
      </c>
      <c r="I260" s="1">
        <f t="shared" si="580"/>
        <v>-86.843287234846613</v>
      </c>
      <c r="J260" s="1">
        <f t="shared" si="581"/>
        <v>0</v>
      </c>
      <c r="K260" s="1">
        <f t="shared" si="582"/>
        <v>-1.0821441422103382</v>
      </c>
      <c r="L260" s="1">
        <f t="shared" ref="L260:N260" si="600">E260/$H260</f>
        <v>0.99992237222303271</v>
      </c>
      <c r="M260" s="1">
        <f t="shared" si="600"/>
        <v>0</v>
      </c>
      <c r="N260" s="1">
        <f t="shared" si="600"/>
        <v>1.2459916848150289E-2</v>
      </c>
      <c r="O260" s="1">
        <f t="shared" si="578"/>
        <v>1.2459916848150289E-2</v>
      </c>
      <c r="P260" s="1">
        <f t="shared" si="584"/>
        <v>-1.2458949612504169E-2</v>
      </c>
      <c r="Q260" s="1">
        <f t="shared" si="585"/>
        <v>0</v>
      </c>
      <c r="R260" s="1">
        <f t="shared" si="586"/>
        <v>0.99984475047213717</v>
      </c>
      <c r="S260" s="1">
        <f t="shared" si="587"/>
        <v>7.0219172552397016</v>
      </c>
      <c r="T260" s="1">
        <f t="shared" ref="T260:V260" si="601">$S260*P260</f>
        <v>-8.7485713266205023E-2</v>
      </c>
      <c r="U260" s="1">
        <f t="shared" si="601"/>
        <v>0</v>
      </c>
      <c r="V260" s="1">
        <f t="shared" si="601"/>
        <v>7.0208271059011338</v>
      </c>
      <c r="W260" s="1">
        <f t="shared" si="589"/>
        <v>-86.930772948112818</v>
      </c>
      <c r="X260" s="1">
        <f t="shared" si="590"/>
        <v>0</v>
      </c>
      <c r="Y260" s="1">
        <f t="shared" si="591"/>
        <v>-3.8679670363092038</v>
      </c>
    </row>
    <row r="261" spans="1:25">
      <c r="A261" s="1">
        <v>0.25900000000000001</v>
      </c>
      <c r="B261" s="1">
        <f t="shared" si="592"/>
        <v>16.354372439260345</v>
      </c>
      <c r="C261" s="1">
        <f t="shared" si="593"/>
        <v>0</v>
      </c>
      <c r="D261" s="1">
        <f t="shared" si="594"/>
        <v>0.17592445310319488</v>
      </c>
      <c r="E261" s="1">
        <f t="shared" si="595"/>
        <v>46.105211170459654</v>
      </c>
      <c r="F261" s="1">
        <f t="shared" si="596"/>
        <v>0</v>
      </c>
      <c r="G261" s="1">
        <f t="shared" si="597"/>
        <v>0.5717269627713415</v>
      </c>
      <c r="H261" s="1">
        <f t="shared" si="576"/>
        <v>46.108755879904606</v>
      </c>
      <c r="I261" s="1">
        <f t="shared" si="580"/>
        <v>-86.516662398439948</v>
      </c>
      <c r="J261" s="1">
        <f t="shared" si="581"/>
        <v>0</v>
      </c>
      <c r="K261" s="1">
        <f t="shared" si="582"/>
        <v>-1.0728485428533492</v>
      </c>
      <c r="L261" s="1">
        <f t="shared" ref="L261:N261" si="602">E261/$H261</f>
        <v>0.99992312285644436</v>
      </c>
      <c r="M261" s="1">
        <f t="shared" si="602"/>
        <v>0</v>
      </c>
      <c r="N261" s="1">
        <f t="shared" si="602"/>
        <v>1.2399531322434031E-2</v>
      </c>
      <c r="O261" s="1">
        <f t="shared" si="578"/>
        <v>1.2399531322434031E-2</v>
      </c>
      <c r="P261" s="1">
        <f t="shared" si="584"/>
        <v>-1.2398578081884534E-2</v>
      </c>
      <c r="Q261" s="1">
        <f t="shared" si="585"/>
        <v>0</v>
      </c>
      <c r="R261" s="1">
        <f t="shared" si="586"/>
        <v>0.99984625162298402</v>
      </c>
      <c r="S261" s="1">
        <f t="shared" si="587"/>
        <v>6.995501988127006</v>
      </c>
      <c r="T261" s="1">
        <f t="shared" ref="T261:V261" si="603">$S261*P261</f>
        <v>-8.6734277621771175E-2</v>
      </c>
      <c r="U261" s="1">
        <f t="shared" si="603"/>
        <v>0</v>
      </c>
      <c r="V261" s="1">
        <f t="shared" si="603"/>
        <v>6.9944264410499191</v>
      </c>
      <c r="W261" s="1">
        <f t="shared" si="589"/>
        <v>-86.60339667606172</v>
      </c>
      <c r="X261" s="1">
        <f t="shared" si="590"/>
        <v>0</v>
      </c>
      <c r="Y261" s="1">
        <f t="shared" si="591"/>
        <v>-3.8850721018034298</v>
      </c>
    </row>
    <row r="262" spans="1:25">
      <c r="A262" s="1">
        <v>0.26</v>
      </c>
      <c r="B262" s="1">
        <f t="shared" si="592"/>
        <v>16.40039104703413</v>
      </c>
      <c r="C262" s="1">
        <f t="shared" si="593"/>
        <v>0</v>
      </c>
      <c r="D262" s="1">
        <f t="shared" si="594"/>
        <v>0.17649229499386443</v>
      </c>
      <c r="E262" s="1">
        <f t="shared" si="595"/>
        <v>46.018607773783593</v>
      </c>
      <c r="F262" s="1">
        <f t="shared" si="596"/>
        <v>0</v>
      </c>
      <c r="G262" s="1">
        <f t="shared" si="597"/>
        <v>0.56784189066953805</v>
      </c>
      <c r="H262" s="1">
        <f t="shared" si="576"/>
        <v>46.022111053819934</v>
      </c>
      <c r="I262" s="1">
        <f t="shared" si="580"/>
        <v>-86.191879112236293</v>
      </c>
      <c r="J262" s="1">
        <f t="shared" si="581"/>
        <v>0</v>
      </c>
      <c r="K262" s="1">
        <f t="shared" si="582"/>
        <v>-1.0635558519294261</v>
      </c>
      <c r="L262" s="1">
        <f t="shared" ref="L262:N262" si="604">E262/$H262</f>
        <v>0.99992387832813134</v>
      </c>
      <c r="M262" s="1">
        <f t="shared" si="604"/>
        <v>0</v>
      </c>
      <c r="N262" s="1">
        <f t="shared" si="604"/>
        <v>1.2338458138208459E-2</v>
      </c>
      <c r="O262" s="1">
        <f t="shared" si="578"/>
        <v>1.2338458138208459E-2</v>
      </c>
      <c r="P262" s="1">
        <f t="shared" si="584"/>
        <v>-1.2337518914146696E-2</v>
      </c>
      <c r="Q262" s="1">
        <f t="shared" si="585"/>
        <v>0</v>
      </c>
      <c r="R262" s="1">
        <f t="shared" si="586"/>
        <v>0.99984776245077167</v>
      </c>
      <c r="S262" s="1">
        <f t="shared" si="587"/>
        <v>6.9692356295804903</v>
      </c>
      <c r="T262" s="1">
        <f t="shared" ref="T262:V262" si="605">$S262*P262</f>
        <v>-8.5983076397094363E-2</v>
      </c>
      <c r="U262" s="1">
        <f t="shared" si="605"/>
        <v>0</v>
      </c>
      <c r="V262" s="1">
        <f t="shared" si="605"/>
        <v>6.9681746502282484</v>
      </c>
      <c r="W262" s="1">
        <f t="shared" si="589"/>
        <v>-86.277862188633392</v>
      </c>
      <c r="X262" s="1">
        <f t="shared" si="590"/>
        <v>0</v>
      </c>
      <c r="Y262" s="1">
        <f t="shared" si="591"/>
        <v>-3.9020312017011776</v>
      </c>
    </row>
    <row r="263" spans="1:25">
      <c r="A263" s="1">
        <v>0.26100000000000001</v>
      </c>
      <c r="B263" s="1">
        <f t="shared" si="592"/>
        <v>16.446323376945724</v>
      </c>
      <c r="C263" s="1">
        <f t="shared" si="593"/>
        <v>0</v>
      </c>
      <c r="D263" s="1">
        <f t="shared" si="594"/>
        <v>0.17705623485333227</v>
      </c>
      <c r="E263" s="1">
        <f t="shared" si="595"/>
        <v>45.932329911594962</v>
      </c>
      <c r="F263" s="1">
        <f t="shared" si="596"/>
        <v>0</v>
      </c>
      <c r="G263" s="1">
        <f t="shared" si="597"/>
        <v>0.56393985946783687</v>
      </c>
      <c r="H263" s="1">
        <f t="shared" si="576"/>
        <v>45.935791701816761</v>
      </c>
      <c r="I263" s="1">
        <f t="shared" si="580"/>
        <v>-85.868923578823981</v>
      </c>
      <c r="J263" s="1">
        <f t="shared" si="581"/>
        <v>0</v>
      </c>
      <c r="K263" s="1">
        <f t="shared" si="582"/>
        <v>-1.0542663258950475</v>
      </c>
      <c r="L263" s="1">
        <f t="shared" ref="L263:N263" si="606">E263/$H263</f>
        <v>0.99992463849879265</v>
      </c>
      <c r="M263" s="1">
        <f t="shared" si="606"/>
        <v>0</v>
      </c>
      <c r="N263" s="1">
        <f t="shared" si="606"/>
        <v>1.2276698377782244E-2</v>
      </c>
      <c r="O263" s="1">
        <f t="shared" si="578"/>
        <v>1.2276698377782244E-2</v>
      </c>
      <c r="P263" s="1">
        <f t="shared" si="584"/>
        <v>-1.2275773187362624E-2</v>
      </c>
      <c r="Q263" s="1">
        <f t="shared" si="585"/>
        <v>0</v>
      </c>
      <c r="R263" s="1">
        <f t="shared" si="586"/>
        <v>0.99984928267694095</v>
      </c>
      <c r="S263" s="1">
        <f t="shared" si="587"/>
        <v>6.9431170649916956</v>
      </c>
      <c r="T263" s="1">
        <f t="shared" ref="T263:V263" si="607">$S263*P263</f>
        <v>-8.5232130303144929E-2</v>
      </c>
      <c r="U263" s="1">
        <f t="shared" si="607"/>
        <v>0</v>
      </c>
      <c r="V263" s="1">
        <f t="shared" si="607"/>
        <v>6.9420706169739743</v>
      </c>
      <c r="W263" s="1">
        <f t="shared" si="589"/>
        <v>-85.954155709127122</v>
      </c>
      <c r="X263" s="1">
        <f t="shared" si="590"/>
        <v>0</v>
      </c>
      <c r="Y263" s="1">
        <f t="shared" si="591"/>
        <v>-3.9188457089210722</v>
      </c>
    </row>
    <row r="264" spans="1:25">
      <c r="A264" s="1">
        <v>0.26200000000000001</v>
      </c>
      <c r="B264" s="1">
        <f t="shared" si="592"/>
        <v>16.49216975270161</v>
      </c>
      <c r="C264" s="1">
        <f t="shared" si="593"/>
        <v>0</v>
      </c>
      <c r="D264" s="1">
        <f t="shared" si="594"/>
        <v>0.17761625586709118</v>
      </c>
      <c r="E264" s="1">
        <f t="shared" si="595"/>
        <v>45.846375755885838</v>
      </c>
      <c r="F264" s="1">
        <f t="shared" si="596"/>
        <v>0</v>
      </c>
      <c r="G264" s="1">
        <f t="shared" si="597"/>
        <v>0.56002101375891578</v>
      </c>
      <c r="H264" s="1">
        <f t="shared" si="576"/>
        <v>45.849796002662082</v>
      </c>
      <c r="I264" s="1">
        <f t="shared" si="580"/>
        <v>-85.547782129823517</v>
      </c>
      <c r="J264" s="1">
        <f t="shared" si="581"/>
        <v>0</v>
      </c>
      <c r="K264" s="1">
        <f t="shared" si="582"/>
        <v>-1.0449802167190945</v>
      </c>
      <c r="L264" s="1">
        <f t="shared" ref="L264:N264" si="608">E264/$H264</f>
        <v>0.99992540322805268</v>
      </c>
      <c r="M264" s="1">
        <f t="shared" si="608"/>
        <v>0</v>
      </c>
      <c r="N264" s="1">
        <f t="shared" si="608"/>
        <v>1.2214253117427184E-2</v>
      </c>
      <c r="O264" s="1">
        <f t="shared" si="578"/>
        <v>1.2214253117427184E-2</v>
      </c>
      <c r="P264" s="1">
        <f t="shared" si="584"/>
        <v>-1.2213341973572876E-2</v>
      </c>
      <c r="Q264" s="1">
        <f t="shared" si="585"/>
        <v>0</v>
      </c>
      <c r="R264" s="1">
        <f t="shared" si="586"/>
        <v>0.99985081202078341</v>
      </c>
      <c r="S264" s="1">
        <f t="shared" si="587"/>
        <v>6.9171451901773704</v>
      </c>
      <c r="T264" s="1">
        <f t="shared" ref="T264:V264" si="609">$S264*P264</f>
        <v>-8.4481459688491009E-2</v>
      </c>
      <c r="U264" s="1">
        <f t="shared" si="609"/>
        <v>0</v>
      </c>
      <c r="V264" s="1">
        <f t="shared" si="609"/>
        <v>6.9161132352645005</v>
      </c>
      <c r="W264" s="1">
        <f t="shared" si="589"/>
        <v>-85.632263589512007</v>
      </c>
      <c r="X264" s="1">
        <f t="shared" si="590"/>
        <v>0</v>
      </c>
      <c r="Y264" s="1">
        <f t="shared" si="591"/>
        <v>-3.9355169814545938</v>
      </c>
    </row>
    <row r="265" spans="1:25">
      <c r="A265" s="1">
        <v>0.26300000000000001</v>
      </c>
      <c r="B265" s="1">
        <f t="shared" si="592"/>
        <v>16.537930496193905</v>
      </c>
      <c r="C265" s="1">
        <f t="shared" si="593"/>
        <v>0</v>
      </c>
      <c r="D265" s="1">
        <f t="shared" si="594"/>
        <v>0.17817234136386864</v>
      </c>
      <c r="E265" s="1">
        <f t="shared" si="595"/>
        <v>45.760743492296328</v>
      </c>
      <c r="F265" s="1">
        <f t="shared" si="596"/>
        <v>0</v>
      </c>
      <c r="G265" s="1">
        <f t="shared" si="597"/>
        <v>0.55608549677746122</v>
      </c>
      <c r="H265" s="1">
        <f t="shared" si="576"/>
        <v>45.764122148769189</v>
      </c>
      <c r="I265" s="1">
        <f t="shared" si="580"/>
        <v>-85.228441224441994</v>
      </c>
      <c r="J265" s="1">
        <f t="shared" si="581"/>
        <v>0</v>
      </c>
      <c r="K265" s="1">
        <f t="shared" si="582"/>
        <v>-1.0356977719525287</v>
      </c>
      <c r="L265" s="1">
        <f t="shared" ref="L265:N265" si="610">E265/$H265</f>
        <v>0.99992617237446668</v>
      </c>
      <c r="M265" s="1">
        <f t="shared" si="610"/>
        <v>0</v>
      </c>
      <c r="N265" s="1">
        <f t="shared" si="610"/>
        <v>1.2151123427425276E-2</v>
      </c>
      <c r="O265" s="1">
        <f t="shared" si="578"/>
        <v>1.2151123427425276E-2</v>
      </c>
      <c r="P265" s="1">
        <f t="shared" si="584"/>
        <v>-1.2150226338835066E-2</v>
      </c>
      <c r="Q265" s="1">
        <f t="shared" si="585"/>
        <v>0</v>
      </c>
      <c r="R265" s="1">
        <f t="shared" si="586"/>
        <v>0.99985235019945151</v>
      </c>
      <c r="S265" s="1">
        <f t="shared" si="587"/>
        <v>6.8913189112626405</v>
      </c>
      <c r="T265" s="1">
        <f t="shared" ref="T265:V265" si="611">$S265*P265</f>
        <v>-8.3731084544935525E-2</v>
      </c>
      <c r="U265" s="1">
        <f t="shared" si="611"/>
        <v>0</v>
      </c>
      <c r="V265" s="1">
        <f t="shared" si="611"/>
        <v>6.8903014093998767</v>
      </c>
      <c r="W265" s="1">
        <f t="shared" si="589"/>
        <v>-85.312172308986931</v>
      </c>
      <c r="X265" s="1">
        <f t="shared" si="590"/>
        <v>0</v>
      </c>
      <c r="Y265" s="1">
        <f t="shared" si="591"/>
        <v>-3.9520463625526512</v>
      </c>
    </row>
    <row r="266" spans="1:25">
      <c r="A266" s="1">
        <v>0.26400000000000001</v>
      </c>
      <c r="B266" s="1">
        <f t="shared" si="592"/>
        <v>16.583605927513894</v>
      </c>
      <c r="C266" s="1">
        <f t="shared" si="593"/>
        <v>0</v>
      </c>
      <c r="D266" s="1">
        <f t="shared" si="594"/>
        <v>0.17872447481428355</v>
      </c>
      <c r="E266" s="1">
        <f t="shared" si="595"/>
        <v>45.675431319987339</v>
      </c>
      <c r="F266" s="1">
        <f t="shared" si="596"/>
        <v>0</v>
      </c>
      <c r="G266" s="1">
        <f t="shared" si="597"/>
        <v>0.55213345041490858</v>
      </c>
      <c r="H266" s="1">
        <f t="shared" si="576"/>
        <v>45.678768346070228</v>
      </c>
      <c r="I266" s="1">
        <f t="shared" si="580"/>
        <v>-84.910887448046381</v>
      </c>
      <c r="J266" s="1">
        <f t="shared" si="581"/>
        <v>0</v>
      </c>
      <c r="K266" s="1">
        <f t="shared" si="582"/>
        <v>-1.0264192347969445</v>
      </c>
      <c r="L266" s="1">
        <f t="shared" ref="L266:N266" si="612">E266/$H266</f>
        <v>0.99992694579552566</v>
      </c>
      <c r="M266" s="1">
        <f t="shared" si="612"/>
        <v>0</v>
      </c>
      <c r="N266" s="1">
        <f t="shared" si="612"/>
        <v>1.2087310372115341E-2</v>
      </c>
      <c r="O266" s="1">
        <f t="shared" si="578"/>
        <v>1.2087310372115341E-2</v>
      </c>
      <c r="P266" s="1">
        <f t="shared" si="584"/>
        <v>-1.2086427343271871E-2</v>
      </c>
      <c r="Q266" s="1">
        <f t="shared" si="585"/>
        <v>0</v>
      </c>
      <c r="R266" s="1">
        <f t="shared" si="586"/>
        <v>0.99985389692796811</v>
      </c>
      <c r="S266" s="1">
        <f t="shared" si="587"/>
        <v>6.8656371445656825</v>
      </c>
      <c r="T266" s="1">
        <f t="shared" ref="T266:V266" si="613">$S266*P266</f>
        <v>-8.2981024513061677E-2</v>
      </c>
      <c r="U266" s="1">
        <f t="shared" si="613"/>
        <v>0</v>
      </c>
      <c r="V266" s="1">
        <f t="shared" si="613"/>
        <v>6.8646340538874053</v>
      </c>
      <c r="W266" s="1">
        <f t="shared" si="589"/>
        <v>-84.993868472559441</v>
      </c>
      <c r="X266" s="1">
        <f t="shared" si="590"/>
        <v>0</v>
      </c>
      <c r="Y266" s="1">
        <f t="shared" si="591"/>
        <v>-3.9684351809095384</v>
      </c>
    </row>
    <row r="267" spans="1:25">
      <c r="A267" s="1">
        <v>0.26500000000000001</v>
      </c>
      <c r="B267" s="1">
        <f t="shared" si="592"/>
        <v>16.629196364965409</v>
      </c>
      <c r="C267" s="1">
        <f t="shared" si="593"/>
        <v>0</v>
      </c>
      <c r="D267" s="1">
        <f t="shared" si="594"/>
        <v>0.17927263982951755</v>
      </c>
      <c r="E267" s="1">
        <f t="shared" si="595"/>
        <v>45.590437451514781</v>
      </c>
      <c r="F267" s="1">
        <f t="shared" si="596"/>
        <v>0</v>
      </c>
      <c r="G267" s="1">
        <f t="shared" si="597"/>
        <v>0.54816501523399908</v>
      </c>
      <c r="H267" s="1">
        <f t="shared" si="576"/>
        <v>45.593732813890199</v>
      </c>
      <c r="I267" s="1">
        <f t="shared" si="580"/>
        <v>-84.59510751075544</v>
      </c>
      <c r="J267" s="1">
        <f t="shared" si="581"/>
        <v>0</v>
      </c>
      <c r="K267" s="1">
        <f t="shared" si="582"/>
        <v>-1.0171448441720161</v>
      </c>
      <c r="L267" s="1">
        <f t="shared" ref="L267:N267" si="614">E267/$H267</f>
        <v>0.99992772334766122</v>
      </c>
      <c r="M267" s="1">
        <f t="shared" si="614"/>
        <v>0</v>
      </c>
      <c r="N267" s="1">
        <f t="shared" si="614"/>
        <v>1.2022815009939255E-2</v>
      </c>
      <c r="O267" s="1">
        <f t="shared" si="578"/>
        <v>1.2022815009939255E-2</v>
      </c>
      <c r="P267" s="1">
        <f t="shared" si="584"/>
        <v>-1.2021946041118649E-2</v>
      </c>
      <c r="Q267" s="1">
        <f t="shared" si="585"/>
        <v>0</v>
      </c>
      <c r="R267" s="1">
        <f t="shared" si="586"/>
        <v>0.99985545191923675</v>
      </c>
      <c r="S267" s="1">
        <f t="shared" si="587"/>
        <v>6.8400988164839234</v>
      </c>
      <c r="T267" s="1">
        <f t="shared" ref="T267:V267" si="615">$S267*P267</f>
        <v>-8.2231298887689264E-2</v>
      </c>
      <c r="U267" s="1">
        <f t="shared" si="615"/>
        <v>0</v>
      </c>
      <c r="V267" s="1">
        <f t="shared" si="615"/>
        <v>6.8391100933277693</v>
      </c>
      <c r="W267" s="1">
        <f t="shared" si="589"/>
        <v>-84.677338809643132</v>
      </c>
      <c r="X267" s="1">
        <f t="shared" si="590"/>
        <v>0</v>
      </c>
      <c r="Y267" s="1">
        <f t="shared" si="591"/>
        <v>-3.984684750844246</v>
      </c>
    </row>
    <row r="268" spans="1:25">
      <c r="A268" s="1">
        <v>0.26600000000000001</v>
      </c>
      <c r="B268" s="1">
        <f t="shared" si="592"/>
        <v>16.674702125078113</v>
      </c>
      <c r="C268" s="1">
        <f t="shared" si="593"/>
        <v>0</v>
      </c>
      <c r="D268" s="1">
        <f t="shared" si="594"/>
        <v>0.1798168201600007</v>
      </c>
      <c r="E268" s="1">
        <f t="shared" si="595"/>
        <v>45.50576011270514</v>
      </c>
      <c r="F268" s="1">
        <f t="shared" si="596"/>
        <v>0</v>
      </c>
      <c r="G268" s="1">
        <f t="shared" si="597"/>
        <v>0.54418033048315484</v>
      </c>
      <c r="H268" s="1">
        <f t="shared" si="576"/>
        <v>45.509013784822358</v>
      </c>
      <c r="I268" s="1">
        <f t="shared" si="580"/>
        <v>-84.281088246049904</v>
      </c>
      <c r="J268" s="1">
        <f t="shared" si="581"/>
        <v>0</v>
      </c>
      <c r="K268" s="1">
        <f t="shared" si="582"/>
        <v>-1.007874834781854</v>
      </c>
      <c r="L268" s="1">
        <f t="shared" ref="L268:N268" si="616">E268/$H268</f>
        <v>0.99992850488624951</v>
      </c>
      <c r="M268" s="1">
        <f t="shared" si="616"/>
        <v>0</v>
      </c>
      <c r="N268" s="1">
        <f t="shared" si="616"/>
        <v>1.1957638393487744E-2</v>
      </c>
      <c r="O268" s="1">
        <f t="shared" si="578"/>
        <v>1.1957638393487744E-2</v>
      </c>
      <c r="P268" s="1">
        <f t="shared" si="584"/>
        <v>-1.1956783480770615E-2</v>
      </c>
      <c r="Q268" s="1">
        <f t="shared" si="585"/>
        <v>0</v>
      </c>
      <c r="R268" s="1">
        <f t="shared" si="586"/>
        <v>0.99985701488405054</v>
      </c>
      <c r="S268" s="1">
        <f t="shared" si="587"/>
        <v>6.8147028633817044</v>
      </c>
      <c r="T268" s="1">
        <f t="shared" ref="T268:V268" si="617">$S268*P268</f>
        <v>-8.1481926623242565E-2</v>
      </c>
      <c r="U268" s="1">
        <f t="shared" si="617"/>
        <v>0</v>
      </c>
      <c r="V268" s="1">
        <f t="shared" si="617"/>
        <v>6.8137284623026231</v>
      </c>
      <c r="W268" s="1">
        <f t="shared" si="589"/>
        <v>-84.362570172673145</v>
      </c>
      <c r="X268" s="1">
        <f t="shared" si="590"/>
        <v>0</v>
      </c>
      <c r="Y268" s="1">
        <f t="shared" si="591"/>
        <v>-4.0007963724792308</v>
      </c>
    </row>
    <row r="269" spans="1:25">
      <c r="A269" s="1">
        <v>0.26700000000000002</v>
      </c>
      <c r="B269" s="1">
        <f t="shared" si="592"/>
        <v>16.720123522620646</v>
      </c>
      <c r="C269" s="1">
        <f t="shared" si="593"/>
        <v>0</v>
      </c>
      <c r="D269" s="1">
        <f t="shared" si="594"/>
        <v>0.18035699969411137</v>
      </c>
      <c r="E269" s="1">
        <f t="shared" si="595"/>
        <v>45.421397542532468</v>
      </c>
      <c r="F269" s="1">
        <f t="shared" si="596"/>
        <v>0</v>
      </c>
      <c r="G269" s="1">
        <f t="shared" si="597"/>
        <v>0.54017953411067565</v>
      </c>
      <c r="H269" s="1">
        <f t="shared" si="576"/>
        <v>45.424609504604952</v>
      </c>
      <c r="I269" s="1">
        <f t="shared" si="580"/>
        <v>-83.96881660940052</v>
      </c>
      <c r="J269" s="1">
        <f t="shared" si="581"/>
        <v>0</v>
      </c>
      <c r="K269" s="1">
        <f t="shared" si="582"/>
        <v>-0.99860943718029405</v>
      </c>
      <c r="L269" s="1">
        <f t="shared" ref="L269:N269" si="618">E269/$H269</f>
        <v>0.99992929026561783</v>
      </c>
      <c r="M269" s="1">
        <f t="shared" si="618"/>
        <v>0</v>
      </c>
      <c r="N269" s="1">
        <f t="shared" si="618"/>
        <v>1.189178156954579E-2</v>
      </c>
      <c r="O269" s="1">
        <f t="shared" si="578"/>
        <v>1.189178156954579E-2</v>
      </c>
      <c r="P269" s="1">
        <f t="shared" si="584"/>
        <v>-1.1890940704829676E-2</v>
      </c>
      <c r="Q269" s="1">
        <f t="shared" si="585"/>
        <v>0</v>
      </c>
      <c r="R269" s="1">
        <f t="shared" si="586"/>
        <v>0.99985858553110218</v>
      </c>
      <c r="S269" s="1">
        <f t="shared" si="587"/>
        <v>6.7894482314793887</v>
      </c>
      <c r="T269" s="1">
        <f t="shared" ref="T269:V269" si="619">$S269*P269</f>
        <v>-8.0732926339032118E-2</v>
      </c>
      <c r="U269" s="1">
        <f t="shared" si="619"/>
        <v>0</v>
      </c>
      <c r="V269" s="1">
        <f t="shared" si="619"/>
        <v>6.7884881052636246</v>
      </c>
      <c r="W269" s="1">
        <f t="shared" si="589"/>
        <v>-84.049549535739558</v>
      </c>
      <c r="X269" s="1">
        <f t="shared" si="590"/>
        <v>0</v>
      </c>
      <c r="Y269" s="1">
        <f t="shared" si="591"/>
        <v>-4.0167713319166687</v>
      </c>
    </row>
    <row r="270" spans="1:25">
      <c r="A270" s="1">
        <v>0.26800000000000002</v>
      </c>
      <c r="B270" s="1">
        <f t="shared" si="592"/>
        <v>16.765460870613644</v>
      </c>
      <c r="C270" s="1">
        <f t="shared" si="593"/>
        <v>0</v>
      </c>
      <c r="D270" s="1">
        <f t="shared" si="594"/>
        <v>0.18089316245689013</v>
      </c>
      <c r="E270" s="1">
        <f t="shared" si="595"/>
        <v>45.337347992996726</v>
      </c>
      <c r="F270" s="1">
        <f t="shared" si="596"/>
        <v>0</v>
      </c>
      <c r="G270" s="1">
        <f t="shared" si="597"/>
        <v>0.53616276277875896</v>
      </c>
      <c r="H270" s="1">
        <f t="shared" si="576"/>
        <v>45.340518231999454</v>
      </c>
      <c r="I270" s="1">
        <f t="shared" si="580"/>
        <v>-83.658279676914319</v>
      </c>
      <c r="J270" s="1">
        <f t="shared" si="581"/>
        <v>0</v>
      </c>
      <c r="K270" s="1">
        <f t="shared" si="582"/>
        <v>-0.9893488778351387</v>
      </c>
      <c r="L270" s="1">
        <f t="shared" ref="L270:N270" si="620">E270/$H270</f>
        <v>0.9999300793390471</v>
      </c>
      <c r="M270" s="1">
        <f t="shared" si="620"/>
        <v>0</v>
      </c>
      <c r="N270" s="1">
        <f t="shared" si="620"/>
        <v>1.1825245579137592E-2</v>
      </c>
      <c r="O270" s="1">
        <f t="shared" si="578"/>
        <v>1.1825245579137592E-2</v>
      </c>
      <c r="P270" s="1">
        <f t="shared" si="584"/>
        <v>-1.1824418750150768E-2</v>
      </c>
      <c r="Q270" s="1">
        <f t="shared" si="585"/>
        <v>0</v>
      </c>
      <c r="R270" s="1">
        <f t="shared" si="586"/>
        <v>0.99986016356699303</v>
      </c>
      <c r="S270" s="1">
        <f t="shared" si="587"/>
        <v>6.7643338767439598</v>
      </c>
      <c r="T270" s="1">
        <f t="shared" ref="T270:V270" si="621">$S270*P270</f>
        <v>-7.9984316324451313E-2</v>
      </c>
      <c r="U270" s="1">
        <f t="shared" si="621"/>
        <v>0</v>
      </c>
      <c r="V270" s="1">
        <f t="shared" si="621"/>
        <v>6.7633879764229681</v>
      </c>
      <c r="W270" s="1">
        <f t="shared" si="589"/>
        <v>-83.738263993238775</v>
      </c>
      <c r="X270" s="1">
        <f t="shared" si="590"/>
        <v>0</v>
      </c>
      <c r="Y270" s="1">
        <f t="shared" si="591"/>
        <v>-4.0326109014121698</v>
      </c>
    </row>
    <row r="271" spans="1:25">
      <c r="A271" s="1">
        <v>0.26900000000000002</v>
      </c>
      <c r="B271" s="1">
        <f t="shared" si="592"/>
        <v>16.810714480342646</v>
      </c>
      <c r="C271" s="1">
        <f t="shared" si="593"/>
        <v>0</v>
      </c>
      <c r="D271" s="1">
        <f t="shared" si="594"/>
        <v>0.18142529260876747</v>
      </c>
      <c r="E271" s="1">
        <f t="shared" si="595"/>
        <v>45.253609729003486</v>
      </c>
      <c r="F271" s="1">
        <f t="shared" si="596"/>
        <v>0</v>
      </c>
      <c r="G271" s="1">
        <f t="shared" si="597"/>
        <v>0.5321301518773468</v>
      </c>
      <c r="H271" s="1">
        <f t="shared" si="576"/>
        <v>45.25673823867001</v>
      </c>
      <c r="I271" s="1">
        <f t="shared" si="580"/>
        <v>-83.349464643997891</v>
      </c>
      <c r="J271" s="1">
        <f t="shared" si="581"/>
        <v>0</v>
      </c>
      <c r="K271" s="1">
        <f t="shared" si="582"/>
        <v>-0.98009337919136252</v>
      </c>
      <c r="L271" s="1">
        <f t="shared" ref="L271:N271" si="622">E271/$H271</f>
        <v>0.99993087195877828</v>
      </c>
      <c r="M271" s="1">
        <f t="shared" si="622"/>
        <v>0</v>
      </c>
      <c r="N271" s="1">
        <f t="shared" si="622"/>
        <v>1.1758031457571186E-2</v>
      </c>
      <c r="O271" s="1">
        <f t="shared" si="578"/>
        <v>1.1758031457571186E-2</v>
      </c>
      <c r="P271" s="1">
        <f t="shared" si="584"/>
        <v>-1.1757218647887901E-2</v>
      </c>
      <c r="Q271" s="1">
        <f t="shared" si="585"/>
        <v>0</v>
      </c>
      <c r="R271" s="1">
        <f t="shared" si="586"/>
        <v>0.99986174869624278</v>
      </c>
      <c r="S271" s="1">
        <f t="shared" si="587"/>
        <v>6.7393587647809667</v>
      </c>
      <c r="T271" s="1">
        <f t="shared" ref="T271:V271" si="623">$S271*P271</f>
        <v>-7.9236114544089548E-2</v>
      </c>
      <c r="U271" s="1">
        <f t="shared" si="623"/>
        <v>0</v>
      </c>
      <c r="V271" s="1">
        <f t="shared" si="623"/>
        <v>6.7384270396452477</v>
      </c>
      <c r="W271" s="1">
        <f t="shared" si="589"/>
        <v>-83.428700758541979</v>
      </c>
      <c r="X271" s="1">
        <f t="shared" si="590"/>
        <v>0</v>
      </c>
      <c r="Y271" s="1">
        <f t="shared" si="591"/>
        <v>-4.0483163395461146</v>
      </c>
    </row>
    <row r="272" spans="1:25">
      <c r="A272" s="1">
        <v>0.27</v>
      </c>
      <c r="B272" s="1">
        <f t="shared" si="592"/>
        <v>16.85588466137089</v>
      </c>
      <c r="C272" s="1">
        <f t="shared" si="593"/>
        <v>0</v>
      </c>
      <c r="D272" s="1">
        <f t="shared" si="594"/>
        <v>0.18195337444430526</v>
      </c>
      <c r="E272" s="1">
        <f t="shared" si="595"/>
        <v>45.170181028244947</v>
      </c>
      <c r="F272" s="1">
        <f t="shared" si="596"/>
        <v>0</v>
      </c>
      <c r="G272" s="1">
        <f t="shared" si="597"/>
        <v>0.52808183553780064</v>
      </c>
      <c r="H272" s="1">
        <f t="shared" si="576"/>
        <v>45.173267809064299</v>
      </c>
      <c r="I272" s="1">
        <f t="shared" si="580"/>
        <v>-83.042358824038118</v>
      </c>
      <c r="J272" s="1">
        <f t="shared" si="581"/>
        <v>0</v>
      </c>
      <c r="K272" s="1">
        <f t="shared" si="582"/>
        <v>-0.97084315973330537</v>
      </c>
      <c r="L272" s="1">
        <f t="shared" ref="L272:N272" si="624">E272/$H272</f>
        <v>0.99993166797601629</v>
      </c>
      <c r="M272" s="1">
        <f t="shared" si="624"/>
        <v>0</v>
      </c>
      <c r="N272" s="1">
        <f t="shared" si="624"/>
        <v>1.1690140234482609E-2</v>
      </c>
      <c r="O272" s="1">
        <f t="shared" si="578"/>
        <v>1.1690140234482609E-2</v>
      </c>
      <c r="P272" s="1">
        <f t="shared" si="584"/>
        <v>-1.1689341423539733E-2</v>
      </c>
      <c r="Q272" s="1">
        <f t="shared" si="585"/>
        <v>0</v>
      </c>
      <c r="R272" s="1">
        <f t="shared" si="586"/>
        <v>0.99986334062129811</v>
      </c>
      <c r="S272" s="1">
        <f t="shared" si="587"/>
        <v>6.7145218707279106</v>
      </c>
      <c r="T272" s="1">
        <f t="shared" ref="T272:V272" si="625">$S272*P272</f>
        <v>-7.8488338642763264E-2</v>
      </c>
      <c r="U272" s="1">
        <f t="shared" si="625"/>
        <v>0</v>
      </c>
      <c r="V272" s="1">
        <f t="shared" si="625"/>
        <v>6.7136042683407764</v>
      </c>
      <c r="W272" s="1">
        <f t="shared" si="589"/>
        <v>-83.120847162680874</v>
      </c>
      <c r="X272" s="1">
        <f t="shared" si="590"/>
        <v>0</v>
      </c>
      <c r="Y272" s="1">
        <f t="shared" si="591"/>
        <v>-4.0638888913925282</v>
      </c>
    </row>
    <row r="273" spans="1:25">
      <c r="A273" s="1">
        <v>0.27100000000000002</v>
      </c>
      <c r="B273" s="1">
        <f t="shared" si="592"/>
        <v>16.900971721551972</v>
      </c>
      <c r="C273" s="1">
        <f t="shared" si="593"/>
        <v>0</v>
      </c>
      <c r="D273" s="1">
        <f t="shared" si="594"/>
        <v>0.18247739239095168</v>
      </c>
      <c r="E273" s="1">
        <f t="shared" si="595"/>
        <v>45.087060181082265</v>
      </c>
      <c r="F273" s="1">
        <f t="shared" si="596"/>
        <v>0</v>
      </c>
      <c r="G273" s="1">
        <f t="shared" si="597"/>
        <v>0.52401794664640811</v>
      </c>
      <c r="H273" s="1">
        <f t="shared" si="576"/>
        <v>45.090105240295699</v>
      </c>
      <c r="I273" s="1">
        <f t="shared" si="580"/>
        <v>-82.736949647099991</v>
      </c>
      <c r="J273" s="1">
        <f t="shared" si="581"/>
        <v>0</v>
      </c>
      <c r="K273" s="1">
        <f t="shared" si="582"/>
        <v>-0.96159843404586987</v>
      </c>
      <c r="L273" s="1">
        <f t="shared" ref="L273:N273" si="626">E273/$H273</f>
        <v>0.99993246724093443</v>
      </c>
      <c r="M273" s="1">
        <f t="shared" si="626"/>
        <v>0</v>
      </c>
      <c r="N273" s="1">
        <f t="shared" si="626"/>
        <v>1.1621572933879708E-2</v>
      </c>
      <c r="O273" s="1">
        <f t="shared" si="578"/>
        <v>1.1621572933879708E-2</v>
      </c>
      <c r="P273" s="1">
        <f t="shared" si="584"/>
        <v>-1.1620788096994801E-2</v>
      </c>
      <c r="Q273" s="1">
        <f t="shared" si="585"/>
        <v>0</v>
      </c>
      <c r="R273" s="1">
        <f t="shared" si="586"/>
        <v>0.99986493904254248</v>
      </c>
      <c r="S273" s="1">
        <f t="shared" si="587"/>
        <v>6.6898221791489902</v>
      </c>
      <c r="T273" s="1">
        <f t="shared" ref="T273:V273" si="627">$S273*P273</f>
        <v>-7.7741005950466402E-2</v>
      </c>
      <c r="U273" s="1">
        <f t="shared" si="627"/>
        <v>0</v>
      </c>
      <c r="V273" s="1">
        <f t="shared" si="627"/>
        <v>6.6889186453602534</v>
      </c>
      <c r="W273" s="1">
        <f t="shared" si="589"/>
        <v>-82.814690653050462</v>
      </c>
      <c r="X273" s="1">
        <f t="shared" si="590"/>
        <v>0</v>
      </c>
      <c r="Y273" s="1">
        <f t="shared" si="591"/>
        <v>-4.0793297886856159</v>
      </c>
    </row>
    <row r="274" spans="1:25">
      <c r="A274" s="1">
        <v>0.27200000000000002</v>
      </c>
      <c r="B274" s="1">
        <f t="shared" si="592"/>
        <v>16.945975967042401</v>
      </c>
      <c r="C274" s="1">
        <f t="shared" si="593"/>
        <v>0</v>
      </c>
      <c r="D274" s="1">
        <f t="shared" si="594"/>
        <v>0.18299733100780941</v>
      </c>
      <c r="E274" s="1">
        <f t="shared" si="595"/>
        <v>45.004245490429213</v>
      </c>
      <c r="F274" s="1">
        <f t="shared" si="596"/>
        <v>0</v>
      </c>
      <c r="G274" s="1">
        <f t="shared" si="597"/>
        <v>0.51993861685772247</v>
      </c>
      <c r="H274" s="1">
        <f t="shared" si="576"/>
        <v>45.007248842026748</v>
      </c>
      <c r="I274" s="1">
        <f t="shared" si="580"/>
        <v>-82.433224658641024</v>
      </c>
      <c r="J274" s="1">
        <f t="shared" si="581"/>
        <v>0</v>
      </c>
      <c r="K274" s="1">
        <f t="shared" si="582"/>
        <v>-0.95235941287473747</v>
      </c>
      <c r="L274" s="1">
        <f t="shared" ref="L274:N274" si="628">E274/$H274</f>
        <v>0.99993326960267936</v>
      </c>
      <c r="M274" s="1">
        <f t="shared" si="628"/>
        <v>0</v>
      </c>
      <c r="N274" s="1">
        <f t="shared" si="628"/>
        <v>1.1552330574185542E-2</v>
      </c>
      <c r="O274" s="1">
        <f t="shared" si="578"/>
        <v>1.1552330574185542E-2</v>
      </c>
      <c r="P274" s="1">
        <f t="shared" si="584"/>
        <v>-1.1551559682576347E-2</v>
      </c>
      <c r="Q274" s="1">
        <f t="shared" si="585"/>
        <v>0</v>
      </c>
      <c r="R274" s="1">
        <f t="shared" si="586"/>
        <v>0.99986654365830474</v>
      </c>
      <c r="S274" s="1">
        <f t="shared" si="587"/>
        <v>6.6652586839311994</v>
      </c>
      <c r="T274" s="1">
        <f t="shared" ref="T274:V274" si="629">$S274*P274</f>
        <v>-7.6994133487241531E-2</v>
      </c>
      <c r="U274" s="1">
        <f t="shared" si="629"/>
        <v>0</v>
      </c>
      <c r="V274" s="1">
        <f t="shared" si="629"/>
        <v>6.6643691628907895</v>
      </c>
      <c r="W274" s="1">
        <f t="shared" si="589"/>
        <v>-82.510218792128271</v>
      </c>
      <c r="X274" s="1">
        <f t="shared" si="590"/>
        <v>0</v>
      </c>
      <c r="Y274" s="1">
        <f t="shared" si="591"/>
        <v>-4.0946402499839474</v>
      </c>
    </row>
    <row r="275" spans="1:25">
      <c r="A275" s="1">
        <v>0.27300000000000002</v>
      </c>
      <c r="B275" s="1">
        <f t="shared" si="592"/>
        <v>16.990897702314037</v>
      </c>
      <c r="C275" s="1">
        <f t="shared" si="593"/>
        <v>0</v>
      </c>
      <c r="D275" s="1">
        <f t="shared" si="594"/>
        <v>0.18351317498441713</v>
      </c>
      <c r="E275" s="1">
        <f t="shared" si="595"/>
        <v>44.921735271637083</v>
      </c>
      <c r="F275" s="1">
        <f t="shared" si="596"/>
        <v>0</v>
      </c>
      <c r="G275" s="1">
        <f t="shared" si="597"/>
        <v>0.51584397660773851</v>
      </c>
      <c r="H275" s="1">
        <f t="shared" si="576"/>
        <v>44.924696936353904</v>
      </c>
      <c r="I275" s="1">
        <f t="shared" si="580"/>
        <v>-82.131171518242198</v>
      </c>
      <c r="J275" s="1">
        <f t="shared" si="581"/>
        <v>0</v>
      </c>
      <c r="K275" s="1">
        <f t="shared" si="582"/>
        <v>-0.94312630318562296</v>
      </c>
      <c r="L275" s="1">
        <f t="shared" ref="L275:N275" si="630">E275/$H275</f>
        <v>0.99993407490937525</v>
      </c>
      <c r="M275" s="1">
        <f t="shared" si="630"/>
        <v>0</v>
      </c>
      <c r="N275" s="1">
        <f t="shared" si="630"/>
        <v>1.1482414168281409E-2</v>
      </c>
      <c r="O275" s="1">
        <f t="shared" si="578"/>
        <v>1.1482414168281409E-2</v>
      </c>
      <c r="P275" s="1">
        <f t="shared" si="584"/>
        <v>-1.1481657189086775E-2</v>
      </c>
      <c r="Q275" s="1">
        <f t="shared" si="585"/>
        <v>0</v>
      </c>
      <c r="R275" s="1">
        <f t="shared" si="586"/>
        <v>0.99986815416486807</v>
      </c>
      <c r="S275" s="1">
        <f t="shared" si="587"/>
        <v>6.6408303881817679</v>
      </c>
      <c r="T275" s="1">
        <f t="shared" ref="T275:V275" si="631">$S275*P275</f>
        <v>-7.6247737967973114E-2</v>
      </c>
      <c r="U275" s="1">
        <f t="shared" si="631"/>
        <v>0</v>
      </c>
      <c r="V275" s="1">
        <f t="shared" si="631"/>
        <v>6.6399548223532685</v>
      </c>
      <c r="W275" s="1">
        <f t="shared" si="589"/>
        <v>-82.207419256210173</v>
      </c>
      <c r="X275" s="1">
        <f t="shared" si="590"/>
        <v>0</v>
      </c>
      <c r="Y275" s="1">
        <f t="shared" si="591"/>
        <v>-4.1098214808323537</v>
      </c>
    </row>
    <row r="276" spans="1:25">
      <c r="A276" s="1">
        <v>0.27400000000000002</v>
      </c>
      <c r="B276" s="1">
        <f t="shared" si="592"/>
        <v>17.035737230166418</v>
      </c>
      <c r="C276" s="1">
        <f t="shared" si="593"/>
        <v>0</v>
      </c>
      <c r="D276" s="1">
        <f t="shared" si="594"/>
        <v>0.18402490913954403</v>
      </c>
      <c r="E276" s="1">
        <f t="shared" si="595"/>
        <v>44.839527852380876</v>
      </c>
      <c r="F276" s="1">
        <f t="shared" si="596"/>
        <v>0</v>
      </c>
      <c r="G276" s="1">
        <f t="shared" si="597"/>
        <v>0.51173415512690612</v>
      </c>
      <c r="H276" s="1">
        <f t="shared" si="576"/>
        <v>44.842447857693536</v>
      </c>
      <c r="I276" s="1">
        <f t="shared" si="580"/>
        <v>-81.830777998355217</v>
      </c>
      <c r="J276" s="1">
        <f t="shared" si="581"/>
        <v>0</v>
      </c>
      <c r="K276" s="1">
        <f t="shared" si="582"/>
        <v>-0.9338993082225826</v>
      </c>
      <c r="L276" s="1">
        <f t="shared" ref="L276:N276" si="632">E276/$H276</f>
        <v>0.99993488300812827</v>
      </c>
      <c r="M276" s="1">
        <f t="shared" si="632"/>
        <v>0</v>
      </c>
      <c r="N276" s="1">
        <f t="shared" si="632"/>
        <v>1.1411824723549494E-2</v>
      </c>
      <c r="O276" s="1">
        <f t="shared" si="578"/>
        <v>1.1411824723549494E-2</v>
      </c>
      <c r="P276" s="1">
        <f t="shared" si="584"/>
        <v>-1.1411081619851729E-2</v>
      </c>
      <c r="Q276" s="1">
        <f t="shared" si="585"/>
        <v>0</v>
      </c>
      <c r="R276" s="1">
        <f t="shared" si="586"/>
        <v>0.99986977025647894</v>
      </c>
      <c r="S276" s="1">
        <f t="shared" si="587"/>
        <v>6.6165363041269014</v>
      </c>
      <c r="T276" s="1">
        <f t="shared" ref="T276:V276" si="633">$S276*P276</f>
        <v>-7.5501835807104178E-2</v>
      </c>
      <c r="U276" s="1">
        <f t="shared" si="633"/>
        <v>0</v>
      </c>
      <c r="V276" s="1">
        <f t="shared" si="633"/>
        <v>6.6156746343010173</v>
      </c>
      <c r="W276" s="1">
        <f t="shared" si="589"/>
        <v>-81.906279834162319</v>
      </c>
      <c r="X276" s="1">
        <f t="shared" si="590"/>
        <v>0</v>
      </c>
      <c r="Y276" s="1">
        <f t="shared" si="591"/>
        <v>-4.1248746739215649</v>
      </c>
    </row>
    <row r="277" spans="1:25">
      <c r="A277" s="1">
        <v>0.27500000000000002</v>
      </c>
      <c r="B277" s="1">
        <f t="shared" si="592"/>
        <v>17.080494851738965</v>
      </c>
      <c r="C277" s="1">
        <f t="shared" si="593"/>
        <v>0</v>
      </c>
      <c r="D277" s="1">
        <f t="shared" si="594"/>
        <v>0.18453251841999702</v>
      </c>
      <c r="E277" s="1">
        <f t="shared" si="595"/>
        <v>44.757621572546711</v>
      </c>
      <c r="F277" s="1">
        <f t="shared" si="596"/>
        <v>0</v>
      </c>
      <c r="G277" s="1">
        <f t="shared" si="597"/>
        <v>0.50760928045298459</v>
      </c>
      <c r="H277" s="1">
        <f t="shared" si="576"/>
        <v>44.760499952669214</v>
      </c>
      <c r="I277" s="1">
        <f t="shared" si="580"/>
        <v>-81.532031983065693</v>
      </c>
      <c r="J277" s="1">
        <f t="shared" si="581"/>
        <v>0</v>
      </c>
      <c r="K277" s="1">
        <f t="shared" si="582"/>
        <v>-0.92467862756539265</v>
      </c>
      <c r="L277" s="1">
        <f t="shared" ref="L277:N277" si="634">E277/$H277</f>
        <v>0.99993569374503088</v>
      </c>
      <c r="M277" s="1">
        <f t="shared" si="634"/>
        <v>0</v>
      </c>
      <c r="N277" s="1">
        <f t="shared" si="634"/>
        <v>1.1340563241915133E-2</v>
      </c>
      <c r="O277" s="1">
        <f t="shared" si="578"/>
        <v>1.1340563241915133E-2</v>
      </c>
      <c r="P277" s="1">
        <f t="shared" si="584"/>
        <v>-1.1339833972763806E-2</v>
      </c>
      <c r="Q277" s="1">
        <f t="shared" si="585"/>
        <v>0</v>
      </c>
      <c r="R277" s="1">
        <f t="shared" si="586"/>
        <v>0.9998713916253561</v>
      </c>
      <c r="S277" s="1">
        <f t="shared" si="587"/>
        <v>6.5923754530118321</v>
      </c>
      <c r="T277" s="1">
        <f t="shared" ref="T277:V277" si="635">$S277*P277</f>
        <v>-7.4756443123277755E-2</v>
      </c>
      <c r="U277" s="1">
        <f t="shared" si="635"/>
        <v>0</v>
      </c>
      <c r="V277" s="1">
        <f t="shared" si="635"/>
        <v>6.5915276183197777</v>
      </c>
      <c r="W277" s="1">
        <f t="shared" si="589"/>
        <v>-81.60678842618897</v>
      </c>
      <c r="X277" s="1">
        <f t="shared" si="590"/>
        <v>0</v>
      </c>
      <c r="Y277" s="1">
        <f t="shared" si="591"/>
        <v>-4.1398010092456143</v>
      </c>
    </row>
    <row r="278" spans="1:25">
      <c r="A278" s="1">
        <v>0.27600000000000002</v>
      </c>
      <c r="B278" s="1">
        <f t="shared" si="592"/>
        <v>17.125170866523085</v>
      </c>
      <c r="C278" s="1">
        <f t="shared" si="593"/>
        <v>0</v>
      </c>
      <c r="D278" s="1">
        <f t="shared" si="594"/>
        <v>0.18503598789944076</v>
      </c>
      <c r="E278" s="1">
        <f t="shared" si="595"/>
        <v>44.676014784120525</v>
      </c>
      <c r="F278" s="1">
        <f t="shared" si="596"/>
        <v>0</v>
      </c>
      <c r="G278" s="1">
        <f t="shared" si="597"/>
        <v>0.50346947944373899</v>
      </c>
      <c r="H278" s="1">
        <f t="shared" si="576"/>
        <v>44.678851580000206</v>
      </c>
      <c r="I278" s="1">
        <f t="shared" si="580"/>
        <v>-81.234921466872223</v>
      </c>
      <c r="J278" s="1">
        <f t="shared" si="581"/>
        <v>0</v>
      </c>
      <c r="K278" s="1">
        <f t="shared" si="582"/>
        <v>-0.91546445718601277</v>
      </c>
      <c r="L278" s="1">
        <f t="shared" ref="L278:N278" si="636">E278/$H278</f>
        <v>0.99993650696516667</v>
      </c>
      <c r="M278" s="1">
        <f t="shared" si="636"/>
        <v>0</v>
      </c>
      <c r="N278" s="1">
        <f t="shared" si="636"/>
        <v>1.126863071988872E-2</v>
      </c>
      <c r="O278" s="1">
        <f t="shared" si="578"/>
        <v>1.126863071988872E-2</v>
      </c>
      <c r="P278" s="1">
        <f t="shared" si="584"/>
        <v>-1.1267915240325898E-2</v>
      </c>
      <c r="Q278" s="1">
        <f t="shared" si="585"/>
        <v>0</v>
      </c>
      <c r="R278" s="1">
        <f t="shared" si="586"/>
        <v>0.99987301796169881</v>
      </c>
      <c r="S278" s="1">
        <f t="shared" si="587"/>
        <v>6.5683468650021366</v>
      </c>
      <c r="T278" s="1">
        <f t="shared" ref="T278:V278" si="637">$S278*P278</f>
        <v>-7.4011575743904406E-2</v>
      </c>
      <c r="U278" s="1">
        <f t="shared" si="637"/>
        <v>0</v>
      </c>
      <c r="V278" s="1">
        <f t="shared" si="637"/>
        <v>6.5675128029289498</v>
      </c>
      <c r="W278" s="1">
        <f t="shared" si="589"/>
        <v>-81.308933042616133</v>
      </c>
      <c r="X278" s="1">
        <f t="shared" si="590"/>
        <v>0</v>
      </c>
      <c r="Y278" s="1">
        <f t="shared" si="591"/>
        <v>-4.1546016542570623</v>
      </c>
    </row>
    <row r="279" spans="1:25">
      <c r="A279" s="1">
        <v>0.27700000000000002</v>
      </c>
      <c r="B279" s="1">
        <f t="shared" si="592"/>
        <v>17.169765572374164</v>
      </c>
      <c r="C279" s="1">
        <f t="shared" si="593"/>
        <v>0</v>
      </c>
      <c r="D279" s="1">
        <f t="shared" si="594"/>
        <v>0.18553530277723024</v>
      </c>
      <c r="E279" s="1">
        <f t="shared" si="595"/>
        <v>44.594705851077912</v>
      </c>
      <c r="F279" s="1">
        <f t="shared" si="596"/>
        <v>0</v>
      </c>
      <c r="G279" s="1">
        <f t="shared" si="597"/>
        <v>0.49931487778948191</v>
      </c>
      <c r="H279" s="1">
        <f t="shared" si="576"/>
        <v>44.5975011103912</v>
      </c>
      <c r="I279" s="1">
        <f t="shared" si="580"/>
        <v>-80.939434553480936</v>
      </c>
      <c r="J279" s="1">
        <f t="shared" si="581"/>
        <v>0</v>
      </c>
      <c r="K279" s="1">
        <f t="shared" si="582"/>
        <v>-0.90625698950415301</v>
      </c>
      <c r="L279" s="1">
        <f t="shared" ref="L279:N279" si="638">E279/$H279</f>
        <v>0.99993732251261414</v>
      </c>
      <c r="M279" s="1">
        <f t="shared" si="638"/>
        <v>0</v>
      </c>
      <c r="N279" s="1">
        <f t="shared" si="638"/>
        <v>1.1196028148607227E-2</v>
      </c>
      <c r="O279" s="1">
        <f t="shared" si="578"/>
        <v>1.1196028148607227E-2</v>
      </c>
      <c r="P279" s="1">
        <f t="shared" si="584"/>
        <v>-1.1195326409694171E-2</v>
      </c>
      <c r="Q279" s="1">
        <f t="shared" si="585"/>
        <v>0</v>
      </c>
      <c r="R279" s="1">
        <f t="shared" si="586"/>
        <v>0.9998746489536956</v>
      </c>
      <c r="S279" s="1">
        <f t="shared" si="587"/>
        <v>6.5444495790863151</v>
      </c>
      <c r="T279" s="1">
        <f t="shared" ref="T279:V279" si="639">$S279*P279</f>
        <v>-7.3267249209656923E-2</v>
      </c>
      <c r="U279" s="1">
        <f t="shared" si="639"/>
        <v>0</v>
      </c>
      <c r="V279" s="1">
        <f t="shared" si="639"/>
        <v>6.5436292254840902</v>
      </c>
      <c r="W279" s="1">
        <f t="shared" si="589"/>
        <v>-81.0127018026906</v>
      </c>
      <c r="X279" s="1">
        <f t="shared" si="590"/>
        <v>0</v>
      </c>
      <c r="Y279" s="1">
        <f t="shared" si="591"/>
        <v>-4.1692777640200624</v>
      </c>
    </row>
    <row r="280" spans="1:25">
      <c r="A280" s="1">
        <v>0.27800000000000002</v>
      </c>
      <c r="B280" s="1">
        <f t="shared" si="592"/>
        <v>17.214279265523441</v>
      </c>
      <c r="C280" s="1">
        <f t="shared" si="593"/>
        <v>0</v>
      </c>
      <c r="D280" s="1">
        <f t="shared" si="594"/>
        <v>0.18603044837725569</v>
      </c>
      <c r="E280" s="1">
        <f t="shared" si="595"/>
        <v>44.51369314927522</v>
      </c>
      <c r="F280" s="1">
        <f t="shared" si="596"/>
        <v>0</v>
      </c>
      <c r="G280" s="1">
        <f t="shared" si="597"/>
        <v>0.49514560002546187</v>
      </c>
      <c r="H280" s="1">
        <f t="shared" si="576"/>
        <v>44.516446926423228</v>
      </c>
      <c r="I280" s="1">
        <f t="shared" si="580"/>
        <v>-80.645559454615352</v>
      </c>
      <c r="J280" s="1">
        <f t="shared" si="581"/>
        <v>0</v>
      </c>
      <c r="K280" s="1">
        <f t="shared" si="582"/>
        <v>-0.89705641344195552</v>
      </c>
      <c r="L280" s="1">
        <f t="shared" ref="L280:N280" si="640">E280/$H280</f>
        <v>0.99993814023045102</v>
      </c>
      <c r="M280" s="1">
        <f t="shared" si="640"/>
        <v>0</v>
      </c>
      <c r="N280" s="1">
        <f t="shared" si="640"/>
        <v>1.1122756513875386E-2</v>
      </c>
      <c r="O280" s="1">
        <f t="shared" si="578"/>
        <v>1.1122756513875386E-2</v>
      </c>
      <c r="P280" s="1">
        <f t="shared" si="584"/>
        <v>-1.1122068462720689E-2</v>
      </c>
      <c r="Q280" s="1">
        <f t="shared" si="585"/>
        <v>0</v>
      </c>
      <c r="R280" s="1">
        <f t="shared" si="586"/>
        <v>0.99987628428753306</v>
      </c>
      <c r="S280" s="1">
        <f t="shared" si="587"/>
        <v>6.5206826429796036</v>
      </c>
      <c r="T280" s="1">
        <f t="shared" ref="T280:V280" si="641">$S280*P280</f>
        <v>-7.2523478778893632E-2</v>
      </c>
      <c r="U280" s="1">
        <f t="shared" si="641"/>
        <v>0</v>
      </c>
      <c r="V280" s="1">
        <f t="shared" si="641"/>
        <v>6.519875932080657</v>
      </c>
      <c r="W280" s="1">
        <f t="shared" si="589"/>
        <v>-80.718082933394243</v>
      </c>
      <c r="X280" s="1">
        <f t="shared" si="590"/>
        <v>0</v>
      </c>
      <c r="Y280" s="1">
        <f t="shared" si="591"/>
        <v>-4.1838304813612979</v>
      </c>
    </row>
    <row r="281" spans="1:25">
      <c r="A281" s="1">
        <v>0.27900000000000003</v>
      </c>
      <c r="B281" s="1">
        <f t="shared" si="592"/>
        <v>17.258712240589784</v>
      </c>
      <c r="C281" s="1">
        <f t="shared" si="593"/>
        <v>0</v>
      </c>
      <c r="D281" s="1">
        <f t="shared" si="594"/>
        <v>0.18652141014679979</v>
      </c>
      <c r="E281" s="1">
        <f t="shared" si="595"/>
        <v>44.432975066341825</v>
      </c>
      <c r="F281" s="1">
        <f t="shared" si="596"/>
        <v>0</v>
      </c>
      <c r="G281" s="1">
        <f t="shared" si="597"/>
        <v>0.49096176954410059</v>
      </c>
      <c r="H281" s="1">
        <f t="shared" si="576"/>
        <v>44.435687422445802</v>
      </c>
      <c r="I281" s="1">
        <f t="shared" si="580"/>
        <v>-80.353284488841453</v>
      </c>
      <c r="J281" s="1">
        <f t="shared" si="581"/>
        <v>0</v>
      </c>
      <c r="K281" s="1">
        <f t="shared" si="582"/>
        <v>-0.88786291447781029</v>
      </c>
      <c r="L281" s="1">
        <f t="shared" ref="L281:N281" si="642">E281/$H281</f>
        <v>0.99993895996075877</v>
      </c>
      <c r="M281" s="1">
        <f t="shared" si="642"/>
        <v>0</v>
      </c>
      <c r="N281" s="1">
        <f t="shared" si="642"/>
        <v>1.1048816796206489E-2</v>
      </c>
      <c r="O281" s="1">
        <f t="shared" si="578"/>
        <v>1.1048816796206489E-2</v>
      </c>
      <c r="P281" s="1">
        <f t="shared" si="584"/>
        <v>-1.1048142375995679E-2</v>
      </c>
      <c r="Q281" s="1">
        <f t="shared" si="585"/>
        <v>0</v>
      </c>
      <c r="R281" s="1">
        <f t="shared" si="586"/>
        <v>0.99987792364740391</v>
      </c>
      <c r="S281" s="1">
        <f t="shared" si="587"/>
        <v>6.4970451130290234</v>
      </c>
      <c r="T281" s="1">
        <f t="shared" ref="T281:V281" si="643">$S281*P281</f>
        <v>-7.1780279432011596E-2</v>
      </c>
      <c r="U281" s="1">
        <f t="shared" si="643"/>
        <v>0</v>
      </c>
      <c r="V281" s="1">
        <f t="shared" si="643"/>
        <v>6.4962519774589724</v>
      </c>
      <c r="W281" s="1">
        <f t="shared" si="589"/>
        <v>-80.425064768273458</v>
      </c>
      <c r="X281" s="1">
        <f t="shared" si="590"/>
        <v>0</v>
      </c>
      <c r="Y281" s="1">
        <f t="shared" si="591"/>
        <v>-4.1982609370188371</v>
      </c>
    </row>
    <row r="282" spans="1:25">
      <c r="A282" s="1">
        <v>0.28000000000000003</v>
      </c>
      <c r="B282" s="1">
        <f t="shared" si="592"/>
        <v>17.303064790591357</v>
      </c>
      <c r="C282" s="1">
        <f t="shared" si="593"/>
        <v>0</v>
      </c>
      <c r="D282" s="1">
        <f t="shared" si="594"/>
        <v>0.18700817365540687</v>
      </c>
      <c r="E282" s="1">
        <f t="shared" si="595"/>
        <v>44.352550001573555</v>
      </c>
      <c r="F282" s="1">
        <f t="shared" si="596"/>
        <v>0</v>
      </c>
      <c r="G282" s="1">
        <f t="shared" si="597"/>
        <v>0.48676350860708173</v>
      </c>
      <c r="H282" s="1">
        <f t="shared" si="576"/>
        <v>44.355221004470195</v>
      </c>
      <c r="I282" s="1">
        <f t="shared" si="580"/>
        <v>-80.062598080407568</v>
      </c>
      <c r="J282" s="1">
        <f t="shared" si="581"/>
        <v>0</v>
      </c>
      <c r="K282" s="1">
        <f t="shared" si="582"/>
        <v>-0.87867667469931598</v>
      </c>
      <c r="L282" s="1">
        <f t="shared" ref="L282:N282" si="644">E282/$H282</f>
        <v>0.99993978154462648</v>
      </c>
      <c r="M282" s="1">
        <f t="shared" si="644"/>
        <v>0</v>
      </c>
      <c r="N282" s="1">
        <f t="shared" si="644"/>
        <v>1.097420997086284E-2</v>
      </c>
      <c r="O282" s="1">
        <f t="shared" si="578"/>
        <v>1.097420997086284E-2</v>
      </c>
      <c r="P282" s="1">
        <f t="shared" si="584"/>
        <v>-1.097354912088945E-2</v>
      </c>
      <c r="Q282" s="1">
        <f t="shared" si="585"/>
        <v>0</v>
      </c>
      <c r="R282" s="1">
        <f t="shared" si="586"/>
        <v>0.99987956671551537</v>
      </c>
      <c r="S282" s="1">
        <f t="shared" si="587"/>
        <v>6.4735360541196165</v>
      </c>
      <c r="T282" s="1">
        <f t="shared" ref="T282:V282" si="645">$S282*P282</f>
        <v>-7.1037665875730474E-2</v>
      </c>
      <c r="U282" s="1">
        <f t="shared" si="645"/>
        <v>0</v>
      </c>
      <c r="V282" s="1">
        <f t="shared" si="645"/>
        <v>6.4727564249103891</v>
      </c>
      <c r="W282" s="1">
        <f t="shared" si="589"/>
        <v>-80.133635746283304</v>
      </c>
      <c r="X282" s="1">
        <f t="shared" si="590"/>
        <v>0</v>
      </c>
      <c r="Y282" s="1">
        <f t="shared" si="591"/>
        <v>-4.2125702497889268</v>
      </c>
    </row>
    <row r="283" spans="1:25">
      <c r="A283" s="1">
        <v>0.28100000000000003</v>
      </c>
      <c r="B283" s="1">
        <f t="shared" si="592"/>
        <v>17.347337206957185</v>
      </c>
      <c r="C283" s="1">
        <f t="shared" si="593"/>
        <v>0</v>
      </c>
      <c r="D283" s="1">
        <f t="shared" si="594"/>
        <v>0.18749072459376415</v>
      </c>
      <c r="E283" s="1">
        <f t="shared" si="595"/>
        <v>44.272416365827269</v>
      </c>
      <c r="F283" s="1">
        <f t="shared" si="596"/>
        <v>0</v>
      </c>
      <c r="G283" s="1">
        <f t="shared" si="597"/>
        <v>0.48255093835729279</v>
      </c>
      <c r="H283" s="1">
        <f t="shared" si="576"/>
        <v>44.275046090063867</v>
      </c>
      <c r="I283" s="1">
        <f t="shared" si="580"/>
        <v>-79.773488758098878</v>
      </c>
      <c r="J283" s="1">
        <f t="shared" si="581"/>
        <v>0</v>
      </c>
      <c r="K283" s="1">
        <f t="shared" si="582"/>
        <v>-0.86949787285540336</v>
      </c>
      <c r="L283" s="1">
        <f t="shared" ref="L283:N283" si="646">E283/$H283</f>
        <v>0.99994060482215541</v>
      </c>
      <c r="M283" s="1">
        <f t="shared" si="646"/>
        <v>0</v>
      </c>
      <c r="N283" s="1">
        <f t="shared" si="646"/>
        <v>1.0898937007895878E-2</v>
      </c>
      <c r="O283" s="1">
        <f t="shared" si="578"/>
        <v>1.0898937007895878E-2</v>
      </c>
      <c r="P283" s="1">
        <f t="shared" si="584"/>
        <v>-1.0898289663593977E-2</v>
      </c>
      <c r="Q283" s="1">
        <f t="shared" si="585"/>
        <v>0</v>
      </c>
      <c r="R283" s="1">
        <f t="shared" si="586"/>
        <v>0.99988121317209788</v>
      </c>
      <c r="S283" s="1">
        <f t="shared" si="587"/>
        <v>6.4501545395818702</v>
      </c>
      <c r="T283" s="1">
        <f t="shared" ref="T283:V283" si="647">$S283*P283</f>
        <v>-7.0295652547308865E-2</v>
      </c>
      <c r="U283" s="1">
        <f t="shared" si="647"/>
        <v>0</v>
      </c>
      <c r="V283" s="1">
        <f t="shared" si="647"/>
        <v>6.4493883461846346</v>
      </c>
      <c r="W283" s="1">
        <f t="shared" si="589"/>
        <v>-79.843784410646194</v>
      </c>
      <c r="X283" s="1">
        <f t="shared" si="590"/>
        <v>0</v>
      </c>
      <c r="Y283" s="1">
        <f t="shared" si="591"/>
        <v>-4.2267595266707678</v>
      </c>
    </row>
    <row r="284" spans="1:25">
      <c r="A284" s="1">
        <v>0.28199999999999997</v>
      </c>
      <c r="B284" s="1">
        <f t="shared" si="592"/>
        <v>17.391529779538601</v>
      </c>
      <c r="C284" s="1">
        <f t="shared" si="593"/>
        <v>0</v>
      </c>
      <c r="D284" s="1">
        <f t="shared" si="594"/>
        <v>0.18796904877259477</v>
      </c>
      <c r="E284" s="1">
        <f t="shared" si="595"/>
        <v>44.19257258141662</v>
      </c>
      <c r="F284" s="1">
        <f t="shared" si="596"/>
        <v>0</v>
      </c>
      <c r="G284" s="1">
        <f t="shared" si="597"/>
        <v>0.478324178830622</v>
      </c>
      <c r="H284" s="1">
        <f t="shared" si="576"/>
        <v>44.195161108246118</v>
      </c>
      <c r="I284" s="1">
        <f t="shared" si="580"/>
        <v>-79.485945154106531</v>
      </c>
      <c r="J284" s="1">
        <f t="shared" si="581"/>
        <v>0</v>
      </c>
      <c r="K284" s="1">
        <f t="shared" si="582"/>
        <v>-0.86032668440763382</v>
      </c>
      <c r="L284" s="1">
        <f t="shared" ref="L284:N284" si="648">E284/$H284</f>
        <v>0.99994142963246224</v>
      </c>
      <c r="M284" s="1">
        <f t="shared" si="648"/>
        <v>0</v>
      </c>
      <c r="N284" s="1">
        <f t="shared" si="648"/>
        <v>1.0822998872185902E-2</v>
      </c>
      <c r="O284" s="1">
        <f t="shared" si="578"/>
        <v>1.0822998872185902E-2</v>
      </c>
      <c r="P284" s="1">
        <f t="shared" si="584"/>
        <v>-1.0822364965164097E-2</v>
      </c>
      <c r="Q284" s="1">
        <f t="shared" si="585"/>
        <v>0</v>
      </c>
      <c r="R284" s="1">
        <f t="shared" si="586"/>
        <v>0.99988286269541271</v>
      </c>
      <c r="S284" s="1">
        <f t="shared" si="587"/>
        <v>6.4268996511003271</v>
      </c>
      <c r="T284" s="1">
        <f t="shared" ref="T284:V284" si="649">$S284*P284</f>
        <v>-6.9554253618693537E-2</v>
      </c>
      <c r="U284" s="1">
        <f t="shared" si="649"/>
        <v>0</v>
      </c>
      <c r="V284" s="1">
        <f t="shared" si="649"/>
        <v>6.4261468213983441</v>
      </c>
      <c r="W284" s="1">
        <f t="shared" si="589"/>
        <v>-79.555499407725222</v>
      </c>
      <c r="X284" s="1">
        <f t="shared" si="590"/>
        <v>0</v>
      </c>
      <c r="Y284" s="1">
        <f t="shared" si="591"/>
        <v>-4.2408298630092887</v>
      </c>
    </row>
    <row r="285" spans="1:25">
      <c r="A285" s="1">
        <v>0.28299999999999997</v>
      </c>
      <c r="B285" s="1">
        <f t="shared" si="592"/>
        <v>17.435642796620609</v>
      </c>
      <c r="C285" s="1">
        <f t="shared" si="593"/>
        <v>0</v>
      </c>
      <c r="D285" s="1">
        <f t="shared" si="594"/>
        <v>0.18844313212156238</v>
      </c>
      <c r="E285" s="1">
        <f t="shared" si="595"/>
        <v>44.113017082008895</v>
      </c>
      <c r="F285" s="1">
        <f t="shared" si="596"/>
        <v>0</v>
      </c>
      <c r="G285" s="1">
        <f t="shared" si="597"/>
        <v>0.47408334896761273</v>
      </c>
      <c r="H285" s="1">
        <f t="shared" si="576"/>
        <v>44.11556449938476</v>
      </c>
      <c r="I285" s="1">
        <f t="shared" si="580"/>
        <v>-79.199956002910866</v>
      </c>
      <c r="J285" s="1">
        <f t="shared" si="581"/>
        <v>0</v>
      </c>
      <c r="K285" s="1">
        <f t="shared" si="582"/>
        <v>-0.85116328158068644</v>
      </c>
      <c r="L285" s="1">
        <f t="shared" ref="L285:N285" si="650">E285/$H285</f>
        <v>0.99994225581368457</v>
      </c>
      <c r="M285" s="1">
        <f t="shared" si="650"/>
        <v>0</v>
      </c>
      <c r="N285" s="1">
        <f t="shared" si="650"/>
        <v>1.074639652348151E-2</v>
      </c>
      <c r="O285" s="1">
        <f t="shared" si="578"/>
        <v>1.074639652348151E-2</v>
      </c>
      <c r="P285" s="1">
        <f t="shared" si="584"/>
        <v>-1.0745775981558438E-2</v>
      </c>
      <c r="Q285" s="1">
        <f t="shared" si="585"/>
        <v>0</v>
      </c>
      <c r="R285" s="1">
        <f t="shared" si="586"/>
        <v>0.99988451496176012</v>
      </c>
      <c r="S285" s="1">
        <f t="shared" si="587"/>
        <v>6.4037704786233265</v>
      </c>
      <c r="T285" s="1">
        <f t="shared" ref="T285:V285" si="651">$S285*P285</f>
        <v>-6.8813483000603526E-2</v>
      </c>
      <c r="U285" s="1">
        <f t="shared" si="651"/>
        <v>0</v>
      </c>
      <c r="V285" s="1">
        <f t="shared" si="651"/>
        <v>6.4030309389447231</v>
      </c>
      <c r="W285" s="1">
        <f t="shared" si="589"/>
        <v>-79.268769485911463</v>
      </c>
      <c r="X285" s="1">
        <f t="shared" si="590"/>
        <v>0</v>
      </c>
      <c r="Y285" s="1">
        <f t="shared" si="591"/>
        <v>-4.2547823426359628</v>
      </c>
    </row>
    <row r="286" spans="1:25">
      <c r="A286" s="1">
        <v>0.28399999999999997</v>
      </c>
      <c r="B286" s="1">
        <f t="shared" si="592"/>
        <v>17.479676544933131</v>
      </c>
      <c r="C286" s="1">
        <f t="shared" si="593"/>
        <v>0</v>
      </c>
      <c r="D286" s="1">
        <f t="shared" si="594"/>
        <v>0.18891296068818736</v>
      </c>
      <c r="E286" s="1">
        <f t="shared" si="595"/>
        <v>44.033748312522981</v>
      </c>
      <c r="F286" s="1">
        <f t="shared" si="596"/>
        <v>0</v>
      </c>
      <c r="G286" s="1">
        <f t="shared" si="597"/>
        <v>0.46982856662497674</v>
      </c>
      <c r="H286" s="1">
        <f t="shared" si="576"/>
        <v>44.036254715093989</v>
      </c>
      <c r="I286" s="1">
        <f t="shared" si="580"/>
        <v>-78.915510140178768</v>
      </c>
      <c r="J286" s="1">
        <f t="shared" si="581"/>
        <v>0</v>
      </c>
      <c r="K286" s="1">
        <f t="shared" si="582"/>
        <v>-0.84200783341205032</v>
      </c>
      <c r="L286" s="1">
        <f t="shared" ref="L286:N286" si="652">E286/$H286</f>
        <v>0.99994308320298297</v>
      </c>
      <c r="M286" s="1">
        <f t="shared" si="652"/>
        <v>0</v>
      </c>
      <c r="N286" s="1">
        <f t="shared" si="652"/>
        <v>1.0669130916438655E-2</v>
      </c>
      <c r="O286" s="1">
        <f t="shared" si="578"/>
        <v>1.0669130916438655E-2</v>
      </c>
      <c r="P286" s="1">
        <f t="shared" si="584"/>
        <v>-1.0668523663679937E-2</v>
      </c>
      <c r="Q286" s="1">
        <f t="shared" si="585"/>
        <v>0</v>
      </c>
      <c r="R286" s="1">
        <f t="shared" si="586"/>
        <v>0.99988616964548793</v>
      </c>
      <c r="S286" s="1">
        <f t="shared" si="587"/>
        <v>6.3807661202738952</v>
      </c>
      <c r="T286" s="1">
        <f t="shared" ref="T286:V286" si="653">$S286*P286</f>
        <v>-6.8073354346549278E-2</v>
      </c>
      <c r="U286" s="1">
        <f t="shared" si="653"/>
        <v>0</v>
      </c>
      <c r="V286" s="1">
        <f t="shared" si="653"/>
        <v>6.3800397954043655</v>
      </c>
      <c r="W286" s="1">
        <f t="shared" si="589"/>
        <v>-78.98358349452532</v>
      </c>
      <c r="X286" s="1">
        <f t="shared" si="590"/>
        <v>0</v>
      </c>
      <c r="Y286" s="1">
        <f t="shared" si="591"/>
        <v>-4.2686180380076841</v>
      </c>
    </row>
    <row r="287" spans="1:25">
      <c r="A287" s="1">
        <v>0.28499999999999998</v>
      </c>
      <c r="B287" s="1">
        <f t="shared" si="592"/>
        <v>17.523631309662161</v>
      </c>
      <c r="C287" s="1">
        <f t="shared" si="593"/>
        <v>0</v>
      </c>
      <c r="D287" s="1">
        <f t="shared" si="594"/>
        <v>0.18937852063677432</v>
      </c>
      <c r="E287" s="1">
        <f t="shared" si="595"/>
        <v>43.954764729028454</v>
      </c>
      <c r="F287" s="1">
        <f t="shared" si="596"/>
        <v>0</v>
      </c>
      <c r="G287" s="1">
        <f t="shared" si="597"/>
        <v>0.46555994858696903</v>
      </c>
      <c r="H287" s="1">
        <f t="shared" si="576"/>
        <v>43.957230218133311</v>
      </c>
      <c r="I287" s="1">
        <f t="shared" si="580"/>
        <v>-78.632596501674755</v>
      </c>
      <c r="J287" s="1">
        <f t="shared" si="581"/>
        <v>0</v>
      </c>
      <c r="K287" s="1">
        <f t="shared" si="582"/>
        <v>-0.83286050580093152</v>
      </c>
      <c r="L287" s="1">
        <f t="shared" ref="L287:N287" si="654">E287/$H287</f>
        <v>0.99994391163654706</v>
      </c>
      <c r="M287" s="1">
        <f t="shared" si="654"/>
        <v>0</v>
      </c>
      <c r="N287" s="1">
        <f t="shared" si="654"/>
        <v>1.0591203000659388E-2</v>
      </c>
      <c r="O287" s="1">
        <f t="shared" si="578"/>
        <v>1.0591203000659388E-2</v>
      </c>
      <c r="P287" s="1">
        <f t="shared" si="584"/>
        <v>-1.0590608957416084E-2</v>
      </c>
      <c r="Q287" s="1">
        <f t="shared" si="585"/>
        <v>0</v>
      </c>
      <c r="R287" s="1">
        <f t="shared" si="586"/>
        <v>0.99988782641899887</v>
      </c>
      <c r="S287" s="1">
        <f t="shared" si="587"/>
        <v>6.3578856822617489</v>
      </c>
      <c r="T287" s="1">
        <f t="shared" ref="T287:V287" si="655">$S287*P287</f>
        <v>-6.7333881056788739E-2</v>
      </c>
      <c r="U287" s="1">
        <f t="shared" si="655"/>
        <v>0</v>
      </c>
      <c r="V287" s="1">
        <f t="shared" si="655"/>
        <v>6.3571724954571733</v>
      </c>
      <c r="W287" s="1">
        <f t="shared" si="589"/>
        <v>-78.699930382731537</v>
      </c>
      <c r="X287" s="1">
        <f t="shared" si="590"/>
        <v>0</v>
      </c>
      <c r="Y287" s="1">
        <f t="shared" si="591"/>
        <v>-4.2823380103437572</v>
      </c>
    </row>
    <row r="288" spans="1:25">
      <c r="A288" s="1">
        <v>0.28599999999999998</v>
      </c>
      <c r="B288" s="1">
        <f t="shared" si="592"/>
        <v>17.567507374460806</v>
      </c>
      <c r="C288" s="1">
        <f t="shared" si="593"/>
        <v>0</v>
      </c>
      <c r="D288" s="1">
        <f t="shared" si="594"/>
        <v>0.18983979824735095</v>
      </c>
      <c r="E288" s="1">
        <f t="shared" si="595"/>
        <v>43.876064798645722</v>
      </c>
      <c r="F288" s="1">
        <f t="shared" si="596"/>
        <v>0</v>
      </c>
      <c r="G288" s="1">
        <f t="shared" si="597"/>
        <v>0.46127761057662525</v>
      </c>
      <c r="H288" s="1">
        <f t="shared" si="576"/>
        <v>43.878489482307586</v>
      </c>
      <c r="I288" s="1">
        <f t="shared" si="580"/>
        <v>-78.351204122185948</v>
      </c>
      <c r="J288" s="1">
        <f t="shared" si="581"/>
        <v>0</v>
      </c>
      <c r="K288" s="1">
        <f t="shared" si="582"/>
        <v>-0.82372146155639092</v>
      </c>
      <c r="L288" s="1">
        <f t="shared" ref="L288:N288" si="656">E288/$H288</f>
        <v>0.99994474094959807</v>
      </c>
      <c r="M288" s="1">
        <f t="shared" si="656"/>
        <v>0</v>
      </c>
      <c r="N288" s="1">
        <f t="shared" si="656"/>
        <v>1.0512613720730262E-2</v>
      </c>
      <c r="O288" s="1">
        <f t="shared" si="578"/>
        <v>1.0512613720730262E-2</v>
      </c>
      <c r="P288" s="1">
        <f t="shared" si="584"/>
        <v>-1.0512032803678812E-2</v>
      </c>
      <c r="Q288" s="1">
        <f t="shared" si="585"/>
        <v>0</v>
      </c>
      <c r="R288" s="1">
        <f t="shared" si="586"/>
        <v>0.99988948495275876</v>
      </c>
      <c r="S288" s="1">
        <f t="shared" si="587"/>
        <v>6.3351282787964056</v>
      </c>
      <c r="T288" s="1">
        <f t="shared" ref="T288:V288" si="657">$S288*P288</f>
        <v>-6.6595076282221111E-2</v>
      </c>
      <c r="U288" s="1">
        <f t="shared" si="657"/>
        <v>0</v>
      </c>
      <c r="V288" s="1">
        <f t="shared" si="657"/>
        <v>6.3344281517953949</v>
      </c>
      <c r="W288" s="1">
        <f t="shared" si="589"/>
        <v>-78.417799198468174</v>
      </c>
      <c r="X288" s="1">
        <f t="shared" si="590"/>
        <v>0</v>
      </c>
      <c r="Y288" s="1">
        <f t="shared" si="591"/>
        <v>-4.2959433097609958</v>
      </c>
    </row>
    <row r="289" spans="1:25">
      <c r="A289" s="1">
        <v>0.28699999999999998</v>
      </c>
      <c r="B289" s="1">
        <f t="shared" si="592"/>
        <v>17.611305021460254</v>
      </c>
      <c r="C289" s="1">
        <f t="shared" si="593"/>
        <v>0</v>
      </c>
      <c r="D289" s="1">
        <f t="shared" si="594"/>
        <v>0.19029677991461783</v>
      </c>
      <c r="E289" s="1">
        <f t="shared" si="595"/>
        <v>43.797646999447252</v>
      </c>
      <c r="F289" s="1">
        <f t="shared" si="596"/>
        <v>0</v>
      </c>
      <c r="G289" s="1">
        <f t="shared" si="597"/>
        <v>0.45698166726686423</v>
      </c>
      <c r="H289" s="1">
        <f t="shared" si="576"/>
        <v>43.800030992368136</v>
      </c>
      <c r="I289" s="1">
        <f t="shared" si="580"/>
        <v>-78.071322134460218</v>
      </c>
      <c r="J289" s="1">
        <f t="shared" si="581"/>
        <v>0</v>
      </c>
      <c r="K289" s="1">
        <f t="shared" si="582"/>
        <v>-0.81459086044472506</v>
      </c>
      <c r="L289" s="1">
        <f t="shared" ref="L289:N289" si="658">E289/$H289</f>
        <v>0.99994557097639269</v>
      </c>
      <c r="M289" s="1">
        <f t="shared" si="658"/>
        <v>0</v>
      </c>
      <c r="N289" s="1">
        <f t="shared" si="658"/>
        <v>1.0433364016260405E-2</v>
      </c>
      <c r="O289" s="1">
        <f t="shared" si="578"/>
        <v>1.0433364016260405E-2</v>
      </c>
      <c r="P289" s="1">
        <f t="shared" si="584"/>
        <v>-1.0432796138444061E-2</v>
      </c>
      <c r="Q289" s="1">
        <f t="shared" si="585"/>
        <v>0</v>
      </c>
      <c r="R289" s="1">
        <f t="shared" si="586"/>
        <v>0.99989114491530418</v>
      </c>
      <c r="S289" s="1">
        <f t="shared" si="587"/>
        <v>6.3124930320013828</v>
      </c>
      <c r="T289" s="1">
        <f t="shared" ref="T289:V289" si="659">$S289*P289</f>
        <v>-6.5856952928219067E-2</v>
      </c>
      <c r="U289" s="1">
        <f t="shared" si="659"/>
        <v>0</v>
      </c>
      <c r="V289" s="1">
        <f t="shared" si="659"/>
        <v>6.3118058850377423</v>
      </c>
      <c r="W289" s="1">
        <f t="shared" si="589"/>
        <v>-78.137179087388432</v>
      </c>
      <c r="X289" s="1">
        <f t="shared" si="590"/>
        <v>0</v>
      </c>
      <c r="Y289" s="1">
        <f t="shared" si="591"/>
        <v>-4.3094349754069823</v>
      </c>
    </row>
    <row r="290" spans="1:25">
      <c r="A290" s="1">
        <v>0.28799999999999998</v>
      </c>
      <c r="B290" s="1">
        <f t="shared" si="592"/>
        <v>17.655024531280613</v>
      </c>
      <c r="C290" s="1">
        <f t="shared" si="593"/>
        <v>0</v>
      </c>
      <c r="D290" s="1">
        <f t="shared" si="594"/>
        <v>0.19074945214690928</v>
      </c>
      <c r="E290" s="1">
        <f t="shared" si="595"/>
        <v>43.71950982035986</v>
      </c>
      <c r="F290" s="1">
        <f t="shared" si="596"/>
        <v>0</v>
      </c>
      <c r="G290" s="1">
        <f t="shared" si="597"/>
        <v>0.45267223229145725</v>
      </c>
      <c r="H290" s="1">
        <f t="shared" si="576"/>
        <v>43.721853243914879</v>
      </c>
      <c r="I290" s="1">
        <f t="shared" si="580"/>
        <v>-77.792939768157694</v>
      </c>
      <c r="J290" s="1">
        <f t="shared" si="581"/>
        <v>0</v>
      </c>
      <c r="K290" s="1">
        <f t="shared" si="582"/>
        <v>-0.80546885923610223</v>
      </c>
      <c r="L290" s="1">
        <f t="shared" ref="L290:N290" si="660">E290/$H290</f>
        <v>0.99994640155022829</v>
      </c>
      <c r="M290" s="1">
        <f t="shared" si="660"/>
        <v>0</v>
      </c>
      <c r="N290" s="1">
        <f t="shared" si="660"/>
        <v>1.0353454821919272E-2</v>
      </c>
      <c r="O290" s="1">
        <f t="shared" si="578"/>
        <v>1.0353454821919272E-2</v>
      </c>
      <c r="P290" s="1">
        <f t="shared" si="584"/>
        <v>-1.0352899892791036E-2</v>
      </c>
      <c r="Q290" s="1">
        <f t="shared" si="585"/>
        <v>0</v>
      </c>
      <c r="R290" s="1">
        <f t="shared" si="586"/>
        <v>0.99989280597325048</v>
      </c>
      <c r="S290" s="1">
        <f t="shared" si="587"/>
        <v>6.2899790718294577</v>
      </c>
      <c r="T290" s="1">
        <f t="shared" ref="T290:V290" si="661">$S290*P290</f>
        <v>-6.5119523658401055E-2</v>
      </c>
      <c r="U290" s="1">
        <f t="shared" si="661"/>
        <v>0</v>
      </c>
      <c r="V290" s="1">
        <f t="shared" si="661"/>
        <v>6.2893048236445779</v>
      </c>
      <c r="W290" s="1">
        <f t="shared" si="589"/>
        <v>-77.85805929181609</v>
      </c>
      <c r="X290" s="1">
        <f t="shared" si="590"/>
        <v>0</v>
      </c>
      <c r="Y290" s="1">
        <f t="shared" si="591"/>
        <v>-4.3228140355915237</v>
      </c>
    </row>
    <row r="291" spans="1:25">
      <c r="A291" s="1">
        <v>0.28899999999999998</v>
      </c>
      <c r="B291" s="1">
        <f t="shared" si="592"/>
        <v>17.698666183041681</v>
      </c>
      <c r="C291" s="1">
        <f t="shared" si="593"/>
        <v>0</v>
      </c>
      <c r="D291" s="1">
        <f t="shared" si="594"/>
        <v>0.19119780156516514</v>
      </c>
      <c r="E291" s="1">
        <f t="shared" si="595"/>
        <v>43.641651761068047</v>
      </c>
      <c r="F291" s="1">
        <f t="shared" si="596"/>
        <v>0</v>
      </c>
      <c r="G291" s="1">
        <f t="shared" si="597"/>
        <v>0.44834941825586572</v>
      </c>
      <c r="H291" s="1">
        <f t="shared" si="576"/>
        <v>43.643954743299602</v>
      </c>
      <c r="I291" s="1">
        <f t="shared" si="580"/>
        <v>-77.516046348815536</v>
      </c>
      <c r="J291" s="1">
        <f t="shared" si="581"/>
        <v>0</v>
      </c>
      <c r="K291" s="1">
        <f t="shared" si="582"/>
        <v>-0.79635561175046654</v>
      </c>
      <c r="L291" s="1">
        <f t="shared" ref="L291:N291" si="662">E291/$H291</f>
        <v>0.99994723250344519</v>
      </c>
      <c r="M291" s="1">
        <f t="shared" si="662"/>
        <v>0</v>
      </c>
      <c r="N291" s="1">
        <f t="shared" si="662"/>
        <v>1.0272887067474062E-2</v>
      </c>
      <c r="O291" s="1">
        <f t="shared" si="578"/>
        <v>1.0272887067474062E-2</v>
      </c>
      <c r="P291" s="1">
        <f t="shared" si="584"/>
        <v>-1.0272344992941121E-2</v>
      </c>
      <c r="Q291" s="1">
        <f t="shared" si="585"/>
        <v>0</v>
      </c>
      <c r="R291" s="1">
        <f t="shared" si="586"/>
        <v>0.99989446779129887</v>
      </c>
      <c r="S291" s="1">
        <f t="shared" si="587"/>
        <v>6.2675855359790074</v>
      </c>
      <c r="T291" s="1">
        <f t="shared" ref="T291:V291" si="663">$S291*P291</f>
        <v>-6.4382800898344153E-2</v>
      </c>
      <c r="U291" s="1">
        <f t="shared" si="663"/>
        <v>0</v>
      </c>
      <c r="V291" s="1">
        <f t="shared" si="663"/>
        <v>6.2669241038341719</v>
      </c>
      <c r="W291" s="1">
        <f t="shared" si="589"/>
        <v>-77.580429149713879</v>
      </c>
      <c r="X291" s="1">
        <f t="shared" si="590"/>
        <v>0</v>
      </c>
      <c r="Y291" s="1">
        <f t="shared" si="591"/>
        <v>-4.336081507916294</v>
      </c>
    </row>
    <row r="292" spans="1:25">
      <c r="A292" s="1">
        <v>0.28999999999999998</v>
      </c>
      <c r="B292" s="1">
        <f t="shared" si="592"/>
        <v>17.742230254373599</v>
      </c>
      <c r="C292" s="1">
        <f t="shared" si="593"/>
        <v>0</v>
      </c>
      <c r="D292" s="1">
        <f t="shared" si="594"/>
        <v>0.19164181490191309</v>
      </c>
      <c r="E292" s="1">
        <f t="shared" si="595"/>
        <v>43.564071331918335</v>
      </c>
      <c r="F292" s="1">
        <f t="shared" si="596"/>
        <v>0</v>
      </c>
      <c r="G292" s="1">
        <f t="shared" si="597"/>
        <v>0.44401333674794941</v>
      </c>
      <c r="H292" s="1">
        <f t="shared" si="576"/>
        <v>43.566334007530159</v>
      </c>
      <c r="I292" s="1">
        <f t="shared" si="580"/>
        <v>-77.240631296825228</v>
      </c>
      <c r="J292" s="1">
        <f t="shared" si="581"/>
        <v>0</v>
      </c>
      <c r="K292" s="1">
        <f t="shared" si="582"/>
        <v>-0.78725126890272334</v>
      </c>
      <c r="L292" s="1">
        <f t="shared" ref="L292:N292" si="664">E292/$H292</f>
        <v>0.99994806366743105</v>
      </c>
      <c r="M292" s="1">
        <f t="shared" si="664"/>
        <v>0</v>
      </c>
      <c r="N292" s="1">
        <f t="shared" si="664"/>
        <v>1.0191661677826841E-2</v>
      </c>
      <c r="O292" s="1">
        <f t="shared" si="578"/>
        <v>1.0191661677826841E-2</v>
      </c>
      <c r="P292" s="1">
        <f t="shared" si="584"/>
        <v>-1.0191132360296512E-2</v>
      </c>
      <c r="Q292" s="1">
        <f t="shared" si="585"/>
        <v>0</v>
      </c>
      <c r="R292" s="1">
        <f t="shared" si="586"/>
        <v>0.99989613003224476</v>
      </c>
      <c r="S292" s="1">
        <f t="shared" si="587"/>
        <v>6.2453115698113644</v>
      </c>
      <c r="T292" s="1">
        <f t="shared" ref="T292:V292" si="665">$S292*P292</f>
        <v>-6.3646796839238809E-2</v>
      </c>
      <c r="U292" s="1">
        <f t="shared" si="665"/>
        <v>0</v>
      </c>
      <c r="V292" s="1">
        <f t="shared" si="665"/>
        <v>6.2446628694999866</v>
      </c>
      <c r="W292" s="1">
        <f t="shared" si="589"/>
        <v>-77.304278093664465</v>
      </c>
      <c r="X292" s="1">
        <f t="shared" si="590"/>
        <v>0</v>
      </c>
      <c r="Y292" s="1">
        <f t="shared" si="591"/>
        <v>-4.3492383994027364</v>
      </c>
    </row>
    <row r="293" spans="1:25">
      <c r="A293" s="1">
        <v>0.29099999999999998</v>
      </c>
      <c r="B293" s="1">
        <f t="shared" si="592"/>
        <v>17.785717021427423</v>
      </c>
      <c r="C293" s="1">
        <f t="shared" si="593"/>
        <v>0</v>
      </c>
      <c r="D293" s="1">
        <f t="shared" si="594"/>
        <v>0.19208147900026165</v>
      </c>
      <c r="E293" s="1">
        <f t="shared" si="595"/>
        <v>43.486767053824671</v>
      </c>
      <c r="F293" s="1">
        <f t="shared" si="596"/>
        <v>0</v>
      </c>
      <c r="G293" s="1">
        <f t="shared" si="597"/>
        <v>0.43966409834854669</v>
      </c>
      <c r="H293" s="1">
        <f t="shared" si="576"/>
        <v>43.488989564175753</v>
      </c>
      <c r="I293" s="1">
        <f t="shared" si="580"/>
        <v>-76.966684126422848</v>
      </c>
      <c r="J293" s="1">
        <f t="shared" si="581"/>
        <v>0</v>
      </c>
      <c r="K293" s="1">
        <f t="shared" si="582"/>
        <v>-0.77815597874721554</v>
      </c>
      <c r="L293" s="1">
        <f t="shared" ref="L293:N293" si="666">E293/$H293</f>
        <v>0.99994889487262517</v>
      </c>
      <c r="M293" s="1">
        <f t="shared" si="666"/>
        <v>0</v>
      </c>
      <c r="N293" s="1">
        <f t="shared" si="666"/>
        <v>1.0109779573051335E-2</v>
      </c>
      <c r="O293" s="1">
        <f t="shared" si="578"/>
        <v>1.0109779573051335E-2</v>
      </c>
      <c r="P293" s="1">
        <f t="shared" si="584"/>
        <v>-1.0109262911478522E-2</v>
      </c>
      <c r="Q293" s="1">
        <f t="shared" si="585"/>
        <v>0</v>
      </c>
      <c r="R293" s="1">
        <f t="shared" si="586"/>
        <v>0.99989779235698428</v>
      </c>
      <c r="S293" s="1">
        <f t="shared" si="587"/>
        <v>6.2231563262692138</v>
      </c>
      <c r="T293" s="1">
        <f t="shared" ref="T293:V293" si="667">$S293*P293</f>
        <v>-6.2911523441486289E-2</v>
      </c>
      <c r="U293" s="1">
        <f t="shared" si="667"/>
        <v>0</v>
      </c>
      <c r="V293" s="1">
        <f t="shared" si="667"/>
        <v>6.2225202721289872</v>
      </c>
      <c r="W293" s="1">
        <f t="shared" si="589"/>
        <v>-77.029595649864333</v>
      </c>
      <c r="X293" s="1">
        <f t="shared" si="590"/>
        <v>0</v>
      </c>
      <c r="Y293" s="1">
        <f t="shared" si="591"/>
        <v>-4.3622857066182279</v>
      </c>
    </row>
    <row r="294" spans="1:25">
      <c r="A294" s="1">
        <v>0.29199999999999998</v>
      </c>
      <c r="B294" s="1">
        <f t="shared" si="592"/>
        <v>17.829126758885597</v>
      </c>
      <c r="C294" s="1">
        <f t="shared" si="593"/>
        <v>0</v>
      </c>
      <c r="D294" s="1">
        <f t="shared" si="594"/>
        <v>0.19251678081290358</v>
      </c>
      <c r="E294" s="1">
        <f t="shared" si="595"/>
        <v>43.40973745817481</v>
      </c>
      <c r="F294" s="1">
        <f t="shared" si="596"/>
        <v>0</v>
      </c>
      <c r="G294" s="1">
        <f t="shared" si="597"/>
        <v>0.43530181264192847</v>
      </c>
      <c r="H294" s="1">
        <f t="shared" si="576"/>
        <v>43.411919951273227</v>
      </c>
      <c r="I294" s="1">
        <f t="shared" si="580"/>
        <v>-76.694194444691789</v>
      </c>
      <c r="J294" s="1">
        <f t="shared" si="581"/>
        <v>0</v>
      </c>
      <c r="K294" s="1">
        <f t="shared" si="582"/>
        <v>-0.76906988652150565</v>
      </c>
      <c r="L294" s="1">
        <f t="shared" ref="L294:N294" si="668">E294/$H294</f>
        <v>0.99994972594852138</v>
      </c>
      <c r="M294" s="1">
        <f t="shared" si="668"/>
        <v>0</v>
      </c>
      <c r="N294" s="1">
        <f t="shared" si="668"/>
        <v>1.00272416684294E-2</v>
      </c>
      <c r="O294" s="1">
        <f t="shared" si="578"/>
        <v>1.00272416684294E-2</v>
      </c>
      <c r="P294" s="1">
        <f t="shared" si="584"/>
        <v>-1.0026737558365572E-2</v>
      </c>
      <c r="Q294" s="1">
        <f t="shared" si="585"/>
        <v>0</v>
      </c>
      <c r="R294" s="1">
        <f t="shared" si="586"/>
        <v>0.99989945442452288</v>
      </c>
      <c r="S294" s="1">
        <f t="shared" si="587"/>
        <v>6.2011189657960006</v>
      </c>
      <c r="T294" s="1">
        <f t="shared" ref="T294:V294" si="669">$S294*P294</f>
        <v>-6.2176992438239827E-2</v>
      </c>
      <c r="U294" s="1">
        <f t="shared" si="669"/>
        <v>0</v>
      </c>
      <c r="V294" s="1">
        <f t="shared" si="669"/>
        <v>6.2004954707209823</v>
      </c>
      <c r="W294" s="1">
        <f t="shared" si="589"/>
        <v>-76.756371437130028</v>
      </c>
      <c r="X294" s="1">
        <f t="shared" si="590"/>
        <v>0</v>
      </c>
      <c r="Y294" s="1">
        <f t="shared" si="591"/>
        <v>-4.3752244158005231</v>
      </c>
    </row>
    <row r="295" spans="1:25">
      <c r="A295" s="1">
        <v>0.29299999999999998</v>
      </c>
      <c r="B295" s="1">
        <f t="shared" si="592"/>
        <v>17.872459739972335</v>
      </c>
      <c r="C295" s="1">
        <f t="shared" si="593"/>
        <v>0</v>
      </c>
      <c r="D295" s="1">
        <f t="shared" si="594"/>
        <v>0.19294770740112971</v>
      </c>
      <c r="E295" s="1">
        <f t="shared" si="595"/>
        <v>43.332981086737682</v>
      </c>
      <c r="F295" s="1">
        <f t="shared" si="596"/>
        <v>0</v>
      </c>
      <c r="G295" s="1">
        <f t="shared" si="597"/>
        <v>0.43092658822612795</v>
      </c>
      <c r="H295" s="1">
        <f t="shared" si="576"/>
        <v>43.335123717234339</v>
      </c>
      <c r="I295" s="1">
        <f t="shared" si="580"/>
        <v>-76.42315195057779</v>
      </c>
      <c r="J295" s="1">
        <f t="shared" si="581"/>
        <v>0</v>
      </c>
      <c r="K295" s="1">
        <f t="shared" si="582"/>
        <v>-0.7599931346894736</v>
      </c>
      <c r="L295" s="1">
        <f t="shared" ref="L295:N295" si="670">E295/$H295</f>
        <v>0.99995055672367206</v>
      </c>
      <c r="M295" s="1">
        <f t="shared" si="670"/>
        <v>0</v>
      </c>
      <c r="N295" s="1">
        <f t="shared" si="670"/>
        <v>9.9440488744872053E-3</v>
      </c>
      <c r="O295" s="1">
        <f t="shared" si="578"/>
        <v>9.9440488744872053E-3</v>
      </c>
      <c r="P295" s="1">
        <f t="shared" si="584"/>
        <v>-9.9435572081308862E-3</v>
      </c>
      <c r="Q295" s="1">
        <f t="shared" si="585"/>
        <v>0</v>
      </c>
      <c r="R295" s="1">
        <f t="shared" si="586"/>
        <v>0.99990111589198183</v>
      </c>
      <c r="S295" s="1">
        <f t="shared" si="587"/>
        <v>6.1791986562563395</v>
      </c>
      <c r="T295" s="1">
        <f t="shared" ref="T295:V295" si="671">$S295*P295</f>
        <v>-6.1443215338890411E-2</v>
      </c>
      <c r="U295" s="1">
        <f t="shared" si="671"/>
        <v>0</v>
      </c>
      <c r="V295" s="1">
        <f t="shared" si="671"/>
        <v>6.1785876317089485</v>
      </c>
      <c r="W295" s="1">
        <f t="shared" si="589"/>
        <v>-76.484595165916687</v>
      </c>
      <c r="X295" s="1">
        <f t="shared" si="590"/>
        <v>0</v>
      </c>
      <c r="Y295" s="1">
        <f t="shared" si="591"/>
        <v>-4.3880555029805244</v>
      </c>
    </row>
    <row r="296" spans="1:25">
      <c r="A296" s="1">
        <v>0.29399999999999998</v>
      </c>
      <c r="B296" s="1">
        <f t="shared" si="592"/>
        <v>17.915716236463908</v>
      </c>
      <c r="C296" s="1">
        <f t="shared" si="593"/>
        <v>0</v>
      </c>
      <c r="D296" s="1">
        <f t="shared" si="594"/>
        <v>0.19337424593385286</v>
      </c>
      <c r="E296" s="1">
        <f t="shared" si="595"/>
        <v>43.256496491571767</v>
      </c>
      <c r="F296" s="1">
        <f t="shared" si="596"/>
        <v>0</v>
      </c>
      <c r="G296" s="1">
        <f t="shared" si="597"/>
        <v>0.4265385327231474</v>
      </c>
      <c r="H296" s="1">
        <f t="shared" si="576"/>
        <v>43.258599420754003</v>
      </c>
      <c r="I296" s="1">
        <f t="shared" si="580"/>
        <v>-76.153546433916148</v>
      </c>
      <c r="J296" s="1">
        <f t="shared" si="581"/>
        <v>0</v>
      </c>
      <c r="K296" s="1">
        <f t="shared" si="582"/>
        <v>-0.75092586298374031</v>
      </c>
      <c r="L296" s="1">
        <f t="shared" ref="L296:N296" si="672">E296/$H296</f>
        <v>0.99995138702569208</v>
      </c>
      <c r="M296" s="1">
        <f t="shared" si="672"/>
        <v>0</v>
      </c>
      <c r="N296" s="1">
        <f t="shared" si="672"/>
        <v>9.8602020970311108E-3</v>
      </c>
      <c r="O296" s="1">
        <f t="shared" si="578"/>
        <v>9.8602020970311108E-3</v>
      </c>
      <c r="P296" s="1">
        <f t="shared" si="584"/>
        <v>-9.8597227632798972E-3</v>
      </c>
      <c r="Q296" s="1">
        <f t="shared" si="585"/>
        <v>0</v>
      </c>
      <c r="R296" s="1">
        <f t="shared" si="586"/>
        <v>0.99990277641460568</v>
      </c>
      <c r="S296" s="1">
        <f t="shared" si="587"/>
        <v>6.1573945728573936</v>
      </c>
      <c r="T296" s="1">
        <f t="shared" ref="T296:V296" si="673">$S296*P296</f>
        <v>-6.0710203432498146E-2</v>
      </c>
      <c r="U296" s="1">
        <f t="shared" si="673"/>
        <v>0</v>
      </c>
      <c r="V296" s="1">
        <f t="shared" si="673"/>
        <v>6.1567959288803324</v>
      </c>
      <c r="W296" s="1">
        <f t="shared" si="589"/>
        <v>-76.21425663734864</v>
      </c>
      <c r="X296" s="1">
        <f t="shared" si="590"/>
        <v>0</v>
      </c>
      <c r="Y296" s="1">
        <f t="shared" si="591"/>
        <v>-4.4007799341034071</v>
      </c>
    </row>
    <row r="297" spans="1:25">
      <c r="A297" s="1">
        <v>0.29499999999999998</v>
      </c>
      <c r="B297" s="1">
        <f t="shared" si="592"/>
        <v>17.958896518698843</v>
      </c>
      <c r="C297" s="1">
        <f t="shared" si="593"/>
        <v>0</v>
      </c>
      <c r="D297" s="1">
        <f t="shared" si="594"/>
        <v>0.1937963836866419</v>
      </c>
      <c r="E297" s="1">
        <f t="shared" si="595"/>
        <v>43.180282234934417</v>
      </c>
      <c r="F297" s="1">
        <f t="shared" si="596"/>
        <v>0</v>
      </c>
      <c r="G297" s="1">
        <f t="shared" si="597"/>
        <v>0.42213775278904397</v>
      </c>
      <c r="H297" s="1">
        <f t="shared" si="576"/>
        <v>43.182345630719531</v>
      </c>
      <c r="I297" s="1">
        <f t="shared" si="580"/>
        <v>-75.885367774470978</v>
      </c>
      <c r="J297" s="1">
        <f t="shared" si="581"/>
        <v>0</v>
      </c>
      <c r="K297" s="1">
        <f t="shared" si="582"/>
        <v>-0.74186820844743295</v>
      </c>
      <c r="L297" s="1">
        <f t="shared" ref="L297:N297" si="674">E297/$H297</f>
        <v>0.99995221668126233</v>
      </c>
      <c r="M297" s="1">
        <f t="shared" si="674"/>
        <v>0</v>
      </c>
      <c r="N297" s="1">
        <f t="shared" si="674"/>
        <v>9.7757022371832199E-3</v>
      </c>
      <c r="O297" s="1">
        <f t="shared" si="578"/>
        <v>9.7757022371832199E-3</v>
      </c>
      <c r="P297" s="1">
        <f t="shared" si="584"/>
        <v>-9.7752351216873357E-3</v>
      </c>
      <c r="Q297" s="1">
        <f t="shared" si="585"/>
        <v>0</v>
      </c>
      <c r="R297" s="1">
        <f t="shared" si="586"/>
        <v>0.99990443564576992</v>
      </c>
      <c r="S297" s="1">
        <f t="shared" si="587"/>
        <v>6.1357058980712402</v>
      </c>
      <c r="T297" s="1">
        <f t="shared" ref="T297:V297" si="675">$S297*P297</f>
        <v>-5.9977967791170123E-2</v>
      </c>
      <c r="U297" s="1">
        <f t="shared" si="675"/>
        <v>0</v>
      </c>
      <c r="V297" s="1">
        <f t="shared" si="675"/>
        <v>6.1351195432993455</v>
      </c>
      <c r="W297" s="1">
        <f t="shared" si="589"/>
        <v>-75.945345742262148</v>
      </c>
      <c r="X297" s="1">
        <f t="shared" si="590"/>
        <v>0</v>
      </c>
      <c r="Y297" s="1">
        <f t="shared" si="591"/>
        <v>-4.4133986651480868</v>
      </c>
    </row>
    <row r="298" spans="1:25">
      <c r="A298" s="1">
        <v>0.29599999999999999</v>
      </c>
      <c r="B298" s="1">
        <f t="shared" si="592"/>
        <v>18.002000855588037</v>
      </c>
      <c r="C298" s="1">
        <f t="shared" si="593"/>
        <v>0</v>
      </c>
      <c r="D298" s="1">
        <f t="shared" si="594"/>
        <v>0.1942141080407658</v>
      </c>
      <c r="E298" s="1">
        <f t="shared" si="595"/>
        <v>43.104336889192155</v>
      </c>
      <c r="F298" s="1">
        <f t="shared" si="596"/>
        <v>0</v>
      </c>
      <c r="G298" s="1">
        <f t="shared" si="597"/>
        <v>0.41772435412389591</v>
      </c>
      <c r="H298" s="1">
        <f t="shared" si="576"/>
        <v>43.106360926120864</v>
      </c>
      <c r="I298" s="1">
        <f t="shared" si="580"/>
        <v>-75.618605940986271</v>
      </c>
      <c r="J298" s="1">
        <f t="shared" si="581"/>
        <v>0</v>
      </c>
      <c r="K298" s="1">
        <f t="shared" si="582"/>
        <v>-0.73282030547529653</v>
      </c>
      <c r="L298" s="1">
        <f t="shared" ref="L298:N298" si="676">E298/$H298</f>
        <v>0.99995304551613207</v>
      </c>
      <c r="M298" s="1">
        <f t="shared" si="676"/>
        <v>0</v>
      </c>
      <c r="N298" s="1">
        <f t="shared" si="676"/>
        <v>9.6905501914166543E-3</v>
      </c>
      <c r="O298" s="1">
        <f t="shared" si="578"/>
        <v>9.6905501914166543E-3</v>
      </c>
      <c r="P298" s="1">
        <f t="shared" si="584"/>
        <v>-9.6900951766340192E-3</v>
      </c>
      <c r="Q298" s="1">
        <f t="shared" si="585"/>
        <v>0</v>
      </c>
      <c r="R298" s="1">
        <f t="shared" si="586"/>
        <v>0.99990609323698765</v>
      </c>
      <c r="S298" s="1">
        <f t="shared" si="587"/>
        <v>6.1141318215581899</v>
      </c>
      <c r="T298" s="1">
        <f t="shared" ref="T298:V298" si="677">$S298*P298</f>
        <v>-5.9246519273385582E-2</v>
      </c>
      <c r="U298" s="1">
        <f t="shared" si="677"/>
        <v>0</v>
      </c>
      <c r="V298" s="1">
        <f t="shared" si="677"/>
        <v>6.1135576632301962</v>
      </c>
      <c r="W298" s="1">
        <f t="shared" si="589"/>
        <v>-75.677852460259658</v>
      </c>
      <c r="X298" s="1">
        <f t="shared" si="590"/>
        <v>0</v>
      </c>
      <c r="Y298" s="1">
        <f t="shared" si="591"/>
        <v>-4.4259126422451001</v>
      </c>
    </row>
    <row r="299" spans="1:25">
      <c r="A299" s="1">
        <v>0.29699999999999999</v>
      </c>
      <c r="B299" s="1">
        <f t="shared" si="592"/>
        <v>18.045029514624769</v>
      </c>
      <c r="C299" s="1">
        <f t="shared" si="593"/>
        <v>0</v>
      </c>
      <c r="D299" s="1">
        <f t="shared" si="594"/>
        <v>0.19462740648224747</v>
      </c>
      <c r="E299" s="1">
        <f t="shared" si="595"/>
        <v>43.028659036731895</v>
      </c>
      <c r="F299" s="1">
        <f t="shared" si="596"/>
        <v>0</v>
      </c>
      <c r="G299" s="1">
        <f t="shared" si="597"/>
        <v>0.41329844148165079</v>
      </c>
      <c r="H299" s="1">
        <f t="shared" si="576"/>
        <v>43.030643895961639</v>
      </c>
      <c r="I299" s="1">
        <f t="shared" si="580"/>
        <v>-75.353250990248554</v>
      </c>
      <c r="J299" s="1">
        <f t="shared" si="581"/>
        <v>0</v>
      </c>
      <c r="K299" s="1">
        <f t="shared" si="582"/>
        <v>-0.72378228585416737</v>
      </c>
      <c r="L299" s="1">
        <f t="shared" ref="L299:N299" si="678">E299/$H299</f>
        <v>0.99995387335512476</v>
      </c>
      <c r="M299" s="1">
        <f t="shared" si="678"/>
        <v>0</v>
      </c>
      <c r="N299" s="1">
        <f t="shared" si="678"/>
        <v>9.6047468515905298E-3</v>
      </c>
      <c r="O299" s="1">
        <f t="shared" si="578"/>
        <v>9.6047468515905298E-3</v>
      </c>
      <c r="P299" s="1">
        <f t="shared" si="584"/>
        <v>-9.6043038168433896E-3</v>
      </c>
      <c r="Q299" s="1">
        <f t="shared" si="585"/>
        <v>0</v>
      </c>
      <c r="R299" s="1">
        <f t="shared" si="586"/>
        <v>0.99990774883791689</v>
      </c>
      <c r="S299" s="1">
        <f t="shared" si="587"/>
        <v>6.0926715400910361</v>
      </c>
      <c r="T299" s="1">
        <f t="shared" ref="T299:V299" si="679">$S299*P299</f>
        <v>-5.8515868527269428E-2</v>
      </c>
      <c r="U299" s="1">
        <f t="shared" si="679"/>
        <v>0</v>
      </c>
      <c r="V299" s="1">
        <f t="shared" si="679"/>
        <v>6.0921094840612717</v>
      </c>
      <c r="W299" s="1">
        <f t="shared" si="589"/>
        <v>-75.41176685877582</v>
      </c>
      <c r="X299" s="1">
        <f t="shared" si="590"/>
        <v>0</v>
      </c>
      <c r="Y299" s="1">
        <f t="shared" si="591"/>
        <v>-4.4383228017928946</v>
      </c>
    </row>
    <row r="300" spans="1:25">
      <c r="A300" s="1">
        <v>0.29799999999999999</v>
      </c>
      <c r="B300" s="1">
        <f t="shared" si="592"/>
        <v>18.087982761894644</v>
      </c>
      <c r="C300" s="1">
        <f t="shared" si="593"/>
        <v>0</v>
      </c>
      <c r="D300" s="1">
        <f t="shared" si="594"/>
        <v>0.19503626660092732</v>
      </c>
      <c r="E300" s="1">
        <f t="shared" si="595"/>
        <v>42.953247269873117</v>
      </c>
      <c r="F300" s="1">
        <f t="shared" si="596"/>
        <v>0</v>
      </c>
      <c r="G300" s="1">
        <f t="shared" si="597"/>
        <v>0.40886011867985789</v>
      </c>
      <c r="H300" s="1">
        <f t="shared" si="576"/>
        <v>42.9551931391713</v>
      </c>
      <c r="I300" s="1">
        <f t="shared" si="580"/>
        <v>-75.089293066161147</v>
      </c>
      <c r="J300" s="1">
        <f t="shared" si="581"/>
        <v>0</v>
      </c>
      <c r="K300" s="1">
        <f t="shared" si="582"/>
        <v>-0.71475427880281805</v>
      </c>
      <c r="L300" s="1">
        <f t="shared" ref="L300:N300" si="680">E300/$H300</f>
        <v>0.99995470002213982</v>
      </c>
      <c r="M300" s="1">
        <f t="shared" si="680"/>
        <v>0</v>
      </c>
      <c r="N300" s="1">
        <f t="shared" si="680"/>
        <v>9.5182931049846448E-3</v>
      </c>
      <c r="O300" s="1">
        <f t="shared" si="578"/>
        <v>9.5182931049846448E-3</v>
      </c>
      <c r="P300" s="1">
        <f t="shared" si="584"/>
        <v>-9.5178619265177226E-3</v>
      </c>
      <c r="Q300" s="1">
        <f t="shared" si="585"/>
        <v>0</v>
      </c>
      <c r="R300" s="1">
        <f t="shared" si="586"/>
        <v>0.99990940209636758</v>
      </c>
      <c r="S300" s="1">
        <f t="shared" si="587"/>
        <v>6.0713242574802404</v>
      </c>
      <c r="T300" s="1">
        <f t="shared" ref="T300:V300" si="681">$S300*P300</f>
        <v>-5.778602599381466E-2</v>
      </c>
      <c r="U300" s="1">
        <f t="shared" si="681"/>
        <v>0</v>
      </c>
      <c r="V300" s="1">
        <f t="shared" si="681"/>
        <v>6.0707742082302403</v>
      </c>
      <c r="W300" s="1">
        <f t="shared" si="589"/>
        <v>-75.147079092154968</v>
      </c>
      <c r="X300" s="1">
        <f t="shared" si="590"/>
        <v>0</v>
      </c>
      <c r="Y300" s="1">
        <f t="shared" si="591"/>
        <v>-4.4506300705725774</v>
      </c>
    </row>
    <row r="301" spans="1:25">
      <c r="A301" s="1">
        <v>0.29899999999999999</v>
      </c>
      <c r="B301" s="1">
        <f t="shared" si="592"/>
        <v>18.130860862085424</v>
      </c>
      <c r="C301" s="1">
        <f t="shared" si="593"/>
        <v>0</v>
      </c>
      <c r="D301" s="1">
        <f t="shared" si="594"/>
        <v>0.19544067608953661</v>
      </c>
      <c r="E301" s="1">
        <f t="shared" si="595"/>
        <v>42.878100190780962</v>
      </c>
      <c r="F301" s="1">
        <f t="shared" si="596"/>
        <v>0</v>
      </c>
      <c r="G301" s="1">
        <f t="shared" si="597"/>
        <v>0.40440948860928533</v>
      </c>
      <c r="H301" s="1">
        <f t="shared" si="576"/>
        <v>42.880007264518134</v>
      </c>
      <c r="I301" s="1">
        <f t="shared" si="580"/>
        <v>-74.82672239882973</v>
      </c>
      <c r="J301" s="1">
        <f t="shared" si="581"/>
        <v>0</v>
      </c>
      <c r="K301" s="1">
        <f t="shared" si="582"/>
        <v>-0.70573641101118323</v>
      </c>
      <c r="L301" s="1">
        <f t="shared" ref="L301:N301" si="682">E301/$H301</f>
        <v>0.99995552534015664</v>
      </c>
      <c r="M301" s="1">
        <f t="shared" si="682"/>
        <v>0</v>
      </c>
      <c r="N301" s="1">
        <f t="shared" si="682"/>
        <v>9.4311898343338568E-3</v>
      </c>
      <c r="O301" s="1">
        <f t="shared" si="578"/>
        <v>9.4311898343338568E-3</v>
      </c>
      <c r="P301" s="1">
        <f t="shared" si="584"/>
        <v>-9.4307703853740571E-3</v>
      </c>
      <c r="Q301" s="1">
        <f t="shared" si="585"/>
        <v>0</v>
      </c>
      <c r="R301" s="1">
        <f t="shared" si="586"/>
        <v>0.99991105265830871</v>
      </c>
      <c r="S301" s="1">
        <f t="shared" si="587"/>
        <v>6.0500891845000559</v>
      </c>
      <c r="T301" s="1">
        <f t="shared" ref="T301:V301" si="683">$S301*P301</f>
        <v>-5.7057001910055007E-2</v>
      </c>
      <c r="U301" s="1">
        <f t="shared" si="683"/>
        <v>0</v>
      </c>
      <c r="V301" s="1">
        <f t="shared" si="683"/>
        <v>6.0495510451500998</v>
      </c>
      <c r="W301" s="1">
        <f t="shared" si="589"/>
        <v>-74.883779400739783</v>
      </c>
      <c r="X301" s="1">
        <f t="shared" si="590"/>
        <v>0</v>
      </c>
      <c r="Y301" s="1">
        <f t="shared" si="591"/>
        <v>-4.4628353658610829</v>
      </c>
    </row>
    <row r="302" spans="1:25">
      <c r="A302" s="1">
        <v>0.3</v>
      </c>
      <c r="B302" s="1">
        <f t="shared" si="592"/>
        <v>18.173664078496802</v>
      </c>
      <c r="C302" s="1">
        <f t="shared" si="593"/>
        <v>0</v>
      </c>
      <c r="D302" s="1">
        <f t="shared" si="594"/>
        <v>0.19584062274278002</v>
      </c>
      <c r="E302" s="1">
        <f t="shared" si="595"/>
        <v>42.80321641138022</v>
      </c>
      <c r="F302" s="1">
        <f t="shared" si="596"/>
        <v>0</v>
      </c>
      <c r="G302" s="1">
        <f t="shared" si="597"/>
        <v>0.39994665324342427</v>
      </c>
      <c r="H302" s="1">
        <f t="shared" si="576"/>
        <v>42.805084890523105</v>
      </c>
      <c r="I302" s="1">
        <f t="shared" si="580"/>
        <v>-74.565529303659019</v>
      </c>
      <c r="J302" s="1">
        <f t="shared" si="581"/>
        <v>0</v>
      </c>
      <c r="K302" s="1">
        <f t="shared" si="582"/>
        <v>-0.69672880667897608</v>
      </c>
      <c r="L302" s="1">
        <f t="shared" ref="L302:N302" si="684">E302/$H302</f>
        <v>0.99995634913123843</v>
      </c>
      <c r="M302" s="1">
        <f t="shared" si="684"/>
        <v>0</v>
      </c>
      <c r="N302" s="1">
        <f t="shared" si="684"/>
        <v>9.3434379178622077E-3</v>
      </c>
      <c r="O302" s="1">
        <f t="shared" si="578"/>
        <v>9.3434379178622077E-3</v>
      </c>
      <c r="P302" s="1">
        <f t="shared" si="584"/>
        <v>-9.343030068679873E-3</v>
      </c>
      <c r="Q302" s="1">
        <f t="shared" si="585"/>
        <v>0</v>
      </c>
      <c r="R302" s="1">
        <f t="shared" si="586"/>
        <v>0.99991270016787503</v>
      </c>
      <c r="S302" s="1">
        <f t="shared" si="587"/>
        <v>6.028965538815509</v>
      </c>
      <c r="T302" s="1">
        <f t="shared" ref="T302:V302" si="685">$S302*P302</f>
        <v>-5.6328806312188055E-2</v>
      </c>
      <c r="U302" s="1">
        <f t="shared" si="685"/>
        <v>0</v>
      </c>
      <c r="V302" s="1">
        <f t="shared" si="685"/>
        <v>6.0284392111360834</v>
      </c>
      <c r="W302" s="1">
        <f t="shared" si="589"/>
        <v>-74.621858109971214</v>
      </c>
      <c r="X302" s="1">
        <f t="shared" si="590"/>
        <v>0</v>
      </c>
      <c r="Y302" s="1">
        <f t="shared" si="591"/>
        <v>-4.4749395955428923</v>
      </c>
    </row>
    <row r="303" spans="1:25">
      <c r="A303" s="1">
        <v>0.30099999999999999</v>
      </c>
      <c r="B303" s="1">
        <f t="shared" si="592"/>
        <v>18.216392673050073</v>
      </c>
      <c r="C303" s="1">
        <f t="shared" si="593"/>
        <v>0</v>
      </c>
      <c r="D303" s="1">
        <f t="shared" si="594"/>
        <v>0.1962360944564279</v>
      </c>
      <c r="E303" s="1">
        <f t="shared" si="595"/>
        <v>42.728594553270248</v>
      </c>
      <c r="F303" s="1">
        <f t="shared" si="596"/>
        <v>0</v>
      </c>
      <c r="G303" s="1">
        <f t="shared" si="597"/>
        <v>0.39547171364788136</v>
      </c>
      <c r="H303" s="1">
        <f t="shared" si="576"/>
        <v>42.730424645374768</v>
      </c>
      <c r="I303" s="1">
        <f t="shared" si="580"/>
        <v>-74.305704180460637</v>
      </c>
      <c r="J303" s="1">
        <f t="shared" si="581"/>
        <v>0</v>
      </c>
      <c r="K303" s="1">
        <f t="shared" si="582"/>
        <v>-0.687731587553709</v>
      </c>
      <c r="L303" s="1">
        <f t="shared" ref="L303:N303" si="686">E303/$H303</f>
        <v>0.9999571712165346</v>
      </c>
      <c r="M303" s="1">
        <f t="shared" si="686"/>
        <v>0</v>
      </c>
      <c r="N303" s="1">
        <f t="shared" si="686"/>
        <v>9.2550382293167324E-3</v>
      </c>
      <c r="O303" s="1">
        <f t="shared" si="578"/>
        <v>9.2550382293167324E-3</v>
      </c>
      <c r="P303" s="1">
        <f t="shared" si="584"/>
        <v>-9.2546418472884452E-3</v>
      </c>
      <c r="Q303" s="1">
        <f t="shared" si="585"/>
        <v>0</v>
      </c>
      <c r="R303" s="1">
        <f t="shared" si="586"/>
        <v>0.99991434426737391</v>
      </c>
      <c r="S303" s="1">
        <f t="shared" si="587"/>
        <v>6.0079525449103279</v>
      </c>
      <c r="T303" s="1">
        <f t="shared" ref="T303:V303" si="687">$S303*P303</f>
        <v>-5.5601449038650233E-2</v>
      </c>
      <c r="U303" s="1">
        <f t="shared" si="687"/>
        <v>0</v>
      </c>
      <c r="V303" s="1">
        <f t="shared" si="687"/>
        <v>6.007437929333511</v>
      </c>
      <c r="W303" s="1">
        <f t="shared" si="589"/>
        <v>-74.361305629499284</v>
      </c>
      <c r="X303" s="1">
        <f t="shared" si="590"/>
        <v>0</v>
      </c>
      <c r="Y303" s="1">
        <f t="shared" si="591"/>
        <v>-4.4869436582201976</v>
      </c>
    </row>
    <row r="304" spans="1:25">
      <c r="A304" s="1">
        <v>0.30199999999999999</v>
      </c>
      <c r="B304" s="1">
        <f t="shared" si="592"/>
        <v>18.259046906297716</v>
      </c>
      <c r="C304" s="1">
        <f t="shared" si="593"/>
        <v>0</v>
      </c>
      <c r="D304" s="1">
        <f t="shared" si="594"/>
        <v>0.19662707922641756</v>
      </c>
      <c r="E304" s="1">
        <f t="shared" si="595"/>
        <v>42.654233247640747</v>
      </c>
      <c r="F304" s="1">
        <f t="shared" si="596"/>
        <v>0</v>
      </c>
      <c r="G304" s="1">
        <f t="shared" si="597"/>
        <v>0.39098476998966114</v>
      </c>
      <c r="H304" s="1">
        <f t="shared" si="576"/>
        <v>42.656025166844891</v>
      </c>
      <c r="I304" s="1">
        <f t="shared" si="580"/>
        <v>-74.047237512571627</v>
      </c>
      <c r="J304" s="1">
        <f t="shared" si="581"/>
        <v>0</v>
      </c>
      <c r="K304" s="1">
        <f t="shared" si="582"/>
        <v>-0.67874487296812347</v>
      </c>
      <c r="L304" s="1">
        <f t="shared" ref="L304:N304" si="688">E304/$H304</f>
        <v>0.99995799141628561</v>
      </c>
      <c r="M304" s="1">
        <f t="shared" si="688"/>
        <v>0</v>
      </c>
      <c r="N304" s="1">
        <f t="shared" si="688"/>
        <v>9.1659916380010149E-3</v>
      </c>
      <c r="O304" s="1">
        <f t="shared" si="578"/>
        <v>9.1659916380010149E-3</v>
      </c>
      <c r="P304" s="1">
        <f t="shared" si="584"/>
        <v>-9.1656065876739648E-3</v>
      </c>
      <c r="Q304" s="1">
        <f t="shared" si="585"/>
        <v>0</v>
      </c>
      <c r="R304" s="1">
        <f t="shared" si="586"/>
        <v>0.99991598459729214</v>
      </c>
      <c r="S304" s="1">
        <f t="shared" si="587"/>
        <v>5.9870494340156952</v>
      </c>
      <c r="T304" s="1">
        <f t="shared" ref="T304:V304" si="689">$S304*P304</f>
        <v>-5.4874939733143939E-2</v>
      </c>
      <c r="U304" s="1">
        <f t="shared" si="689"/>
        <v>0</v>
      </c>
      <c r="V304" s="1">
        <f t="shared" si="689"/>
        <v>5.9865464296464648</v>
      </c>
      <c r="W304" s="1">
        <f t="shared" si="589"/>
        <v>-74.102112452304766</v>
      </c>
      <c r="X304" s="1">
        <f t="shared" si="590"/>
        <v>0</v>
      </c>
      <c r="Y304" s="1">
        <f t="shared" si="591"/>
        <v>-4.4988484433216582</v>
      </c>
    </row>
    <row r="305" spans="1:25">
      <c r="A305" s="1">
        <v>0.30299999999999999</v>
      </c>
      <c r="B305" s="1">
        <f t="shared" si="592"/>
        <v>18.301627037432905</v>
      </c>
      <c r="C305" s="1">
        <f t="shared" si="593"/>
        <v>0</v>
      </c>
      <c r="D305" s="1">
        <f t="shared" si="594"/>
        <v>0.19701356514796389</v>
      </c>
      <c r="E305" s="1">
        <f t="shared" si="595"/>
        <v>42.580131135188445</v>
      </c>
      <c r="F305" s="1">
        <f t="shared" si="596"/>
        <v>0</v>
      </c>
      <c r="G305" s="1">
        <f t="shared" si="597"/>
        <v>0.38648592154633948</v>
      </c>
      <c r="H305" s="1">
        <f t="shared" si="576"/>
        <v>42.581885102205113</v>
      </c>
      <c r="I305" s="1">
        <f t="shared" si="580"/>
        <v>-73.790119865983897</v>
      </c>
      <c r="J305" s="1">
        <f t="shared" si="581"/>
        <v>0</v>
      </c>
      <c r="K305" s="1">
        <f t="shared" si="582"/>
        <v>-0.66976877987704264</v>
      </c>
      <c r="L305" s="1">
        <f t="shared" ref="L305:N305" si="690">E305/$H305</f>
        <v>0.99995880954982486</v>
      </c>
      <c r="M305" s="1">
        <f t="shared" si="690"/>
        <v>0</v>
      </c>
      <c r="N305" s="1">
        <f t="shared" si="690"/>
        <v>9.0762990088084482E-3</v>
      </c>
      <c r="O305" s="1">
        <f t="shared" si="578"/>
        <v>9.0762990088084482E-3</v>
      </c>
      <c r="P305" s="1">
        <f t="shared" si="584"/>
        <v>-9.0759251519663513E-3</v>
      </c>
      <c r="Q305" s="1">
        <f t="shared" si="585"/>
        <v>0</v>
      </c>
      <c r="R305" s="1">
        <f t="shared" si="586"/>
        <v>0.99991762079630275</v>
      </c>
      <c r="S305" s="1">
        <f t="shared" si="587"/>
        <v>5.9662554440399154</v>
      </c>
      <c r="T305" s="1">
        <f t="shared" ref="T305:V305" si="691">$S305*P305</f>
        <v>-5.4149287847618043E-2</v>
      </c>
      <c r="U305" s="1">
        <f t="shared" si="691"/>
        <v>0</v>
      </c>
      <c r="V305" s="1">
        <f t="shared" si="691"/>
        <v>5.965763948667381</v>
      </c>
      <c r="W305" s="1">
        <f t="shared" si="589"/>
        <v>-73.844269153831519</v>
      </c>
      <c r="X305" s="1">
        <f t="shared" si="590"/>
        <v>0</v>
      </c>
      <c r="Y305" s="1">
        <f t="shared" si="591"/>
        <v>-4.5106548312096608</v>
      </c>
    </row>
    <row r="306" spans="1:25">
      <c r="A306" s="1">
        <v>0.30399999999999999</v>
      </c>
      <c r="B306" s="1">
        <f t="shared" si="592"/>
        <v>18.344133324298941</v>
      </c>
      <c r="C306" s="1">
        <f t="shared" si="593"/>
        <v>0</v>
      </c>
      <c r="D306" s="1">
        <f t="shared" si="594"/>
        <v>0.19739554041467902</v>
      </c>
      <c r="E306" s="1">
        <f t="shared" si="595"/>
        <v>42.506286866034614</v>
      </c>
      <c r="F306" s="1">
        <f t="shared" si="596"/>
        <v>0</v>
      </c>
      <c r="G306" s="1">
        <f t="shared" si="597"/>
        <v>0.38197526671512982</v>
      </c>
      <c r="H306" s="1">
        <f t="shared" si="576"/>
        <v>42.508003108144337</v>
      </c>
      <c r="I306" s="1">
        <f t="shared" si="580"/>
        <v>-73.53434188848405</v>
      </c>
      <c r="J306" s="1">
        <f t="shared" si="581"/>
        <v>0</v>
      </c>
      <c r="K306" s="1">
        <f t="shared" si="582"/>
        <v>-0.66080342289365401</v>
      </c>
      <c r="L306" s="1">
        <f t="shared" ref="L306:N306" si="692">E306/$H306</f>
        <v>0.99995962543558314</v>
      </c>
      <c r="M306" s="1">
        <f t="shared" si="692"/>
        <v>0</v>
      </c>
      <c r="N306" s="1">
        <f t="shared" si="692"/>
        <v>8.9859612022552323E-3</v>
      </c>
      <c r="O306" s="1">
        <f t="shared" si="578"/>
        <v>8.9859612022552323E-3</v>
      </c>
      <c r="P306" s="1">
        <f t="shared" si="584"/>
        <v>-8.985598397985824E-3</v>
      </c>
      <c r="Q306" s="1">
        <f t="shared" si="585"/>
        <v>0</v>
      </c>
      <c r="R306" s="1">
        <f t="shared" si="586"/>
        <v>0.99991925250127156</v>
      </c>
      <c r="S306" s="1">
        <f t="shared" si="587"/>
        <v>5.9455698194988935</v>
      </c>
      <c r="T306" s="1">
        <f t="shared" ref="T306:V306" si="693">$S306*P306</f>
        <v>-5.342450264520212E-2</v>
      </c>
      <c r="U306" s="1">
        <f t="shared" si="693"/>
        <v>0</v>
      </c>
      <c r="V306" s="1">
        <f t="shared" si="693"/>
        <v>5.9450897296074539</v>
      </c>
      <c r="W306" s="1">
        <f t="shared" si="589"/>
        <v>-73.58776639112925</v>
      </c>
      <c r="X306" s="1">
        <f t="shared" si="590"/>
        <v>0</v>
      </c>
      <c r="Y306" s="1">
        <f t="shared" si="591"/>
        <v>-4.5223636932861995</v>
      </c>
    </row>
    <row r="307" spans="1:25">
      <c r="A307" s="1">
        <v>0.30499999999999999</v>
      </c>
      <c r="B307" s="1">
        <f t="shared" si="592"/>
        <v>18.386566023398583</v>
      </c>
      <c r="C307" s="1">
        <f t="shared" si="593"/>
        <v>0</v>
      </c>
      <c r="D307" s="1">
        <f t="shared" si="594"/>
        <v>0.19777299331770087</v>
      </c>
      <c r="E307" s="1">
        <f t="shared" si="595"/>
        <v>42.432699099643486</v>
      </c>
      <c r="F307" s="1">
        <f t="shared" si="596"/>
        <v>0</v>
      </c>
      <c r="G307" s="1">
        <f t="shared" si="597"/>
        <v>0.37745290302184364</v>
      </c>
      <c r="H307" s="1">
        <f t="shared" si="576"/>
        <v>42.434377850687113</v>
      </c>
      <c r="I307" s="1">
        <f t="shared" si="580"/>
        <v>-73.279894308803861</v>
      </c>
      <c r="J307" s="1">
        <f t="shared" si="581"/>
        <v>0</v>
      </c>
      <c r="K307" s="1">
        <f t="shared" si="582"/>
        <v>-0.65184891432523295</v>
      </c>
      <c r="L307" s="1">
        <f t="shared" ref="L307:N307" si="694">E307/$H307</f>
        <v>0.99996043889109121</v>
      </c>
      <c r="M307" s="1">
        <f t="shared" si="694"/>
        <v>0</v>
      </c>
      <c r="N307" s="1">
        <f t="shared" si="694"/>
        <v>8.8949790745130909E-3</v>
      </c>
      <c r="O307" s="1">
        <f t="shared" si="578"/>
        <v>8.8949790745130909E-3</v>
      </c>
      <c r="P307" s="1">
        <f t="shared" si="584"/>
        <v>-8.8946271792771821E-3</v>
      </c>
      <c r="Q307" s="1">
        <f t="shared" si="585"/>
        <v>0</v>
      </c>
      <c r="R307" s="1">
        <f t="shared" si="586"/>
        <v>0.99992087934726392</v>
      </c>
      <c r="S307" s="1">
        <f t="shared" si="587"/>
        <v>5.9249918114474989</v>
      </c>
      <c r="T307" s="1">
        <f t="shared" ref="T307:V307" si="695">$S307*P307</f>
        <v>-5.2700593203095669E-2</v>
      </c>
      <c r="U307" s="1">
        <f t="shared" si="695"/>
        <v>0</v>
      </c>
      <c r="V307" s="1">
        <f t="shared" si="695"/>
        <v>5.9245230222279215</v>
      </c>
      <c r="W307" s="1">
        <f t="shared" si="589"/>
        <v>-73.33259490200696</v>
      </c>
      <c r="X307" s="1">
        <f t="shared" si="590"/>
        <v>0</v>
      </c>
      <c r="Y307" s="1">
        <f t="shared" si="591"/>
        <v>-4.5339758920973106</v>
      </c>
    </row>
    <row r="308" spans="1:25">
      <c r="A308" s="1">
        <v>0.30599999999999999</v>
      </c>
      <c r="B308" s="1">
        <f t="shared" si="592"/>
        <v>18.428925389903323</v>
      </c>
      <c r="C308" s="1">
        <f t="shared" si="593"/>
        <v>0</v>
      </c>
      <c r="D308" s="1">
        <f t="shared" si="594"/>
        <v>0.19814591224483061</v>
      </c>
      <c r="E308" s="1">
        <f t="shared" si="595"/>
        <v>42.35936650474148</v>
      </c>
      <c r="F308" s="1">
        <f t="shared" si="596"/>
        <v>0</v>
      </c>
      <c r="G308" s="1">
        <f t="shared" si="597"/>
        <v>0.37291892712974634</v>
      </c>
      <c r="H308" s="1">
        <f t="shared" si="576"/>
        <v>42.361008005112744</v>
      </c>
      <c r="I308" s="1">
        <f t="shared" si="580"/>
        <v>-73.02676793578074</v>
      </c>
      <c r="J308" s="1">
        <f t="shared" si="581"/>
        <v>0</v>
      </c>
      <c r="K308" s="1">
        <f t="shared" si="582"/>
        <v>-0.6429053642083149</v>
      </c>
      <c r="L308" s="1">
        <f t="shared" ref="L308:N308" si="696">E308/$H308</f>
        <v>0.99996124973298406</v>
      </c>
      <c r="M308" s="1">
        <f t="shared" si="696"/>
        <v>0</v>
      </c>
      <c r="N308" s="1">
        <f t="shared" si="696"/>
        <v>8.8033534774417319E-3</v>
      </c>
      <c r="O308" s="1">
        <f t="shared" si="578"/>
        <v>8.8033534774417319E-3</v>
      </c>
      <c r="P308" s="1">
        <f t="shared" si="584"/>
        <v>-8.8030123451438447E-3</v>
      </c>
      <c r="Q308" s="1">
        <f t="shared" si="585"/>
        <v>0</v>
      </c>
      <c r="R308" s="1">
        <f t="shared" si="586"/>
        <v>0.9999225009675512</v>
      </c>
      <c r="S308" s="1">
        <f t="shared" si="587"/>
        <v>5.9045206774117185</v>
      </c>
      <c r="T308" s="1">
        <f t="shared" ref="T308:V308" si="697">$S308*P308</f>
        <v>-5.1977568415412456E-2</v>
      </c>
      <c r="U308" s="1">
        <f t="shared" si="697"/>
        <v>0</v>
      </c>
      <c r="V308" s="1">
        <f t="shared" si="697"/>
        <v>5.9040630827721454</v>
      </c>
      <c r="W308" s="1">
        <f t="shared" si="589"/>
        <v>-73.078745504196149</v>
      </c>
      <c r="X308" s="1">
        <f t="shared" si="590"/>
        <v>0</v>
      </c>
      <c r="Y308" s="1">
        <f t="shared" si="591"/>
        <v>-4.5454922814361689</v>
      </c>
    </row>
    <row r="309" spans="1:25">
      <c r="A309" s="1">
        <v>0.307</v>
      </c>
      <c r="B309" s="1">
        <f t="shared" si="592"/>
        <v>18.471211677662559</v>
      </c>
      <c r="C309" s="1">
        <f t="shared" si="593"/>
        <v>0</v>
      </c>
      <c r="D309" s="1">
        <f t="shared" si="594"/>
        <v>0.19851428567967891</v>
      </c>
      <c r="E309" s="1">
        <f t="shared" si="595"/>
        <v>42.286287759237283</v>
      </c>
      <c r="F309" s="1">
        <f t="shared" si="596"/>
        <v>0</v>
      </c>
      <c r="G309" s="1">
        <f t="shared" si="597"/>
        <v>0.36837343484831014</v>
      </c>
      <c r="H309" s="1">
        <f t="shared" si="576"/>
        <v>42.287892255875356</v>
      </c>
      <c r="I309" s="1">
        <f t="shared" si="580"/>
        <v>-72.774953657528684</v>
      </c>
      <c r="J309" s="1">
        <f t="shared" si="581"/>
        <v>0</v>
      </c>
      <c r="K309" s="1">
        <f t="shared" si="582"/>
        <v>-0.63397288034332699</v>
      </c>
      <c r="L309" s="1">
        <f t="shared" ref="L309:N309" si="698">E309/$H309</f>
        <v>0.99996205777700231</v>
      </c>
      <c r="M309" s="1">
        <f t="shared" si="698"/>
        <v>0</v>
      </c>
      <c r="N309" s="1">
        <f t="shared" si="698"/>
        <v>8.7110852586210277E-3</v>
      </c>
      <c r="O309" s="1">
        <f t="shared" si="578"/>
        <v>8.7110852586210277E-3</v>
      </c>
      <c r="P309" s="1">
        <f t="shared" si="584"/>
        <v>-8.7107547406815936E-3</v>
      </c>
      <c r="Q309" s="1">
        <f t="shared" si="585"/>
        <v>0</v>
      </c>
      <c r="R309" s="1">
        <f t="shared" si="586"/>
        <v>0.99992411699361705</v>
      </c>
      <c r="S309" s="1">
        <f t="shared" si="587"/>
        <v>5.8841556813216735</v>
      </c>
      <c r="T309" s="1">
        <f t="shared" ref="T309:V309" si="699">$S309*P309</f>
        <v>-5.1255436995981299E-2</v>
      </c>
      <c r="U309" s="1">
        <f t="shared" si="699"/>
        <v>0</v>
      </c>
      <c r="V309" s="1">
        <f t="shared" si="699"/>
        <v>5.8837091738985494</v>
      </c>
      <c r="W309" s="1">
        <f t="shared" si="589"/>
        <v>-72.826209094524671</v>
      </c>
      <c r="X309" s="1">
        <f t="shared" si="590"/>
        <v>0</v>
      </c>
      <c r="Y309" s="1">
        <f t="shared" si="591"/>
        <v>-4.5569137064447771</v>
      </c>
    </row>
    <row r="310" spans="1:25">
      <c r="A310" s="1">
        <v>0.308</v>
      </c>
      <c r="B310" s="1">
        <f t="shared" si="592"/>
        <v>18.513425139212703</v>
      </c>
      <c r="C310" s="1">
        <f t="shared" si="593"/>
        <v>0</v>
      </c>
      <c r="D310" s="1">
        <f t="shared" si="594"/>
        <v>0.19887810220082078</v>
      </c>
      <c r="E310" s="1">
        <f t="shared" si="595"/>
        <v>42.21346155014276</v>
      </c>
      <c r="F310" s="1">
        <f t="shared" si="596"/>
        <v>0</v>
      </c>
      <c r="G310" s="1">
        <f t="shared" si="597"/>
        <v>0.36381652114186536</v>
      </c>
      <c r="H310" s="1">
        <f t="shared" si="576"/>
        <v>42.215029296524676</v>
      </c>
      <c r="I310" s="1">
        <f t="shared" si="580"/>
        <v>-72.524442440618913</v>
      </c>
      <c r="J310" s="1">
        <f t="shared" si="581"/>
        <v>0</v>
      </c>
      <c r="K310" s="1">
        <f t="shared" si="582"/>
        <v>-0.62505156832868625</v>
      </c>
      <c r="L310" s="1">
        <f t="shared" ref="L310:N310" si="700">E310/$H310</f>
        <v>0.99996286283799773</v>
      </c>
      <c r="M310" s="1">
        <f t="shared" si="700"/>
        <v>0</v>
      </c>
      <c r="N310" s="1">
        <f t="shared" si="700"/>
        <v>8.6181752613829488E-3</v>
      </c>
      <c r="O310" s="1">
        <f t="shared" si="578"/>
        <v>8.6181752613829488E-3</v>
      </c>
      <c r="P310" s="1">
        <f t="shared" si="584"/>
        <v>-8.6178552068121028E-3</v>
      </c>
      <c r="Q310" s="1">
        <f t="shared" si="585"/>
        <v>0</v>
      </c>
      <c r="R310" s="1">
        <f t="shared" si="586"/>
        <v>0.99992572705516414</v>
      </c>
      <c r="S310" s="1">
        <f t="shared" si="587"/>
        <v>5.8638960934453968</v>
      </c>
      <c r="T310" s="1">
        <f t="shared" ref="T310:V310" si="701">$S310*P310</f>
        <v>-5.0534207481103564E-2</v>
      </c>
      <c r="U310" s="1">
        <f t="shared" si="701"/>
        <v>0</v>
      </c>
      <c r="V310" s="1">
        <f t="shared" si="701"/>
        <v>5.863460564614325</v>
      </c>
      <c r="W310" s="1">
        <f t="shared" si="589"/>
        <v>-72.574976648100019</v>
      </c>
      <c r="X310" s="1">
        <f t="shared" si="590"/>
        <v>0</v>
      </c>
      <c r="Y310" s="1">
        <f t="shared" si="591"/>
        <v>-4.5682410037143608</v>
      </c>
    </row>
    <row r="311" spans="1:25">
      <c r="A311" s="1">
        <v>0.309</v>
      </c>
      <c r="B311" s="1">
        <f t="shared" si="592"/>
        <v>18.555566025786199</v>
      </c>
      <c r="C311" s="1">
        <f t="shared" si="593"/>
        <v>0</v>
      </c>
      <c r="D311" s="1">
        <f t="shared" si="594"/>
        <v>0.19923735048095892</v>
      </c>
      <c r="E311" s="1">
        <f t="shared" si="595"/>
        <v>42.140886573494662</v>
      </c>
      <c r="F311" s="1">
        <f t="shared" si="596"/>
        <v>0</v>
      </c>
      <c r="G311" s="1">
        <f t="shared" si="597"/>
        <v>0.35924828013815102</v>
      </c>
      <c r="H311" s="1">
        <f t="shared" si="576"/>
        <v>42.142417829627725</v>
      </c>
      <c r="I311" s="1">
        <f t="shared" si="580"/>
        <v>-72.275225329270555</v>
      </c>
      <c r="J311" s="1">
        <f t="shared" si="581"/>
        <v>0</v>
      </c>
      <c r="K311" s="1">
        <f t="shared" si="582"/>
        <v>-0.61614153159437357</v>
      </c>
      <c r="L311" s="1">
        <f t="shared" ref="L311:N311" si="702">E311/$H311</f>
        <v>0.99996366472993425</v>
      </c>
      <c r="M311" s="1">
        <f t="shared" si="702"/>
        <v>0</v>
      </c>
      <c r="N311" s="1">
        <f t="shared" si="702"/>
        <v>8.524624324843218E-3</v>
      </c>
      <c r="O311" s="1">
        <f t="shared" si="578"/>
        <v>8.524624324843218E-3</v>
      </c>
      <c r="P311" s="1">
        <f t="shared" si="584"/>
        <v>-8.5243145803161665E-3</v>
      </c>
      <c r="Q311" s="1">
        <f t="shared" si="585"/>
        <v>0</v>
      </c>
      <c r="R311" s="1">
        <f t="shared" si="586"/>
        <v>0.9999273307801203</v>
      </c>
      <c r="S311" s="1">
        <f t="shared" si="587"/>
        <v>5.8437411903234526</v>
      </c>
      <c r="T311" s="1">
        <f t="shared" ref="T311:V311" si="703">$S311*P311</f>
        <v>-4.9813888232268358E-2</v>
      </c>
      <c r="U311" s="1">
        <f t="shared" si="703"/>
        <v>0</v>
      </c>
      <c r="V311" s="1">
        <f t="shared" si="703"/>
        <v>5.8433165302099725</v>
      </c>
      <c r="W311" s="1">
        <f t="shared" si="589"/>
        <v>-72.32503921750282</v>
      </c>
      <c r="X311" s="1">
        <f t="shared" si="590"/>
        <v>0</v>
      </c>
      <c r="Y311" s="1">
        <f t="shared" si="591"/>
        <v>-4.5794750013844006</v>
      </c>
    </row>
    <row r="312" spans="1:25">
      <c r="A312" s="1">
        <v>0.31</v>
      </c>
      <c r="B312" s="1">
        <f t="shared" si="592"/>
        <v>18.597634587320474</v>
      </c>
      <c r="C312" s="1">
        <f t="shared" si="593"/>
        <v>0</v>
      </c>
      <c r="D312" s="1">
        <f t="shared" si="594"/>
        <v>0.19959201928609568</v>
      </c>
      <c r="E312" s="1">
        <f t="shared" si="595"/>
        <v>42.068561534277158</v>
      </c>
      <c r="F312" s="1">
        <f t="shared" si="596"/>
        <v>0</v>
      </c>
      <c r="G312" s="1">
        <f t="shared" si="597"/>
        <v>0.35466880513676663</v>
      </c>
      <c r="H312" s="1">
        <f t="shared" si="576"/>
        <v>42.070056566691242</v>
      </c>
      <c r="I312" s="1">
        <f t="shared" si="580"/>
        <v>-72.027293444550921</v>
      </c>
      <c r="J312" s="1">
        <f t="shared" si="581"/>
        <v>0</v>
      </c>
      <c r="K312" s="1">
        <f t="shared" si="582"/>
        <v>-0.60724287143499267</v>
      </c>
      <c r="L312" s="1">
        <f t="shared" ref="L312:N312" si="704">E312/$H312</f>
        <v>0.99996446326589283</v>
      </c>
      <c r="M312" s="1">
        <f t="shared" si="704"/>
        <v>0</v>
      </c>
      <c r="N312" s="1">
        <f t="shared" si="704"/>
        <v>8.4304332839327308E-3</v>
      </c>
      <c r="O312" s="1">
        <f t="shared" si="578"/>
        <v>8.4304332839327308E-3</v>
      </c>
      <c r="P312" s="1">
        <f t="shared" si="584"/>
        <v>-8.4301336938667117E-3</v>
      </c>
      <c r="Q312" s="1">
        <f t="shared" si="585"/>
        <v>0</v>
      </c>
      <c r="R312" s="1">
        <f t="shared" si="586"/>
        <v>0.99992892779464515</v>
      </c>
      <c r="S312" s="1">
        <f t="shared" si="587"/>
        <v>5.8236902547043075</v>
      </c>
      <c r="T312" s="1">
        <f t="shared" ref="T312:V312" si="705">$S312*P312</f>
        <v>-4.9094487438825996E-2</v>
      </c>
      <c r="U312" s="1">
        <f t="shared" si="705"/>
        <v>0</v>
      </c>
      <c r="V312" s="1">
        <f t="shared" si="705"/>
        <v>5.8232763521946023</v>
      </c>
      <c r="W312" s="1">
        <f t="shared" si="589"/>
        <v>-72.076387931989743</v>
      </c>
      <c r="X312" s="1">
        <f t="shared" si="590"/>
        <v>0</v>
      </c>
      <c r="Y312" s="1">
        <f t="shared" si="591"/>
        <v>-4.59061651924039</v>
      </c>
    </row>
    <row r="313" spans="1:25">
      <c r="A313" s="1">
        <v>0.311</v>
      </c>
      <c r="B313" s="1">
        <f t="shared" si="592"/>
        <v>18.63963107246682</v>
      </c>
      <c r="C313" s="1">
        <f t="shared" si="593"/>
        <v>0</v>
      </c>
      <c r="D313" s="1">
        <f t="shared" si="594"/>
        <v>0.1999420974747132</v>
      </c>
      <c r="E313" s="1">
        <f t="shared" si="595"/>
        <v>41.996485146345165</v>
      </c>
      <c r="F313" s="1">
        <f t="shared" si="596"/>
        <v>0</v>
      </c>
      <c r="G313" s="1">
        <f t="shared" si="597"/>
        <v>0.35007818861752626</v>
      </c>
      <c r="H313" s="1">
        <f t="shared" si="576"/>
        <v>41.997944228084975</v>
      </c>
      <c r="I313" s="1">
        <f t="shared" si="580"/>
        <v>-71.780637983585606</v>
      </c>
      <c r="J313" s="1">
        <f t="shared" si="581"/>
        <v>0</v>
      </c>
      <c r="K313" s="1">
        <f t="shared" si="582"/>
        <v>-0.59835568704232245</v>
      </c>
      <c r="L313" s="1">
        <f t="shared" ref="L313:N313" si="706">E313/$H313</f>
        <v>0.99996525825807359</v>
      </c>
      <c r="M313" s="1">
        <f t="shared" si="706"/>
        <v>0</v>
      </c>
      <c r="N313" s="1">
        <f t="shared" si="706"/>
        <v>8.335602969428705E-3</v>
      </c>
      <c r="O313" s="1">
        <f t="shared" si="578"/>
        <v>8.335602969428705E-3</v>
      </c>
      <c r="P313" s="1">
        <f t="shared" si="584"/>
        <v>-8.33531337606154E-3</v>
      </c>
      <c r="Q313" s="1">
        <f t="shared" si="585"/>
        <v>0</v>
      </c>
      <c r="R313" s="1">
        <f t="shared" si="586"/>
        <v>0.99993051772313601</v>
      </c>
      <c r="S313" s="1">
        <f t="shared" si="587"/>
        <v>5.8037425754804941</v>
      </c>
      <c r="T313" s="1">
        <f t="shared" ref="T313:V313" si="707">$S313*P313</f>
        <v>-4.8376013120620412E-2</v>
      </c>
      <c r="U313" s="1">
        <f t="shared" si="707"/>
        <v>0</v>
      </c>
      <c r="V313" s="1">
        <f t="shared" si="707"/>
        <v>5.803339318232017</v>
      </c>
      <c r="W313" s="1">
        <f t="shared" si="589"/>
        <v>-71.829013996706223</v>
      </c>
      <c r="X313" s="1">
        <f t="shared" si="590"/>
        <v>0</v>
      </c>
      <c r="Y313" s="1">
        <f t="shared" si="591"/>
        <v>-4.6016663688103048</v>
      </c>
    </row>
    <row r="314" spans="1:25">
      <c r="A314" s="1">
        <v>0.312</v>
      </c>
      <c r="B314" s="1">
        <f t="shared" si="592"/>
        <v>18.681555728599168</v>
      </c>
      <c r="C314" s="1">
        <f t="shared" si="593"/>
        <v>0</v>
      </c>
      <c r="D314" s="1">
        <f t="shared" si="594"/>
        <v>0.20028757399696193</v>
      </c>
      <c r="E314" s="1">
        <f t="shared" si="595"/>
        <v>41.92465613234846</v>
      </c>
      <c r="F314" s="1">
        <f t="shared" si="596"/>
        <v>0</v>
      </c>
      <c r="G314" s="1">
        <f t="shared" si="597"/>
        <v>0.34547652224871594</v>
      </c>
      <c r="H314" s="1">
        <f t="shared" si="576"/>
        <v>41.926079542965716</v>
      </c>
      <c r="I314" s="1">
        <f t="shared" si="580"/>
        <v>-71.535250218777747</v>
      </c>
      <c r="J314" s="1">
        <f t="shared" si="581"/>
        <v>0</v>
      </c>
      <c r="K314" s="1">
        <f t="shared" si="582"/>
        <v>-0.58948007553736992</v>
      </c>
      <c r="L314" s="1">
        <f t="shared" ref="L314:N314" si="708">E314/$H314</f>
        <v>0.99996604951779955</v>
      </c>
      <c r="M314" s="1">
        <f t="shared" si="708"/>
        <v>0</v>
      </c>
      <c r="N314" s="1">
        <f t="shared" si="708"/>
        <v>8.2401342079855729E-3</v>
      </c>
      <c r="O314" s="1">
        <f t="shared" si="578"/>
        <v>8.2401342079855729E-3</v>
      </c>
      <c r="P314" s="1">
        <f t="shared" si="584"/>
        <v>-8.239854451455815E-3</v>
      </c>
      <c r="Q314" s="1">
        <f t="shared" si="585"/>
        <v>0</v>
      </c>
      <c r="R314" s="1">
        <f t="shared" si="586"/>
        <v>0.99993210018823442</v>
      </c>
      <c r="S314" s="1">
        <f t="shared" si="587"/>
        <v>5.7838974476255451</v>
      </c>
      <c r="T314" s="1">
        <f t="shared" ref="T314:V314" si="709">$S314*P314</f>
        <v>-4.7658473130581275E-2</v>
      </c>
      <c r="U314" s="1">
        <f t="shared" si="709"/>
        <v>0</v>
      </c>
      <c r="V314" s="1">
        <f t="shared" si="709"/>
        <v>5.7835047220775797</v>
      </c>
      <c r="W314" s="1">
        <f t="shared" si="589"/>
        <v>-71.58290869190833</v>
      </c>
      <c r="X314" s="1">
        <f t="shared" si="590"/>
        <v>0</v>
      </c>
      <c r="Y314" s="1">
        <f t="shared" si="591"/>
        <v>-4.6126253534597899</v>
      </c>
    </row>
    <row r="315" spans="1:25">
      <c r="A315" s="1">
        <v>0.313</v>
      </c>
      <c r="B315" s="1">
        <f t="shared" si="592"/>
        <v>18.723408801822824</v>
      </c>
      <c r="C315" s="1">
        <f t="shared" si="593"/>
        <v>0</v>
      </c>
      <c r="D315" s="1">
        <f t="shared" si="594"/>
        <v>0.20062843789385718</v>
      </c>
      <c r="E315" s="1">
        <f t="shared" si="595"/>
        <v>41.853073223656551</v>
      </c>
      <c r="F315" s="1">
        <f t="shared" si="596"/>
        <v>0</v>
      </c>
      <c r="G315" s="1">
        <f t="shared" si="597"/>
        <v>0.34086389689525615</v>
      </c>
      <c r="H315" s="1">
        <f t="shared" si="576"/>
        <v>41.854461249202139</v>
      </c>
      <c r="I315" s="1">
        <f t="shared" si="580"/>
        <v>-71.291121497036812</v>
      </c>
      <c r="J315" s="1">
        <f t="shared" si="581"/>
        <v>0</v>
      </c>
      <c r="K315" s="1">
        <f t="shared" si="582"/>
        <v>-0.58061613200193285</v>
      </c>
      <c r="L315" s="1">
        <f t="shared" ref="L315:N315" si="710">E315/$H315</f>
        <v>0.9999668368555189</v>
      </c>
      <c r="M315" s="1">
        <f t="shared" si="710"/>
        <v>0</v>
      </c>
      <c r="N315" s="1">
        <f t="shared" si="710"/>
        <v>8.1440278221656462E-3</v>
      </c>
      <c r="O315" s="1">
        <f t="shared" si="578"/>
        <v>8.1440278221656462E-3</v>
      </c>
      <c r="P315" s="1">
        <f t="shared" si="584"/>
        <v>-8.1437577405943217E-3</v>
      </c>
      <c r="Q315" s="1">
        <f t="shared" si="585"/>
        <v>0</v>
      </c>
      <c r="R315" s="1">
        <f t="shared" si="586"/>
        <v>0.99993367481083184</v>
      </c>
      <c r="S315" s="1">
        <f t="shared" si="587"/>
        <v>5.7641541721316623</v>
      </c>
      <c r="T315" s="1">
        <f t="shared" ref="T315:V315" si="711">$S315*P315</f>
        <v>-4.6941875157276276E-2</v>
      </c>
      <c r="U315" s="1">
        <f t="shared" si="711"/>
        <v>0</v>
      </c>
      <c r="V315" s="1">
        <f t="shared" si="711"/>
        <v>5.7637718635158013</v>
      </c>
      <c r="W315" s="1">
        <f t="shared" si="589"/>
        <v>-71.338063372194085</v>
      </c>
      <c r="X315" s="1">
        <f t="shared" si="590"/>
        <v>0</v>
      </c>
      <c r="Y315" s="1">
        <f t="shared" si="591"/>
        <v>-4.6234942684861311</v>
      </c>
    </row>
    <row r="316" spans="1:25">
      <c r="A316" s="1">
        <v>0.314</v>
      </c>
      <c r="B316" s="1">
        <f t="shared" si="592"/>
        <v>18.765190536983109</v>
      </c>
      <c r="C316" s="1">
        <f t="shared" si="593"/>
        <v>0</v>
      </c>
      <c r="D316" s="1">
        <f t="shared" si="594"/>
        <v>0.20096467829648396</v>
      </c>
      <c r="E316" s="1">
        <f t="shared" si="595"/>
        <v>41.781735160284356</v>
      </c>
      <c r="F316" s="1">
        <f t="shared" si="596"/>
        <v>0</v>
      </c>
      <c r="G316" s="1">
        <f t="shared" si="597"/>
        <v>0.33624040262677002</v>
      </c>
      <c r="H316" s="1">
        <f t="shared" si="576"/>
        <v>41.783088093300385</v>
      </c>
      <c r="I316" s="1">
        <f t="shared" si="580"/>
        <v>-71.048243239016585</v>
      </c>
      <c r="J316" s="1">
        <f t="shared" si="581"/>
        <v>0</v>
      </c>
      <c r="K316" s="1">
        <f t="shared" si="582"/>
        <v>-0.57176394950967957</v>
      </c>
      <c r="L316" s="1">
        <f t="shared" ref="L316:N316" si="712">E316/$H316</f>
        <v>0.99996762008080853</v>
      </c>
      <c r="M316" s="1">
        <f t="shared" si="712"/>
        <v>0</v>
      </c>
      <c r="N316" s="1">
        <f t="shared" si="712"/>
        <v>8.0472846304695152E-3</v>
      </c>
      <c r="O316" s="1">
        <f t="shared" si="578"/>
        <v>8.0472846304695152E-3</v>
      </c>
      <c r="P316" s="1">
        <f t="shared" si="584"/>
        <v>-8.04702406004347E-3</v>
      </c>
      <c r="Q316" s="1">
        <f t="shared" si="585"/>
        <v>0</v>
      </c>
      <c r="R316" s="1">
        <f t="shared" si="586"/>
        <v>0.99993524121007626</v>
      </c>
      <c r="S316" s="1">
        <f t="shared" si="587"/>
        <v>5.7445120559481451</v>
      </c>
      <c r="T316" s="1">
        <f t="shared" ref="T316:V316" si="713">$S316*P316</f>
        <v>-4.6226226727424505E-2</v>
      </c>
      <c r="U316" s="1">
        <f t="shared" si="713"/>
        <v>0</v>
      </c>
      <c r="V316" s="1">
        <f t="shared" si="713"/>
        <v>5.7441400482987</v>
      </c>
      <c r="W316" s="1">
        <f t="shared" si="589"/>
        <v>-71.094469465744012</v>
      </c>
      <c r="X316" s="1">
        <f t="shared" si="590"/>
        <v>0</v>
      </c>
      <c r="Y316" s="1">
        <f t="shared" si="591"/>
        <v>-4.634273901210979</v>
      </c>
    </row>
    <row r="317" spans="1:25">
      <c r="A317" s="1">
        <v>0.315</v>
      </c>
      <c r="B317" s="1">
        <f t="shared" si="592"/>
        <v>18.806901177673929</v>
      </c>
      <c r="C317" s="1">
        <f t="shared" si="593"/>
        <v>0</v>
      </c>
      <c r="D317" s="1">
        <f t="shared" si="594"/>
        <v>0.20129628442520953</v>
      </c>
      <c r="E317" s="1">
        <f t="shared" si="595"/>
        <v>41.710640690818614</v>
      </c>
      <c r="F317" s="1">
        <f t="shared" si="596"/>
        <v>0</v>
      </c>
      <c r="G317" s="1">
        <f t="shared" si="597"/>
        <v>0.33160612872555906</v>
      </c>
      <c r="H317" s="1">
        <f t="shared" si="576"/>
        <v>41.711958830330445</v>
      </c>
      <c r="I317" s="1">
        <f t="shared" si="580"/>
        <v>-70.806606938362179</v>
      </c>
      <c r="J317" s="1">
        <f t="shared" si="581"/>
        <v>0</v>
      </c>
      <c r="K317" s="1">
        <f t="shared" si="582"/>
        <v>-0.56292361915675415</v>
      </c>
      <c r="L317" s="1">
        <f t="shared" ref="L317:N317" si="714">E317/$H317</f>
        <v>0.99996839900237744</v>
      </c>
      <c r="M317" s="1">
        <f t="shared" si="714"/>
        <v>0</v>
      </c>
      <c r="N317" s="1">
        <f t="shared" si="714"/>
        <v>7.9499054473662085E-3</v>
      </c>
      <c r="O317" s="1">
        <f t="shared" si="578"/>
        <v>7.9499054473662085E-3</v>
      </c>
      <c r="P317" s="1">
        <f t="shared" si="584"/>
        <v>-7.9496542224230665E-3</v>
      </c>
      <c r="Q317" s="1">
        <f t="shared" si="585"/>
        <v>0</v>
      </c>
      <c r="R317" s="1">
        <f t="shared" si="586"/>
        <v>0.99993679900337795</v>
      </c>
      <c r="S317" s="1">
        <f t="shared" si="587"/>
        <v>5.7249704119205518</v>
      </c>
      <c r="T317" s="1">
        <f t="shared" ref="T317:V317" si="715">$S317*P317</f>
        <v>-4.551153520837134E-2</v>
      </c>
      <c r="U317" s="1">
        <f t="shared" si="715"/>
        <v>0</v>
      </c>
      <c r="V317" s="1">
        <f t="shared" si="715"/>
        <v>5.7246085880848865</v>
      </c>
      <c r="W317" s="1">
        <f t="shared" si="589"/>
        <v>-70.852118473570556</v>
      </c>
      <c r="X317" s="1">
        <f t="shared" si="590"/>
        <v>0</v>
      </c>
      <c r="Y317" s="1">
        <f t="shared" si="591"/>
        <v>-4.6449650310718669</v>
      </c>
    </row>
    <row r="318" spans="1:25">
      <c r="A318" s="1">
        <v>0.316</v>
      </c>
      <c r="B318" s="1">
        <f t="shared" si="592"/>
        <v>18.848540966246272</v>
      </c>
      <c r="C318" s="1">
        <f t="shared" si="593"/>
        <v>0</v>
      </c>
      <c r="D318" s="1">
        <f t="shared" si="594"/>
        <v>0.20162324558890402</v>
      </c>
      <c r="E318" s="1">
        <f t="shared" si="595"/>
        <v>41.639788572345047</v>
      </c>
      <c r="F318" s="1">
        <f t="shared" si="596"/>
        <v>0</v>
      </c>
      <c r="G318" s="1">
        <f t="shared" si="597"/>
        <v>0.32696116369448719</v>
      </c>
      <c r="H318" s="1">
        <f t="shared" si="576"/>
        <v>41.641072223853236</v>
      </c>
      <c r="I318" s="1">
        <f t="shared" si="580"/>
        <v>-70.566204160965896</v>
      </c>
      <c r="J318" s="1">
        <f t="shared" si="581"/>
        <v>0</v>
      </c>
      <c r="K318" s="1">
        <f t="shared" si="582"/>
        <v>-0.55409523009191386</v>
      </c>
      <c r="L318" s="1">
        <f t="shared" ref="L318:N318" si="716">E318/$H318</f>
        <v>0.99996917342806912</v>
      </c>
      <c r="M318" s="1">
        <f t="shared" si="716"/>
        <v>0</v>
      </c>
      <c r="N318" s="1">
        <f t="shared" si="716"/>
        <v>7.851891083323119E-3</v>
      </c>
      <c r="O318" s="1">
        <f t="shared" si="578"/>
        <v>7.851891083323119E-3</v>
      </c>
      <c r="P318" s="1">
        <f t="shared" si="584"/>
        <v>-7.8516490364378463E-3</v>
      </c>
      <c r="Q318" s="1">
        <f t="shared" si="585"/>
        <v>0</v>
      </c>
      <c r="R318" s="1">
        <f t="shared" si="586"/>
        <v>0.99993834780641566</v>
      </c>
      <c r="S318" s="1">
        <f t="shared" si="587"/>
        <v>5.7055285587305704</v>
      </c>
      <c r="T318" s="1">
        <f t="shared" ref="T318:V318" si="717">$S318*P318</f>
        <v>-4.4797807810525496E-2</v>
      </c>
      <c r="U318" s="1">
        <f t="shared" si="717"/>
        <v>0</v>
      </c>
      <c r="V318" s="1">
        <f t="shared" si="717"/>
        <v>5.7051768003793661</v>
      </c>
      <c r="W318" s="1">
        <f t="shared" si="589"/>
        <v>-70.611001968776421</v>
      </c>
      <c r="X318" s="1">
        <f t="shared" si="590"/>
        <v>0</v>
      </c>
      <c r="Y318" s="1">
        <f t="shared" si="591"/>
        <v>-4.655568429712547</v>
      </c>
    </row>
    <row r="319" spans="1:25">
      <c r="A319" s="1">
        <v>0.317</v>
      </c>
      <c r="B319" s="1">
        <f t="shared" si="592"/>
        <v>18.890110143816649</v>
      </c>
      <c r="C319" s="1">
        <f t="shared" si="593"/>
        <v>0</v>
      </c>
      <c r="D319" s="1">
        <f t="shared" si="594"/>
        <v>0.20194555118416879</v>
      </c>
      <c r="E319" s="1">
        <f t="shared" si="595"/>
        <v>41.569177570376269</v>
      </c>
      <c r="F319" s="1">
        <f t="shared" si="596"/>
        <v>0</v>
      </c>
      <c r="G319" s="1">
        <f t="shared" si="597"/>
        <v>0.32230559526477465</v>
      </c>
      <c r="H319" s="1">
        <f t="shared" si="576"/>
        <v>41.570427045848497</v>
      </c>
      <c r="I319" s="1">
        <f t="shared" si="580"/>
        <v>-70.327026544232197</v>
      </c>
      <c r="J319" s="1">
        <f t="shared" si="581"/>
        <v>0</v>
      </c>
      <c r="K319" s="1">
        <f t="shared" si="582"/>
        <v>-0.54527886954620819</v>
      </c>
      <c r="L319" s="1">
        <f t="shared" ref="L319:N319" si="718">E319/$H319</f>
        <v>0.99996994316486454</v>
      </c>
      <c r="M319" s="1">
        <f t="shared" si="718"/>
        <v>0</v>
      </c>
      <c r="N319" s="1">
        <f t="shared" si="718"/>
        <v>7.7532423448356726E-3</v>
      </c>
      <c r="O319" s="1">
        <f t="shared" si="578"/>
        <v>7.7532423448356726E-3</v>
      </c>
      <c r="P319" s="1">
        <f t="shared" si="584"/>
        <v>-7.7530093069087484E-3</v>
      </c>
      <c r="Q319" s="1">
        <f t="shared" si="585"/>
        <v>0</v>
      </c>
      <c r="R319" s="1">
        <f t="shared" si="586"/>
        <v>0.9999398872331422</v>
      </c>
      <c r="S319" s="1">
        <f t="shared" si="587"/>
        <v>5.6861858208366245</v>
      </c>
      <c r="T319" s="1">
        <f t="shared" ref="T319:V319" si="719">$S319*P319</f>
        <v>-4.4085051589758908E-2</v>
      </c>
      <c r="U319" s="1">
        <f t="shared" si="719"/>
        <v>0</v>
      </c>
      <c r="V319" s="1">
        <f t="shared" si="719"/>
        <v>5.6858440084740662</v>
      </c>
      <c r="W319" s="1">
        <f t="shared" si="589"/>
        <v>-70.371111595821958</v>
      </c>
      <c r="X319" s="1">
        <f t="shared" si="590"/>
        <v>0</v>
      </c>
      <c r="Y319" s="1">
        <f t="shared" si="591"/>
        <v>-4.6660848610721413</v>
      </c>
    </row>
    <row r="320" spans="1:25">
      <c r="A320" s="1">
        <v>0.318</v>
      </c>
      <c r="B320" s="1">
        <f t="shared" si="592"/>
        <v>18.931608950275429</v>
      </c>
      <c r="C320" s="1">
        <f t="shared" si="593"/>
        <v>0</v>
      </c>
      <c r="D320" s="1">
        <f t="shared" si="594"/>
        <v>0.20226319069457249</v>
      </c>
      <c r="E320" s="1">
        <f t="shared" si="595"/>
        <v>41.49880645878045</v>
      </c>
      <c r="F320" s="1">
        <f t="shared" si="596"/>
        <v>0</v>
      </c>
      <c r="G320" s="1">
        <f t="shared" si="597"/>
        <v>0.31763951040370253</v>
      </c>
      <c r="H320" s="1">
        <f t="shared" si="576"/>
        <v>41.500022076643376</v>
      </c>
      <c r="I320" s="1">
        <f t="shared" si="580"/>
        <v>-70.089065796351221</v>
      </c>
      <c r="J320" s="1">
        <f t="shared" si="581"/>
        <v>0</v>
      </c>
      <c r="K320" s="1">
        <f t="shared" si="582"/>
        <v>-0.53647462286220537</v>
      </c>
      <c r="L320" s="1">
        <f t="shared" ref="L320:N320" si="720">E320/$H320</f>
        <v>0.99997070801888532</v>
      </c>
      <c r="M320" s="1">
        <f t="shared" si="720"/>
        <v>0</v>
      </c>
      <c r="N320" s="1">
        <f t="shared" si="720"/>
        <v>7.6539600344567816E-3</v>
      </c>
      <c r="O320" s="1">
        <f t="shared" si="578"/>
        <v>7.6539600344567816E-3</v>
      </c>
      <c r="P320" s="1">
        <f t="shared" si="584"/>
        <v>-7.6537358348039994E-3</v>
      </c>
      <c r="Q320" s="1">
        <f t="shared" si="585"/>
        <v>0</v>
      </c>
      <c r="R320" s="1">
        <f t="shared" si="586"/>
        <v>0.99994141689579097</v>
      </c>
      <c r="S320" s="1">
        <f t="shared" si="587"/>
        <v>5.6669415284151778</v>
      </c>
      <c r="T320" s="1">
        <f t="shared" ref="T320:V320" si="721">$S320*P320</f>
        <v>-4.337327344977019E-2</v>
      </c>
      <c r="U320" s="1">
        <f t="shared" si="721"/>
        <v>0</v>
      </c>
      <c r="V320" s="1">
        <f t="shared" si="721"/>
        <v>5.6666095413890725</v>
      </c>
      <c r="W320" s="1">
        <f t="shared" si="589"/>
        <v>-70.132439069800995</v>
      </c>
      <c r="X320" s="1">
        <f t="shared" si="590"/>
        <v>0</v>
      </c>
      <c r="Y320" s="1">
        <f t="shared" si="591"/>
        <v>-4.6765150814731324</v>
      </c>
    </row>
    <row r="321" spans="1:25">
      <c r="A321" s="1">
        <v>0.31900000000000001</v>
      </c>
      <c r="B321" s="1">
        <f t="shared" si="592"/>
        <v>18.973037624295138</v>
      </c>
      <c r="C321" s="1">
        <f t="shared" si="593"/>
        <v>0</v>
      </c>
      <c r="D321" s="1">
        <f t="shared" si="594"/>
        <v>0.20257615368989473</v>
      </c>
      <c r="E321" s="1">
        <f t="shared" si="595"/>
        <v>41.428674019710648</v>
      </c>
      <c r="F321" s="1">
        <f t="shared" si="596"/>
        <v>0</v>
      </c>
      <c r="G321" s="1">
        <f t="shared" si="597"/>
        <v>0.31296299532222938</v>
      </c>
      <c r="H321" s="1">
        <f t="shared" si="576"/>
        <v>41.429856104841704</v>
      </c>
      <c r="I321" s="1">
        <f t="shared" si="580"/>
        <v>-69.852313695580747</v>
      </c>
      <c r="J321" s="1">
        <f t="shared" si="581"/>
        <v>0</v>
      </c>
      <c r="K321" s="1">
        <f t="shared" si="582"/>
        <v>-0.52768257352277248</v>
      </c>
      <c r="L321" s="1">
        <f t="shared" ref="L321:N321" si="722">E321/$H321</f>
        <v>0.99997146779539703</v>
      </c>
      <c r="M321" s="1">
        <f t="shared" si="722"/>
        <v>0</v>
      </c>
      <c r="N321" s="1">
        <f t="shared" si="722"/>
        <v>7.5540449508260527E-3</v>
      </c>
      <c r="O321" s="1">
        <f t="shared" si="578"/>
        <v>7.5540449508260527E-3</v>
      </c>
      <c r="P321" s="1">
        <f t="shared" si="584"/>
        <v>-7.5538294172699354E-3</v>
      </c>
      <c r="Q321" s="1">
        <f t="shared" si="585"/>
        <v>0</v>
      </c>
      <c r="R321" s="1">
        <f t="shared" si="586"/>
        <v>0.99994293640488086</v>
      </c>
      <c r="S321" s="1">
        <f t="shared" si="587"/>
        <v>5.6477950173027098</v>
      </c>
      <c r="T321" s="1">
        <f t="shared" ref="T321:V321" si="723">$S321*P321</f>
        <v>-4.266248014441177E-2</v>
      </c>
      <c r="U321" s="1">
        <f t="shared" si="723"/>
        <v>0</v>
      </c>
      <c r="V321" s="1">
        <f t="shared" si="723"/>
        <v>5.647472733814527</v>
      </c>
      <c r="W321" s="1">
        <f t="shared" si="589"/>
        <v>-69.894976175725162</v>
      </c>
      <c r="X321" s="1">
        <f t="shared" si="590"/>
        <v>0</v>
      </c>
      <c r="Y321" s="1">
        <f t="shared" si="591"/>
        <v>-4.6868598397082453</v>
      </c>
    </row>
    <row r="322" spans="1:25">
      <c r="A322" s="1">
        <v>0.32</v>
      </c>
      <c r="B322" s="1">
        <f t="shared" si="592"/>
        <v>19.014396403338672</v>
      </c>
      <c r="C322" s="1">
        <f t="shared" si="593"/>
        <v>0</v>
      </c>
      <c r="D322" s="1">
        <f t="shared" si="594"/>
        <v>0.20288442982537724</v>
      </c>
      <c r="E322" s="1">
        <f t="shared" si="595"/>
        <v>41.358779043534923</v>
      </c>
      <c r="F322" s="1">
        <f t="shared" si="596"/>
        <v>0</v>
      </c>
      <c r="G322" s="1">
        <f t="shared" si="597"/>
        <v>0.30827613548252114</v>
      </c>
      <c r="H322" s="1">
        <f t="shared" si="576"/>
        <v>41.359927927254077</v>
      </c>
      <c r="I322" s="1">
        <f t="shared" ref="I322:I385" si="724">-K_drag*$H322*E322</f>
        <v>-69.616762089537005</v>
      </c>
      <c r="J322" s="1">
        <f t="shared" ref="J322:J385" si="725">-K_drag*$H322*F322</f>
        <v>0</v>
      </c>
      <c r="K322" s="1">
        <f t="shared" ref="K322:K385" si="726">-K_drag*$H322*G322</f>
        <v>-0.51890280317942061</v>
      </c>
      <c r="L322" s="1">
        <f t="shared" ref="L322:N322" si="727">E322/$H322</f>
        <v>0.99997222229881122</v>
      </c>
      <c r="M322" s="1">
        <f t="shared" si="727"/>
        <v>0</v>
      </c>
      <c r="N322" s="1">
        <f t="shared" si="727"/>
        <v>7.4534978886987603E-3</v>
      </c>
      <c r="O322" s="1">
        <f t="shared" si="578"/>
        <v>7.4534978886987603E-3</v>
      </c>
      <c r="P322" s="1">
        <f t="shared" ref="P322:P385" si="728">u_axis_f-$O322*L322</f>
        <v>-7.4532908476615967E-3</v>
      </c>
      <c r="Q322" s="1">
        <f t="shared" ref="Q322:Q385" si="729">u_axis_r-$O322*M322</f>
        <v>0</v>
      </c>
      <c r="R322" s="1">
        <f t="shared" ref="R322:R385" si="730">u_axis_u-$O322*N322</f>
        <v>0.99994444536922311</v>
      </c>
      <c r="S322" s="1">
        <f t="shared" ref="S322:S385" si="731">K_lift*H322^2</f>
        <v>5.6287456289384163</v>
      </c>
      <c r="T322" s="1">
        <f t="shared" ref="T322:V322" si="732">$S322*P322</f>
        <v>-4.195267827998192E-2</v>
      </c>
      <c r="U322" s="1">
        <f t="shared" si="732"/>
        <v>0</v>
      </c>
      <c r="V322" s="1">
        <f t="shared" si="732"/>
        <v>5.6284329260532635</v>
      </c>
      <c r="W322" s="1">
        <f t="shared" ref="W322:W385" si="733">I322+T322+g_f</f>
        <v>-69.658714767816988</v>
      </c>
      <c r="X322" s="1">
        <f t="shared" ref="X322:X385" si="734">J322+U322+g_r</f>
        <v>0</v>
      </c>
      <c r="Y322" s="1">
        <f t="shared" ref="Y322:Y385" si="735">K322+V322+g_u</f>
        <v>-4.6971198771261564</v>
      </c>
    </row>
    <row r="323" spans="1:25">
      <c r="A323" s="1">
        <v>0.32100000000000001</v>
      </c>
      <c r="B323" s="1">
        <f t="shared" ref="B323:B386" si="736">B322+E323*dt</f>
        <v>19.055685523667439</v>
      </c>
      <c r="C323" s="1">
        <f t="shared" ref="C323:C386" si="737">C322+F323*dt</f>
        <v>0</v>
      </c>
      <c r="D323" s="1">
        <f t="shared" ref="D323:D386" si="738">D322+G323*dt</f>
        <v>0.20318800884098265</v>
      </c>
      <c r="E323" s="1">
        <f t="shared" ref="E323:E386" si="739">E322+W322*dt</f>
        <v>41.289120328767105</v>
      </c>
      <c r="F323" s="1">
        <f t="shared" ref="F323:F386" si="740">F322+X322*dt</f>
        <v>0</v>
      </c>
      <c r="G323" s="1">
        <f t="shared" ref="G323:G386" si="741">G322+Y322*dt</f>
        <v>0.30357901560539496</v>
      </c>
      <c r="H323" s="1">
        <f t="shared" si="576"/>
        <v>41.290236348828579</v>
      </c>
      <c r="I323" s="1">
        <f t="shared" si="724"/>
        <v>-69.382402894493495</v>
      </c>
      <c r="J323" s="1">
        <f t="shared" si="725"/>
        <v>0</v>
      </c>
      <c r="K323" s="1">
        <f t="shared" si="726"/>
        <v>-0.5101353916802176</v>
      </c>
      <c r="L323" s="1">
        <f t="shared" ref="L323:N323" si="742">E323/$H323</f>
        <v>0.99997297133268881</v>
      </c>
      <c r="M323" s="1">
        <f t="shared" si="742"/>
        <v>0</v>
      </c>
      <c r="N323" s="1">
        <f t="shared" si="742"/>
        <v>7.3523196389745932E-3</v>
      </c>
      <c r="O323" s="1">
        <f t="shared" si="578"/>
        <v>7.3523196389745932E-3</v>
      </c>
      <c r="P323" s="1">
        <f t="shared" si="728"/>
        <v>-7.3521209155731062E-3</v>
      </c>
      <c r="Q323" s="1">
        <f t="shared" si="729"/>
        <v>0</v>
      </c>
      <c r="R323" s="1">
        <f t="shared" si="730"/>
        <v>0.99994594339592635</v>
      </c>
      <c r="S323" s="1">
        <f t="shared" si="731"/>
        <v>5.60979271030756</v>
      </c>
      <c r="T323" s="1">
        <f t="shared" ref="T323:V323" si="743">$S323*P323</f>
        <v>-4.1243874317481756E-2</v>
      </c>
      <c r="U323" s="1">
        <f t="shared" si="743"/>
        <v>0</v>
      </c>
      <c r="V323" s="1">
        <f t="shared" si="743"/>
        <v>5.609489463964084</v>
      </c>
      <c r="W323" s="1">
        <f t="shared" si="733"/>
        <v>-69.423646768810983</v>
      </c>
      <c r="X323" s="1">
        <f t="shared" si="734"/>
        <v>0</v>
      </c>
      <c r="Y323" s="1">
        <f t="shared" si="735"/>
        <v>-4.7072959277161335</v>
      </c>
    </row>
    <row r="324" spans="1:25">
      <c r="A324" s="1">
        <v>0.32200000000000001</v>
      </c>
      <c r="B324" s="1">
        <f t="shared" si="736"/>
        <v>19.096905220349438</v>
      </c>
      <c r="C324" s="1">
        <f t="shared" si="737"/>
        <v>0</v>
      </c>
      <c r="D324" s="1">
        <f t="shared" si="738"/>
        <v>0.20348688056066033</v>
      </c>
      <c r="E324" s="1">
        <f t="shared" si="739"/>
        <v>41.219696681998293</v>
      </c>
      <c r="F324" s="1">
        <f t="shared" si="740"/>
        <v>0</v>
      </c>
      <c r="G324" s="1">
        <f t="shared" si="741"/>
        <v>0.29887171967767884</v>
      </c>
      <c r="H324" s="1">
        <f t="shared" si="576"/>
        <v>41.220780182582232</v>
      </c>
      <c r="I324" s="1">
        <f t="shared" si="724"/>
        <v>-69.149228094688311</v>
      </c>
      <c r="J324" s="1">
        <f t="shared" si="725"/>
        <v>0</v>
      </c>
      <c r="K324" s="1">
        <f t="shared" si="726"/>
        <v>-0.50138041709727721</v>
      </c>
      <c r="L324" s="1">
        <f t="shared" ref="L324:N324" si="744">E324/$H324</f>
        <v>0.99997371469974272</v>
      </c>
      <c r="M324" s="1">
        <f t="shared" si="744"/>
        <v>0</v>
      </c>
      <c r="N324" s="1">
        <f t="shared" si="744"/>
        <v>7.2505109887261807E-3</v>
      </c>
      <c r="O324" s="1">
        <f t="shared" si="578"/>
        <v>7.2505109887261807E-3</v>
      </c>
      <c r="P324" s="1">
        <f t="shared" si="728"/>
        <v>-7.2503204068678235E-3</v>
      </c>
      <c r="Q324" s="1">
        <f t="shared" si="729"/>
        <v>0</v>
      </c>
      <c r="R324" s="1">
        <f t="shared" si="730"/>
        <v>0.99994743009040232</v>
      </c>
      <c r="S324" s="1">
        <f t="shared" si="731"/>
        <v>5.5909356138854918</v>
      </c>
      <c r="T324" s="1">
        <f t="shared" ref="T324:V324" si="745">$S324*P324</f>
        <v>-4.0536074574838064E-2</v>
      </c>
      <c r="U324" s="1">
        <f t="shared" si="745"/>
        <v>0</v>
      </c>
      <c r="V324" s="1">
        <f t="shared" si="745"/>
        <v>5.5906416989057037</v>
      </c>
      <c r="W324" s="1">
        <f t="shared" si="733"/>
        <v>-69.189764169263142</v>
      </c>
      <c r="X324" s="1">
        <f t="shared" si="734"/>
        <v>0</v>
      </c>
      <c r="Y324" s="1">
        <f t="shared" si="735"/>
        <v>-4.7173887181915726</v>
      </c>
    </row>
    <row r="325" spans="1:25">
      <c r="A325" s="1">
        <v>0.32300000000000001</v>
      </c>
      <c r="B325" s="1">
        <f t="shared" si="736"/>
        <v>19.138055727267268</v>
      </c>
      <c r="C325" s="1">
        <f t="shared" si="737"/>
        <v>0</v>
      </c>
      <c r="D325" s="1">
        <f t="shared" si="738"/>
        <v>0.20378103489161983</v>
      </c>
      <c r="E325" s="1">
        <f t="shared" si="739"/>
        <v>41.150506917829027</v>
      </c>
      <c r="F325" s="1">
        <f t="shared" si="740"/>
        <v>0</v>
      </c>
      <c r="G325" s="1">
        <f t="shared" si="741"/>
        <v>0.29415433095948729</v>
      </c>
      <c r="H325" s="1">
        <f t="shared" si="576"/>
        <v>41.151558249533117</v>
      </c>
      <c r="I325" s="1">
        <f t="shared" si="724"/>
        <v>-68.91722974163946</v>
      </c>
      <c r="J325" s="1">
        <f t="shared" si="725"/>
        <v>0</v>
      </c>
      <c r="K325" s="1">
        <f t="shared" si="726"/>
        <v>-0.49263795575383251</v>
      </c>
      <c r="L325" s="1">
        <f t="shared" ref="L325:N325" si="746">E325/$H325</f>
        <v>0.99997445220184089</v>
      </c>
      <c r="M325" s="1">
        <f t="shared" si="746"/>
        <v>0</v>
      </c>
      <c r="N325" s="1">
        <f t="shared" si="746"/>
        <v>7.1480727212273817E-3</v>
      </c>
      <c r="O325" s="1">
        <f t="shared" si="578"/>
        <v>7.1480727212273817E-3</v>
      </c>
      <c r="P325" s="1">
        <f t="shared" si="728"/>
        <v>-7.1478901037082734E-3</v>
      </c>
      <c r="Q325" s="1">
        <f t="shared" si="729"/>
        <v>0</v>
      </c>
      <c r="R325" s="1">
        <f t="shared" si="730"/>
        <v>0.99994890505637202</v>
      </c>
      <c r="S325" s="1">
        <f t="shared" si="731"/>
        <v>5.5721736975823362</v>
      </c>
      <c r="T325" s="1">
        <f t="shared" ref="T325:V325" si="747">$S325*P325</f>
        <v>-3.982928522909232E-2</v>
      </c>
      <c r="U325" s="1">
        <f t="shared" si="747"/>
        <v>0</v>
      </c>
      <c r="V325" s="1">
        <f t="shared" si="747"/>
        <v>5.5718889876813726</v>
      </c>
      <c r="W325" s="1">
        <f t="shared" si="733"/>
        <v>-68.957059026868549</v>
      </c>
      <c r="X325" s="1">
        <f t="shared" si="734"/>
        <v>0</v>
      </c>
      <c r="Y325" s="1">
        <f t="shared" si="735"/>
        <v>-4.7273989680724595</v>
      </c>
    </row>
    <row r="326" spans="1:25">
      <c r="A326" s="1">
        <v>0.32400000000000001</v>
      </c>
      <c r="B326" s="1">
        <f t="shared" si="736"/>
        <v>19.17913727712607</v>
      </c>
      <c r="C326" s="1">
        <f t="shared" si="737"/>
        <v>0</v>
      </c>
      <c r="D326" s="1">
        <f t="shared" si="738"/>
        <v>0.20407046182361124</v>
      </c>
      <c r="E326" s="1">
        <f t="shared" si="739"/>
        <v>41.081549858802155</v>
      </c>
      <c r="F326" s="1">
        <f t="shared" si="740"/>
        <v>0</v>
      </c>
      <c r="G326" s="1">
        <f t="shared" si="741"/>
        <v>0.28942693199141484</v>
      </c>
      <c r="H326" s="1">
        <f t="shared" si="576"/>
        <v>41.082569378633188</v>
      </c>
      <c r="I326" s="1">
        <f t="shared" si="724"/>
        <v>-68.686399953468239</v>
      </c>
      <c r="J326" s="1">
        <f t="shared" si="725"/>
        <v>0</v>
      </c>
      <c r="K326" s="1">
        <f t="shared" si="726"/>
        <v>-0.48390808225089732</v>
      </c>
      <c r="L326" s="1">
        <f t="shared" ref="L326:N326" si="748">E326/$H326</f>
        <v>0.99997518364000959</v>
      </c>
      <c r="M326" s="1">
        <f t="shared" si="748"/>
        <v>0</v>
      </c>
      <c r="N326" s="1">
        <f t="shared" si="748"/>
        <v>7.045005615981364E-3</v>
      </c>
      <c r="O326" s="1">
        <f t="shared" si="578"/>
        <v>7.045005615981364E-3</v>
      </c>
      <c r="P326" s="1">
        <f t="shared" si="728"/>
        <v>-7.0448307845858635E-3</v>
      </c>
      <c r="Q326" s="1">
        <f t="shared" si="729"/>
        <v>0</v>
      </c>
      <c r="R326" s="1">
        <f t="shared" si="730"/>
        <v>0.99995036789587077</v>
      </c>
      <c r="S326" s="1">
        <f t="shared" si="731"/>
        <v>5.5535063246883185</v>
      </c>
      <c r="T326" s="1">
        <f t="shared" ref="T326:V326" si="749">$S326*P326</f>
        <v>-3.9123512318556562E-2</v>
      </c>
      <c r="U326" s="1">
        <f t="shared" si="749"/>
        <v>0</v>
      </c>
      <c r="V326" s="1">
        <f t="shared" si="749"/>
        <v>5.5532306924841288</v>
      </c>
      <c r="W326" s="1">
        <f t="shared" si="733"/>
        <v>-68.725523465786793</v>
      </c>
      <c r="X326" s="1">
        <f t="shared" si="734"/>
        <v>0</v>
      </c>
      <c r="Y326" s="1">
        <f t="shared" si="735"/>
        <v>-4.7373273897667678</v>
      </c>
    </row>
    <row r="327" spans="1:25">
      <c r="A327" s="1">
        <v>0.32500000000000001</v>
      </c>
      <c r="B327" s="1">
        <f t="shared" si="736"/>
        <v>19.220150101461407</v>
      </c>
      <c r="C327" s="1">
        <f t="shared" si="737"/>
        <v>0</v>
      </c>
      <c r="D327" s="1">
        <f t="shared" si="738"/>
        <v>0.20435515142821289</v>
      </c>
      <c r="E327" s="1">
        <f t="shared" si="739"/>
        <v>41.012824335336369</v>
      </c>
      <c r="F327" s="1">
        <f t="shared" si="740"/>
        <v>0</v>
      </c>
      <c r="G327" s="1">
        <f t="shared" si="741"/>
        <v>0.28468960460164805</v>
      </c>
      <c r="H327" s="1">
        <f t="shared" si="576"/>
        <v>41.01381240670181</v>
      </c>
      <c r="I327" s="1">
        <f t="shared" si="724"/>
        <v>-68.456730914230675</v>
      </c>
      <c r="J327" s="1">
        <f t="shared" si="725"/>
        <v>0</v>
      </c>
      <c r="K327" s="1">
        <f t="shared" si="726"/>
        <v>-0.4751908694935264</v>
      </c>
      <c r="L327" s="1">
        <f t="shared" ref="L327:N327" si="750">E327/$H327</f>
        <v>0.99997590881443443</v>
      </c>
      <c r="M327" s="1">
        <f t="shared" si="750"/>
        <v>0</v>
      </c>
      <c r="N327" s="1">
        <f t="shared" si="750"/>
        <v>6.941310448748449E-3</v>
      </c>
      <c r="O327" s="1">
        <f t="shared" si="578"/>
        <v>6.941310448748449E-3</v>
      </c>
      <c r="P327" s="1">
        <f t="shared" si="728"/>
        <v>-6.9411432243503598E-3</v>
      </c>
      <c r="Q327" s="1">
        <f t="shared" si="729"/>
        <v>0</v>
      </c>
      <c r="R327" s="1">
        <f t="shared" si="730"/>
        <v>0.99995181820925405</v>
      </c>
      <c r="S327" s="1">
        <f t="shared" si="731"/>
        <v>5.5349328638197486</v>
      </c>
      <c r="T327" s="1">
        <f t="shared" ref="T327:V327" si="751">$S327*P327</f>
        <v>-3.841876174493658E-2</v>
      </c>
      <c r="U327" s="1">
        <f t="shared" si="751"/>
        <v>0</v>
      </c>
      <c r="V327" s="1">
        <f t="shared" si="751"/>
        <v>5.5346661808427111</v>
      </c>
      <c r="W327" s="1">
        <f t="shared" si="733"/>
        <v>-68.495149675975611</v>
      </c>
      <c r="X327" s="1">
        <f t="shared" si="734"/>
        <v>0</v>
      </c>
      <c r="Y327" s="1">
        <f t="shared" si="735"/>
        <v>-4.7471746886508148</v>
      </c>
    </row>
    <row r="328" spans="1:25">
      <c r="A328" s="1">
        <v>0.32600000000000001</v>
      </c>
      <c r="B328" s="1">
        <f t="shared" si="736"/>
        <v>19.261094430647066</v>
      </c>
      <c r="C328" s="1">
        <f t="shared" si="737"/>
        <v>0</v>
      </c>
      <c r="D328" s="1">
        <f t="shared" si="738"/>
        <v>0.20463509385812589</v>
      </c>
      <c r="E328" s="1">
        <f t="shared" si="739"/>
        <v>40.944329185660393</v>
      </c>
      <c r="F328" s="1">
        <f t="shared" si="740"/>
        <v>0</v>
      </c>
      <c r="G328" s="1">
        <f t="shared" si="741"/>
        <v>0.27994242991299723</v>
      </c>
      <c r="H328" s="1">
        <f t="shared" si="576"/>
        <v>40.945286178359858</v>
      </c>
      <c r="I328" s="1">
        <f t="shared" si="724"/>
        <v>-68.228214873256505</v>
      </c>
      <c r="J328" s="1">
        <f t="shared" si="725"/>
        <v>0</v>
      </c>
      <c r="K328" s="1">
        <f t="shared" si="726"/>
        <v>-0.46648638871667625</v>
      </c>
      <c r="L328" s="1">
        <f t="shared" ref="L328:N328" si="752">E328/$H328</f>
        <v>0.99997662752446537</v>
      </c>
      <c r="M328" s="1">
        <f t="shared" si="752"/>
        <v>0</v>
      </c>
      <c r="N328" s="1">
        <f t="shared" si="752"/>
        <v>6.8369879915737555E-3</v>
      </c>
      <c r="O328" s="1">
        <f t="shared" si="578"/>
        <v>6.8369879915737555E-3</v>
      </c>
      <c r="P328" s="1">
        <f t="shared" si="728"/>
        <v>-6.8368281942391921E-3</v>
      </c>
      <c r="Q328" s="1">
        <f t="shared" si="729"/>
        <v>0</v>
      </c>
      <c r="R328" s="1">
        <f t="shared" si="730"/>
        <v>0.99995325559520309</v>
      </c>
      <c r="S328" s="1">
        <f t="shared" si="731"/>
        <v>5.5164526888656091</v>
      </c>
      <c r="T328" s="1">
        <f t="shared" ref="T328:V328" si="753">$S328*P328</f>
        <v>-3.7715039275422996E-2</v>
      </c>
      <c r="U328" s="1">
        <f t="shared" si="753"/>
        <v>0</v>
      </c>
      <c r="V328" s="1">
        <f t="shared" si="753"/>
        <v>5.5161948255680775</v>
      </c>
      <c r="W328" s="1">
        <f t="shared" si="733"/>
        <v>-68.265929912531931</v>
      </c>
      <c r="X328" s="1">
        <f t="shared" si="734"/>
        <v>0</v>
      </c>
      <c r="Y328" s="1">
        <f t="shared" si="735"/>
        <v>-4.7569415631485983</v>
      </c>
    </row>
    <row r="329" spans="1:25">
      <c r="A329" s="1">
        <v>0.32700000000000001</v>
      </c>
      <c r="B329" s="1">
        <f t="shared" si="736"/>
        <v>19.301970493902814</v>
      </c>
      <c r="C329" s="1">
        <f t="shared" si="737"/>
        <v>0</v>
      </c>
      <c r="D329" s="1">
        <f t="shared" si="738"/>
        <v>0.20491027934647574</v>
      </c>
      <c r="E329" s="1">
        <f t="shared" si="739"/>
        <v>40.876063255747859</v>
      </c>
      <c r="F329" s="1">
        <f t="shared" si="740"/>
        <v>0</v>
      </c>
      <c r="G329" s="1">
        <f t="shared" si="741"/>
        <v>0.27518548834984863</v>
      </c>
      <c r="H329" s="1">
        <f t="shared" si="576"/>
        <v>40.876989545964591</v>
      </c>
      <c r="I329" s="1">
        <f t="shared" si="724"/>
        <v>-68.000844144496185</v>
      </c>
      <c r="J329" s="1">
        <f t="shared" si="725"/>
        <v>0</v>
      </c>
      <c r="K329" s="1">
        <f t="shared" si="726"/>
        <v>-0.45779470951067647</v>
      </c>
      <c r="L329" s="1">
        <f t="shared" ref="L329:N329" si="754">E329/$H329</f>
        <v>0.99997733956861745</v>
      </c>
      <c r="M329" s="1">
        <f t="shared" si="754"/>
        <v>0</v>
      </c>
      <c r="N329" s="1">
        <f t="shared" si="754"/>
        <v>6.7320390128146109E-3</v>
      </c>
      <c r="O329" s="1">
        <f t="shared" si="578"/>
        <v>6.7320390128146109E-3</v>
      </c>
      <c r="P329" s="1">
        <f t="shared" si="728"/>
        <v>-6.731886461906496E-3</v>
      </c>
      <c r="Q329" s="1">
        <f t="shared" si="729"/>
        <v>0</v>
      </c>
      <c r="R329" s="1">
        <f t="shared" si="730"/>
        <v>0.99995467965072993</v>
      </c>
      <c r="S329" s="1">
        <f t="shared" si="731"/>
        <v>5.498065178934799</v>
      </c>
      <c r="T329" s="1">
        <f t="shared" ref="T329:V329" si="755">$S329*P329</f>
        <v>-3.7012350544750688E-2</v>
      </c>
      <c r="U329" s="1">
        <f t="shared" si="755"/>
        <v>0</v>
      </c>
      <c r="V329" s="1">
        <f t="shared" si="755"/>
        <v>5.4978160047005797</v>
      </c>
      <c r="W329" s="1">
        <f t="shared" si="733"/>
        <v>-68.037856495040941</v>
      </c>
      <c r="X329" s="1">
        <f t="shared" si="734"/>
        <v>0</v>
      </c>
      <c r="Y329" s="1">
        <f t="shared" si="735"/>
        <v>-4.7666287048100964</v>
      </c>
    </row>
    <row r="330" spans="1:25">
      <c r="A330" s="1">
        <v>0.32800000000000001</v>
      </c>
      <c r="B330" s="1">
        <f t="shared" si="736"/>
        <v>19.342778519302069</v>
      </c>
      <c r="C330" s="1">
        <f t="shared" si="737"/>
        <v>0</v>
      </c>
      <c r="D330" s="1">
        <f t="shared" si="738"/>
        <v>0.20518069820612078</v>
      </c>
      <c r="E330" s="1">
        <f t="shared" si="739"/>
        <v>40.80802539925282</v>
      </c>
      <c r="F330" s="1">
        <f t="shared" si="740"/>
        <v>0</v>
      </c>
      <c r="G330" s="1">
        <f t="shared" si="741"/>
        <v>0.27041885964503853</v>
      </c>
      <c r="H330" s="1">
        <f t="shared" si="576"/>
        <v>40.808921369545104</v>
      </c>
      <c r="I330" s="1">
        <f t="shared" si="724"/>
        <v>-67.774611105875309</v>
      </c>
      <c r="J330" s="1">
        <f t="shared" si="725"/>
        <v>0</v>
      </c>
      <c r="K330" s="1">
        <f t="shared" si="726"/>
        <v>-0.44911589984631634</v>
      </c>
      <c r="L330" s="1">
        <f t="shared" ref="L330:N330" si="756">E330/$H330</f>
        <v>0.99997804474457508</v>
      </c>
      <c r="M330" s="1">
        <f t="shared" si="756"/>
        <v>0</v>
      </c>
      <c r="N330" s="1">
        <f t="shared" si="756"/>
        <v>6.6264642771677569E-3</v>
      </c>
      <c r="O330" s="1">
        <f t="shared" si="578"/>
        <v>6.6264642771677569E-3</v>
      </c>
      <c r="P330" s="1">
        <f t="shared" si="728"/>
        <v>-6.6263187914519872E-3</v>
      </c>
      <c r="Q330" s="1">
        <f t="shared" si="729"/>
        <v>0</v>
      </c>
      <c r="R330" s="1">
        <f t="shared" si="730"/>
        <v>0.99995608997118346</v>
      </c>
      <c r="S330" s="1">
        <f t="shared" si="731"/>
        <v>5.4797697183039658</v>
      </c>
      <c r="T330" s="1">
        <f t="shared" ref="T330:V330" si="757">$S330*P330</f>
        <v>-3.6310701057227134E-2</v>
      </c>
      <c r="U330" s="1">
        <f t="shared" si="757"/>
        <v>0</v>
      </c>
      <c r="V330" s="1">
        <f t="shared" si="757"/>
        <v>5.479529101457727</v>
      </c>
      <c r="W330" s="1">
        <f t="shared" si="733"/>
        <v>-67.810921806932541</v>
      </c>
      <c r="X330" s="1">
        <f t="shared" si="734"/>
        <v>0</v>
      </c>
      <c r="Y330" s="1">
        <f t="shared" si="735"/>
        <v>-4.7762367983885889</v>
      </c>
    </row>
    <row r="331" spans="1:25">
      <c r="A331" s="1">
        <v>0.32900000000000001</v>
      </c>
      <c r="B331" s="1">
        <f t="shared" si="736"/>
        <v>19.383518733779514</v>
      </c>
      <c r="C331" s="1">
        <f t="shared" si="737"/>
        <v>0</v>
      </c>
      <c r="D331" s="1">
        <f t="shared" si="738"/>
        <v>0.20544634082896743</v>
      </c>
      <c r="E331" s="1">
        <f t="shared" si="739"/>
        <v>40.740214477445889</v>
      </c>
      <c r="F331" s="1">
        <f t="shared" si="740"/>
        <v>0</v>
      </c>
      <c r="G331" s="1">
        <f t="shared" si="741"/>
        <v>0.26564262284664997</v>
      </c>
      <c r="H331" s="1">
        <f t="shared" si="576"/>
        <v>40.741080516738435</v>
      </c>
      <c r="I331" s="1">
        <f t="shared" si="724"/>
        <v>-67.549508198656554</v>
      </c>
      <c r="J331" s="1">
        <f t="shared" si="725"/>
        <v>0</v>
      </c>
      <c r="K331" s="1">
        <f t="shared" si="726"/>
        <v>-0.44045002609955264</v>
      </c>
      <c r="L331" s="1">
        <f t="shared" ref="L331:N331" si="758">E331/$H331</f>
        <v>0.99997874284919397</v>
      </c>
      <c r="M331" s="1">
        <f t="shared" si="758"/>
        <v>0</v>
      </c>
      <c r="N331" s="1">
        <f t="shared" si="758"/>
        <v>6.5202645456963505E-3</v>
      </c>
      <c r="O331" s="1">
        <f t="shared" si="578"/>
        <v>6.5202645456963505E-3</v>
      </c>
      <c r="P331" s="1">
        <f t="shared" si="728"/>
        <v>-6.5201259434496074E-3</v>
      </c>
      <c r="Q331" s="1">
        <f t="shared" si="729"/>
        <v>0</v>
      </c>
      <c r="R331" s="1">
        <f t="shared" si="730"/>
        <v>0.99995748615025415</v>
      </c>
      <c r="S331" s="1">
        <f t="shared" si="731"/>
        <v>5.4615656963659625</v>
      </c>
      <c r="T331" s="1">
        <f t="shared" ref="T331:V331" si="759">$S331*P331</f>
        <v>-3.561009618873013E-2</v>
      </c>
      <c r="U331" s="1">
        <f t="shared" si="759"/>
        <v>0</v>
      </c>
      <c r="V331" s="1">
        <f t="shared" si="759"/>
        <v>5.4613335041825701</v>
      </c>
      <c r="W331" s="1">
        <f t="shared" si="733"/>
        <v>-67.585118294845287</v>
      </c>
      <c r="X331" s="1">
        <f t="shared" si="734"/>
        <v>0</v>
      </c>
      <c r="Y331" s="1">
        <f t="shared" si="735"/>
        <v>-4.7857665219169823</v>
      </c>
    </row>
    <row r="332" spans="1:25">
      <c r="A332" s="1">
        <v>0.33</v>
      </c>
      <c r="B332" s="1">
        <f t="shared" si="736"/>
        <v>19.424191363138664</v>
      </c>
      <c r="C332" s="1">
        <f t="shared" si="737"/>
        <v>0</v>
      </c>
      <c r="D332" s="1">
        <f t="shared" si="738"/>
        <v>0.20570719768529216</v>
      </c>
      <c r="E332" s="1">
        <f t="shared" si="739"/>
        <v>40.672629359151045</v>
      </c>
      <c r="F332" s="1">
        <f t="shared" si="740"/>
        <v>0</v>
      </c>
      <c r="G332" s="1">
        <f t="shared" si="741"/>
        <v>0.26085685632473299</v>
      </c>
      <c r="H332" s="1">
        <f t="shared" si="576"/>
        <v>40.673465862726367</v>
      </c>
      <c r="I332" s="1">
        <f t="shared" si="724"/>
        <v>-67.325527926809201</v>
      </c>
      <c r="J332" s="1">
        <f t="shared" si="725"/>
        <v>0</v>
      </c>
      <c r="K332" s="1">
        <f t="shared" si="726"/>
        <v>-0.43179715307584537</v>
      </c>
      <c r="L332" s="1">
        <f t="shared" ref="L332:N332" si="760">E332/$H332</f>
        <v>0.99997943367850317</v>
      </c>
      <c r="M332" s="1">
        <f t="shared" si="760"/>
        <v>0</v>
      </c>
      <c r="N332" s="1">
        <f t="shared" si="760"/>
        <v>6.4134405758567332E-3</v>
      </c>
      <c r="O332" s="1">
        <f t="shared" si="578"/>
        <v>6.4134405758567332E-3</v>
      </c>
      <c r="P332" s="1">
        <f t="shared" si="728"/>
        <v>-6.4133086749759496E-3</v>
      </c>
      <c r="Q332" s="1">
        <f t="shared" si="729"/>
        <v>0</v>
      </c>
      <c r="R332" s="1">
        <f t="shared" si="730"/>
        <v>0.99995886777998</v>
      </c>
      <c r="S332" s="1">
        <f t="shared" si="731"/>
        <v>5.4434525075788969</v>
      </c>
      <c r="T332" s="1">
        <f t="shared" ref="T332:V332" si="761">$S332*P332</f>
        <v>-3.4910541188675329E-2</v>
      </c>
      <c r="U332" s="1">
        <f t="shared" si="761"/>
        <v>0</v>
      </c>
      <c r="V332" s="1">
        <f t="shared" si="761"/>
        <v>5.4432286062926867</v>
      </c>
      <c r="W332" s="1">
        <f t="shared" si="733"/>
        <v>-67.360438467997881</v>
      </c>
      <c r="X332" s="1">
        <f t="shared" si="734"/>
        <v>0</v>
      </c>
      <c r="Y332" s="1">
        <f t="shared" si="735"/>
        <v>-4.7952185467831585</v>
      </c>
    </row>
    <row r="333" spans="1:25">
      <c r="A333" s="1">
        <v>0.33100000000000002</v>
      </c>
      <c r="B333" s="1">
        <f t="shared" si="736"/>
        <v>19.464796632059347</v>
      </c>
      <c r="C333" s="1">
        <f t="shared" si="737"/>
        <v>0</v>
      </c>
      <c r="D333" s="1">
        <f t="shared" si="738"/>
        <v>0.20596325932307011</v>
      </c>
      <c r="E333" s="1">
        <f t="shared" si="739"/>
        <v>40.605268920683045</v>
      </c>
      <c r="F333" s="1">
        <f t="shared" si="740"/>
        <v>0</v>
      </c>
      <c r="G333" s="1">
        <f t="shared" si="741"/>
        <v>0.25606163777794982</v>
      </c>
      <c r="H333" s="1">
        <f t="shared" si="576"/>
        <v>40.606076290172759</v>
      </c>
      <c r="I333" s="1">
        <f t="shared" si="724"/>
        <v>-67.102662856385692</v>
      </c>
      <c r="J333" s="1">
        <f t="shared" si="725"/>
        <v>0</v>
      </c>
      <c r="K333" s="1">
        <f t="shared" si="726"/>
        <v>-0.42315734403412708</v>
      </c>
      <c r="L333" s="1">
        <f t="shared" ref="L333:N333" si="762">E333/$H333</f>
        <v>0.99998011702770928</v>
      </c>
      <c r="M333" s="1">
        <f t="shared" si="762"/>
        <v>0</v>
      </c>
      <c r="N333" s="1">
        <f t="shared" si="762"/>
        <v>6.3059931215250255E-3</v>
      </c>
      <c r="O333" s="1">
        <f t="shared" si="578"/>
        <v>6.3059931215250255E-3</v>
      </c>
      <c r="P333" s="1">
        <f t="shared" si="728"/>
        <v>-6.3058677396385246E-3</v>
      </c>
      <c r="Q333" s="1">
        <f t="shared" si="729"/>
        <v>0</v>
      </c>
      <c r="R333" s="1">
        <f t="shared" si="730"/>
        <v>0.99996023445075133</v>
      </c>
      <c r="S333" s="1">
        <f t="shared" si="731"/>
        <v>5.4254295514157684</v>
      </c>
      <c r="T333" s="1">
        <f t="shared" ref="T333:V333" si="763">$S333*P333</f>
        <v>-3.4212041181954207E-2</v>
      </c>
      <c r="U333" s="1">
        <f t="shared" si="763"/>
        <v>0</v>
      </c>
      <c r="V333" s="1">
        <f t="shared" si="763"/>
        <v>5.4252138062297464</v>
      </c>
      <c r="W333" s="1">
        <f t="shared" si="733"/>
        <v>-67.136874897567651</v>
      </c>
      <c r="X333" s="1">
        <f t="shared" si="734"/>
        <v>0</v>
      </c>
      <c r="Y333" s="1">
        <f t="shared" si="735"/>
        <v>-4.8045935378043803</v>
      </c>
    </row>
    <row r="334" spans="1:25">
      <c r="A334" s="1">
        <v>0.33200000000000002</v>
      </c>
      <c r="B334" s="1">
        <f t="shared" si="736"/>
        <v>19.505334764105132</v>
      </c>
      <c r="C334" s="1">
        <f t="shared" si="737"/>
        <v>0</v>
      </c>
      <c r="D334" s="1">
        <f t="shared" si="738"/>
        <v>0.20621451636731025</v>
      </c>
      <c r="E334" s="1">
        <f t="shared" si="739"/>
        <v>40.538132045785474</v>
      </c>
      <c r="F334" s="1">
        <f t="shared" si="740"/>
        <v>0</v>
      </c>
      <c r="G334" s="1">
        <f t="shared" si="741"/>
        <v>0.25125704424014544</v>
      </c>
      <c r="H334" s="1">
        <f t="shared" si="576"/>
        <v>40.538910689161582</v>
      </c>
      <c r="I334" s="1">
        <f t="shared" si="724"/>
        <v>-66.880905614905686</v>
      </c>
      <c r="J334" s="1">
        <f t="shared" si="725"/>
        <v>0</v>
      </c>
      <c r="K334" s="1">
        <f t="shared" si="726"/>
        <v>-0.41453066071041128</v>
      </c>
      <c r="L334" s="1">
        <f t="shared" ref="L334:N334" si="764">E334/$H334</f>
        <v>0.99998079269119788</v>
      </c>
      <c r="M334" s="1">
        <f t="shared" si="764"/>
        <v>0</v>
      </c>
      <c r="N334" s="1">
        <f t="shared" si="764"/>
        <v>6.1979229330234847E-3</v>
      </c>
      <c r="O334" s="1">
        <f t="shared" si="578"/>
        <v>6.1979229330234847E-3</v>
      </c>
      <c r="P334" s="1">
        <f t="shared" si="728"/>
        <v>-6.1978038876037787E-3</v>
      </c>
      <c r="Q334" s="1">
        <f t="shared" si="729"/>
        <v>0</v>
      </c>
      <c r="R334" s="1">
        <f t="shared" si="730"/>
        <v>0.99996158575131633</v>
      </c>
      <c r="S334" s="1">
        <f t="shared" si="731"/>
        <v>5.4074962323146956</v>
      </c>
      <c r="T334" s="1">
        <f t="shared" ref="T334:V334" si="765">$S334*P334</f>
        <v>-3.3514601170842803E-2</v>
      </c>
      <c r="U334" s="1">
        <f t="shared" si="765"/>
        <v>0</v>
      </c>
      <c r="V334" s="1">
        <f t="shared" si="765"/>
        <v>5.407288507409671</v>
      </c>
      <c r="W334" s="1">
        <f t="shared" si="733"/>
        <v>-66.914420216076522</v>
      </c>
      <c r="X334" s="1">
        <f t="shared" si="734"/>
        <v>0</v>
      </c>
      <c r="Y334" s="1">
        <f t="shared" si="735"/>
        <v>-4.8138921533007393</v>
      </c>
    </row>
    <row r="335" spans="1:25">
      <c r="A335" s="1">
        <v>0.33300000000000002</v>
      </c>
      <c r="B335" s="1">
        <f t="shared" si="736"/>
        <v>19.545805981730702</v>
      </c>
      <c r="C335" s="1">
        <f t="shared" si="737"/>
        <v>0</v>
      </c>
      <c r="D335" s="1">
        <f t="shared" si="738"/>
        <v>0.20646095951939711</v>
      </c>
      <c r="E335" s="1">
        <f t="shared" si="739"/>
        <v>40.471217625569395</v>
      </c>
      <c r="F335" s="1">
        <f t="shared" si="740"/>
        <v>0</v>
      </c>
      <c r="G335" s="1">
        <f t="shared" si="741"/>
        <v>0.2464431520868447</v>
      </c>
      <c r="H335" s="1">
        <f t="shared" si="576"/>
        <v>40.471967957135583</v>
      </c>
      <c r="I335" s="1">
        <f t="shared" si="724"/>
        <v>-66.660248890747084</v>
      </c>
      <c r="J335" s="1">
        <f t="shared" si="725"/>
        <v>0</v>
      </c>
      <c r="K335" s="1">
        <f t="shared" si="726"/>
        <v>-0.40591716334104683</v>
      </c>
      <c r="L335" s="1">
        <f t="shared" ref="L335:N335" si="766">E335/$H335</f>
        <v>0.99998146046253589</v>
      </c>
      <c r="M335" s="1">
        <f t="shared" si="766"/>
        <v>0</v>
      </c>
      <c r="N335" s="1">
        <f t="shared" si="766"/>
        <v>6.0892307571466754E-3</v>
      </c>
      <c r="O335" s="1">
        <f t="shared" si="578"/>
        <v>6.0892307571466754E-3</v>
      </c>
      <c r="P335" s="1">
        <f t="shared" si="728"/>
        <v>-6.0891178656249257E-3</v>
      </c>
      <c r="Q335" s="1">
        <f t="shared" si="729"/>
        <v>0</v>
      </c>
      <c r="R335" s="1">
        <f t="shared" si="730"/>
        <v>0.99996292126878616</v>
      </c>
      <c r="S335" s="1">
        <f t="shared" si="731"/>
        <v>5.3896519596297203</v>
      </c>
      <c r="T335" s="1">
        <f t="shared" ref="T335:V335" si="767">$S335*P335</f>
        <v>-3.2818226036881719E-2</v>
      </c>
      <c r="U335" s="1">
        <f t="shared" si="767"/>
        <v>0</v>
      </c>
      <c r="V335" s="1">
        <f t="shared" si="767"/>
        <v>5.3894521181733728</v>
      </c>
      <c r="W335" s="1">
        <f t="shared" si="733"/>
        <v>-66.693067116783965</v>
      </c>
      <c r="X335" s="1">
        <f t="shared" si="734"/>
        <v>0</v>
      </c>
      <c r="Y335" s="1">
        <f t="shared" si="735"/>
        <v>-4.8231150451676736</v>
      </c>
    </row>
    <row r="336" spans="1:25">
      <c r="A336" s="1">
        <v>0.33400000000000002</v>
      </c>
      <c r="B336" s="1">
        <f t="shared" si="736"/>
        <v>19.586210506289156</v>
      </c>
      <c r="C336" s="1">
        <f t="shared" si="737"/>
        <v>0</v>
      </c>
      <c r="D336" s="1">
        <f t="shared" si="738"/>
        <v>0.20670257955643878</v>
      </c>
      <c r="E336" s="1">
        <f t="shared" si="739"/>
        <v>40.404524558452614</v>
      </c>
      <c r="F336" s="1">
        <f t="shared" si="740"/>
        <v>0</v>
      </c>
      <c r="G336" s="1">
        <f t="shared" si="741"/>
        <v>0.24162003704167703</v>
      </c>
      <c r="H336" s="1">
        <f t="shared" si="576"/>
        <v>40.405246998835445</v>
      </c>
      <c r="I336" s="1">
        <f t="shared" si="724"/>
        <v>-66.4406854325441</v>
      </c>
      <c r="J336" s="1">
        <f t="shared" si="725"/>
        <v>0</v>
      </c>
      <c r="K336" s="1">
        <f t="shared" si="726"/>
        <v>-0.39731691068562147</v>
      </c>
      <c r="L336" s="1">
        <f t="shared" ref="L336:N336" si="768">E336/$H336</f>
        <v>0.99998212013447529</v>
      </c>
      <c r="M336" s="1">
        <f t="shared" si="768"/>
        <v>0</v>
      </c>
      <c r="N336" s="1">
        <f t="shared" si="768"/>
        <v>5.9799173371874442E-3</v>
      </c>
      <c r="O336" s="1">
        <f t="shared" si="578"/>
        <v>5.9799173371874442E-3</v>
      </c>
      <c r="P336" s="1">
        <f t="shared" si="728"/>
        <v>-5.9798104170696066E-3</v>
      </c>
      <c r="Q336" s="1">
        <f t="shared" si="729"/>
        <v>0</v>
      </c>
      <c r="R336" s="1">
        <f t="shared" si="730"/>
        <v>0.99996424058864042</v>
      </c>
      <c r="S336" s="1">
        <f t="shared" si="731"/>
        <v>5.3718961475821692</v>
      </c>
      <c r="T336" s="1">
        <f t="shared" ref="T336:V336" si="769">$S336*P336</f>
        <v>-3.2122920542727945E-2</v>
      </c>
      <c r="U336" s="1">
        <f t="shared" si="769"/>
        <v>0</v>
      </c>
      <c r="V336" s="1">
        <f t="shared" si="769"/>
        <v>5.371704051738047</v>
      </c>
      <c r="W336" s="1">
        <f t="shared" si="733"/>
        <v>-66.472808353086833</v>
      </c>
      <c r="X336" s="1">
        <f t="shared" si="734"/>
        <v>0</v>
      </c>
      <c r="Y336" s="1">
        <f t="shared" si="735"/>
        <v>-4.8322628589475736</v>
      </c>
    </row>
    <row r="337" spans="1:25">
      <c r="A337" s="1">
        <v>0.33500000000000002</v>
      </c>
      <c r="B337" s="1">
        <f t="shared" si="736"/>
        <v>19.626548558039254</v>
      </c>
      <c r="C337" s="1">
        <f t="shared" si="737"/>
        <v>0</v>
      </c>
      <c r="D337" s="1">
        <f t="shared" si="738"/>
        <v>0.20693936733062152</v>
      </c>
      <c r="E337" s="1">
        <f t="shared" si="739"/>
        <v>40.338051750099524</v>
      </c>
      <c r="F337" s="1">
        <f t="shared" si="740"/>
        <v>0</v>
      </c>
      <c r="G337" s="1">
        <f t="shared" si="741"/>
        <v>0.23678777418272945</v>
      </c>
      <c r="H337" s="1">
        <f t="shared" si="576"/>
        <v>40.338746726239648</v>
      </c>
      <c r="I337" s="1">
        <f t="shared" si="724"/>
        <v>-66.222208048592165</v>
      </c>
      <c r="J337" s="1">
        <f t="shared" si="725"/>
        <v>0</v>
      </c>
      <c r="K337" s="1">
        <f t="shared" si="726"/>
        <v>-0.38872996004952276</v>
      </c>
      <c r="L337" s="1">
        <f t="shared" ref="L337:N337" si="770">E337/$H337</f>
        <v>0.99998277149895509</v>
      </c>
      <c r="M337" s="1">
        <f t="shared" si="770"/>
        <v>0</v>
      </c>
      <c r="N337" s="1">
        <f t="shared" si="770"/>
        <v>5.8699834129626828E-3</v>
      </c>
      <c r="O337" s="1">
        <f t="shared" si="578"/>
        <v>5.8699834129626828E-3</v>
      </c>
      <c r="P337" s="1">
        <f t="shared" si="728"/>
        <v>-5.8698822819473187E-3</v>
      </c>
      <c r="Q337" s="1">
        <f t="shared" si="729"/>
        <v>0</v>
      </c>
      <c r="R337" s="1">
        <f t="shared" si="730"/>
        <v>0.99996554329473153</v>
      </c>
      <c r="S337" s="1">
        <f t="shared" si="731"/>
        <v>5.3542282152125757</v>
      </c>
      <c r="T337" s="1">
        <f t="shared" ref="T337:V337" si="771">$S337*P337</f>
        <v>-3.1428689333978715E-2</v>
      </c>
      <c r="U337" s="1">
        <f t="shared" si="771"/>
        <v>0</v>
      </c>
      <c r="V337" s="1">
        <f t="shared" si="771"/>
        <v>5.3540437261490244</v>
      </c>
      <c r="W337" s="1">
        <f t="shared" si="733"/>
        <v>-66.253636737926143</v>
      </c>
      <c r="X337" s="1">
        <f t="shared" si="734"/>
        <v>0</v>
      </c>
      <c r="Y337" s="1">
        <f t="shared" si="735"/>
        <v>-4.8413362339004982</v>
      </c>
    </row>
    <row r="338" spans="1:25">
      <c r="A338" s="1">
        <v>0.33600000000000002</v>
      </c>
      <c r="B338" s="1">
        <f t="shared" si="736"/>
        <v>19.666820356152616</v>
      </c>
      <c r="C338" s="1">
        <f t="shared" si="737"/>
        <v>0</v>
      </c>
      <c r="D338" s="1">
        <f t="shared" si="738"/>
        <v>0.20717131376857034</v>
      </c>
      <c r="E338" s="1">
        <f t="shared" si="739"/>
        <v>40.271798113361598</v>
      </c>
      <c r="F338" s="1">
        <f t="shared" si="740"/>
        <v>0</v>
      </c>
      <c r="G338" s="1">
        <f t="shared" si="741"/>
        <v>0.23194643794882897</v>
      </c>
      <c r="H338" s="1">
        <f t="shared" si="576"/>
        <v>40.272466058504932</v>
      </c>
      <c r="I338" s="1">
        <f t="shared" si="724"/>
        <v>-66.004809606260011</v>
      </c>
      <c r="J338" s="1">
        <f t="shared" si="725"/>
        <v>0</v>
      </c>
      <c r="K338" s="1">
        <f t="shared" si="726"/>
        <v>-0.38015636730616109</v>
      </c>
      <c r="L338" s="1">
        <f t="shared" ref="L338:N338" si="772">E338/$H338</f>
        <v>0.99998341434710347</v>
      </c>
      <c r="M338" s="1">
        <f t="shared" si="772"/>
        <v>0</v>
      </c>
      <c r="N338" s="1">
        <f t="shared" si="772"/>
        <v>5.7594297208388955E-3</v>
      </c>
      <c r="O338" s="1">
        <f t="shared" si="578"/>
        <v>5.7594297208388955E-3</v>
      </c>
      <c r="P338" s="1">
        <f t="shared" si="728"/>
        <v>-5.7593341969366637E-3</v>
      </c>
      <c r="Q338" s="1">
        <f t="shared" si="729"/>
        <v>0</v>
      </c>
      <c r="R338" s="1">
        <f t="shared" si="730"/>
        <v>0.99996682896929068</v>
      </c>
      <c r="S338" s="1">
        <f t="shared" si="731"/>
        <v>5.3366475863331795</v>
      </c>
      <c r="T338" s="1">
        <f t="shared" ref="T338:V338" si="773">$S338*P338</f>
        <v>-3.0735536940968186E-2</v>
      </c>
      <c r="U338" s="1">
        <f t="shared" si="773"/>
        <v>0</v>
      </c>
      <c r="V338" s="1">
        <f t="shared" si="773"/>
        <v>5.3364705642322088</v>
      </c>
      <c r="W338" s="1">
        <f t="shared" si="733"/>
        <v>-66.035545143200977</v>
      </c>
      <c r="X338" s="1">
        <f t="shared" si="734"/>
        <v>0</v>
      </c>
      <c r="Y338" s="1">
        <f t="shared" si="735"/>
        <v>-4.8503358030739516</v>
      </c>
    </row>
    <row r="339" spans="1:25">
      <c r="A339" s="1">
        <v>0.33700000000000002</v>
      </c>
      <c r="B339" s="1">
        <f t="shared" si="736"/>
        <v>19.707026118720833</v>
      </c>
      <c r="C339" s="1">
        <f t="shared" si="737"/>
        <v>0</v>
      </c>
      <c r="D339" s="1">
        <f t="shared" si="738"/>
        <v>0.20739840987071609</v>
      </c>
      <c r="E339" s="1">
        <f t="shared" si="739"/>
        <v>40.205762568218397</v>
      </c>
      <c r="F339" s="1">
        <f t="shared" si="740"/>
        <v>0</v>
      </c>
      <c r="G339" s="1">
        <f t="shared" si="741"/>
        <v>0.22709610214575501</v>
      </c>
      <c r="H339" s="1">
        <f t="shared" si="576"/>
        <v>40.206403921907281</v>
      </c>
      <c r="I339" s="1">
        <f t="shared" si="724"/>
        <v>-65.788483031408092</v>
      </c>
      <c r="J339" s="1">
        <f t="shared" si="725"/>
        <v>0</v>
      </c>
      <c r="K339" s="1">
        <f t="shared" si="726"/>
        <v>-0.37159618691885843</v>
      </c>
      <c r="L339" s="1">
        <f t="shared" ref="L339:N339" si="774">E339/$H339</f>
        <v>0.99998404846924061</v>
      </c>
      <c r="M339" s="1">
        <f t="shared" si="774"/>
        <v>0</v>
      </c>
      <c r="N339" s="1">
        <f t="shared" si="774"/>
        <v>5.6482569937575805E-3</v>
      </c>
      <c r="O339" s="1">
        <f t="shared" si="578"/>
        <v>5.6482569937575805E-3</v>
      </c>
      <c r="P339" s="1">
        <f t="shared" si="728"/>
        <v>-5.6481668954124079E-3</v>
      </c>
      <c r="Q339" s="1">
        <f t="shared" si="729"/>
        <v>0</v>
      </c>
      <c r="R339" s="1">
        <f t="shared" si="730"/>
        <v>0.99996809719293245</v>
      </c>
      <c r="S339" s="1">
        <f t="shared" si="731"/>
        <v>5.3191536894809417</v>
      </c>
      <c r="T339" s="1">
        <f t="shared" ref="T339:V339" si="775">$S339*P339</f>
        <v>-3.0043467780537025E-2</v>
      </c>
      <c r="U339" s="1">
        <f t="shared" si="775"/>
        <v>0</v>
      </c>
      <c r="V339" s="1">
        <f t="shared" si="775"/>
        <v>5.3189839935470236</v>
      </c>
      <c r="W339" s="1">
        <f t="shared" si="733"/>
        <v>-65.818526499188636</v>
      </c>
      <c r="X339" s="1">
        <f t="shared" si="734"/>
        <v>0</v>
      </c>
      <c r="Y339" s="1">
        <f t="shared" si="735"/>
        <v>-4.8592621933718343</v>
      </c>
    </row>
    <row r="340" spans="1:25">
      <c r="A340" s="1">
        <v>0.33800000000000002</v>
      </c>
      <c r="B340" s="1">
        <f t="shared" si="736"/>
        <v>19.747166062762552</v>
      </c>
      <c r="C340" s="1">
        <f t="shared" si="737"/>
        <v>0</v>
      </c>
      <c r="D340" s="1">
        <f t="shared" si="738"/>
        <v>0.20762064671066846</v>
      </c>
      <c r="E340" s="1">
        <f t="shared" si="739"/>
        <v>40.139944041719211</v>
      </c>
      <c r="F340" s="1">
        <f t="shared" si="740"/>
        <v>0</v>
      </c>
      <c r="G340" s="1">
        <f t="shared" si="741"/>
        <v>0.22223683995238319</v>
      </c>
      <c r="H340" s="1">
        <f t="shared" si="576"/>
        <v>40.140559249783529</v>
      </c>
      <c r="I340" s="1">
        <f t="shared" si="724"/>
        <v>-65.573221307813995</v>
      </c>
      <c r="J340" s="1">
        <f t="shared" si="725"/>
        <v>0</v>
      </c>
      <c r="K340" s="1">
        <f t="shared" si="726"/>
        <v>-0.36304947196241044</v>
      </c>
      <c r="L340" s="1">
        <f t="shared" ref="L340:N340" si="776">E340/$H340</f>
        <v>0.99998467365488131</v>
      </c>
      <c r="M340" s="1">
        <f t="shared" si="776"/>
        <v>0</v>
      </c>
      <c r="N340" s="1">
        <f t="shared" si="776"/>
        <v>5.5364659612604098E-3</v>
      </c>
      <c r="O340" s="1">
        <f t="shared" si="578"/>
        <v>5.5364659612604098E-3</v>
      </c>
      <c r="P340" s="1">
        <f t="shared" si="728"/>
        <v>-5.5363811074723495E-3</v>
      </c>
      <c r="Q340" s="1">
        <f t="shared" si="729"/>
        <v>0</v>
      </c>
      <c r="R340" s="1">
        <f t="shared" si="730"/>
        <v>0.99996934754465983</v>
      </c>
      <c r="S340" s="1">
        <f t="shared" si="731"/>
        <v>5.3017459578711152</v>
      </c>
      <c r="T340" s="1">
        <f t="shared" ref="T340:V340" si="777">$S340*P340</f>
        <v>-2.9352486157775536E-2</v>
      </c>
      <c r="U340" s="1">
        <f t="shared" si="777"/>
        <v>0</v>
      </c>
      <c r="V340" s="1">
        <f t="shared" si="777"/>
        <v>5.301583446339917</v>
      </c>
      <c r="W340" s="1">
        <f t="shared" si="733"/>
        <v>-65.602573793971771</v>
      </c>
      <c r="X340" s="1">
        <f t="shared" si="734"/>
        <v>0</v>
      </c>
      <c r="Y340" s="1">
        <f t="shared" si="735"/>
        <v>-4.8681160256224931</v>
      </c>
    </row>
    <row r="341" spans="1:25">
      <c r="A341" s="1">
        <v>0.33900000000000002</v>
      </c>
      <c r="B341" s="1">
        <f t="shared" si="736"/>
        <v>19.787240404230477</v>
      </c>
      <c r="C341" s="1">
        <f t="shared" si="737"/>
        <v>0</v>
      </c>
      <c r="D341" s="1">
        <f t="shared" si="738"/>
        <v>0.20783801543459521</v>
      </c>
      <c r="E341" s="1">
        <f t="shared" si="739"/>
        <v>40.074341467925237</v>
      </c>
      <c r="F341" s="1">
        <f t="shared" si="740"/>
        <v>0</v>
      </c>
      <c r="G341" s="1">
        <f t="shared" si="741"/>
        <v>0.21736872392676071</v>
      </c>
      <c r="H341" s="1">
        <f t="shared" si="576"/>
        <v>40.074930982473489</v>
      </c>
      <c r="I341" s="1">
        <f t="shared" si="724"/>
        <v>-65.359017476604109</v>
      </c>
      <c r="J341" s="1">
        <f t="shared" si="725"/>
        <v>0</v>
      </c>
      <c r="K341" s="1">
        <f t="shared" si="726"/>
        <v>-0.35451627414432529</v>
      </c>
      <c r="L341" s="1">
        <f t="shared" ref="L341:N341" si="778">E341/$H341</f>
        <v>0.99998528969273803</v>
      </c>
      <c r="M341" s="1">
        <f t="shared" si="778"/>
        <v>0</v>
      </c>
      <c r="N341" s="1">
        <f t="shared" si="778"/>
        <v>5.4240573495142261E-3</v>
      </c>
      <c r="O341" s="1">
        <f t="shared" si="578"/>
        <v>5.4240573495142261E-3</v>
      </c>
      <c r="P341" s="1">
        <f t="shared" si="728"/>
        <v>-5.4239775599640083E-3</v>
      </c>
      <c r="Q341" s="1">
        <f t="shared" si="729"/>
        <v>0</v>
      </c>
      <c r="R341" s="1">
        <f t="shared" si="730"/>
        <v>0.99997057960186919</v>
      </c>
      <c r="S341" s="1">
        <f t="shared" si="731"/>
        <v>5.2844238293513293</v>
      </c>
      <c r="T341" s="1">
        <f t="shared" ref="T341:V341" si="779">$S341*P341</f>
        <v>-2.8662596267740682E-2</v>
      </c>
      <c r="U341" s="1">
        <f t="shared" si="779"/>
        <v>0</v>
      </c>
      <c r="V341" s="1">
        <f t="shared" si="779"/>
        <v>5.2842683594983777</v>
      </c>
      <c r="W341" s="1">
        <f t="shared" si="733"/>
        <v>-65.387680072871845</v>
      </c>
      <c r="X341" s="1">
        <f t="shared" si="734"/>
        <v>0</v>
      </c>
      <c r="Y341" s="1">
        <f t="shared" si="735"/>
        <v>-4.876897914645947</v>
      </c>
    </row>
    <row r="342" spans="1:25">
      <c r="A342" s="1">
        <v>0.34</v>
      </c>
      <c r="B342" s="1">
        <f t="shared" si="736"/>
        <v>19.827249358018328</v>
      </c>
      <c r="C342" s="1">
        <f t="shared" si="737"/>
        <v>0</v>
      </c>
      <c r="D342" s="1">
        <f t="shared" si="738"/>
        <v>0.20805050726060731</v>
      </c>
      <c r="E342" s="1">
        <f t="shared" si="739"/>
        <v>40.008953787852363</v>
      </c>
      <c r="F342" s="1">
        <f t="shared" si="740"/>
        <v>0</v>
      </c>
      <c r="G342" s="1">
        <f t="shared" si="741"/>
        <v>0.21249182601211475</v>
      </c>
      <c r="H342" s="1">
        <f t="shared" si="576"/>
        <v>40.009518067262796</v>
      </c>
      <c r="I342" s="1">
        <f t="shared" si="724"/>
        <v>-65.14586463569222</v>
      </c>
      <c r="J342" s="1">
        <f t="shared" si="725"/>
        <v>0</v>
      </c>
      <c r="K342" s="1">
        <f t="shared" si="726"/>
        <v>-0.34599664382574608</v>
      </c>
      <c r="L342" s="1">
        <f t="shared" ref="L342:N342" si="780">E342/$H342</f>
        <v>0.99998589637072144</v>
      </c>
      <c r="M342" s="1">
        <f t="shared" si="780"/>
        <v>0</v>
      </c>
      <c r="N342" s="1">
        <f t="shared" si="780"/>
        <v>5.3110318813358332E-3</v>
      </c>
      <c r="O342" s="1">
        <f t="shared" si="578"/>
        <v>5.3110318813358332E-3</v>
      </c>
      <c r="P342" s="1">
        <f t="shared" si="728"/>
        <v>-5.310956976511092E-3</v>
      </c>
      <c r="Q342" s="1">
        <f t="shared" si="729"/>
        <v>0</v>
      </c>
      <c r="R342" s="1">
        <f t="shared" si="730"/>
        <v>0.99997179294035543</v>
      </c>
      <c r="S342" s="1">
        <f t="shared" si="731"/>
        <v>5.2671867463562414</v>
      </c>
      <c r="T342" s="1">
        <f t="shared" ref="T342:V342" si="781">$S342*P342</f>
        <v>-2.797380219714744E-2</v>
      </c>
      <c r="U342" s="1">
        <f t="shared" si="781"/>
        <v>0</v>
      </c>
      <c r="V342" s="1">
        <f t="shared" si="781"/>
        <v>5.2670381745055277</v>
      </c>
      <c r="W342" s="1">
        <f t="shared" si="733"/>
        <v>-65.173838437889373</v>
      </c>
      <c r="X342" s="1">
        <f t="shared" si="734"/>
        <v>0</v>
      </c>
      <c r="Y342" s="1">
        <f t="shared" si="735"/>
        <v>-4.8856084693202178</v>
      </c>
    </row>
    <row r="343" spans="1:25">
      <c r="A343" s="1">
        <v>0.34100000000000003</v>
      </c>
      <c r="B343" s="1">
        <f t="shared" si="736"/>
        <v>19.867193137967742</v>
      </c>
      <c r="C343" s="1">
        <f t="shared" si="737"/>
        <v>0</v>
      </c>
      <c r="D343" s="1">
        <f t="shared" si="738"/>
        <v>0.2082581134781501</v>
      </c>
      <c r="E343" s="1">
        <f t="shared" si="739"/>
        <v>39.943779949414477</v>
      </c>
      <c r="F343" s="1">
        <f t="shared" si="740"/>
        <v>0</v>
      </c>
      <c r="G343" s="1">
        <f t="shared" si="741"/>
        <v>0.20760621754279454</v>
      </c>
      <c r="H343" s="1">
        <f t="shared" si="576"/>
        <v>39.944319458326092</v>
      </c>
      <c r="I343" s="1">
        <f t="shared" si="724"/>
        <v>-64.933755939224099</v>
      </c>
      <c r="J343" s="1">
        <f t="shared" si="725"/>
        <v>0</v>
      </c>
      <c r="K343" s="1">
        <f t="shared" si="726"/>
        <v>-0.33749063004205976</v>
      </c>
      <c r="L343" s="1">
        <f t="shared" ref="L343:N343" si="782">E343/$H343</f>
        <v>0.99998649347594526</v>
      </c>
      <c r="M343" s="1">
        <f t="shared" si="782"/>
        <v>0</v>
      </c>
      <c r="N343" s="1">
        <f t="shared" si="782"/>
        <v>5.1973902762166247E-3</v>
      </c>
      <c r="O343" s="1">
        <f t="shared" si="578"/>
        <v>5.1973902762166247E-3</v>
      </c>
      <c r="P343" s="1">
        <f t="shared" si="728"/>
        <v>-5.1973200775398375E-3</v>
      </c>
      <c r="Q343" s="1">
        <f t="shared" si="729"/>
        <v>0</v>
      </c>
      <c r="R343" s="1">
        <f t="shared" si="730"/>
        <v>0.9999729871343167</v>
      </c>
      <c r="S343" s="1">
        <f t="shared" si="731"/>
        <v>5.2500341558626484</v>
      </c>
      <c r="T343" s="1">
        <f t="shared" ref="T343:V343" si="783">$S343*P343</f>
        <v>-2.7286107926034853E-2</v>
      </c>
      <c r="U343" s="1">
        <f t="shared" si="783"/>
        <v>0</v>
      </c>
      <c r="V343" s="1">
        <f t="shared" si="783"/>
        <v>5.2498923373951634</v>
      </c>
      <c r="W343" s="1">
        <f t="shared" si="733"/>
        <v>-64.96104204715013</v>
      </c>
      <c r="X343" s="1">
        <f t="shared" si="734"/>
        <v>0</v>
      </c>
      <c r="Y343" s="1">
        <f t="shared" si="735"/>
        <v>-4.8942482926468962</v>
      </c>
    </row>
    <row r="344" spans="1:25">
      <c r="A344" s="1">
        <v>0.34200000000000003</v>
      </c>
      <c r="B344" s="1">
        <f t="shared" si="736"/>
        <v>19.907071956875111</v>
      </c>
      <c r="C344" s="1">
        <f t="shared" si="737"/>
        <v>0</v>
      </c>
      <c r="D344" s="1">
        <f t="shared" si="738"/>
        <v>0.20846082544740024</v>
      </c>
      <c r="E344" s="1">
        <f t="shared" si="739"/>
        <v>39.878818907367325</v>
      </c>
      <c r="F344" s="1">
        <f t="shared" si="740"/>
        <v>0</v>
      </c>
      <c r="G344" s="1">
        <f t="shared" si="741"/>
        <v>0.20271196925014764</v>
      </c>
      <c r="H344" s="1">
        <f t="shared" si="576"/>
        <v>39.87933411667094</v>
      </c>
      <c r="I344" s="1">
        <f t="shared" si="724"/>
        <v>-64.722684597028618</v>
      </c>
      <c r="J344" s="1">
        <f t="shared" si="725"/>
        <v>0</v>
      </c>
      <c r="K344" s="1">
        <f t="shared" si="726"/>
        <v>-0.32899828052319857</v>
      </c>
      <c r="L344" s="1">
        <f t="shared" ref="L344:N344" si="784">E344/$H344</f>
        <v>0.99998708079472676</v>
      </c>
      <c r="M344" s="1">
        <f t="shared" si="784"/>
        <v>0</v>
      </c>
      <c r="N344" s="1">
        <f t="shared" si="784"/>
        <v>5.0831332503470019E-3</v>
      </c>
      <c r="O344" s="1">
        <f t="shared" si="578"/>
        <v>5.0831332503470019E-3</v>
      </c>
      <c r="P344" s="1">
        <f t="shared" si="728"/>
        <v>-5.0830675803051097E-3</v>
      </c>
      <c r="Q344" s="1">
        <f t="shared" si="729"/>
        <v>0</v>
      </c>
      <c r="R344" s="1">
        <f t="shared" si="730"/>
        <v>0.99997416175635923</v>
      </c>
      <c r="S344" s="1">
        <f t="shared" si="731"/>
        <v>5.2329655093451501</v>
      </c>
      <c r="T344" s="1">
        <f t="shared" ref="T344:V344" si="785">$S344*P344</f>
        <v>-2.6599517329407147E-2</v>
      </c>
      <c r="U344" s="1">
        <f t="shared" si="785"/>
        <v>0</v>
      </c>
      <c r="V344" s="1">
        <f t="shared" si="785"/>
        <v>5.2328302987073556</v>
      </c>
      <c r="W344" s="1">
        <f t="shared" si="733"/>
        <v>-64.749284114358019</v>
      </c>
      <c r="X344" s="1">
        <f t="shared" si="734"/>
        <v>0</v>
      </c>
      <c r="Y344" s="1">
        <f t="shared" si="735"/>
        <v>-4.9028179818158426</v>
      </c>
    </row>
    <row r="345" spans="1:25">
      <c r="A345" s="1">
        <v>0.34300000000000003</v>
      </c>
      <c r="B345" s="1">
        <f t="shared" si="736"/>
        <v>19.946886026498365</v>
      </c>
      <c r="C345" s="1">
        <f t="shared" si="737"/>
        <v>0</v>
      </c>
      <c r="D345" s="1">
        <f t="shared" si="738"/>
        <v>0.20865863459866857</v>
      </c>
      <c r="E345" s="1">
        <f t="shared" si="739"/>
        <v>39.814069623252969</v>
      </c>
      <c r="F345" s="1">
        <f t="shared" si="740"/>
        <v>0</v>
      </c>
      <c r="G345" s="1">
        <f t="shared" si="741"/>
        <v>0.19780915126833179</v>
      </c>
      <c r="H345" s="1">
        <f t="shared" si="576"/>
        <v>39.81456101008223</v>
      </c>
      <c r="I345" s="1">
        <f t="shared" si="724"/>
        <v>-64.512643874075096</v>
      </c>
      <c r="J345" s="1">
        <f t="shared" si="725"/>
        <v>0</v>
      </c>
      <c r="K345" s="1">
        <f t="shared" si="726"/>
        <v>-0.32051964171363945</v>
      </c>
      <c r="L345" s="1">
        <f t="shared" ref="L345:N345" si="786">E345/$H345</f>
        <v>0.99998765811259016</v>
      </c>
      <c r="M345" s="1">
        <f t="shared" si="786"/>
        <v>0</v>
      </c>
      <c r="N345" s="1">
        <f t="shared" si="786"/>
        <v>4.9682615166406242E-3</v>
      </c>
      <c r="O345" s="1">
        <f t="shared" si="578"/>
        <v>4.9682615166406242E-3</v>
      </c>
      <c r="P345" s="1">
        <f t="shared" si="728"/>
        <v>-4.9682001989163633E-3</v>
      </c>
      <c r="Q345" s="1">
        <f t="shared" si="729"/>
        <v>0</v>
      </c>
      <c r="R345" s="1">
        <f t="shared" si="730"/>
        <v>0.99997531637750225</v>
      </c>
      <c r="S345" s="1">
        <f t="shared" si="731"/>
        <v>5.2159802627323124</v>
      </c>
      <c r="T345" s="1">
        <f t="shared" ref="T345:V345" si="787">$S345*P345</f>
        <v>-2.5914034178850499E-2</v>
      </c>
      <c r="U345" s="1">
        <f t="shared" si="787"/>
        <v>0</v>
      </c>
      <c r="V345" s="1">
        <f t="shared" si="787"/>
        <v>5.2158515134445516</v>
      </c>
      <c r="W345" s="1">
        <f t="shared" si="733"/>
        <v>-64.538557908253949</v>
      </c>
      <c r="X345" s="1">
        <f t="shared" si="734"/>
        <v>0</v>
      </c>
      <c r="Y345" s="1">
        <f t="shared" si="735"/>
        <v>-4.9113181282690874</v>
      </c>
    </row>
    <row r="346" spans="1:25">
      <c r="A346" s="1">
        <v>0.34399999999999997</v>
      </c>
      <c r="B346" s="1">
        <f t="shared" si="736"/>
        <v>19.986635557563709</v>
      </c>
      <c r="C346" s="1">
        <f t="shared" si="737"/>
        <v>0</v>
      </c>
      <c r="D346" s="1">
        <f t="shared" si="738"/>
        <v>0.20885153243180862</v>
      </c>
      <c r="E346" s="1">
        <f t="shared" si="739"/>
        <v>39.749531065344712</v>
      </c>
      <c r="F346" s="1">
        <f t="shared" si="740"/>
        <v>0</v>
      </c>
      <c r="G346" s="1">
        <f t="shared" si="741"/>
        <v>0.1928978331400627</v>
      </c>
      <c r="H346" s="1">
        <f t="shared" si="576"/>
        <v>39.749999113067091</v>
      </c>
      <c r="I346" s="1">
        <f t="shared" si="724"/>
        <v>-64.303627089936739</v>
      </c>
      <c r="J346" s="1">
        <f t="shared" si="725"/>
        <v>0</v>
      </c>
      <c r="K346" s="1">
        <f t="shared" si="726"/>
        <v>-0.31205475879210515</v>
      </c>
      <c r="L346" s="1">
        <f t="shared" ref="L346:N346" si="788">E346/$H346</f>
        <v>0.99998822521426867</v>
      </c>
      <c r="M346" s="1">
        <f t="shared" si="788"/>
        <v>0</v>
      </c>
      <c r="N346" s="1">
        <f t="shared" si="788"/>
        <v>4.8527757847584719E-3</v>
      </c>
      <c r="O346" s="1">
        <f t="shared" si="578"/>
        <v>4.8527757847584719E-3</v>
      </c>
      <c r="P346" s="1">
        <f t="shared" si="728"/>
        <v>-4.8527186443634044E-3</v>
      </c>
      <c r="Q346" s="1">
        <f t="shared" si="729"/>
        <v>0</v>
      </c>
      <c r="R346" s="1">
        <f t="shared" si="730"/>
        <v>0.99997645056718287</v>
      </c>
      <c r="S346" s="1">
        <f t="shared" si="731"/>
        <v>5.1990778763633063</v>
      </c>
      <c r="T346" s="1">
        <f t="shared" ref="T346:V346" si="789">$S346*P346</f>
        <v>-2.522966214412551E-2</v>
      </c>
      <c r="U346" s="1">
        <f t="shared" si="789"/>
        <v>0</v>
      </c>
      <c r="V346" s="1">
        <f t="shared" si="789"/>
        <v>5.1989554410281462</v>
      </c>
      <c r="W346" s="1">
        <f t="shared" si="733"/>
        <v>-64.328856752080867</v>
      </c>
      <c r="X346" s="1">
        <f t="shared" si="734"/>
        <v>0</v>
      </c>
      <c r="Y346" s="1">
        <f t="shared" si="735"/>
        <v>-4.9197493177639586</v>
      </c>
    </row>
    <row r="347" spans="1:25">
      <c r="A347" s="1">
        <v>0.34499999999999997</v>
      </c>
      <c r="B347" s="1">
        <f t="shared" si="736"/>
        <v>20.0263207597723</v>
      </c>
      <c r="C347" s="1">
        <f t="shared" si="737"/>
        <v>0</v>
      </c>
      <c r="D347" s="1">
        <f t="shared" si="738"/>
        <v>0.20903951051563091</v>
      </c>
      <c r="E347" s="1">
        <f t="shared" si="739"/>
        <v>39.685202208592628</v>
      </c>
      <c r="F347" s="1">
        <f t="shared" si="740"/>
        <v>0</v>
      </c>
      <c r="G347" s="1">
        <f t="shared" si="741"/>
        <v>0.18797808382229875</v>
      </c>
      <c r="H347" s="1">
        <f t="shared" si="576"/>
        <v>39.685647406800392</v>
      </c>
      <c r="I347" s="1">
        <f t="shared" si="724"/>
        <v>-64.095627618260281</v>
      </c>
      <c r="J347" s="1">
        <f t="shared" si="725"/>
        <v>0</v>
      </c>
      <c r="K347" s="1">
        <f t="shared" si="726"/>
        <v>-0.30360367569097135</v>
      </c>
      <c r="L347" s="1">
        <f t="shared" ref="L347:N347" si="790">E347/$H347</f>
        <v>0.99998878188370721</v>
      </c>
      <c r="M347" s="1">
        <f t="shared" si="790"/>
        <v>0</v>
      </c>
      <c r="N347" s="1">
        <f t="shared" si="790"/>
        <v>4.7366767611327285E-3</v>
      </c>
      <c r="O347" s="1">
        <f t="shared" si="578"/>
        <v>4.7366767611327285E-3</v>
      </c>
      <c r="P347" s="1">
        <f t="shared" si="728"/>
        <v>-4.7366236245419803E-3</v>
      </c>
      <c r="Q347" s="1">
        <f t="shared" si="729"/>
        <v>0</v>
      </c>
      <c r="R347" s="1">
        <f t="shared" si="730"/>
        <v>0.99997756389326053</v>
      </c>
      <c r="S347" s="1">
        <f t="shared" si="731"/>
        <v>5.1822578149450615</v>
      </c>
      <c r="T347" s="1">
        <f t="shared" ref="T347:V347" si="791">$S347*P347</f>
        <v>-2.454640479473608E-2</v>
      </c>
      <c r="U347" s="1">
        <f t="shared" si="791"/>
        <v>0</v>
      </c>
      <c r="V347" s="1">
        <f t="shared" si="791"/>
        <v>5.1821415452555737</v>
      </c>
      <c r="W347" s="1">
        <f t="shared" si="733"/>
        <v>-64.120174023055014</v>
      </c>
      <c r="X347" s="1">
        <f t="shared" si="734"/>
        <v>0</v>
      </c>
      <c r="Y347" s="1">
        <f t="shared" si="735"/>
        <v>-4.9281121304353972</v>
      </c>
    </row>
    <row r="348" spans="1:25">
      <c r="A348" s="1">
        <v>0.34599999999999997</v>
      </c>
      <c r="B348" s="1">
        <f t="shared" si="736"/>
        <v>20.065941841806868</v>
      </c>
      <c r="C348" s="1">
        <f t="shared" si="737"/>
        <v>0</v>
      </c>
      <c r="D348" s="1">
        <f t="shared" si="738"/>
        <v>0.20922256048732277</v>
      </c>
      <c r="E348" s="1">
        <f t="shared" si="739"/>
        <v>39.621082034569575</v>
      </c>
      <c r="F348" s="1">
        <f t="shared" si="740"/>
        <v>0</v>
      </c>
      <c r="G348" s="1">
        <f t="shared" si="741"/>
        <v>0.18304997169186335</v>
      </c>
      <c r="H348" s="1">
        <f t="shared" si="576"/>
        <v>39.621504879070763</v>
      </c>
      <c r="I348" s="1">
        <f t="shared" si="724"/>
        <v>-63.888638886241473</v>
      </c>
      <c r="J348" s="1">
        <f t="shared" si="725"/>
        <v>0</v>
      </c>
      <c r="K348" s="1">
        <f t="shared" si="726"/>
        <v>-0.29516643511538637</v>
      </c>
      <c r="L348" s="1">
        <f t="shared" ref="L348:N348" si="792">E348/$H348</f>
        <v>0.99998932790406425</v>
      </c>
      <c r="M348" s="1">
        <f t="shared" si="792"/>
        <v>0</v>
      </c>
      <c r="N348" s="1">
        <f t="shared" si="792"/>
        <v>4.6199651489904842E-3</v>
      </c>
      <c r="O348" s="1">
        <f t="shared" si="578"/>
        <v>4.6199651489904842E-3</v>
      </c>
      <c r="P348" s="1">
        <f t="shared" si="728"/>
        <v>-4.6199158442791948E-3</v>
      </c>
      <c r="Q348" s="1">
        <f t="shared" si="729"/>
        <v>0</v>
      </c>
      <c r="R348" s="1">
        <f t="shared" si="730"/>
        <v>0.99997865592202206</v>
      </c>
      <c r="S348" s="1">
        <f t="shared" si="731"/>
        <v>5.1655195475099047</v>
      </c>
      <c r="T348" s="1">
        <f t="shared" ref="T348:V348" si="793">$S348*P348</f>
        <v>-2.3864265601474907E-2</v>
      </c>
      <c r="U348" s="1">
        <f t="shared" si="793"/>
        <v>0</v>
      </c>
      <c r="V348" s="1">
        <f t="shared" si="793"/>
        <v>5.165409294257886</v>
      </c>
      <c r="W348" s="1">
        <f t="shared" si="733"/>
        <v>-63.912503151842948</v>
      </c>
      <c r="X348" s="1">
        <f t="shared" si="734"/>
        <v>0</v>
      </c>
      <c r="Y348" s="1">
        <f t="shared" si="735"/>
        <v>-4.9364071408574999</v>
      </c>
    </row>
    <row r="349" spans="1:25">
      <c r="A349" s="1">
        <v>0.34699999999999998</v>
      </c>
      <c r="B349" s="1">
        <f t="shared" si="736"/>
        <v>20.105499011338285</v>
      </c>
      <c r="C349" s="1">
        <f t="shared" si="737"/>
        <v>0</v>
      </c>
      <c r="D349" s="1">
        <f t="shared" si="738"/>
        <v>0.20940067405187376</v>
      </c>
      <c r="E349" s="1">
        <f t="shared" si="739"/>
        <v>39.557169531417735</v>
      </c>
      <c r="F349" s="1">
        <f t="shared" si="740"/>
        <v>0</v>
      </c>
      <c r="G349" s="1">
        <f t="shared" si="741"/>
        <v>0.17811356455100585</v>
      </c>
      <c r="H349" s="1">
        <f t="shared" si="576"/>
        <v>39.557570524227103</v>
      </c>
      <c r="I349" s="1">
        <f t="shared" si="724"/>
        <v>-63.682654374106633</v>
      </c>
      <c r="J349" s="1">
        <f t="shared" si="725"/>
        <v>0</v>
      </c>
      <c r="K349" s="1">
        <f t="shared" si="726"/>
        <v>-0.2867430785621054</v>
      </c>
      <c r="L349" s="1">
        <f t="shared" ref="L349:N349" si="794">E349/$H349</f>
        <v>0.99998986305771431</v>
      </c>
      <c r="M349" s="1">
        <f t="shared" si="794"/>
        <v>0</v>
      </c>
      <c r="N349" s="1">
        <f t="shared" si="794"/>
        <v>4.5026416483772659E-3</v>
      </c>
      <c r="O349" s="1">
        <f t="shared" si="578"/>
        <v>4.5026416483772659E-3</v>
      </c>
      <c r="P349" s="1">
        <f t="shared" si="728"/>
        <v>-4.5025960053587432E-3</v>
      </c>
      <c r="Q349" s="1">
        <f t="shared" si="729"/>
        <v>0</v>
      </c>
      <c r="R349" s="1">
        <f t="shared" si="730"/>
        <v>0.99997972621818632</v>
      </c>
      <c r="S349" s="1">
        <f t="shared" si="731"/>
        <v>5.1488625473736542</v>
      </c>
      <c r="T349" s="1">
        <f t="shared" ref="T349:V349" si="795">$S349*P349</f>
        <v>-2.3183247937945857E-2</v>
      </c>
      <c r="U349" s="1">
        <f t="shared" si="795"/>
        <v>0</v>
      </c>
      <c r="V349" s="1">
        <f t="shared" si="795"/>
        <v>5.1487581604577803</v>
      </c>
      <c r="W349" s="1">
        <f t="shared" si="733"/>
        <v>-63.705837622044577</v>
      </c>
      <c r="X349" s="1">
        <f t="shared" si="734"/>
        <v>0</v>
      </c>
      <c r="Y349" s="1">
        <f t="shared" si="735"/>
        <v>-4.9446349181043248</v>
      </c>
    </row>
    <row r="350" spans="1:25">
      <c r="A350" s="1">
        <v>0.34799999999999998</v>
      </c>
      <c r="B350" s="1">
        <f t="shared" si="736"/>
        <v>20.14499247503208</v>
      </c>
      <c r="C350" s="1">
        <f t="shared" si="737"/>
        <v>0</v>
      </c>
      <c r="D350" s="1">
        <f t="shared" si="738"/>
        <v>0.20957384298150666</v>
      </c>
      <c r="E350" s="1">
        <f t="shared" si="739"/>
        <v>39.49346369379569</v>
      </c>
      <c r="F350" s="1">
        <f t="shared" si="740"/>
        <v>0</v>
      </c>
      <c r="G350" s="1">
        <f t="shared" si="741"/>
        <v>0.17316892963290154</v>
      </c>
      <c r="H350" s="1">
        <f t="shared" si="576"/>
        <v>39.493843343125626</v>
      </c>
      <c r="I350" s="1">
        <f t="shared" si="724"/>
        <v>-63.477667614599902</v>
      </c>
      <c r="J350" s="1">
        <f t="shared" si="725"/>
        <v>0</v>
      </c>
      <c r="K350" s="1">
        <f t="shared" si="726"/>
        <v>-0.27833364633804536</v>
      </c>
      <c r="L350" s="1">
        <f t="shared" ref="L350:N350" si="796">E350/$H350</f>
        <v>0.99999038712625055</v>
      </c>
      <c r="M350" s="1">
        <f t="shared" si="796"/>
        <v>0</v>
      </c>
      <c r="N350" s="1">
        <f t="shared" si="796"/>
        <v>4.3847069561803904E-3</v>
      </c>
      <c r="O350" s="1">
        <f t="shared" si="578"/>
        <v>4.3847069561803904E-3</v>
      </c>
      <c r="P350" s="1">
        <f t="shared" si="728"/>
        <v>-4.3846648065459922E-3</v>
      </c>
      <c r="Q350" s="1">
        <f t="shared" si="729"/>
        <v>0</v>
      </c>
      <c r="R350" s="1">
        <f t="shared" si="730"/>
        <v>0.9999807743449084</v>
      </c>
      <c r="S350" s="1">
        <f t="shared" si="731"/>
        <v>5.1322862920942063</v>
      </c>
      <c r="T350" s="1">
        <f t="shared" ref="T350:V350" si="797">$S350*P350</f>
        <v>-2.250335508206389E-2</v>
      </c>
      <c r="U350" s="1">
        <f t="shared" si="797"/>
        <v>0</v>
      </c>
      <c r="V350" s="1">
        <f t="shared" si="797"/>
        <v>5.1321876205281232</v>
      </c>
      <c r="W350" s="1">
        <f t="shared" si="733"/>
        <v>-63.500170969681967</v>
      </c>
      <c r="X350" s="1">
        <f t="shared" si="734"/>
        <v>0</v>
      </c>
      <c r="Y350" s="1">
        <f t="shared" si="735"/>
        <v>-4.9527960258099215</v>
      </c>
    </row>
    <row r="351" spans="1:25">
      <c r="A351" s="1">
        <v>0.34899999999999998</v>
      </c>
      <c r="B351" s="1">
        <f t="shared" si="736"/>
        <v>20.184422438554904</v>
      </c>
      <c r="C351" s="1">
        <f t="shared" si="737"/>
        <v>0</v>
      </c>
      <c r="D351" s="1">
        <f t="shared" si="738"/>
        <v>0.20974205911511376</v>
      </c>
      <c r="E351" s="1">
        <f t="shared" si="739"/>
        <v>39.429963522826007</v>
      </c>
      <c r="F351" s="1">
        <f t="shared" si="740"/>
        <v>0</v>
      </c>
      <c r="G351" s="1">
        <f t="shared" si="741"/>
        <v>0.16821613360709162</v>
      </c>
      <c r="H351" s="1">
        <f t="shared" si="576"/>
        <v>39.430322343077478</v>
      </c>
      <c r="I351" s="1">
        <f t="shared" si="724"/>
        <v>-63.273672192476496</v>
      </c>
      <c r="J351" s="1">
        <f t="shared" si="725"/>
        <v>0</v>
      </c>
      <c r="K351" s="1">
        <f t="shared" si="726"/>
        <v>-0.26993817757856492</v>
      </c>
      <c r="L351" s="1">
        <f t="shared" ref="L351:N351" si="798">E351/$H351</f>
        <v>0.99999089989048662</v>
      </c>
      <c r="M351" s="1">
        <f t="shared" si="798"/>
        <v>0</v>
      </c>
      <c r="N351" s="1">
        <f t="shared" si="798"/>
        <v>4.2661617661521401E-3</v>
      </c>
      <c r="O351" s="1">
        <f t="shared" si="578"/>
        <v>4.2661617661521401E-3</v>
      </c>
      <c r="P351" s="1">
        <f t="shared" si="728"/>
        <v>-4.2661229436128665E-3</v>
      </c>
      <c r="Q351" s="1">
        <f t="shared" si="729"/>
        <v>0</v>
      </c>
      <c r="R351" s="1">
        <f t="shared" si="730"/>
        <v>0.99998179986378499</v>
      </c>
      <c r="S351" s="1">
        <f t="shared" si="731"/>
        <v>5.1157902634305952</v>
      </c>
      <c r="T351" s="1">
        <f t="shared" ref="T351:V351" si="799">$S351*P351</f>
        <v>-2.1824590217532573E-2</v>
      </c>
      <c r="U351" s="1">
        <f t="shared" si="799"/>
        <v>0</v>
      </c>
      <c r="V351" s="1">
        <f t="shared" si="799"/>
        <v>5.1156971553509534</v>
      </c>
      <c r="W351" s="1">
        <f t="shared" si="733"/>
        <v>-63.29549678269403</v>
      </c>
      <c r="X351" s="1">
        <f t="shared" si="734"/>
        <v>0</v>
      </c>
      <c r="Y351" s="1">
        <f t="shared" si="735"/>
        <v>-4.960891022227611</v>
      </c>
    </row>
    <row r="352" spans="1:25">
      <c r="A352" s="1">
        <v>0.35</v>
      </c>
      <c r="B352" s="1">
        <f t="shared" si="736"/>
        <v>20.223789106580949</v>
      </c>
      <c r="C352" s="1">
        <f t="shared" si="737"/>
        <v>0</v>
      </c>
      <c r="D352" s="1">
        <f t="shared" si="738"/>
        <v>0.20990531435769863</v>
      </c>
      <c r="E352" s="1">
        <f t="shared" si="739"/>
        <v>39.366668026043314</v>
      </c>
      <c r="F352" s="1">
        <f t="shared" si="740"/>
        <v>0</v>
      </c>
      <c r="G352" s="1">
        <f t="shared" si="741"/>
        <v>0.16325524258486401</v>
      </c>
      <c r="H352" s="1">
        <f t="shared" si="576"/>
        <v>39.367006537796755</v>
      </c>
      <c r="I352" s="1">
        <f t="shared" si="724"/>
        <v>-63.070661744001399</v>
      </c>
      <c r="J352" s="1">
        <f t="shared" si="725"/>
        <v>0</v>
      </c>
      <c r="K352" s="1">
        <f t="shared" si="726"/>
        <v>-0.2615567102654725</v>
      </c>
      <c r="L352" s="1">
        <f t="shared" ref="L352:N352" si="800">E352/$H352</f>
        <v>0.99999140113045892</v>
      </c>
      <c r="M352" s="1">
        <f t="shared" si="800"/>
        <v>0</v>
      </c>
      <c r="N352" s="1">
        <f t="shared" si="800"/>
        <v>4.1470067689327768E-3</v>
      </c>
      <c r="O352" s="1">
        <f t="shared" si="578"/>
        <v>4.1470067689327768E-3</v>
      </c>
      <c r="P352" s="1">
        <f t="shared" si="728"/>
        <v>-4.1469711093625851E-3</v>
      </c>
      <c r="Q352" s="1">
        <f t="shared" si="729"/>
        <v>0</v>
      </c>
      <c r="R352" s="1">
        <f t="shared" si="730"/>
        <v>0.99998280233485848</v>
      </c>
      <c r="S352" s="1">
        <f t="shared" si="731"/>
        <v>5.0993739473024906</v>
      </c>
      <c r="T352" s="1">
        <f t="shared" ref="T352:V352" si="801">$S352*P352</f>
        <v>-2.1146956435299673E-2</v>
      </c>
      <c r="U352" s="1">
        <f t="shared" si="801"/>
        <v>0</v>
      </c>
      <c r="V352" s="1">
        <f t="shared" si="801"/>
        <v>5.0992862499769132</v>
      </c>
      <c r="W352" s="1">
        <f t="shared" si="733"/>
        <v>-63.091808700436701</v>
      </c>
      <c r="X352" s="1">
        <f t="shared" si="734"/>
        <v>0</v>
      </c>
      <c r="Y352" s="1">
        <f t="shared" si="735"/>
        <v>-4.968920460288559</v>
      </c>
    </row>
    <row r="353" spans="1:25">
      <c r="A353" s="1">
        <v>0.35099999999999998</v>
      </c>
      <c r="B353" s="1">
        <f t="shared" si="736"/>
        <v>20.263092682798291</v>
      </c>
      <c r="C353" s="1">
        <f t="shared" si="737"/>
        <v>0</v>
      </c>
      <c r="D353" s="1">
        <f t="shared" si="738"/>
        <v>0.21006360067982321</v>
      </c>
      <c r="E353" s="1">
        <f t="shared" si="739"/>
        <v>39.303576217342879</v>
      </c>
      <c r="F353" s="1">
        <f t="shared" si="740"/>
        <v>0</v>
      </c>
      <c r="G353" s="1">
        <f t="shared" si="741"/>
        <v>0.15828632212457544</v>
      </c>
      <c r="H353" s="1">
        <f t="shared" si="576"/>
        <v>39.303894947349079</v>
      </c>
      <c r="I353" s="1">
        <f t="shared" si="724"/>
        <v>-62.868629956453852</v>
      </c>
      <c r="J353" s="1">
        <f t="shared" si="725"/>
        <v>0</v>
      </c>
      <c r="K353" s="1">
        <f t="shared" si="726"/>
        <v>-0.25318928124476769</v>
      </c>
      <c r="L353" s="1">
        <f t="shared" ref="L353:N353" si="802">E353/$H353</f>
        <v>0.9999918906254297</v>
      </c>
      <c r="M353" s="1">
        <f t="shared" si="802"/>
        <v>0</v>
      </c>
      <c r="N353" s="1">
        <f t="shared" si="802"/>
        <v>4.0272426520733757E-3</v>
      </c>
      <c r="O353" s="1">
        <f t="shared" si="578"/>
        <v>4.0272426520733757E-3</v>
      </c>
      <c r="P353" s="1">
        <f t="shared" si="728"/>
        <v>-4.0272099936542244E-3</v>
      </c>
      <c r="Q353" s="1">
        <f t="shared" si="729"/>
        <v>0</v>
      </c>
      <c r="R353" s="1">
        <f t="shared" si="730"/>
        <v>0.99998378131662136</v>
      </c>
      <c r="S353" s="1">
        <f t="shared" si="731"/>
        <v>5.083036833750163</v>
      </c>
      <c r="T353" s="1">
        <f t="shared" ref="T353:V353" si="803">$S353*P353</f>
        <v>-2.0470456734991184E-2</v>
      </c>
      <c r="U353" s="1">
        <f t="shared" si="803"/>
        <v>0</v>
      </c>
      <c r="V353" s="1">
        <f t="shared" si="803"/>
        <v>5.0829543935851547</v>
      </c>
      <c r="W353" s="1">
        <f t="shared" si="733"/>
        <v>-62.889100413188842</v>
      </c>
      <c r="X353" s="1">
        <f t="shared" si="734"/>
        <v>0</v>
      </c>
      <c r="Y353" s="1">
        <f t="shared" si="735"/>
        <v>-4.9768848876596126</v>
      </c>
    </row>
    <row r="354" spans="1:25">
      <c r="A354" s="1">
        <v>0.35199999999999998</v>
      </c>
      <c r="B354" s="1">
        <f t="shared" si="736"/>
        <v>20.302333369915221</v>
      </c>
      <c r="C354" s="1">
        <f t="shared" si="737"/>
        <v>0</v>
      </c>
      <c r="D354" s="1">
        <f t="shared" si="738"/>
        <v>0.21021691011706012</v>
      </c>
      <c r="E354" s="1">
        <f t="shared" si="739"/>
        <v>39.240687116929692</v>
      </c>
      <c r="F354" s="1">
        <f t="shared" si="740"/>
        <v>0</v>
      </c>
      <c r="G354" s="1">
        <f t="shared" si="741"/>
        <v>0.15330943723691584</v>
      </c>
      <c r="H354" s="1">
        <f t="shared" si="576"/>
        <v>39.24098659810069</v>
      </c>
      <c r="I354" s="1">
        <f t="shared" si="724"/>
        <v>-62.667570567637348</v>
      </c>
      <c r="J354" s="1">
        <f t="shared" si="725"/>
        <v>0</v>
      </c>
      <c r="K354" s="1">
        <f t="shared" si="726"/>
        <v>-0.24483592624412012</v>
      </c>
      <c r="L354" s="1">
        <f t="shared" ref="L354:N354" si="804">E354/$H354</f>
        <v>0.99999236815388803</v>
      </c>
      <c r="M354" s="1">
        <f t="shared" si="804"/>
        <v>0</v>
      </c>
      <c r="N354" s="1">
        <f t="shared" si="804"/>
        <v>3.9068701000584986E-3</v>
      </c>
      <c r="O354" s="1">
        <f t="shared" si="578"/>
        <v>3.9068701000584986E-3</v>
      </c>
      <c r="P354" s="1">
        <f t="shared" si="728"/>
        <v>-3.9068402834271159E-3</v>
      </c>
      <c r="Q354" s="1">
        <f t="shared" si="729"/>
        <v>0</v>
      </c>
      <c r="R354" s="1">
        <f t="shared" si="730"/>
        <v>0.99998473636602125</v>
      </c>
      <c r="S354" s="1">
        <f t="shared" si="731"/>
        <v>5.0667784168949037</v>
      </c>
      <c r="T354" s="1">
        <f t="shared" ref="T354:V354" si="805">$S354*P354</f>
        <v>-1.9795094026324081E-2</v>
      </c>
      <c r="U354" s="1">
        <f t="shared" si="805"/>
        <v>0</v>
      </c>
      <c r="V354" s="1">
        <f t="shared" si="805"/>
        <v>5.0667010794436971</v>
      </c>
      <c r="W354" s="1">
        <f t="shared" si="733"/>
        <v>-62.687365661663669</v>
      </c>
      <c r="X354" s="1">
        <f t="shared" si="734"/>
        <v>0</v>
      </c>
      <c r="Y354" s="1">
        <f t="shared" si="735"/>
        <v>-4.9847848468004221</v>
      </c>
    </row>
    <row r="355" spans="1:25">
      <c r="A355" s="1">
        <v>0.35299999999999998</v>
      </c>
      <c r="B355" s="1">
        <f t="shared" si="736"/>
        <v>20.341511369666488</v>
      </c>
      <c r="C355" s="1">
        <f t="shared" si="737"/>
        <v>0</v>
      </c>
      <c r="D355" s="1">
        <f t="shared" si="738"/>
        <v>0.21036523476945024</v>
      </c>
      <c r="E355" s="1">
        <f t="shared" si="739"/>
        <v>39.177999751268025</v>
      </c>
      <c r="F355" s="1">
        <f t="shared" si="740"/>
        <v>0</v>
      </c>
      <c r="G355" s="1">
        <f t="shared" si="741"/>
        <v>0.14832465239011541</v>
      </c>
      <c r="H355" s="1">
        <f t="shared" si="576"/>
        <v>39.178280522667968</v>
      </c>
      <c r="I355" s="1">
        <f t="shared" si="724"/>
        <v>-62.467477365395062</v>
      </c>
      <c r="J355" s="1">
        <f t="shared" si="725"/>
        <v>0</v>
      </c>
      <c r="K355" s="1">
        <f t="shared" si="726"/>
        <v>-0.23649667989008913</v>
      </c>
      <c r="L355" s="1">
        <f t="shared" ref="L355:N355" si="806">E355/$H355</f>
        <v>0.99999283349355317</v>
      </c>
      <c r="M355" s="1">
        <f t="shared" si="806"/>
        <v>0</v>
      </c>
      <c r="N355" s="1">
        <f t="shared" si="806"/>
        <v>3.7858897943286967E-3</v>
      </c>
      <c r="O355" s="1">
        <f t="shared" si="578"/>
        <v>3.7858897943286967E-3</v>
      </c>
      <c r="P355" s="1">
        <f t="shared" si="728"/>
        <v>-3.7858626627250789E-3</v>
      </c>
      <c r="Q355" s="1">
        <f t="shared" si="729"/>
        <v>0</v>
      </c>
      <c r="R355" s="1">
        <f t="shared" si="730"/>
        <v>0.99998566703846514</v>
      </c>
      <c r="S355" s="1">
        <f t="shared" si="731"/>
        <v>5.0505981948998695</v>
      </c>
      <c r="T355" s="1">
        <f t="shared" ref="T355:V355" si="807">$S355*P355</f>
        <v>-1.9120871130498096E-2</v>
      </c>
      <c r="U355" s="1">
        <f t="shared" si="807"/>
        <v>0</v>
      </c>
      <c r="V355" s="1">
        <f t="shared" si="807"/>
        <v>5.0505258048702144</v>
      </c>
      <c r="W355" s="1">
        <f t="shared" si="733"/>
        <v>-62.486598236525559</v>
      </c>
      <c r="X355" s="1">
        <f t="shared" si="734"/>
        <v>0</v>
      </c>
      <c r="Y355" s="1">
        <f t="shared" si="735"/>
        <v>-4.9926208750198739</v>
      </c>
    </row>
    <row r="356" spans="1:25">
      <c r="A356" s="1">
        <v>0.35399999999999998</v>
      </c>
      <c r="B356" s="1">
        <f t="shared" si="736"/>
        <v>20.38062688281952</v>
      </c>
      <c r="C356" s="1">
        <f t="shared" si="737"/>
        <v>0</v>
      </c>
      <c r="D356" s="1">
        <f t="shared" si="738"/>
        <v>0.21050856680096533</v>
      </c>
      <c r="E356" s="1">
        <f t="shared" si="739"/>
        <v>39.1155131530315</v>
      </c>
      <c r="F356" s="1">
        <f t="shared" si="740"/>
        <v>0</v>
      </c>
      <c r="G356" s="1">
        <f t="shared" si="741"/>
        <v>0.14333203151509555</v>
      </c>
      <c r="H356" s="1">
        <f t="shared" si="576"/>
        <v>39.11577575986751</v>
      </c>
      <c r="I356" s="1">
        <f t="shared" si="724"/>
        <v>-62.26834418713085</v>
      </c>
      <c r="J356" s="1">
        <f t="shared" si="725"/>
        <v>0</v>
      </c>
      <c r="K356" s="1">
        <f t="shared" si="726"/>
        <v>-0.22817157572508937</v>
      </c>
      <c r="L356" s="1">
        <f t="shared" ref="L356:N356" si="808">E356/$H356</f>
        <v>0.99999328642137586</v>
      </c>
      <c r="M356" s="1">
        <f t="shared" si="808"/>
        <v>0</v>
      </c>
      <c r="N356" s="1">
        <f t="shared" si="808"/>
        <v>3.6643024133028476E-3</v>
      </c>
      <c r="O356" s="1">
        <f t="shared" si="578"/>
        <v>3.6643024133028476E-3</v>
      </c>
      <c r="P356" s="1">
        <f t="shared" si="728"/>
        <v>-3.6642778127204934E-3</v>
      </c>
      <c r="Q356" s="1">
        <f t="shared" si="729"/>
        <v>0</v>
      </c>
      <c r="R356" s="1">
        <f t="shared" si="730"/>
        <v>0.99998657288782389</v>
      </c>
      <c r="S356" s="1">
        <f t="shared" si="731"/>
        <v>5.034495669931391</v>
      </c>
      <c r="T356" s="1">
        <f t="shared" ref="T356:V356" si="809">$S356*P356</f>
        <v>-1.8447790781566994E-2</v>
      </c>
      <c r="U356" s="1">
        <f t="shared" si="809"/>
        <v>0</v>
      </c>
      <c r="V356" s="1">
        <f t="shared" si="809"/>
        <v>5.0344280711932807</v>
      </c>
      <c r="W356" s="1">
        <f t="shared" si="733"/>
        <v>-62.286791977912415</v>
      </c>
      <c r="X356" s="1">
        <f t="shared" si="734"/>
        <v>0</v>
      </c>
      <c r="Y356" s="1">
        <f t="shared" si="735"/>
        <v>-5.0003935045318082</v>
      </c>
    </row>
    <row r="357" spans="1:25">
      <c r="A357" s="1">
        <v>0.35499999999999998</v>
      </c>
      <c r="B357" s="1">
        <f t="shared" si="736"/>
        <v>20.419680109180575</v>
      </c>
      <c r="C357" s="1">
        <f t="shared" si="737"/>
        <v>0</v>
      </c>
      <c r="D357" s="1">
        <f t="shared" si="738"/>
        <v>0.21064689843897588</v>
      </c>
      <c r="E357" s="1">
        <f t="shared" si="739"/>
        <v>39.053226361053589</v>
      </c>
      <c r="F357" s="1">
        <f t="shared" si="740"/>
        <v>0</v>
      </c>
      <c r="G357" s="1">
        <f t="shared" si="741"/>
        <v>0.13833163801056375</v>
      </c>
      <c r="H357" s="1">
        <f t="shared" si="576"/>
        <v>39.053471354666613</v>
      </c>
      <c r="I357" s="1">
        <f t="shared" si="724"/>
        <v>-62.070164919335369</v>
      </c>
      <c r="J357" s="1">
        <f t="shared" si="725"/>
        <v>0</v>
      </c>
      <c r="K357" s="1">
        <f t="shared" si="726"/>
        <v>-0.21986064622410498</v>
      </c>
      <c r="L357" s="1">
        <f t="shared" ref="L357:N357" si="810">E357/$H357</f>
        <v>0.99999372671354103</v>
      </c>
      <c r="M357" s="1">
        <f t="shared" si="810"/>
        <v>0</v>
      </c>
      <c r="N357" s="1">
        <f t="shared" si="810"/>
        <v>3.5421086324003335E-3</v>
      </c>
      <c r="O357" s="1">
        <f t="shared" si="578"/>
        <v>3.5421086324003335E-3</v>
      </c>
      <c r="P357" s="1">
        <f t="shared" si="728"/>
        <v>-3.5420864117382137E-3</v>
      </c>
      <c r="Q357" s="1">
        <f t="shared" si="729"/>
        <v>0</v>
      </c>
      <c r="R357" s="1">
        <f t="shared" si="730"/>
        <v>0.99998745346643625</v>
      </c>
      <c r="S357" s="1">
        <f t="shared" si="731"/>
        <v>5.018470348120684</v>
      </c>
      <c r="T357" s="1">
        <f t="shared" ref="T357:V357" si="811">$S357*P357</f>
        <v>-1.7775855627789418E-2</v>
      </c>
      <c r="U357" s="1">
        <f t="shared" si="811"/>
        <v>0</v>
      </c>
      <c r="V357" s="1">
        <f t="shared" si="811"/>
        <v>5.0184073837140231</v>
      </c>
      <c r="W357" s="1">
        <f t="shared" si="733"/>
        <v>-62.087940774963158</v>
      </c>
      <c r="X357" s="1">
        <f t="shared" si="734"/>
        <v>0</v>
      </c>
      <c r="Y357" s="1">
        <f t="shared" si="735"/>
        <v>-5.0081032625100814</v>
      </c>
    </row>
    <row r="358" spans="1:25">
      <c r="A358" s="1">
        <v>0.35599999999999998</v>
      </c>
      <c r="B358" s="1">
        <f t="shared" si="736"/>
        <v>20.458671247600854</v>
      </c>
      <c r="C358" s="1">
        <f t="shared" si="737"/>
        <v>0</v>
      </c>
      <c r="D358" s="1">
        <f t="shared" si="738"/>
        <v>0.21078022197372392</v>
      </c>
      <c r="E358" s="1">
        <f t="shared" si="739"/>
        <v>38.991138420278624</v>
      </c>
      <c r="F358" s="1">
        <f t="shared" si="740"/>
        <v>0</v>
      </c>
      <c r="G358" s="1">
        <f t="shared" si="741"/>
        <v>0.13332353474805367</v>
      </c>
      <c r="H358" s="1">
        <f t="shared" si="576"/>
        <v>38.991366358134279</v>
      </c>
      <c r="I358" s="1">
        <f t="shared" si="724"/>
        <v>-61.872933497117636</v>
      </c>
      <c r="J358" s="1">
        <f t="shared" si="725"/>
        <v>0</v>
      </c>
      <c r="K358" s="1">
        <f t="shared" si="726"/>
        <v>-0.2115639228111573</v>
      </c>
      <c r="L358" s="1">
        <f t="shared" ref="L358:N358" si="812">E358/$H358</f>
        <v>0.99999415414546999</v>
      </c>
      <c r="M358" s="1">
        <f t="shared" si="812"/>
        <v>0</v>
      </c>
      <c r="N358" s="1">
        <f t="shared" si="812"/>
        <v>3.4193091240630516E-3</v>
      </c>
      <c r="O358" s="1">
        <f t="shared" si="578"/>
        <v>3.4193091240630516E-3</v>
      </c>
      <c r="P358" s="1">
        <f t="shared" si="728"/>
        <v>-3.4192891352793193E-3</v>
      </c>
      <c r="Q358" s="1">
        <f t="shared" si="729"/>
        <v>0</v>
      </c>
      <c r="R358" s="1">
        <f t="shared" si="730"/>
        <v>0.99998830832511409</v>
      </c>
      <c r="S358" s="1">
        <f t="shared" si="731"/>
        <v>5.00252173952601</v>
      </c>
      <c r="T358" s="1">
        <f t="shared" ref="T358:V358" si="813">$S358*P358</f>
        <v>-1.7105068232959885E-2</v>
      </c>
      <c r="U358" s="1">
        <f t="shared" si="813"/>
        <v>0</v>
      </c>
      <c r="V358" s="1">
        <f t="shared" si="813"/>
        <v>5.0024632516682219</v>
      </c>
      <c r="W358" s="1">
        <f t="shared" si="733"/>
        <v>-61.890038565350594</v>
      </c>
      <c r="X358" s="1">
        <f t="shared" si="734"/>
        <v>0</v>
      </c>
      <c r="Y358" s="1">
        <f t="shared" si="735"/>
        <v>-5.0157506711429347</v>
      </c>
    </row>
    <row r="359" spans="1:25">
      <c r="A359" s="1">
        <v>0.35699999999999998</v>
      </c>
      <c r="B359" s="1">
        <f t="shared" si="736"/>
        <v>20.497600495982567</v>
      </c>
      <c r="C359" s="1">
        <f t="shared" si="737"/>
        <v>0</v>
      </c>
      <c r="D359" s="1">
        <f t="shared" si="738"/>
        <v>0.21090852975780083</v>
      </c>
      <c r="E359" s="1">
        <f t="shared" si="739"/>
        <v>38.929248381713272</v>
      </c>
      <c r="F359" s="1">
        <f t="shared" si="740"/>
        <v>0</v>
      </c>
      <c r="G359" s="1">
        <f t="shared" si="741"/>
        <v>0.12830778407691074</v>
      </c>
      <c r="H359" s="1">
        <f t="shared" si="576"/>
        <v>38.929459827392677</v>
      </c>
      <c r="I359" s="1">
        <f t="shared" si="724"/>
        <v>-61.676643903741727</v>
      </c>
      <c r="J359" s="1">
        <f t="shared" si="725"/>
        <v>0</v>
      </c>
      <c r="K359" s="1">
        <f t="shared" si="726"/>
        <v>-0.20328143587552949</v>
      </c>
      <c r="L359" s="1">
        <f t="shared" ref="L359:N359" si="814">E359/$H359</f>
        <v>0.99999456849182233</v>
      </c>
      <c r="M359" s="1">
        <f t="shared" si="814"/>
        <v>0</v>
      </c>
      <c r="N359" s="1">
        <f t="shared" si="814"/>
        <v>3.295904557777272E-3</v>
      </c>
      <c r="O359" s="1">
        <f t="shared" si="578"/>
        <v>3.295904557777272E-3</v>
      </c>
      <c r="P359" s="1">
        <f t="shared" si="728"/>
        <v>-3.2958866560447134E-3</v>
      </c>
      <c r="Q359" s="1">
        <f t="shared" si="729"/>
        <v>0</v>
      </c>
      <c r="R359" s="1">
        <f t="shared" si="730"/>
        <v>0.99998913701314607</v>
      </c>
      <c r="S359" s="1">
        <f t="shared" si="731"/>
        <v>4.9866493580952485</v>
      </c>
      <c r="T359" s="1">
        <f t="shared" ref="T359:V359" si="815">$S359*P359</f>
        <v>-1.6435431077720063E-2</v>
      </c>
      <c r="U359" s="1">
        <f t="shared" si="815"/>
        <v>0</v>
      </c>
      <c r="V359" s="1">
        <f t="shared" si="815"/>
        <v>4.9865951881888266</v>
      </c>
      <c r="W359" s="1">
        <f t="shared" si="733"/>
        <v>-61.693079334819444</v>
      </c>
      <c r="X359" s="1">
        <f t="shared" si="734"/>
        <v>0</v>
      </c>
      <c r="Y359" s="1">
        <f t="shared" si="735"/>
        <v>-5.0233362476867018</v>
      </c>
    </row>
    <row r="360" spans="1:25">
      <c r="A360" s="1">
        <v>0.35799999999999998</v>
      </c>
      <c r="B360" s="1">
        <f t="shared" si="736"/>
        <v>20.536468051284945</v>
      </c>
      <c r="C360" s="1">
        <f t="shared" si="737"/>
        <v>0</v>
      </c>
      <c r="D360" s="1">
        <f t="shared" si="738"/>
        <v>0.21103181420563005</v>
      </c>
      <c r="E360" s="1">
        <f t="shared" si="739"/>
        <v>38.867555302378456</v>
      </c>
      <c r="F360" s="1">
        <f t="shared" si="740"/>
        <v>0</v>
      </c>
      <c r="G360" s="1">
        <f t="shared" si="741"/>
        <v>0.12328444782922403</v>
      </c>
      <c r="H360" s="1">
        <f t="shared" si="576"/>
        <v>38.867750825569061</v>
      </c>
      <c r="I360" s="1">
        <f t="shared" si="724"/>
        <v>-61.481290170168712</v>
      </c>
      <c r="J360" s="1">
        <f t="shared" si="725"/>
        <v>0</v>
      </c>
      <c r="K360" s="1">
        <f t="shared" si="726"/>
        <v>-0.19501321478775174</v>
      </c>
      <c r="L360" s="1">
        <f t="shared" ref="L360:N360" si="816">E360/$H360</f>
        <v>0.99999496952649813</v>
      </c>
      <c r="M360" s="1">
        <f t="shared" si="816"/>
        <v>0</v>
      </c>
      <c r="N360" s="1">
        <f t="shared" si="816"/>
        <v>3.1718956000953273E-3</v>
      </c>
      <c r="O360" s="1">
        <f t="shared" si="578"/>
        <v>3.1718956000953273E-3</v>
      </c>
      <c r="P360" s="1">
        <f t="shared" si="728"/>
        <v>-3.1718796439585604E-3</v>
      </c>
      <c r="Q360" s="1">
        <f t="shared" si="729"/>
        <v>0</v>
      </c>
      <c r="R360" s="1">
        <f t="shared" si="730"/>
        <v>0.99998993907830214</v>
      </c>
      <c r="S360" s="1">
        <f t="shared" si="731"/>
        <v>4.9708527216288783</v>
      </c>
      <c r="T360" s="1">
        <f t="shared" ref="T360:V360" si="817">$S360*P360</f>
        <v>-1.5766946560850648E-2</v>
      </c>
      <c r="U360" s="1">
        <f t="shared" si="817"/>
        <v>0</v>
      </c>
      <c r="V360" s="1">
        <f t="shared" si="817"/>
        <v>4.9708027102688748</v>
      </c>
      <c r="W360" s="1">
        <f t="shared" si="733"/>
        <v>-61.497057116729565</v>
      </c>
      <c r="X360" s="1">
        <f t="shared" si="734"/>
        <v>0</v>
      </c>
      <c r="Y360" s="1">
        <f t="shared" si="735"/>
        <v>-5.0308605045188761</v>
      </c>
    </row>
    <row r="361" spans="1:25">
      <c r="A361" s="1">
        <v>0.35899999999999999</v>
      </c>
      <c r="B361" s="1">
        <f t="shared" si="736"/>
        <v>20.575274109530206</v>
      </c>
      <c r="C361" s="1">
        <f t="shared" si="737"/>
        <v>0</v>
      </c>
      <c r="D361" s="1">
        <f t="shared" si="738"/>
        <v>0.21115006779295475</v>
      </c>
      <c r="E361" s="1">
        <f t="shared" si="739"/>
        <v>38.806058245261724</v>
      </c>
      <c r="F361" s="1">
        <f t="shared" si="740"/>
        <v>0</v>
      </c>
      <c r="G361" s="1">
        <f t="shared" si="741"/>
        <v>0.11825358732470515</v>
      </c>
      <c r="H361" s="1">
        <f t="shared" si="576"/>
        <v>38.806238421748127</v>
      </c>
      <c r="I361" s="1">
        <f t="shared" si="724"/>
        <v>-61.286866374603427</v>
      </c>
      <c r="J361" s="1">
        <f t="shared" si="725"/>
        <v>0</v>
      </c>
      <c r="K361" s="1">
        <f t="shared" si="726"/>
        <v>-0.18675928791535065</v>
      </c>
      <c r="L361" s="1">
        <f t="shared" ref="L361:N361" si="818">E361/$H361</f>
        <v>0.99999535702264042</v>
      </c>
      <c r="M361" s="1">
        <f t="shared" si="818"/>
        <v>0</v>
      </c>
      <c r="N361" s="1">
        <f t="shared" si="818"/>
        <v>3.0472829146571561E-3</v>
      </c>
      <c r="O361" s="1">
        <f t="shared" si="578"/>
        <v>3.0472829146571561E-3</v>
      </c>
      <c r="P361" s="1">
        <f t="shared" si="728"/>
        <v>-3.0472687661915751E-3</v>
      </c>
      <c r="Q361" s="1">
        <f t="shared" si="729"/>
        <v>0</v>
      </c>
      <c r="R361" s="1">
        <f t="shared" si="730"/>
        <v>0.99999071406683804</v>
      </c>
      <c r="S361" s="1">
        <f t="shared" si="731"/>
        <v>4.9551313517433826</v>
      </c>
      <c r="T361" s="1">
        <f t="shared" ref="T361:V361" si="819">$S361*P361</f>
        <v>-1.509961700054425E-2</v>
      </c>
      <c r="U361" s="1">
        <f t="shared" si="819"/>
        <v>0</v>
      </c>
      <c r="V361" s="1">
        <f t="shared" si="819"/>
        <v>4.9550853387248415</v>
      </c>
      <c r="W361" s="1">
        <f t="shared" si="733"/>
        <v>-61.301965991603971</v>
      </c>
      <c r="X361" s="1">
        <f t="shared" si="734"/>
        <v>0</v>
      </c>
      <c r="Y361" s="1">
        <f t="shared" si="735"/>
        <v>-5.0383239491905085</v>
      </c>
    </row>
    <row r="362" spans="1:25">
      <c r="A362" s="1">
        <v>0.36</v>
      </c>
      <c r="B362" s="1">
        <f t="shared" si="736"/>
        <v>20.614018865809477</v>
      </c>
      <c r="C362" s="1">
        <f t="shared" si="737"/>
        <v>0</v>
      </c>
      <c r="D362" s="1">
        <f t="shared" si="738"/>
        <v>0.21126328305633027</v>
      </c>
      <c r="E362" s="1">
        <f t="shared" si="739"/>
        <v>38.744756279270121</v>
      </c>
      <c r="F362" s="1">
        <f t="shared" si="740"/>
        <v>0</v>
      </c>
      <c r="G362" s="1">
        <f t="shared" si="741"/>
        <v>0.11321526337551463</v>
      </c>
      <c r="H362" s="1">
        <f t="shared" si="576"/>
        <v>38.744921690924897</v>
      </c>
      <c r="I362" s="1">
        <f t="shared" si="724"/>
        <v>-61.093366642046647</v>
      </c>
      <c r="J362" s="1">
        <f t="shared" si="725"/>
        <v>0</v>
      </c>
      <c r="K362" s="1">
        <f t="shared" si="726"/>
        <v>-0.17851968263836732</v>
      </c>
      <c r="L362" s="1">
        <f t="shared" ref="L362:N362" si="820">E362/$H362</f>
        <v>0.99999573075263648</v>
      </c>
      <c r="M362" s="1">
        <f t="shared" si="820"/>
        <v>0</v>
      </c>
      <c r="N362" s="1">
        <f t="shared" si="820"/>
        <v>2.9220671622116785E-3</v>
      </c>
      <c r="O362" s="1">
        <f t="shared" si="578"/>
        <v>2.9220671622116785E-3</v>
      </c>
      <c r="P362" s="1">
        <f t="shared" si="728"/>
        <v>-2.9220546871841502E-3</v>
      </c>
      <c r="Q362" s="1">
        <f t="shared" si="729"/>
        <v>0</v>
      </c>
      <c r="R362" s="1">
        <f t="shared" si="730"/>
        <v>0.99999146152349949</v>
      </c>
      <c r="S362" s="1">
        <f t="shared" si="731"/>
        <v>4.9394847738350549</v>
      </c>
      <c r="T362" s="1">
        <f t="shared" ref="T362:V362" si="821">$S362*P362</f>
        <v>-1.4433444635659464E-2</v>
      </c>
      <c r="U362" s="1">
        <f t="shared" si="821"/>
        <v>0</v>
      </c>
      <c r="V362" s="1">
        <f t="shared" si="821"/>
        <v>4.9394425981603893</v>
      </c>
      <c r="W362" s="1">
        <f t="shared" si="733"/>
        <v>-61.107800086682303</v>
      </c>
      <c r="X362" s="1">
        <f t="shared" si="734"/>
        <v>0</v>
      </c>
      <c r="Y362" s="1">
        <f t="shared" si="735"/>
        <v>-5.0457270844779778</v>
      </c>
    </row>
    <row r="363" spans="1:25">
      <c r="A363" s="1">
        <v>0.36099999999999999</v>
      </c>
      <c r="B363" s="1">
        <f t="shared" si="736"/>
        <v>20.652702514288659</v>
      </c>
      <c r="C363" s="1">
        <f t="shared" si="737"/>
        <v>0</v>
      </c>
      <c r="D363" s="1">
        <f t="shared" si="738"/>
        <v>0.2113714525926213</v>
      </c>
      <c r="E363" s="1">
        <f t="shared" si="739"/>
        <v>38.683648479183439</v>
      </c>
      <c r="F363" s="1">
        <f t="shared" si="740"/>
        <v>0</v>
      </c>
      <c r="G363" s="1">
        <f t="shared" si="741"/>
        <v>0.10816953629103665</v>
      </c>
      <c r="H363" s="1">
        <f t="shared" si="576"/>
        <v>38.683799713957946</v>
      </c>
      <c r="I363" s="1">
        <f t="shared" si="724"/>
        <v>-60.900785143851806</v>
      </c>
      <c r="J363" s="1">
        <f t="shared" si="725"/>
        <v>0</v>
      </c>
      <c r="K363" s="1">
        <f t="shared" si="726"/>
        <v>-0.17029442536464592</v>
      </c>
      <c r="L363" s="1">
        <f t="shared" ref="L363:N363" si="822">E363/$H363</f>
        <v>0.99999609048812099</v>
      </c>
      <c r="M363" s="1">
        <f t="shared" si="822"/>
        <v>0</v>
      </c>
      <c r="N363" s="1">
        <f t="shared" si="822"/>
        <v>2.7962490006380311E-3</v>
      </c>
      <c r="O363" s="1">
        <f t="shared" si="578"/>
        <v>2.7962490006380311E-3</v>
      </c>
      <c r="P363" s="1">
        <f t="shared" si="728"/>
        <v>-2.7962380686693466E-3</v>
      </c>
      <c r="Q363" s="1">
        <f t="shared" si="729"/>
        <v>0</v>
      </c>
      <c r="R363" s="1">
        <f t="shared" si="730"/>
        <v>0.99999218099152642</v>
      </c>
      <c r="S363" s="1">
        <f t="shared" si="731"/>
        <v>4.9239125170441973</v>
      </c>
      <c r="T363" s="1">
        <f t="shared" ref="T363:V363" si="823">$S363*P363</f>
        <v>-1.3768431626956488E-2</v>
      </c>
      <c r="U363" s="1">
        <f t="shared" si="823"/>
        <v>0</v>
      </c>
      <c r="V363" s="1">
        <f t="shared" si="823"/>
        <v>4.9238740169305037</v>
      </c>
      <c r="W363" s="1">
        <f t="shared" si="733"/>
        <v>-60.914553575478763</v>
      </c>
      <c r="X363" s="1">
        <f t="shared" si="734"/>
        <v>0</v>
      </c>
      <c r="Y363" s="1">
        <f t="shared" si="735"/>
        <v>-5.0530704084341416</v>
      </c>
    </row>
    <row r="364" spans="1:25">
      <c r="A364" s="1">
        <v>0.36199999999999999</v>
      </c>
      <c r="B364" s="1">
        <f t="shared" si="736"/>
        <v>20.691325248214266</v>
      </c>
      <c r="C364" s="1">
        <f t="shared" si="737"/>
        <v>0</v>
      </c>
      <c r="D364" s="1">
        <f t="shared" si="738"/>
        <v>0.2114745690585039</v>
      </c>
      <c r="E364" s="1">
        <f t="shared" si="739"/>
        <v>38.62273392560796</v>
      </c>
      <c r="F364" s="1">
        <f t="shared" si="740"/>
        <v>0</v>
      </c>
      <c r="G364" s="1">
        <f t="shared" si="741"/>
        <v>0.10311646588260251</v>
      </c>
      <c r="H364" s="1">
        <f t="shared" si="576"/>
        <v>38.622871577523135</v>
      </c>
      <c r="I364" s="1">
        <f t="shared" si="724"/>
        <v>-60.709116097286874</v>
      </c>
      <c r="J364" s="1">
        <f t="shared" si="725"/>
        <v>0</v>
      </c>
      <c r="K364" s="1">
        <f t="shared" si="726"/>
        <v>-0.16208354154489843</v>
      </c>
      <c r="L364" s="1">
        <f t="shared" ref="L364:N364" si="824">E364/$H364</f>
        <v>0.99999643599997745</v>
      </c>
      <c r="M364" s="1">
        <f t="shared" si="824"/>
        <v>0</v>
      </c>
      <c r="N364" s="1">
        <f t="shared" si="824"/>
        <v>2.6698290849666365E-3</v>
      </c>
      <c r="O364" s="1">
        <f t="shared" si="578"/>
        <v>2.6698290849666365E-3</v>
      </c>
      <c r="P364" s="1">
        <f t="shared" si="728"/>
        <v>-2.6698195696957176E-3</v>
      </c>
      <c r="Q364" s="1">
        <f t="shared" si="729"/>
        <v>0</v>
      </c>
      <c r="R364" s="1">
        <f t="shared" si="730"/>
        <v>0.99999287201265707</v>
      </c>
      <c r="S364" s="1">
        <f t="shared" si="731"/>
        <v>4.9084141142197177</v>
      </c>
      <c r="T364" s="1">
        <f t="shared" ref="T364:V364" si="825">$S364*P364</f>
        <v>-1.3104580058314474E-2</v>
      </c>
      <c r="U364" s="1">
        <f t="shared" si="825"/>
        <v>0</v>
      </c>
      <c r="V364" s="1">
        <f t="shared" si="825"/>
        <v>4.9083791271060377</v>
      </c>
      <c r="W364" s="1">
        <f t="shared" si="733"/>
        <v>-60.722220677345184</v>
      </c>
      <c r="X364" s="1">
        <f t="shared" si="734"/>
        <v>0</v>
      </c>
      <c r="Y364" s="1">
        <f t="shared" si="735"/>
        <v>-5.0603544144388604</v>
      </c>
    </row>
    <row r="365" spans="1:25">
      <c r="A365" s="1">
        <v>0.36299999999999999</v>
      </c>
      <c r="B365" s="1">
        <f t="shared" si="736"/>
        <v>20.729887259919195</v>
      </c>
      <c r="C365" s="1">
        <f t="shared" si="737"/>
        <v>0</v>
      </c>
      <c r="D365" s="1">
        <f t="shared" si="738"/>
        <v>0.21157262516997205</v>
      </c>
      <c r="E365" s="1">
        <f t="shared" si="739"/>
        <v>38.562011704930612</v>
      </c>
      <c r="F365" s="1">
        <f t="shared" si="740"/>
        <v>0</v>
      </c>
      <c r="G365" s="1">
        <f t="shared" si="741"/>
        <v>9.8056111468163648E-2</v>
      </c>
      <c r="H365" s="1">
        <f t="shared" si="576"/>
        <v>38.562136374067784</v>
      </c>
      <c r="I365" s="1">
        <f t="shared" si="724"/>
        <v>-60.518353765100912</v>
      </c>
      <c r="J365" s="1">
        <f t="shared" si="725"/>
        <v>0</v>
      </c>
      <c r="K365" s="1">
        <f t="shared" si="726"/>
        <v>-0.15388705568754701</v>
      </c>
      <c r="L365" s="1">
        <f t="shared" ref="L365:N365" si="826">E365/$H365</f>
        <v>0.99999676705834029</v>
      </c>
      <c r="M365" s="1">
        <f t="shared" si="826"/>
        <v>0</v>
      </c>
      <c r="N365" s="1">
        <f t="shared" si="826"/>
        <v>2.5428080674001325E-3</v>
      </c>
      <c r="O365" s="1">
        <f t="shared" si="578"/>
        <v>2.5428080674001325E-3</v>
      </c>
      <c r="P365" s="1">
        <f t="shared" si="728"/>
        <v>-2.5427998466499989E-3</v>
      </c>
      <c r="Q365" s="1">
        <f t="shared" si="729"/>
        <v>0</v>
      </c>
      <c r="R365" s="1">
        <f t="shared" si="730"/>
        <v>0.99999353412713232</v>
      </c>
      <c r="S365" s="1">
        <f t="shared" si="731"/>
        <v>4.8929891018841269</v>
      </c>
      <c r="T365" s="1">
        <f t="shared" ref="T365:V365" si="827">$S365*P365</f>
        <v>-1.2441891937931073E-2</v>
      </c>
      <c r="U365" s="1">
        <f t="shared" si="827"/>
        <v>0</v>
      </c>
      <c r="V365" s="1">
        <f t="shared" si="827"/>
        <v>4.8929574644386511</v>
      </c>
      <c r="W365" s="1">
        <f t="shared" si="733"/>
        <v>-60.530795657038844</v>
      </c>
      <c r="X365" s="1">
        <f t="shared" si="734"/>
        <v>0</v>
      </c>
      <c r="Y365" s="1">
        <f t="shared" si="735"/>
        <v>-5.0675795912488955</v>
      </c>
    </row>
    <row r="366" spans="1:25">
      <c r="A366" s="1">
        <v>0.36399999999999999</v>
      </c>
      <c r="B366" s="1">
        <f t="shared" si="736"/>
        <v>20.76838874082847</v>
      </c>
      <c r="C366" s="1">
        <f t="shared" si="737"/>
        <v>0</v>
      </c>
      <c r="D366" s="1">
        <f t="shared" si="738"/>
        <v>0.21166561370184897</v>
      </c>
      <c r="E366" s="1">
        <f t="shared" si="739"/>
        <v>38.501480909273575</v>
      </c>
      <c r="F366" s="1">
        <f t="shared" si="740"/>
        <v>0</v>
      </c>
      <c r="G366" s="1">
        <f t="shared" si="741"/>
        <v>9.2988531876914748E-2</v>
      </c>
      <c r="H366" s="1">
        <f t="shared" si="576"/>
        <v>38.501593201765274</v>
      </c>
      <c r="I366" s="1">
        <f t="shared" si="724"/>
        <v>-60.328492455095613</v>
      </c>
      <c r="J366" s="1">
        <f t="shared" si="725"/>
        <v>0</v>
      </c>
      <c r="K366" s="1">
        <f t="shared" si="726"/>
        <v>-0.14570499137334905</v>
      </c>
      <c r="L366" s="1">
        <f t="shared" ref="L366:N366" si="828">E366/$H366</f>
        <v>0.99999708343259686</v>
      </c>
      <c r="M366" s="1">
        <f t="shared" si="828"/>
        <v>0</v>
      </c>
      <c r="N366" s="1">
        <f t="shared" si="828"/>
        <v>2.4151865973341406E-3</v>
      </c>
      <c r="O366" s="1">
        <f t="shared" si="578"/>
        <v>2.4151865973341406E-3</v>
      </c>
      <c r="P366" s="1">
        <f t="shared" si="728"/>
        <v>-2.4151795532796382E-3</v>
      </c>
      <c r="Q366" s="1">
        <f t="shared" si="729"/>
        <v>0</v>
      </c>
      <c r="R366" s="1">
        <f t="shared" si="730"/>
        <v>0.99999416687370002</v>
      </c>
      <c r="S366" s="1">
        <f t="shared" si="731"/>
        <v>4.8776370201989101</v>
      </c>
      <c r="T366" s="1">
        <f t="shared" ref="T366:V366" si="829">$S366*P366</f>
        <v>-1.178036919950423E-2</v>
      </c>
      <c r="U366" s="1">
        <f t="shared" si="829"/>
        <v>0</v>
      </c>
      <c r="V366" s="1">
        <f t="shared" si="829"/>
        <v>4.8776085683261261</v>
      </c>
      <c r="W366" s="1">
        <f t="shared" si="733"/>
        <v>-60.34027282429512</v>
      </c>
      <c r="X366" s="1">
        <f t="shared" si="734"/>
        <v>0</v>
      </c>
      <c r="Y366" s="1">
        <f t="shared" si="735"/>
        <v>-5.0747464230472223</v>
      </c>
    </row>
    <row r="367" spans="1:25">
      <c r="A367" s="1">
        <v>0.36499999999999999</v>
      </c>
      <c r="B367" s="1">
        <f t="shared" si="736"/>
        <v>20.806829881464921</v>
      </c>
      <c r="C367" s="1">
        <f t="shared" si="737"/>
        <v>0</v>
      </c>
      <c r="D367" s="1">
        <f t="shared" si="738"/>
        <v>0.21175352748730283</v>
      </c>
      <c r="E367" s="1">
        <f t="shared" si="739"/>
        <v>38.441140636449276</v>
      </c>
      <c r="F367" s="1">
        <f t="shared" si="740"/>
        <v>0</v>
      </c>
      <c r="G367" s="1">
        <f t="shared" si="741"/>
        <v>8.7913785453867521E-2</v>
      </c>
      <c r="H367" s="1">
        <f t="shared" si="576"/>
        <v>38.441241164470021</v>
      </c>
      <c r="I367" s="1">
        <f t="shared" si="724"/>
        <v>-60.139526519701128</v>
      </c>
      <c r="J367" s="1">
        <f t="shared" si="725"/>
        <v>0</v>
      </c>
      <c r="K367" s="1">
        <f t="shared" si="726"/>
        <v>-0.13753737126980681</v>
      </c>
      <c r="L367" s="1">
        <f t="shared" ref="L367:N367" si="830">E367/$H367</f>
        <v>0.99999738489139012</v>
      </c>
      <c r="M367" s="1">
        <f t="shared" si="830"/>
        <v>0</v>
      </c>
      <c r="N367" s="1">
        <f t="shared" si="830"/>
        <v>2.2869653213778993E-3</v>
      </c>
      <c r="O367" s="1">
        <f t="shared" si="578"/>
        <v>2.2869653213778993E-3</v>
      </c>
      <c r="P367" s="1">
        <f t="shared" si="728"/>
        <v>-2.2869593407151968E-3</v>
      </c>
      <c r="Q367" s="1">
        <f t="shared" si="729"/>
        <v>0</v>
      </c>
      <c r="R367" s="1">
        <f t="shared" si="730"/>
        <v>0.99999476978961876</v>
      </c>
      <c r="S367" s="1">
        <f t="shared" si="731"/>
        <v>4.8623574129302733</v>
      </c>
      <c r="T367" s="1">
        <f t="shared" ref="T367:V367" si="831">$S367*P367</f>
        <v>-1.1120013703396667E-2</v>
      </c>
      <c r="U367" s="1">
        <f t="shared" si="831"/>
        <v>0</v>
      </c>
      <c r="V367" s="1">
        <f t="shared" si="831"/>
        <v>4.8623319817780546</v>
      </c>
      <c r="W367" s="1">
        <f t="shared" si="733"/>
        <v>-60.150646533404526</v>
      </c>
      <c r="X367" s="1">
        <f t="shared" si="734"/>
        <v>0</v>
      </c>
      <c r="Y367" s="1">
        <f t="shared" si="735"/>
        <v>-5.0818553894917518</v>
      </c>
    </row>
    <row r="368" spans="1:25">
      <c r="A368" s="1">
        <v>0.36599999999999999</v>
      </c>
      <c r="B368" s="1">
        <f t="shared" si="736"/>
        <v>20.845210871454835</v>
      </c>
      <c r="C368" s="1">
        <f t="shared" si="737"/>
        <v>0</v>
      </c>
      <c r="D368" s="1">
        <f t="shared" si="738"/>
        <v>0.2118363594173672</v>
      </c>
      <c r="E368" s="1">
        <f t="shared" si="739"/>
        <v>38.380989989915875</v>
      </c>
      <c r="F368" s="1">
        <f t="shared" si="740"/>
        <v>0</v>
      </c>
      <c r="G368" s="1">
        <f t="shared" si="741"/>
        <v>8.2831930064375767E-2</v>
      </c>
      <c r="H368" s="1">
        <f t="shared" si="576"/>
        <v>38.381079371672975</v>
      </c>
      <c r="I368" s="1">
        <f t="shared" si="724"/>
        <v>-59.951450355557064</v>
      </c>
      <c r="J368" s="1">
        <f t="shared" si="725"/>
        <v>0</v>
      </c>
      <c r="K368" s="1">
        <f t="shared" si="726"/>
        <v>-0.1293842171453661</v>
      </c>
      <c r="L368" s="1">
        <f t="shared" ref="L368:N368" si="832">E368/$H368</f>
        <v>0.99999767120261951</v>
      </c>
      <c r="M368" s="1">
        <f t="shared" si="832"/>
        <v>0</v>
      </c>
      <c r="N368" s="1">
        <f t="shared" si="832"/>
        <v>2.1581448833747387E-3</v>
      </c>
      <c r="O368" s="1">
        <f t="shared" si="578"/>
        <v>2.1581448833747387E-3</v>
      </c>
      <c r="P368" s="1">
        <f t="shared" si="728"/>
        <v>-2.1581398574925877E-3</v>
      </c>
      <c r="Q368" s="1">
        <f t="shared" si="729"/>
        <v>0</v>
      </c>
      <c r="R368" s="1">
        <f t="shared" si="730"/>
        <v>0.99999534241066235</v>
      </c>
      <c r="S368" s="1">
        <f t="shared" si="731"/>
        <v>4.8471498274152864</v>
      </c>
      <c r="T368" s="1">
        <f t="shared" ref="T368:V368" si="833">$S368*P368</f>
        <v>-1.0460827237783247E-2</v>
      </c>
      <c r="U368" s="1">
        <f t="shared" si="833"/>
        <v>0</v>
      </c>
      <c r="V368" s="1">
        <f t="shared" si="833"/>
        <v>4.8471272513819326</v>
      </c>
      <c r="W368" s="1">
        <f t="shared" si="733"/>
        <v>-59.96191118279485</v>
      </c>
      <c r="X368" s="1">
        <f t="shared" si="734"/>
        <v>0</v>
      </c>
      <c r="Y368" s="1">
        <f t="shared" si="735"/>
        <v>-5.0889069657634334</v>
      </c>
    </row>
    <row r="369" spans="1:25">
      <c r="A369" s="1">
        <v>0.36699999999999999</v>
      </c>
      <c r="B369" s="1">
        <f t="shared" si="736"/>
        <v>20.883531899533569</v>
      </c>
      <c r="C369" s="1">
        <f t="shared" si="737"/>
        <v>0</v>
      </c>
      <c r="D369" s="1">
        <f t="shared" si="738"/>
        <v>0.21191410244046582</v>
      </c>
      <c r="E369" s="1">
        <f t="shared" si="739"/>
        <v>38.321028078733079</v>
      </c>
      <c r="F369" s="1">
        <f t="shared" si="740"/>
        <v>0</v>
      </c>
      <c r="G369" s="1">
        <f t="shared" si="741"/>
        <v>7.7743023098612335E-2</v>
      </c>
      <c r="H369" s="1">
        <f t="shared" si="576"/>
        <v>38.321106938457419</v>
      </c>
      <c r="I369" s="1">
        <f t="shared" si="724"/>
        <v>-59.764258403097593</v>
      </c>
      <c r="J369" s="1">
        <f t="shared" si="725"/>
        <v>0</v>
      </c>
      <c r="K369" s="1">
        <f t="shared" si="726"/>
        <v>-0.12124554988340649</v>
      </c>
      <c r="L369" s="1">
        <f t="shared" ref="L369:N369" si="834">E369/$H369</f>
        <v>0.99999794213344451</v>
      </c>
      <c r="M369" s="1">
        <f t="shared" si="834"/>
        <v>0</v>
      </c>
      <c r="N369" s="1">
        <f t="shared" si="834"/>
        <v>2.0287259244224174E-3</v>
      </c>
      <c r="O369" s="1">
        <f t="shared" si="578"/>
        <v>2.0287259244224174E-3</v>
      </c>
      <c r="P369" s="1">
        <f t="shared" si="728"/>
        <v>-2.0287217495751873E-3</v>
      </c>
      <c r="Q369" s="1">
        <f t="shared" si="729"/>
        <v>0</v>
      </c>
      <c r="R369" s="1">
        <f t="shared" si="730"/>
        <v>0.99999588427112363</v>
      </c>
      <c r="S369" s="1">
        <f t="shared" si="731"/>
        <v>4.8320138145283655</v>
      </c>
      <c r="T369" s="1">
        <f t="shared" ref="T369:V369" si="835">$S369*P369</f>
        <v>-9.8028115197814607E-3</v>
      </c>
      <c r="U369" s="1">
        <f t="shared" si="835"/>
        <v>0</v>
      </c>
      <c r="V369" s="1">
        <f t="shared" si="835"/>
        <v>4.8319939272695782</v>
      </c>
      <c r="W369" s="1">
        <f t="shared" si="733"/>
        <v>-59.774061214617376</v>
      </c>
      <c r="X369" s="1">
        <f t="shared" si="734"/>
        <v>0</v>
      </c>
      <c r="Y369" s="1">
        <f t="shared" si="735"/>
        <v>-5.0959016226138276</v>
      </c>
    </row>
    <row r="370" spans="1:25">
      <c r="A370" s="1">
        <v>0.36799999999999999</v>
      </c>
      <c r="B370" s="1">
        <f t="shared" si="736"/>
        <v>20.921793153551089</v>
      </c>
      <c r="C370" s="1">
        <f t="shared" si="737"/>
        <v>0</v>
      </c>
      <c r="D370" s="1">
        <f t="shared" si="738"/>
        <v>0.21198674956194183</v>
      </c>
      <c r="E370" s="1">
        <f t="shared" si="739"/>
        <v>38.261254017518461</v>
      </c>
      <c r="F370" s="1">
        <f t="shared" si="740"/>
        <v>0</v>
      </c>
      <c r="G370" s="1">
        <f t="shared" si="741"/>
        <v>7.2647121475998513E-2</v>
      </c>
      <c r="H370" s="1">
        <f t="shared" si="576"/>
        <v>38.261322985455315</v>
      </c>
      <c r="I370" s="1">
        <f t="shared" si="724"/>
        <v>-59.577945146141445</v>
      </c>
      <c r="J370" s="1">
        <f t="shared" si="725"/>
        <v>0</v>
      </c>
      <c r="K370" s="1">
        <f t="shared" si="726"/>
        <v>-0.11312138949602647</v>
      </c>
      <c r="L370" s="1">
        <f t="shared" ref="L370:N370" si="836">E370/$H370</f>
        <v>0.99999819745028473</v>
      </c>
      <c r="M370" s="1">
        <f t="shared" si="836"/>
        <v>0</v>
      </c>
      <c r="N370" s="1">
        <f t="shared" si="836"/>
        <v>1.8987090828933083E-3</v>
      </c>
      <c r="O370" s="1">
        <f t="shared" si="578"/>
        <v>1.8987090828933083E-3</v>
      </c>
      <c r="P370" s="1">
        <f t="shared" si="728"/>
        <v>-1.8987056603757915E-3</v>
      </c>
      <c r="Q370" s="1">
        <f t="shared" si="729"/>
        <v>0</v>
      </c>
      <c r="R370" s="1">
        <f t="shared" si="730"/>
        <v>0.99999639490381853</v>
      </c>
      <c r="S370" s="1">
        <f t="shared" si="731"/>
        <v>4.8169489286481646</v>
      </c>
      <c r="T370" s="1">
        <f t="shared" ref="T370:V370" si="837">$S370*P370</f>
        <v>-9.1459681965653742E-3</v>
      </c>
      <c r="U370" s="1">
        <f t="shared" si="837"/>
        <v>0</v>
      </c>
      <c r="V370" s="1">
        <f t="shared" si="837"/>
        <v>4.8169315630839753</v>
      </c>
      <c r="W370" s="1">
        <f t="shared" si="733"/>
        <v>-59.587091114338008</v>
      </c>
      <c r="X370" s="1">
        <f t="shared" si="734"/>
        <v>0</v>
      </c>
      <c r="Y370" s="1">
        <f t="shared" si="735"/>
        <v>-5.1028398264120503</v>
      </c>
    </row>
    <row r="371" spans="1:25">
      <c r="A371" s="1">
        <v>0.36899999999999999</v>
      </c>
      <c r="B371" s="1">
        <f t="shared" si="736"/>
        <v>20.959994820477494</v>
      </c>
      <c r="C371" s="1">
        <f t="shared" si="737"/>
        <v>0</v>
      </c>
      <c r="D371" s="1">
        <f t="shared" si="738"/>
        <v>0.21205429384359142</v>
      </c>
      <c r="E371" s="1">
        <f t="shared" si="739"/>
        <v>38.201666926404123</v>
      </c>
      <c r="F371" s="1">
        <f t="shared" si="740"/>
        <v>0</v>
      </c>
      <c r="G371" s="1">
        <f t="shared" si="741"/>
        <v>6.7544281649586466E-2</v>
      </c>
      <c r="H371" s="1">
        <f t="shared" si="576"/>
        <v>38.201726638803933</v>
      </c>
      <c r="I371" s="1">
        <f t="shared" si="724"/>
        <v>-59.392505111486201</v>
      </c>
      <c r="J371" s="1">
        <f t="shared" si="725"/>
        <v>0</v>
      </c>
      <c r="K371" s="1">
        <f t="shared" si="726"/>
        <v>-0.10501175513762685</v>
      </c>
      <c r="L371" s="1">
        <f t="shared" ref="L371:N371" si="838">E371/$H371</f>
        <v>0.99999843691882373</v>
      </c>
      <c r="M371" s="1">
        <f t="shared" si="838"/>
        <v>0</v>
      </c>
      <c r="N371" s="1">
        <f t="shared" si="838"/>
        <v>1.7680949944544502E-3</v>
      </c>
      <c r="O371" s="1">
        <f t="shared" si="578"/>
        <v>1.7680949944544502E-3</v>
      </c>
      <c r="P371" s="1">
        <f t="shared" si="728"/>
        <v>-1.7680922307784465E-3</v>
      </c>
      <c r="Q371" s="1">
        <f t="shared" si="729"/>
        <v>0</v>
      </c>
      <c r="R371" s="1">
        <f t="shared" si="730"/>
        <v>0.99999687384009062</v>
      </c>
      <c r="S371" s="1">
        <f t="shared" si="731"/>
        <v>4.8019547276247794</v>
      </c>
      <c r="T371" s="1">
        <f t="shared" ref="T371:V371" si="839">$S371*P371</f>
        <v>-8.4902988464632036E-3</v>
      </c>
      <c r="U371" s="1">
        <f t="shared" si="839"/>
        <v>0</v>
      </c>
      <c r="V371" s="1">
        <f t="shared" si="839"/>
        <v>4.801939715946423</v>
      </c>
      <c r="W371" s="1">
        <f t="shared" si="733"/>
        <v>-59.400995410332662</v>
      </c>
      <c r="X371" s="1">
        <f t="shared" si="734"/>
        <v>0</v>
      </c>
      <c r="Y371" s="1">
        <f t="shared" si="735"/>
        <v>-5.1097220391912037</v>
      </c>
    </row>
    <row r="372" spans="1:25">
      <c r="A372" s="1">
        <v>0.37</v>
      </c>
      <c r="B372" s="1">
        <f t="shared" si="736"/>
        <v>20.998137086408487</v>
      </c>
      <c r="C372" s="1">
        <f t="shared" si="737"/>
        <v>0</v>
      </c>
      <c r="D372" s="1">
        <f t="shared" si="738"/>
        <v>0.21211672840320181</v>
      </c>
      <c r="E372" s="1">
        <f t="shared" si="739"/>
        <v>38.142265930993787</v>
      </c>
      <c r="F372" s="1">
        <f t="shared" si="740"/>
        <v>0</v>
      </c>
      <c r="G372" s="1">
        <f t="shared" si="741"/>
        <v>6.2434559610395263E-2</v>
      </c>
      <c r="H372" s="1">
        <f t="shared" si="576"/>
        <v>38.142317030102973</v>
      </c>
      <c r="I372" s="1">
        <f t="shared" si="724"/>
        <v>-59.207932868507001</v>
      </c>
      <c r="J372" s="1">
        <f t="shared" si="725"/>
        <v>0</v>
      </c>
      <c r="K372" s="1">
        <f t="shared" si="726"/>
        <v>-9.6916665118295109E-2</v>
      </c>
      <c r="L372" s="1">
        <f t="shared" ref="L372:N372" si="840">E372/$H372</f>
        <v>0.99999866030400975</v>
      </c>
      <c r="M372" s="1">
        <f t="shared" si="840"/>
        <v>0</v>
      </c>
      <c r="N372" s="1">
        <f t="shared" si="840"/>
        <v>1.6368842920874518E-3</v>
      </c>
      <c r="O372" s="1">
        <f t="shared" si="578"/>
        <v>1.6368842920874518E-3</v>
      </c>
      <c r="P372" s="1">
        <f t="shared" si="728"/>
        <v>-1.6368820991601292E-3</v>
      </c>
      <c r="Q372" s="1">
        <f t="shared" si="729"/>
        <v>0</v>
      </c>
      <c r="R372" s="1">
        <f t="shared" si="730"/>
        <v>0.99999732060981428</v>
      </c>
      <c r="S372" s="1">
        <f t="shared" si="731"/>
        <v>4.7870307727473485</v>
      </c>
      <c r="T372" s="1">
        <f t="shared" ref="T372:V372" si="841">$S372*P372</f>
        <v>-7.8358049800388158E-3</v>
      </c>
      <c r="U372" s="1">
        <f t="shared" si="841"/>
        <v>0</v>
      </c>
      <c r="V372" s="1">
        <f t="shared" si="841"/>
        <v>4.7870179464240774</v>
      </c>
      <c r="W372" s="1">
        <f t="shared" si="733"/>
        <v>-59.215768673487041</v>
      </c>
      <c r="X372" s="1">
        <f t="shared" si="734"/>
        <v>0</v>
      </c>
      <c r="Y372" s="1">
        <f t="shared" si="735"/>
        <v>-5.1165487186942169</v>
      </c>
    </row>
    <row r="373" spans="1:25">
      <c r="A373" s="1">
        <v>0.371</v>
      </c>
      <c r="B373" s="1">
        <f t="shared" si="736"/>
        <v>21.036220136570808</v>
      </c>
      <c r="C373" s="1">
        <f t="shared" si="737"/>
        <v>0</v>
      </c>
      <c r="D373" s="1">
        <f t="shared" si="738"/>
        <v>0.21217404641409351</v>
      </c>
      <c r="E373" s="1">
        <f t="shared" si="739"/>
        <v>38.083050162320298</v>
      </c>
      <c r="F373" s="1">
        <f t="shared" si="740"/>
        <v>0</v>
      </c>
      <c r="G373" s="1">
        <f t="shared" si="741"/>
        <v>5.7318010891701049E-2</v>
      </c>
      <c r="H373" s="1">
        <f t="shared" si="576"/>
        <v>38.083093296372034</v>
      </c>
      <c r="I373" s="1">
        <f t="shared" si="724"/>
        <v>-59.024223028759693</v>
      </c>
      <c r="J373" s="1">
        <f t="shared" si="725"/>
        <v>0</v>
      </c>
      <c r="K373" s="1">
        <f t="shared" si="726"/>
        <v>-8.8836136916994088E-2</v>
      </c>
      <c r="L373" s="1">
        <f t="shared" ref="L373:N373" si="842">E373/$H373</f>
        <v>0.99999886737005839</v>
      </c>
      <c r="M373" s="1">
        <f t="shared" si="842"/>
        <v>0</v>
      </c>
      <c r="N373" s="1">
        <f t="shared" si="842"/>
        <v>1.5050776061082574E-3</v>
      </c>
      <c r="O373" s="1">
        <f t="shared" si="578"/>
        <v>1.5050776061082574E-3</v>
      </c>
      <c r="P373" s="1">
        <f t="shared" si="728"/>
        <v>-1.5050759014122962E-3</v>
      </c>
      <c r="Q373" s="1">
        <f t="shared" si="729"/>
        <v>0</v>
      </c>
      <c r="R373" s="1">
        <f t="shared" si="730"/>
        <v>0.99999773474139964</v>
      </c>
      <c r="S373" s="1">
        <f t="shared" si="731"/>
        <v>4.7721766287119829</v>
      </c>
      <c r="T373" s="1">
        <f t="shared" ref="T373:V373" si="843">$S373*P373</f>
        <v>-7.1824880411573803E-3</v>
      </c>
      <c r="U373" s="1">
        <f t="shared" si="843"/>
        <v>0</v>
      </c>
      <c r="V373" s="1">
        <f t="shared" si="843"/>
        <v>4.7721658184978324</v>
      </c>
      <c r="W373" s="1">
        <f t="shared" si="733"/>
        <v>-59.031405516800852</v>
      </c>
      <c r="X373" s="1">
        <f t="shared" si="734"/>
        <v>0</v>
      </c>
      <c r="Y373" s="1">
        <f t="shared" si="735"/>
        <v>-5.1233203184191609</v>
      </c>
    </row>
    <row r="374" spans="1:25">
      <c r="A374" s="1">
        <v>0.372</v>
      </c>
      <c r="B374" s="1">
        <f t="shared" si="736"/>
        <v>21.074244155327612</v>
      </c>
      <c r="C374" s="1">
        <f t="shared" si="737"/>
        <v>0</v>
      </c>
      <c r="D374" s="1">
        <f t="shared" si="738"/>
        <v>0.21222624110466679</v>
      </c>
      <c r="E374" s="1">
        <f t="shared" si="739"/>
        <v>38.0240187568035</v>
      </c>
      <c r="F374" s="1">
        <f t="shared" si="740"/>
        <v>0</v>
      </c>
      <c r="G374" s="1">
        <f t="shared" si="741"/>
        <v>5.2194690573281889E-2</v>
      </c>
      <c r="H374" s="1">
        <f t="shared" si="576"/>
        <v>38.024054580008539</v>
      </c>
      <c r="I374" s="1">
        <f t="shared" si="724"/>
        <v>-58.841370245588273</v>
      </c>
      <c r="J374" s="1">
        <f t="shared" si="725"/>
        <v>0</v>
      </c>
      <c r="K374" s="1">
        <f t="shared" si="726"/>
        <v>-8.0770187194557808E-2</v>
      </c>
      <c r="L374" s="1">
        <f t="shared" ref="L374:N374" si="844">E374/$H374</f>
        <v>0.99999905788045396</v>
      </c>
      <c r="M374" s="1">
        <f t="shared" si="844"/>
        <v>0</v>
      </c>
      <c r="N374" s="1">
        <f t="shared" si="844"/>
        <v>1.3726755641867735E-3</v>
      </c>
      <c r="O374" s="1">
        <f t="shared" si="578"/>
        <v>1.3726755641867735E-3</v>
      </c>
      <c r="P374" s="1">
        <f t="shared" si="728"/>
        <v>-1.3726742709622942E-3</v>
      </c>
      <c r="Q374" s="1">
        <f t="shared" si="729"/>
        <v>0</v>
      </c>
      <c r="R374" s="1">
        <f t="shared" si="730"/>
        <v>0.99999811576179554</v>
      </c>
      <c r="S374" s="1">
        <f t="shared" si="731"/>
        <v>4.7573918635900645</v>
      </c>
      <c r="T374" s="1">
        <f t="shared" ref="T374:V374" si="845">$S374*P374</f>
        <v>-6.5303494080354418E-3</v>
      </c>
      <c r="U374" s="1">
        <f t="shared" si="845"/>
        <v>0</v>
      </c>
      <c r="V374" s="1">
        <f t="shared" si="845"/>
        <v>4.7573828995305618</v>
      </c>
      <c r="W374" s="1">
        <f t="shared" si="733"/>
        <v>-58.847900594996311</v>
      </c>
      <c r="X374" s="1">
        <f t="shared" si="734"/>
        <v>0</v>
      </c>
      <c r="Y374" s="1">
        <f t="shared" si="735"/>
        <v>-5.1300372876639955</v>
      </c>
    </row>
    <row r="375" spans="1:25">
      <c r="A375" s="1">
        <v>0.373</v>
      </c>
      <c r="B375" s="1">
        <f t="shared" si="736"/>
        <v>21.11220932618382</v>
      </c>
      <c r="C375" s="1">
        <f t="shared" si="737"/>
        <v>0</v>
      </c>
      <c r="D375" s="1">
        <f t="shared" si="738"/>
        <v>0.21227330575795239</v>
      </c>
      <c r="E375" s="1">
        <f t="shared" si="739"/>
        <v>37.965170856208502</v>
      </c>
      <c r="F375" s="1">
        <f t="shared" si="740"/>
        <v>0</v>
      </c>
      <c r="G375" s="1">
        <f t="shared" si="741"/>
        <v>4.7064653285617895E-2</v>
      </c>
      <c r="H375" s="1">
        <f t="shared" si="576"/>
        <v>37.965200028745961</v>
      </c>
      <c r="I375" s="1">
        <f t="shared" si="724"/>
        <v>-58.659369213736511</v>
      </c>
      <c r="J375" s="1">
        <f t="shared" si="725"/>
        <v>0</v>
      </c>
      <c r="K375" s="1">
        <f t="shared" si="726"/>
        <v>-7.2718831806497256E-2</v>
      </c>
      <c r="L375" s="1">
        <f t="shared" ref="L375:N375" si="846">E375/$H375</f>
        <v>0.9999992315979519</v>
      </c>
      <c r="M375" s="1">
        <f t="shared" si="846"/>
        <v>0</v>
      </c>
      <c r="N375" s="1">
        <f t="shared" si="846"/>
        <v>1.2396787913663602E-3</v>
      </c>
      <c r="O375" s="1">
        <f t="shared" si="578"/>
        <v>1.2396787913663602E-3</v>
      </c>
      <c r="P375" s="1">
        <f t="shared" si="728"/>
        <v>-1.2396778387946379E-3</v>
      </c>
      <c r="Q375" s="1">
        <f t="shared" si="729"/>
        <v>0</v>
      </c>
      <c r="R375" s="1">
        <f t="shared" si="730"/>
        <v>0.99999846319649421</v>
      </c>
      <c r="S375" s="1">
        <f t="shared" si="731"/>
        <v>4.7426760487968558</v>
      </c>
      <c r="T375" s="1">
        <f t="shared" ref="T375:V375" si="847">$S375*P375</f>
        <v>-5.8793903942755792E-3</v>
      </c>
      <c r="U375" s="1">
        <f t="shared" si="847"/>
        <v>0</v>
      </c>
      <c r="V375" s="1">
        <f t="shared" si="847"/>
        <v>4.7426687602356772</v>
      </c>
      <c r="W375" s="1">
        <f t="shared" si="733"/>
        <v>-58.665248604130788</v>
      </c>
      <c r="X375" s="1">
        <f t="shared" si="734"/>
        <v>0</v>
      </c>
      <c r="Y375" s="1">
        <f t="shared" si="735"/>
        <v>-5.1367000715708198</v>
      </c>
    </row>
    <row r="376" spans="1:25">
      <c r="A376" s="1">
        <v>0.374</v>
      </c>
      <c r="B376" s="1">
        <f t="shared" si="736"/>
        <v>21.150115831791425</v>
      </c>
      <c r="C376" s="1">
        <f t="shared" si="737"/>
        <v>0</v>
      </c>
      <c r="D376" s="1">
        <f t="shared" si="738"/>
        <v>0.21231523371116645</v>
      </c>
      <c r="E376" s="1">
        <f t="shared" si="739"/>
        <v>37.906505607604373</v>
      </c>
      <c r="F376" s="1">
        <f t="shared" si="740"/>
        <v>0</v>
      </c>
      <c r="G376" s="1">
        <f t="shared" si="741"/>
        <v>4.1927953214047076E-2</v>
      </c>
      <c r="H376" s="1">
        <f t="shared" si="576"/>
        <v>37.906528795612537</v>
      </c>
      <c r="I376" s="1">
        <f t="shared" si="724"/>
        <v>-58.478214668963858</v>
      </c>
      <c r="J376" s="1">
        <f t="shared" si="725"/>
        <v>0</v>
      </c>
      <c r="K376" s="1">
        <f t="shared" si="726"/>
        <v>-6.4682085815619239E-2</v>
      </c>
      <c r="L376" s="1">
        <f t="shared" ref="L376:N376" si="848">E376/$H376</f>
        <v>0.99999938828458046</v>
      </c>
      <c r="M376" s="1">
        <f t="shared" si="848"/>
        <v>0</v>
      </c>
      <c r="N376" s="1">
        <f t="shared" si="848"/>
        <v>1.1060879100831832E-3</v>
      </c>
      <c r="O376" s="1">
        <f t="shared" si="578"/>
        <v>1.1060879100831832E-3</v>
      </c>
      <c r="P376" s="1">
        <f t="shared" si="728"/>
        <v>-1.1060872334721532E-3</v>
      </c>
      <c r="Q376" s="1">
        <f t="shared" si="729"/>
        <v>0</v>
      </c>
      <c r="R376" s="1">
        <f t="shared" si="730"/>
        <v>0.99999877656953517</v>
      </c>
      <c r="S376" s="1">
        <f t="shared" si="731"/>
        <v>4.7280287590604928</v>
      </c>
      <c r="T376" s="1">
        <f t="shared" ref="T376:V376" si="849">$S376*P376</f>
        <v>-5.229612249885998E-3</v>
      </c>
      <c r="U376" s="1">
        <f t="shared" si="849"/>
        <v>0</v>
      </c>
      <c r="V376" s="1">
        <f t="shared" si="849"/>
        <v>4.7280229746460707</v>
      </c>
      <c r="W376" s="1">
        <f t="shared" si="733"/>
        <v>-58.483444281213742</v>
      </c>
      <c r="X376" s="1">
        <f t="shared" si="734"/>
        <v>0</v>
      </c>
      <c r="Y376" s="1">
        <f t="shared" si="735"/>
        <v>-5.1433091111695477</v>
      </c>
    </row>
    <row r="377" spans="1:25">
      <c r="A377" s="1">
        <v>0.375</v>
      </c>
      <c r="B377" s="1">
        <f t="shared" si="736"/>
        <v>21.187963853954749</v>
      </c>
      <c r="C377" s="1">
        <f t="shared" si="737"/>
        <v>0</v>
      </c>
      <c r="D377" s="1">
        <f t="shared" si="738"/>
        <v>0.21235201835526932</v>
      </c>
      <c r="E377" s="1">
        <f t="shared" si="739"/>
        <v>37.848022163323158</v>
      </c>
      <c r="F377" s="1">
        <f t="shared" si="740"/>
        <v>0</v>
      </c>
      <c r="G377" s="1">
        <f t="shared" si="741"/>
        <v>3.6784644102877531E-2</v>
      </c>
      <c r="H377" s="1">
        <f t="shared" si="576"/>
        <v>37.848040038890289</v>
      </c>
      <c r="I377" s="1">
        <f t="shared" si="724"/>
        <v>-58.297901387665476</v>
      </c>
      <c r="J377" s="1">
        <f t="shared" si="725"/>
        <v>0</v>
      </c>
      <c r="K377" s="1">
        <f t="shared" si="726"/>
        <v>-5.6659963504461092E-2</v>
      </c>
      <c r="L377" s="1">
        <f t="shared" ref="L377:N377" si="850">E377/$H377</f>
        <v>0.99999952770164291</v>
      </c>
      <c r="M377" s="1">
        <f t="shared" si="850"/>
        <v>0</v>
      </c>
      <c r="N377" s="1">
        <f t="shared" si="850"/>
        <v>9.7190354018543423E-4</v>
      </c>
      <c r="O377" s="1">
        <f t="shared" si="578"/>
        <v>9.7190354018543423E-4</v>
      </c>
      <c r="P377" s="1">
        <f t="shared" si="728"/>
        <v>-9.7190308115698899E-4</v>
      </c>
      <c r="Q377" s="1">
        <f t="shared" si="729"/>
        <v>0</v>
      </c>
      <c r="R377" s="1">
        <f t="shared" si="730"/>
        <v>0.99999905540350853</v>
      </c>
      <c r="S377" s="1">
        <f t="shared" si="731"/>
        <v>4.7134495723912719</v>
      </c>
      <c r="T377" s="1">
        <f t="shared" ref="T377:V377" si="851">$S377*P377</f>
        <v>-4.5810161622851691E-3</v>
      </c>
      <c r="U377" s="1">
        <f t="shared" si="851"/>
        <v>0</v>
      </c>
      <c r="V377" s="1">
        <f t="shared" si="851"/>
        <v>4.7134451200833434</v>
      </c>
      <c r="W377" s="1">
        <f t="shared" si="733"/>
        <v>-58.30248240382776</v>
      </c>
      <c r="X377" s="1">
        <f t="shared" si="734"/>
        <v>0</v>
      </c>
      <c r="Y377" s="1">
        <f t="shared" si="735"/>
        <v>-5.1498648434211169</v>
      </c>
    </row>
    <row r="378" spans="1:25">
      <c r="A378" s="1">
        <v>0.376</v>
      </c>
      <c r="B378" s="1">
        <f t="shared" si="736"/>
        <v>21.225753573635668</v>
      </c>
      <c r="C378" s="1">
        <f t="shared" si="737"/>
        <v>0</v>
      </c>
      <c r="D378" s="1">
        <f t="shared" si="738"/>
        <v>0.21238365313452878</v>
      </c>
      <c r="E378" s="1">
        <f t="shared" si="739"/>
        <v>37.789719680919333</v>
      </c>
      <c r="F378" s="1">
        <f t="shared" si="740"/>
        <v>0</v>
      </c>
      <c r="G378" s="1">
        <f t="shared" si="741"/>
        <v>3.1634779259456416E-2</v>
      </c>
      <c r="H378" s="1">
        <f t="shared" si="576"/>
        <v>37.789732922074492</v>
      </c>
      <c r="I378" s="1">
        <f t="shared" si="724"/>
        <v>-58.118424186496419</v>
      </c>
      <c r="J378" s="1">
        <f t="shared" si="725"/>
        <v>0</v>
      </c>
      <c r="K378" s="1">
        <f t="shared" si="726"/>
        <v>-4.8652478387543815E-2</v>
      </c>
      <c r="L378" s="1">
        <f t="shared" ref="L378:N378" si="852">E378/$H378</f>
        <v>0.99999964960971843</v>
      </c>
      <c r="M378" s="1">
        <f t="shared" si="852"/>
        <v>0</v>
      </c>
      <c r="N378" s="1">
        <f t="shared" si="852"/>
        <v>8.3712629895241414E-4</v>
      </c>
      <c r="O378" s="1">
        <f t="shared" si="578"/>
        <v>8.3712629895241414E-4</v>
      </c>
      <c r="P378" s="1">
        <f t="shared" si="728"/>
        <v>-8.3712600563149451E-4</v>
      </c>
      <c r="Q378" s="1">
        <f t="shared" si="729"/>
        <v>0</v>
      </c>
      <c r="R378" s="1">
        <f t="shared" si="730"/>
        <v>0.99999929921955966</v>
      </c>
      <c r="S378" s="1">
        <f t="shared" si="731"/>
        <v>4.6989380700513053</v>
      </c>
      <c r="T378" s="1">
        <f t="shared" ref="T378:V378" si="853">$S378*P378</f>
        <v>-3.9336032572918128E-3</v>
      </c>
      <c r="U378" s="1">
        <f t="shared" si="853"/>
        <v>0</v>
      </c>
      <c r="V378" s="1">
        <f t="shared" si="853"/>
        <v>4.6989347771274153</v>
      </c>
      <c r="W378" s="1">
        <f t="shared" si="733"/>
        <v>-58.122357789753714</v>
      </c>
      <c r="X378" s="1">
        <f t="shared" si="734"/>
        <v>0</v>
      </c>
      <c r="Y378" s="1">
        <f t="shared" si="735"/>
        <v>-5.1563677012601277</v>
      </c>
    </row>
    <row r="379" spans="1:25">
      <c r="A379" s="1">
        <v>0.377</v>
      </c>
      <c r="B379" s="1">
        <f t="shared" si="736"/>
        <v>21.263485170958798</v>
      </c>
      <c r="C379" s="1">
        <f t="shared" si="737"/>
        <v>0</v>
      </c>
      <c r="D379" s="1">
        <f t="shared" si="738"/>
        <v>0.21241013154608698</v>
      </c>
      <c r="E379" s="1">
        <f t="shared" si="739"/>
        <v>37.731597323129577</v>
      </c>
      <c r="F379" s="1">
        <f t="shared" si="740"/>
        <v>0</v>
      </c>
      <c r="G379" s="1">
        <f t="shared" si="741"/>
        <v>2.6478411558196288E-2</v>
      </c>
      <c r="H379" s="1">
        <f t="shared" si="576"/>
        <v>37.731606613833421</v>
      </c>
      <c r="I379" s="1">
        <f t="shared" si="724"/>
        <v>-57.939777921999728</v>
      </c>
      <c r="J379" s="1">
        <f t="shared" si="725"/>
        <v>0</v>
      </c>
      <c r="K379" s="1">
        <f t="shared" si="726"/>
        <v>-4.0659643223446659E-2</v>
      </c>
      <c r="L379" s="1">
        <f t="shared" ref="L379:N379" si="854">E379/$H379</f>
        <v>0.99999975376866568</v>
      </c>
      <c r="M379" s="1">
        <f t="shared" si="854"/>
        <v>0</v>
      </c>
      <c r="N379" s="1">
        <f t="shared" si="854"/>
        <v>7.0175680111348848E-4</v>
      </c>
      <c r="O379" s="1">
        <f t="shared" si="578"/>
        <v>7.0175680111348848E-4</v>
      </c>
      <c r="P379" s="1">
        <f t="shared" si="728"/>
        <v>-7.0175662831897497E-4</v>
      </c>
      <c r="Q379" s="1">
        <f t="shared" si="729"/>
        <v>0</v>
      </c>
      <c r="R379" s="1">
        <f t="shared" si="730"/>
        <v>0.99999950753739208</v>
      </c>
      <c r="S379" s="1">
        <f t="shared" si="731"/>
        <v>4.6844938365244655</v>
      </c>
      <c r="T379" s="1">
        <f t="shared" ref="T379:V379" si="855">$S379*P379</f>
        <v>-3.2873746001004286E-3</v>
      </c>
      <c r="U379" s="1">
        <f t="shared" si="855"/>
        <v>0</v>
      </c>
      <c r="V379" s="1">
        <f t="shared" si="855"/>
        <v>4.6844915295864142</v>
      </c>
      <c r="W379" s="1">
        <f t="shared" si="733"/>
        <v>-57.943065296599826</v>
      </c>
      <c r="X379" s="1">
        <f t="shared" si="734"/>
        <v>0</v>
      </c>
      <c r="Y379" s="1">
        <f t="shared" si="735"/>
        <v>-5.1628181136370319</v>
      </c>
    </row>
    <row r="380" spans="1:25">
      <c r="A380" s="1">
        <v>0.378</v>
      </c>
      <c r="B380" s="1">
        <f t="shared" si="736"/>
        <v>21.301158825216632</v>
      </c>
      <c r="C380" s="1">
        <f t="shared" si="737"/>
        <v>0</v>
      </c>
      <c r="D380" s="1">
        <f t="shared" si="738"/>
        <v>0.21243144713953155</v>
      </c>
      <c r="E380" s="1">
        <f t="shared" si="739"/>
        <v>37.673654257832979</v>
      </c>
      <c r="F380" s="1">
        <f t="shared" si="740"/>
        <v>0</v>
      </c>
      <c r="G380" s="1">
        <f t="shared" si="741"/>
        <v>2.1315593444559258E-2</v>
      </c>
      <c r="H380" s="1">
        <f t="shared" si="576"/>
        <v>37.67366028796858</v>
      </c>
      <c r="I380" s="1">
        <f t="shared" si="724"/>
        <v>-57.761957490238686</v>
      </c>
      <c r="J380" s="1">
        <f t="shared" si="725"/>
        <v>0</v>
      </c>
      <c r="K380" s="1">
        <f t="shared" si="726"/>
        <v>-3.2681470026705704E-2</v>
      </c>
      <c r="L380" s="1">
        <f t="shared" ref="L380:N380" si="856">E380/$H380</f>
        <v>0.99999983993762342</v>
      </c>
      <c r="M380" s="1">
        <f t="shared" si="856"/>
        <v>0</v>
      </c>
      <c r="N380" s="1">
        <f t="shared" si="856"/>
        <v>5.657956588669082E-4</v>
      </c>
      <c r="O380" s="1">
        <f t="shared" si="578"/>
        <v>5.657956588669082E-4</v>
      </c>
      <c r="P380" s="1">
        <f t="shared" si="728"/>
        <v>-5.6579556830431042E-4</v>
      </c>
      <c r="Q380" s="1">
        <f t="shared" si="729"/>
        <v>0</v>
      </c>
      <c r="R380" s="1">
        <f t="shared" si="730"/>
        <v>0.99999967987527238</v>
      </c>
      <c r="S380" s="1">
        <f t="shared" si="731"/>
        <v>4.6701164594866844</v>
      </c>
      <c r="T380" s="1">
        <f t="shared" ref="T380:V380" si="857">$S380*P380</f>
        <v>-2.6423311962425829E-3</v>
      </c>
      <c r="U380" s="1">
        <f t="shared" si="857"/>
        <v>0</v>
      </c>
      <c r="V380" s="1">
        <f t="shared" si="857"/>
        <v>4.6701149644669249</v>
      </c>
      <c r="W380" s="1">
        <f t="shared" si="733"/>
        <v>-57.764599821434928</v>
      </c>
      <c r="X380" s="1">
        <f t="shared" si="734"/>
        <v>0</v>
      </c>
      <c r="Y380" s="1">
        <f t="shared" si="735"/>
        <v>-5.1692165055597803</v>
      </c>
    </row>
    <row r="381" spans="1:25">
      <c r="A381" s="1">
        <v>0.379</v>
      </c>
      <c r="B381" s="1">
        <f t="shared" si="736"/>
        <v>21.338774714874642</v>
      </c>
      <c r="C381" s="1">
        <f t="shared" si="737"/>
        <v>0</v>
      </c>
      <c r="D381" s="1">
        <f t="shared" si="738"/>
        <v>0.21244759351647055</v>
      </c>
      <c r="E381" s="1">
        <f t="shared" si="739"/>
        <v>37.615889658011547</v>
      </c>
      <c r="F381" s="1">
        <f t="shared" si="740"/>
        <v>0</v>
      </c>
      <c r="G381" s="1">
        <f t="shared" si="741"/>
        <v>1.6146376938999479E-2</v>
      </c>
      <c r="H381" s="1">
        <f t="shared" si="576"/>
        <v>37.615893123375237</v>
      </c>
      <c r="I381" s="1">
        <f t="shared" si="724"/>
        <v>-57.584957826432955</v>
      </c>
      <c r="J381" s="1">
        <f t="shared" si="725"/>
        <v>0</v>
      </c>
      <c r="K381" s="1">
        <f t="shared" si="726"/>
        <v>-2.4717970079539124E-2</v>
      </c>
      <c r="L381" s="1">
        <f t="shared" ref="L381:N381" si="858">E381/$H381</f>
        <v>0.99999990787501236</v>
      </c>
      <c r="M381" s="1">
        <f t="shared" si="858"/>
        <v>0</v>
      </c>
      <c r="N381" s="1">
        <f t="shared" si="858"/>
        <v>4.2924348189850135E-4</v>
      </c>
      <c r="O381" s="1">
        <f t="shared" si="578"/>
        <v>4.2924348189850135E-4</v>
      </c>
      <c r="P381" s="1">
        <f t="shared" si="728"/>
        <v>-4.2924344235445086E-4</v>
      </c>
      <c r="Q381" s="1">
        <f t="shared" si="729"/>
        <v>0</v>
      </c>
      <c r="R381" s="1">
        <f t="shared" si="730"/>
        <v>0.99999981575003327</v>
      </c>
      <c r="S381" s="1">
        <f t="shared" si="731"/>
        <v>4.655805529776563</v>
      </c>
      <c r="T381" s="1">
        <f t="shared" ref="T381:V381" si="859">$S381*P381</f>
        <v>-1.9984739925341796E-3</v>
      </c>
      <c r="U381" s="1">
        <f t="shared" si="859"/>
        <v>0</v>
      </c>
      <c r="V381" s="1">
        <f t="shared" si="859"/>
        <v>4.6558046719445487</v>
      </c>
      <c r="W381" s="1">
        <f t="shared" si="733"/>
        <v>-57.586956300425491</v>
      </c>
      <c r="X381" s="1">
        <f t="shared" si="734"/>
        <v>0</v>
      </c>
      <c r="Y381" s="1">
        <f t="shared" si="735"/>
        <v>-5.1755632981349899</v>
      </c>
    </row>
    <row r="382" spans="1:25">
      <c r="A382" s="1">
        <v>0.38</v>
      </c>
      <c r="B382" s="1">
        <f t="shared" si="736"/>
        <v>21.376333017576354</v>
      </c>
      <c r="C382" s="1">
        <f t="shared" si="737"/>
        <v>0</v>
      </c>
      <c r="D382" s="1">
        <f t="shared" si="738"/>
        <v>0.21245856433011143</v>
      </c>
      <c r="E382" s="1">
        <f t="shared" si="739"/>
        <v>37.558302701711121</v>
      </c>
      <c r="F382" s="1">
        <f t="shared" si="740"/>
        <v>0</v>
      </c>
      <c r="G382" s="1">
        <f t="shared" si="741"/>
        <v>1.0970813640864489E-2</v>
      </c>
      <c r="H382" s="1">
        <f t="shared" si="576"/>
        <v>37.5583043040033</v>
      </c>
      <c r="I382" s="1">
        <f t="shared" si="724"/>
        <v>-57.408773904598526</v>
      </c>
      <c r="J382" s="1">
        <f t="shared" si="725"/>
        <v>0</v>
      </c>
      <c r="K382" s="1">
        <f t="shared" si="726"/>
        <v>-1.676915394340173E-2</v>
      </c>
      <c r="L382" s="1">
        <f t="shared" ref="L382:N382" si="860">E382/$H382</f>
        <v>0.99999995733853775</v>
      </c>
      <c r="M382" s="1">
        <f t="shared" si="860"/>
        <v>0</v>
      </c>
      <c r="N382" s="1">
        <f t="shared" si="860"/>
        <v>2.9210087740023775E-4</v>
      </c>
      <c r="O382" s="1">
        <f t="shared" si="578"/>
        <v>2.9210087740023775E-4</v>
      </c>
      <c r="P382" s="1">
        <f t="shared" si="728"/>
        <v>-2.921008649387872E-4</v>
      </c>
      <c r="Q382" s="1">
        <f t="shared" si="729"/>
        <v>0</v>
      </c>
      <c r="R382" s="1">
        <f t="shared" si="730"/>
        <v>0.99999991467707738</v>
      </c>
      <c r="S382" s="1">
        <f t="shared" si="731"/>
        <v>4.6415606413662838</v>
      </c>
      <c r="T382" s="1">
        <f t="shared" ref="T382:V382" si="861">$S382*P382</f>
        <v>-1.3558038780089234E-3</v>
      </c>
      <c r="U382" s="1">
        <f t="shared" si="861"/>
        <v>0</v>
      </c>
      <c r="V382" s="1">
        <f t="shared" si="861"/>
        <v>4.6415602453347642</v>
      </c>
      <c r="W382" s="1">
        <f t="shared" si="733"/>
        <v>-57.410129708476532</v>
      </c>
      <c r="X382" s="1">
        <f t="shared" si="734"/>
        <v>0</v>
      </c>
      <c r="Y382" s="1">
        <f t="shared" si="735"/>
        <v>-5.1818589086086373</v>
      </c>
    </row>
    <row r="383" spans="1:25">
      <c r="A383" s="1">
        <v>0.38100000000000001</v>
      </c>
      <c r="B383" s="1">
        <f t="shared" si="736"/>
        <v>21.413833910148355</v>
      </c>
      <c r="C383" s="1">
        <f t="shared" si="737"/>
        <v>0</v>
      </c>
      <c r="D383" s="1">
        <f t="shared" si="738"/>
        <v>0.21246435328484367</v>
      </c>
      <c r="E383" s="1">
        <f t="shared" si="739"/>
        <v>37.500892572002641</v>
      </c>
      <c r="F383" s="1">
        <f t="shared" si="740"/>
        <v>0</v>
      </c>
      <c r="G383" s="1">
        <f t="shared" si="741"/>
        <v>5.7889547322558521E-3</v>
      </c>
      <c r="H383" s="1">
        <f t="shared" si="576"/>
        <v>37.50089301881863</v>
      </c>
      <c r="I383" s="1">
        <f t="shared" si="724"/>
        <v>-57.233400737191765</v>
      </c>
      <c r="J383" s="1">
        <f t="shared" si="725"/>
        <v>0</v>
      </c>
      <c r="K383" s="1">
        <f t="shared" si="726"/>
        <v>-8.8350314703714381E-3</v>
      </c>
      <c r="L383" s="1">
        <f t="shared" ref="L383:N383" si="862">E383/$H383</f>
        <v>0.99999998808519075</v>
      </c>
      <c r="M383" s="1">
        <f t="shared" si="862"/>
        <v>0</v>
      </c>
      <c r="N383" s="1">
        <f t="shared" si="862"/>
        <v>1.5436845008866455E-4</v>
      </c>
      <c r="O383" s="1">
        <f t="shared" si="578"/>
        <v>1.5436845008866455E-4</v>
      </c>
      <c r="P383" s="1">
        <f t="shared" si="728"/>
        <v>-1.5436844824939393E-4</v>
      </c>
      <c r="Q383" s="1">
        <f t="shared" si="729"/>
        <v>0</v>
      </c>
      <c r="R383" s="1">
        <f t="shared" si="730"/>
        <v>0.99999997617038161</v>
      </c>
      <c r="S383" s="1">
        <f t="shared" si="731"/>
        <v>4.6273813913328494</v>
      </c>
      <c r="T383" s="1">
        <f t="shared" ref="T383:V383" si="863">$S383*P383</f>
        <v>-7.1432168483817344E-4</v>
      </c>
      <c r="U383" s="1">
        <f t="shared" si="863"/>
        <v>0</v>
      </c>
      <c r="V383" s="1">
        <f t="shared" si="863"/>
        <v>4.6273812810641166</v>
      </c>
      <c r="W383" s="1">
        <f t="shared" si="733"/>
        <v>-57.234115058876604</v>
      </c>
      <c r="X383" s="1">
        <f t="shared" si="734"/>
        <v>0</v>
      </c>
      <c r="Y383" s="1">
        <f t="shared" si="735"/>
        <v>-5.1881037504062544</v>
      </c>
    </row>
    <row r="384" spans="1:25">
      <c r="A384" s="1">
        <v>0.38200000000000001</v>
      </c>
      <c r="B384" s="1">
        <f t="shared" si="736"/>
        <v>21.451277568605299</v>
      </c>
      <c r="C384" s="1">
        <f t="shared" si="737"/>
        <v>0</v>
      </c>
      <c r="D384" s="1">
        <f t="shared" si="738"/>
        <v>0.21246495413582553</v>
      </c>
      <c r="E384" s="1">
        <f t="shared" si="739"/>
        <v>37.443658456943766</v>
      </c>
      <c r="F384" s="1">
        <f t="shared" si="740"/>
        <v>0</v>
      </c>
      <c r="G384" s="1">
        <f t="shared" si="741"/>
        <v>6.0085098184959728E-4</v>
      </c>
      <c r="H384" s="1">
        <f t="shared" si="576"/>
        <v>37.443658461764635</v>
      </c>
      <c r="I384" s="1">
        <f t="shared" si="724"/>
        <v>-57.058833374757</v>
      </c>
      <c r="J384" s="1">
        <f t="shared" si="725"/>
        <v>0</v>
      </c>
      <c r="K384" s="1">
        <f t="shared" si="726"/>
        <v>-9.1561181437006518E-4</v>
      </c>
      <c r="L384" s="1">
        <f t="shared" ref="L384:N384" si="864">E384/$H384</f>
        <v>0.9999999998712501</v>
      </c>
      <c r="M384" s="1">
        <f t="shared" si="864"/>
        <v>0</v>
      </c>
      <c r="N384" s="1">
        <f t="shared" si="864"/>
        <v>1.6046802223216318E-5</v>
      </c>
      <c r="O384" s="1">
        <f t="shared" si="578"/>
        <v>1.6046802223216318E-5</v>
      </c>
      <c r="P384" s="1">
        <f t="shared" si="728"/>
        <v>-1.6046802221150293E-5</v>
      </c>
      <c r="Q384" s="1">
        <f t="shared" si="729"/>
        <v>0</v>
      </c>
      <c r="R384" s="1">
        <f t="shared" si="730"/>
        <v>0.99999999974250009</v>
      </c>
      <c r="S384" s="1">
        <f t="shared" si="731"/>
        <v>4.6132673798296304</v>
      </c>
      <c r="T384" s="1">
        <f t="shared" ref="T384:V384" si="865">$S384*P384</f>
        <v>-7.4028189237410305E-5</v>
      </c>
      <c r="U384" s="1">
        <f t="shared" si="865"/>
        <v>0</v>
      </c>
      <c r="V384" s="1">
        <f t="shared" si="865"/>
        <v>4.6132673786417149</v>
      </c>
      <c r="W384" s="1">
        <f t="shared" si="733"/>
        <v>-57.05890740294624</v>
      </c>
      <c r="X384" s="1">
        <f t="shared" si="734"/>
        <v>0</v>
      </c>
      <c r="Y384" s="1">
        <f t="shared" si="735"/>
        <v>-5.1942982331726544</v>
      </c>
    </row>
    <row r="385" spans="1:25">
      <c r="A385" s="1">
        <v>0.38300000000000001</v>
      </c>
      <c r="B385" s="1">
        <f t="shared" si="736"/>
        <v>21.488664168154841</v>
      </c>
      <c r="C385" s="1">
        <f t="shared" si="737"/>
        <v>0</v>
      </c>
      <c r="D385" s="1">
        <f t="shared" si="738"/>
        <v>0.21246036068857421</v>
      </c>
      <c r="E385" s="1">
        <f t="shared" si="739"/>
        <v>37.386599549540819</v>
      </c>
      <c r="F385" s="1">
        <f t="shared" si="740"/>
        <v>0</v>
      </c>
      <c r="G385" s="1">
        <f t="shared" si="741"/>
        <v>-4.5934472513230575E-3</v>
      </c>
      <c r="H385" s="1">
        <f t="shared" si="576"/>
        <v>37.386599831724247</v>
      </c>
      <c r="I385" s="1">
        <f t="shared" si="724"/>
        <v>-56.885066905578</v>
      </c>
      <c r="J385" s="1">
        <f t="shared" si="725"/>
        <v>0</v>
      </c>
      <c r="K385" s="1">
        <f t="shared" si="726"/>
        <v>6.9890965577789422E-3</v>
      </c>
      <c r="L385" s="1">
        <f t="shared" ref="L385:N385" si="866">E385/$H385</f>
        <v>0.99999999245228421</v>
      </c>
      <c r="M385" s="1">
        <f t="shared" si="866"/>
        <v>0</v>
      </c>
      <c r="N385" s="1">
        <f t="shared" si="866"/>
        <v>-1.2286346637559981E-4</v>
      </c>
      <c r="O385" s="1">
        <f t="shared" si="578"/>
        <v>-1.2286346637559981E-4</v>
      </c>
      <c r="P385" s="1">
        <f t="shared" si="728"/>
        <v>1.2286346544826128E-4</v>
      </c>
      <c r="Q385" s="1">
        <f t="shared" si="729"/>
        <v>0</v>
      </c>
      <c r="R385" s="1">
        <f t="shared" si="730"/>
        <v>0.99999998490456865</v>
      </c>
      <c r="S385" s="1">
        <f t="shared" si="731"/>
        <v>4.5992182100581953</v>
      </c>
      <c r="T385" s="1">
        <f t="shared" ref="T385:V385" si="867">$S385*P385</f>
        <v>5.6507588764049914E-4</v>
      </c>
      <c r="U385" s="1">
        <f t="shared" si="867"/>
        <v>0</v>
      </c>
      <c r="V385" s="1">
        <f t="shared" si="867"/>
        <v>4.5992181406310122</v>
      </c>
      <c r="W385" s="1">
        <f t="shared" si="733"/>
        <v>-56.884501829690358</v>
      </c>
      <c r="X385" s="1">
        <f t="shared" si="734"/>
        <v>0</v>
      </c>
      <c r="Y385" s="1">
        <f t="shared" si="735"/>
        <v>-5.2004427628112087</v>
      </c>
    </row>
    <row r="386" spans="1:25">
      <c r="A386" s="1">
        <v>0.38400000000000001</v>
      </c>
      <c r="B386" s="1">
        <f t="shared" si="736"/>
        <v>21.525993883202553</v>
      </c>
      <c r="C386" s="1">
        <f t="shared" si="737"/>
        <v>0</v>
      </c>
      <c r="D386" s="1">
        <f t="shared" si="738"/>
        <v>0.21245056679856009</v>
      </c>
      <c r="E386" s="1">
        <f t="shared" si="739"/>
        <v>37.329715047711126</v>
      </c>
      <c r="F386" s="1">
        <f t="shared" si="740"/>
        <v>0</v>
      </c>
      <c r="G386" s="1">
        <f t="shared" si="741"/>
        <v>-9.7938900141342662E-3</v>
      </c>
      <c r="H386" s="1">
        <f t="shared" si="576"/>
        <v>37.329716332482249</v>
      </c>
      <c r="I386" s="1">
        <f t="shared" ref="I386:I449" si="868">-K_drag*$H386*E386</f>
        <v>-56.712096455333175</v>
      </c>
      <c r="J386" s="1">
        <f t="shared" ref="J386:J449" si="869">-K_drag*$H386*F386</f>
        <v>0</v>
      </c>
      <c r="K386" s="1">
        <f t="shared" ref="K386:K449" si="870">-K_drag*$H386*G386</f>
        <v>1.4879085855453462E-2</v>
      </c>
      <c r="L386" s="1">
        <f t="shared" ref="L386:N386" si="871">E386/$H386</f>
        <v>0.99999996558315329</v>
      </c>
      <c r="M386" s="1">
        <f t="shared" si="871"/>
        <v>0</v>
      </c>
      <c r="N386" s="1">
        <f t="shared" si="871"/>
        <v>-2.6236175830814356E-4</v>
      </c>
      <c r="O386" s="1">
        <f t="shared" si="578"/>
        <v>-2.6236175830814356E-4</v>
      </c>
      <c r="P386" s="1">
        <f t="shared" ref="P386:P449" si="872">u_axis_f-$O386*L386</f>
        <v>2.6236174927847912E-4</v>
      </c>
      <c r="Q386" s="1">
        <f t="shared" ref="Q386:Q449" si="873">u_axis_r-$O386*M386</f>
        <v>0</v>
      </c>
      <c r="R386" s="1">
        <f t="shared" ref="R386:R449" si="874">u_axis_u-$O386*N386</f>
        <v>0.99999993116630781</v>
      </c>
      <c r="S386" s="1">
        <f t="shared" ref="S386:S449" si="875">K_lift*H386^2</f>
        <v>4.5852334882404699</v>
      </c>
      <c r="T386" s="1">
        <f t="shared" ref="T386:V386" si="876">$S386*P386</f>
        <v>1.2029898788250325E-3</v>
      </c>
      <c r="U386" s="1">
        <f t="shared" si="876"/>
        <v>0</v>
      </c>
      <c r="V386" s="1">
        <f t="shared" si="876"/>
        <v>4.5852331726219191</v>
      </c>
      <c r="W386" s="1">
        <f t="shared" ref="W386:W449" si="877">I386+T386+g_f</f>
        <v>-56.710893465454348</v>
      </c>
      <c r="X386" s="1">
        <f t="shared" ref="X386:X449" si="878">J386+U386+g_r</f>
        <v>0</v>
      </c>
      <c r="Y386" s="1">
        <f t="shared" ref="Y386:Y449" si="879">K386+V386+g_u</f>
        <v>-5.2065377415226273</v>
      </c>
    </row>
    <row r="387" spans="1:25">
      <c r="A387" s="1">
        <v>0.38500000000000001</v>
      </c>
      <c r="B387" s="1">
        <f t="shared" ref="B387:B450" si="880">B386+E387*dt</f>
        <v>21.563266887356797</v>
      </c>
      <c r="C387" s="1">
        <f t="shared" ref="C387:C450" si="881">C386+F387*dt</f>
        <v>0</v>
      </c>
      <c r="D387" s="1">
        <f t="shared" ref="D387:D450" si="882">D386+G387*dt</f>
        <v>0.21243556637080444</v>
      </c>
      <c r="E387" s="1">
        <f t="shared" ref="E387:E450" si="883">E386+W386*dt</f>
        <v>37.273004154245669</v>
      </c>
      <c r="F387" s="1">
        <f t="shared" ref="F387:F450" si="884">F386+X386*dt</f>
        <v>0</v>
      </c>
      <c r="G387" s="1">
        <f t="shared" ref="G387:G450" si="885">G386+Y386*dt</f>
        <v>-1.5000427755656893E-2</v>
      </c>
      <c r="H387" s="1">
        <f t="shared" si="576"/>
        <v>37.273007172687954</v>
      </c>
      <c r="I387" s="1">
        <f t="shared" si="868"/>
        <v>-56.539917186754444</v>
      </c>
      <c r="J387" s="1">
        <f t="shared" si="869"/>
        <v>0</v>
      </c>
      <c r="K387" s="1">
        <f t="shared" si="870"/>
        <v>2.2754348953493896E-2</v>
      </c>
      <c r="L387" s="1">
        <f t="shared" ref="L387:N387" si="886">E387/$H387</f>
        <v>0.99999991901801022</v>
      </c>
      <c r="M387" s="1">
        <f t="shared" si="886"/>
        <v>0</v>
      </c>
      <c r="N387" s="1">
        <f t="shared" si="886"/>
        <v>-4.0244747857770265E-4</v>
      </c>
      <c r="O387" s="1">
        <f t="shared" si="578"/>
        <v>-4.0244747857770265E-4</v>
      </c>
      <c r="P387" s="1">
        <f t="shared" si="872"/>
        <v>4.0244744598670504E-4</v>
      </c>
      <c r="Q387" s="1">
        <f t="shared" si="873"/>
        <v>0</v>
      </c>
      <c r="R387" s="1">
        <f t="shared" si="874"/>
        <v>0.99999983803602699</v>
      </c>
      <c r="S387" s="1">
        <f t="shared" si="875"/>
        <v>4.5713128235911764</v>
      </c>
      <c r="T387" s="1">
        <f t="shared" ref="T387:V387" si="887">$S387*P387</f>
        <v>1.8397131706605421E-3</v>
      </c>
      <c r="U387" s="1">
        <f t="shared" si="887"/>
        <v>0</v>
      </c>
      <c r="V387" s="1">
        <f t="shared" si="887"/>
        <v>4.5713120832031899</v>
      </c>
      <c r="W387" s="1">
        <f t="shared" si="877"/>
        <v>-56.538077473583783</v>
      </c>
      <c r="X387" s="1">
        <f t="shared" si="878"/>
        <v>0</v>
      </c>
      <c r="Y387" s="1">
        <f t="shared" si="879"/>
        <v>-5.2125835678433159</v>
      </c>
    </row>
    <row r="388" spans="1:25">
      <c r="A388" s="1">
        <v>0.38600000000000001</v>
      </c>
      <c r="B388" s="1">
        <f t="shared" si="880"/>
        <v>21.600483353433567</v>
      </c>
      <c r="C388" s="1">
        <f t="shared" si="881"/>
        <v>0</v>
      </c>
      <c r="D388" s="1">
        <f t="shared" si="882"/>
        <v>0.21241535335948095</v>
      </c>
      <c r="E388" s="1">
        <f t="shared" si="883"/>
        <v>37.216466076772086</v>
      </c>
      <c r="F388" s="1">
        <f t="shared" si="884"/>
        <v>0</v>
      </c>
      <c r="G388" s="1">
        <f t="shared" si="885"/>
        <v>-2.0213011323500209E-2</v>
      </c>
      <c r="H388" s="1">
        <f t="shared" si="576"/>
        <v>37.216471565818196</v>
      </c>
      <c r="I388" s="1">
        <f t="shared" si="868"/>
        <v>-56.368524299289696</v>
      </c>
      <c r="J388" s="1">
        <f t="shared" si="869"/>
        <v>0</v>
      </c>
      <c r="K388" s="1">
        <f t="shared" si="870"/>
        <v>3.061487938162025E-2</v>
      </c>
      <c r="L388" s="1">
        <f t="shared" ref="L388:N388" si="888">E388/$H388</f>
        <v>0.9999998525103031</v>
      </c>
      <c r="M388" s="1">
        <f t="shared" si="888"/>
        <v>0</v>
      </c>
      <c r="N388" s="1">
        <f t="shared" si="888"/>
        <v>-5.4312003457267645E-4</v>
      </c>
      <c r="O388" s="1">
        <f t="shared" si="578"/>
        <v>-5.4312003457267645E-4</v>
      </c>
      <c r="P388" s="1">
        <f t="shared" si="872"/>
        <v>5.4311995446806719E-4</v>
      </c>
      <c r="Q388" s="1">
        <f t="shared" si="873"/>
        <v>0</v>
      </c>
      <c r="R388" s="1">
        <f t="shared" si="874"/>
        <v>0.99999970502062807</v>
      </c>
      <c r="S388" s="1">
        <f t="shared" si="875"/>
        <v>4.5574558282905624</v>
      </c>
      <c r="T388" s="1">
        <f t="shared" ref="T388:V388" si="889">$S388*P388</f>
        <v>2.4752452019513975E-3</v>
      </c>
      <c r="U388" s="1">
        <f t="shared" si="889"/>
        <v>0</v>
      </c>
      <c r="V388" s="1">
        <f t="shared" si="889"/>
        <v>4.5574544839351043</v>
      </c>
      <c r="W388" s="1">
        <f t="shared" si="877"/>
        <v>-56.366049054087746</v>
      </c>
      <c r="X388" s="1">
        <f t="shared" si="878"/>
        <v>0</v>
      </c>
      <c r="Y388" s="1">
        <f t="shared" si="879"/>
        <v>-5.2185806366832752</v>
      </c>
    </row>
    <row r="389" spans="1:25">
      <c r="A389" s="1">
        <v>0.38700000000000001</v>
      </c>
      <c r="B389" s="1">
        <f t="shared" si="880"/>
        <v>21.637643453461287</v>
      </c>
      <c r="C389" s="1">
        <f t="shared" si="881"/>
        <v>0</v>
      </c>
      <c r="D389" s="1">
        <f t="shared" si="882"/>
        <v>0.21238992176752075</v>
      </c>
      <c r="E389" s="1">
        <f t="shared" si="883"/>
        <v>37.160100027717995</v>
      </c>
      <c r="F389" s="1">
        <f t="shared" si="884"/>
        <v>0</v>
      </c>
      <c r="G389" s="1">
        <f t="shared" si="885"/>
        <v>-2.5431591960183485E-2</v>
      </c>
      <c r="H389" s="1">
        <f t="shared" si="576"/>
        <v>37.160108730140664</v>
      </c>
      <c r="I389" s="1">
        <f t="shared" si="868"/>
        <v>-56.197913028768788</v>
      </c>
      <c r="J389" s="1">
        <f t="shared" si="869"/>
        <v>0</v>
      </c>
      <c r="K389" s="1">
        <f t="shared" si="870"/>
        <v>3.846067131400277E-2</v>
      </c>
      <c r="L389" s="1">
        <f t="shared" ref="L389:N389" si="890">E389/$H389</f>
        <v>0.99999976581277705</v>
      </c>
      <c r="M389" s="1">
        <f t="shared" si="890"/>
        <v>0</v>
      </c>
      <c r="N389" s="1">
        <f t="shared" si="890"/>
        <v>-6.8437883604887978E-4</v>
      </c>
      <c r="O389" s="1">
        <f t="shared" si="578"/>
        <v>-6.8437883604887978E-4</v>
      </c>
      <c r="P389" s="1">
        <f t="shared" si="872"/>
        <v>6.8437867577610069E-4</v>
      </c>
      <c r="Q389" s="1">
        <f t="shared" si="873"/>
        <v>0</v>
      </c>
      <c r="R389" s="1">
        <f t="shared" si="874"/>
        <v>0.99999953162560873</v>
      </c>
      <c r="S389" s="1">
        <f t="shared" si="875"/>
        <v>4.5436621174574299</v>
      </c>
      <c r="T389" s="1">
        <f t="shared" ref="T389:V389" si="891">$S389*P389</f>
        <v>3.1095854631195494E-3</v>
      </c>
      <c r="U389" s="1">
        <f t="shared" si="891"/>
        <v>0</v>
      </c>
      <c r="V389" s="1">
        <f t="shared" si="891"/>
        <v>4.5436599893224514</v>
      </c>
      <c r="W389" s="1">
        <f t="shared" si="877"/>
        <v>-56.194803443305666</v>
      </c>
      <c r="X389" s="1">
        <f t="shared" si="878"/>
        <v>0</v>
      </c>
      <c r="Y389" s="1">
        <f t="shared" si="879"/>
        <v>-5.2245293393635457</v>
      </c>
    </row>
    <row r="390" spans="1:25">
      <c r="A390" s="1">
        <v>0.38800000000000001</v>
      </c>
      <c r="B390" s="1">
        <f t="shared" si="880"/>
        <v>21.674747358685561</v>
      </c>
      <c r="C390" s="1">
        <f t="shared" si="881"/>
        <v>0</v>
      </c>
      <c r="D390" s="1">
        <f t="shared" si="882"/>
        <v>0.21235926564622121</v>
      </c>
      <c r="E390" s="1">
        <f t="shared" si="883"/>
        <v>37.103905224274691</v>
      </c>
      <c r="F390" s="1">
        <f t="shared" si="884"/>
        <v>0</v>
      </c>
      <c r="G390" s="1">
        <f t="shared" si="885"/>
        <v>-3.0656121299547031E-2</v>
      </c>
      <c r="H390" s="1">
        <f t="shared" si="576"/>
        <v>37.103917888677628</v>
      </c>
      <c r="I390" s="1">
        <f t="shared" si="868"/>
        <v>-56.028078647073272</v>
      </c>
      <c r="J390" s="1">
        <f t="shared" si="869"/>
        <v>0</v>
      </c>
      <c r="K390" s="1">
        <f t="shared" si="870"/>
        <v>4.6291719558983833E-2</v>
      </c>
      <c r="L390" s="1">
        <f t="shared" ref="L390:N390" si="892">E390/$H390</f>
        <v>0.99999965867747509</v>
      </c>
      <c r="M390" s="1">
        <f t="shared" si="892"/>
        <v>0</v>
      </c>
      <c r="N390" s="1">
        <f t="shared" si="892"/>
        <v>-8.2622329511196553E-4</v>
      </c>
      <c r="O390" s="1">
        <f t="shared" si="578"/>
        <v>-8.2622329511196553E-4</v>
      </c>
      <c r="P390" s="1">
        <f t="shared" si="872"/>
        <v>8.2622301310334432E-4</v>
      </c>
      <c r="Q390" s="1">
        <f t="shared" si="873"/>
        <v>0</v>
      </c>
      <c r="R390" s="1">
        <f t="shared" si="874"/>
        <v>0.99999931735506664</v>
      </c>
      <c r="S390" s="1">
        <f t="shared" si="875"/>
        <v>4.5299313091224525</v>
      </c>
      <c r="T390" s="1">
        <f t="shared" ref="T390:V390" si="893">$S390*P390</f>
        <v>3.7427334953743299E-3</v>
      </c>
      <c r="U390" s="1">
        <f t="shared" si="893"/>
        <v>0</v>
      </c>
      <c r="V390" s="1">
        <f t="shared" si="893"/>
        <v>4.5299282167877957</v>
      </c>
      <c r="W390" s="1">
        <f t="shared" si="877"/>
        <v>-56.0243359135779</v>
      </c>
      <c r="X390" s="1">
        <f t="shared" si="878"/>
        <v>0</v>
      </c>
      <c r="Y390" s="1">
        <f t="shared" si="879"/>
        <v>-5.2304300636532197</v>
      </c>
    </row>
    <row r="391" spans="1:25">
      <c r="A391" s="1">
        <v>0.38900000000000001</v>
      </c>
      <c r="B391" s="1">
        <f t="shared" si="880"/>
        <v>21.711795239573924</v>
      </c>
      <c r="C391" s="1">
        <f t="shared" si="881"/>
        <v>0</v>
      </c>
      <c r="D391" s="1">
        <f t="shared" si="882"/>
        <v>0.21232337909485802</v>
      </c>
      <c r="E391" s="1">
        <f t="shared" si="883"/>
        <v>37.047880888361114</v>
      </c>
      <c r="F391" s="1">
        <f t="shared" si="884"/>
        <v>0</v>
      </c>
      <c r="G391" s="1">
        <f t="shared" si="885"/>
        <v>-3.588655136320025E-2</v>
      </c>
      <c r="H391" s="1">
        <f t="shared" si="576"/>
        <v>37.047898269169892</v>
      </c>
      <c r="I391" s="1">
        <f t="shared" si="868"/>
        <v>-55.859016461809347</v>
      </c>
      <c r="J391" s="1">
        <f t="shared" si="869"/>
        <v>0</v>
      </c>
      <c r="K391" s="1">
        <f t="shared" si="870"/>
        <v>5.4108019548948789E-2</v>
      </c>
      <c r="L391" s="1">
        <f t="shared" ref="L391:N391" si="894">E391/$H391</f>
        <v>0.99999953085574111</v>
      </c>
      <c r="M391" s="1">
        <f t="shared" si="894"/>
        <v>0</v>
      </c>
      <c r="N391" s="1">
        <f t="shared" si="894"/>
        <v>-9.6865282619996616E-4</v>
      </c>
      <c r="O391" s="1">
        <f t="shared" si="578"/>
        <v>-9.6865282619996616E-4</v>
      </c>
      <c r="P391" s="1">
        <f t="shared" si="872"/>
        <v>9.6865237176205394E-4</v>
      </c>
      <c r="Q391" s="1">
        <f t="shared" si="873"/>
        <v>0</v>
      </c>
      <c r="R391" s="1">
        <f t="shared" si="874"/>
        <v>0.99999906171170228</v>
      </c>
      <c r="S391" s="1">
        <f t="shared" si="875"/>
        <v>4.516263024201753</v>
      </c>
      <c r="T391" s="1">
        <f t="shared" ref="T391:V391" si="895">$S391*P391</f>
        <v>4.3746888898942944E-3</v>
      </c>
      <c r="U391" s="1">
        <f t="shared" si="895"/>
        <v>0</v>
      </c>
      <c r="V391" s="1">
        <f t="shared" si="895"/>
        <v>4.5162587866450083</v>
      </c>
      <c r="W391" s="1">
        <f t="shared" si="877"/>
        <v>-55.85464177291945</v>
      </c>
      <c r="X391" s="1">
        <f t="shared" si="878"/>
        <v>0</v>
      </c>
      <c r="Y391" s="1">
        <f t="shared" si="879"/>
        <v>-5.2362831938060426</v>
      </c>
    </row>
    <row r="392" spans="1:25">
      <c r="A392" s="1">
        <v>0.39</v>
      </c>
      <c r="B392" s="1">
        <f t="shared" si="880"/>
        <v>21.748787265820511</v>
      </c>
      <c r="C392" s="1">
        <f t="shared" si="881"/>
        <v>0</v>
      </c>
      <c r="D392" s="1">
        <f t="shared" si="882"/>
        <v>0.21228225626030101</v>
      </c>
      <c r="E392" s="1">
        <f t="shared" si="883"/>
        <v>36.992026246588196</v>
      </c>
      <c r="F392" s="1">
        <f t="shared" si="884"/>
        <v>0</v>
      </c>
      <c r="G392" s="1">
        <f t="shared" si="885"/>
        <v>-4.1122834557006292E-2</v>
      </c>
      <c r="H392" s="1">
        <f t="shared" si="576"/>
        <v>36.992049104041151</v>
      </c>
      <c r="I392" s="1">
        <f t="shared" si="868"/>
        <v>-55.690721815984475</v>
      </c>
      <c r="J392" s="1">
        <f t="shared" si="869"/>
        <v>0</v>
      </c>
      <c r="K392" s="1">
        <f t="shared" si="870"/>
        <v>6.1909567330343626E-2</v>
      </c>
      <c r="L392" s="1">
        <f t="shared" ref="L392:N392" si="896">E392/$H392</f>
        <v>0.99999938209822092</v>
      </c>
      <c r="M392" s="1">
        <f t="shared" si="896"/>
        <v>0</v>
      </c>
      <c r="N392" s="1">
        <f t="shared" si="896"/>
        <v>-1.1116668460659531E-3</v>
      </c>
      <c r="O392" s="1">
        <f t="shared" si="578"/>
        <v>-1.1116668460659531E-3</v>
      </c>
      <c r="P392" s="1">
        <f t="shared" si="872"/>
        <v>1.1116661591650311E-3</v>
      </c>
      <c r="Q392" s="1">
        <f t="shared" si="873"/>
        <v>0</v>
      </c>
      <c r="R392" s="1">
        <f t="shared" si="874"/>
        <v>0.99999876419682332</v>
      </c>
      <c r="S392" s="1">
        <f t="shared" si="875"/>
        <v>4.5026568864707865</v>
      </c>
      <c r="T392" s="1">
        <f t="shared" ref="T392:V392" si="897">$S392*P392</f>
        <v>5.0054512870209567E-3</v>
      </c>
      <c r="U392" s="1">
        <f t="shared" si="897"/>
        <v>0</v>
      </c>
      <c r="V392" s="1">
        <f t="shared" si="897"/>
        <v>4.5026513220731026</v>
      </c>
      <c r="W392" s="1">
        <f t="shared" si="877"/>
        <v>-55.685716364697456</v>
      </c>
      <c r="X392" s="1">
        <f t="shared" si="878"/>
        <v>0</v>
      </c>
      <c r="Y392" s="1">
        <f t="shared" si="879"/>
        <v>-5.2420891105965532</v>
      </c>
    </row>
    <row r="393" spans="1:25">
      <c r="A393" s="1">
        <v>0.39100000000000001</v>
      </c>
      <c r="B393" s="1">
        <f t="shared" si="880"/>
        <v>21.785723606350736</v>
      </c>
      <c r="C393" s="1">
        <f t="shared" si="881"/>
        <v>0</v>
      </c>
      <c r="D393" s="1">
        <f t="shared" si="882"/>
        <v>0.2122358913366334</v>
      </c>
      <c r="E393" s="1">
        <f t="shared" si="883"/>
        <v>36.936340530223497</v>
      </c>
      <c r="F393" s="1">
        <f t="shared" si="884"/>
        <v>0</v>
      </c>
      <c r="G393" s="1">
        <f t="shared" si="885"/>
        <v>-4.6364923667602843E-2</v>
      </c>
      <c r="H393" s="1">
        <f t="shared" si="576"/>
        <v>36.93636963036267</v>
      </c>
      <c r="I393" s="1">
        <f t="shared" si="868"/>
        <v>-55.523190087687361</v>
      </c>
      <c r="J393" s="1">
        <f t="shared" si="869"/>
        <v>0</v>
      </c>
      <c r="K393" s="1">
        <f t="shared" si="870"/>
        <v>6.9696359553837225E-2</v>
      </c>
      <c r="L393" s="1">
        <f t="shared" ref="L393:N393" si="898">E393/$H393</f>
        <v>0.99999921215486354</v>
      </c>
      <c r="M393" s="1">
        <f t="shared" si="898"/>
        <v>0</v>
      </c>
      <c r="N393" s="1">
        <f t="shared" si="898"/>
        <v>-1.2552647737608098E-3</v>
      </c>
      <c r="O393" s="1">
        <f t="shared" si="578"/>
        <v>-1.2552647737608098E-3</v>
      </c>
      <c r="P393" s="1">
        <f t="shared" si="872"/>
        <v>1.2552637848065628E-3</v>
      </c>
      <c r="Q393" s="1">
        <f t="shared" si="873"/>
        <v>0</v>
      </c>
      <c r="R393" s="1">
        <f t="shared" si="874"/>
        <v>0.9999984243103478</v>
      </c>
      <c r="S393" s="1">
        <f t="shared" si="875"/>
        <v>4.4891125225384885</v>
      </c>
      <c r="T393" s="1">
        <f t="shared" ref="T393:V393" si="899">$S393*P393</f>
        <v>5.6350203754641998E-3</v>
      </c>
      <c r="U393" s="1">
        <f t="shared" si="899"/>
        <v>0</v>
      </c>
      <c r="V393" s="1">
        <f t="shared" si="899"/>
        <v>4.4891054490903395</v>
      </c>
      <c r="W393" s="1">
        <f t="shared" si="877"/>
        <v>-55.517555067311896</v>
      </c>
      <c r="X393" s="1">
        <f t="shared" si="878"/>
        <v>0</v>
      </c>
      <c r="Y393" s="1">
        <f t="shared" si="879"/>
        <v>-5.247848191355823</v>
      </c>
    </row>
    <row r="394" spans="1:25">
      <c r="A394" s="1">
        <v>0.39200000000000002</v>
      </c>
      <c r="B394" s="1">
        <f t="shared" si="880"/>
        <v>21.822604429325892</v>
      </c>
      <c r="C394" s="1">
        <f t="shared" si="881"/>
        <v>0</v>
      </c>
      <c r="D394" s="1">
        <f t="shared" si="882"/>
        <v>0.21218427856477443</v>
      </c>
      <c r="E394" s="1">
        <f t="shared" si="883"/>
        <v>36.880822975156185</v>
      </c>
      <c r="F394" s="1">
        <f t="shared" si="884"/>
        <v>0</v>
      </c>
      <c r="G394" s="1">
        <f t="shared" si="885"/>
        <v>-5.161277185895867E-2</v>
      </c>
      <c r="H394" s="1">
        <f t="shared" si="576"/>
        <v>36.880859089818223</v>
      </c>
      <c r="I394" s="1">
        <f t="shared" si="868"/>
        <v>-55.356416689771223</v>
      </c>
      <c r="J394" s="1">
        <f t="shared" si="869"/>
        <v>0</v>
      </c>
      <c r="K394" s="1">
        <f t="shared" si="870"/>
        <v>7.7468393464625904E-2</v>
      </c>
      <c r="L394" s="1">
        <f t="shared" ref="L394:N394" si="900">E394/$H394</f>
        <v>0.9999990207749242</v>
      </c>
      <c r="M394" s="1">
        <f t="shared" si="900"/>
        <v>0</v>
      </c>
      <c r="N394" s="1">
        <f t="shared" si="900"/>
        <v>-1.3994460306161229E-3</v>
      </c>
      <c r="O394" s="1">
        <f t="shared" si="578"/>
        <v>-1.3994460306161229E-3</v>
      </c>
      <c r="P394" s="1">
        <f t="shared" si="872"/>
        <v>1.3994446602434774E-3</v>
      </c>
      <c r="Q394" s="1">
        <f t="shared" si="873"/>
        <v>0</v>
      </c>
      <c r="R394" s="1">
        <f t="shared" si="874"/>
        <v>0.9999980415508074</v>
      </c>
      <c r="S394" s="1">
        <f t="shared" si="875"/>
        <v>4.4756295618216893</v>
      </c>
      <c r="T394" s="1">
        <f t="shared" ref="T394:V394" si="901">$S394*P394</f>
        <v>6.2633958915192176E-3</v>
      </c>
      <c r="U394" s="1">
        <f t="shared" si="901"/>
        <v>0</v>
      </c>
      <c r="V394" s="1">
        <f t="shared" si="901"/>
        <v>4.4756207965285872</v>
      </c>
      <c r="W394" s="1">
        <f t="shared" si="877"/>
        <v>-55.350153293879707</v>
      </c>
      <c r="X394" s="1">
        <f t="shared" si="878"/>
        <v>0</v>
      </c>
      <c r="Y394" s="1">
        <f t="shared" si="879"/>
        <v>-5.2535608100067863</v>
      </c>
    </row>
    <row r="395" spans="1:25">
      <c r="A395" s="1">
        <v>0.39300000000000002</v>
      </c>
      <c r="B395" s="1">
        <f t="shared" si="880"/>
        <v>21.859429902147756</v>
      </c>
      <c r="C395" s="1">
        <f t="shared" si="881"/>
        <v>0</v>
      </c>
      <c r="D395" s="1">
        <f t="shared" si="882"/>
        <v>0.21212741223210546</v>
      </c>
      <c r="E395" s="1">
        <f t="shared" si="883"/>
        <v>36.825472821862306</v>
      </c>
      <c r="F395" s="1">
        <f t="shared" si="884"/>
        <v>0</v>
      </c>
      <c r="G395" s="1">
        <f t="shared" si="885"/>
        <v>-5.6866332668965458E-2</v>
      </c>
      <c r="H395" s="1">
        <f t="shared" si="576"/>
        <v>36.825516728669406</v>
      </c>
      <c r="I395" s="1">
        <f t="shared" si="868"/>
        <v>-55.190397069540467</v>
      </c>
      <c r="J395" s="1">
        <f t="shared" si="869"/>
        <v>0</v>
      </c>
      <c r="K395" s="1">
        <f t="shared" si="870"/>
        <v>8.5225666892878429E-2</v>
      </c>
      <c r="L395" s="1">
        <f t="shared" ref="L395:N395" si="902">E395/$H395</f>
        <v>0.99999880770696514</v>
      </c>
      <c r="M395" s="1">
        <f t="shared" si="902"/>
        <v>0</v>
      </c>
      <c r="N395" s="1">
        <f t="shared" si="902"/>
        <v>-1.5442100402271849E-3</v>
      </c>
      <c r="O395" s="1">
        <f t="shared" si="578"/>
        <v>-1.5442100402271849E-3</v>
      </c>
      <c r="P395" s="1">
        <f t="shared" si="872"/>
        <v>1.5442081990763095E-3</v>
      </c>
      <c r="Q395" s="1">
        <f t="shared" si="873"/>
        <v>0</v>
      </c>
      <c r="R395" s="1">
        <f t="shared" si="874"/>
        <v>0.9999976154153517</v>
      </c>
      <c r="S395" s="1">
        <f t="shared" si="875"/>
        <v>4.4622076365198042</v>
      </c>
      <c r="T395" s="1">
        <f t="shared" ref="T395:V395" si="903">$S395*P395</f>
        <v>6.8905776182948027E-3</v>
      </c>
      <c r="U395" s="1">
        <f t="shared" si="903"/>
        <v>0</v>
      </c>
      <c r="V395" s="1">
        <f t="shared" si="903"/>
        <v>4.462196996007977</v>
      </c>
      <c r="W395" s="1">
        <f t="shared" si="877"/>
        <v>-55.183506491922174</v>
      </c>
      <c r="X395" s="1">
        <f t="shared" si="878"/>
        <v>0</v>
      </c>
      <c r="Y395" s="1">
        <f t="shared" si="879"/>
        <v>-5.2592273370991443</v>
      </c>
    </row>
    <row r="396" spans="1:25">
      <c r="A396" s="1">
        <v>0.39400000000000002</v>
      </c>
      <c r="B396" s="1">
        <f t="shared" si="880"/>
        <v>21.896200191463127</v>
      </c>
      <c r="C396" s="1">
        <f t="shared" si="881"/>
        <v>0</v>
      </c>
      <c r="D396" s="1">
        <f t="shared" si="882"/>
        <v>0.2120652866720994</v>
      </c>
      <c r="E396" s="1">
        <f t="shared" si="883"/>
        <v>36.770289315370384</v>
      </c>
      <c r="F396" s="1">
        <f t="shared" si="884"/>
        <v>0</v>
      </c>
      <c r="G396" s="1">
        <f t="shared" si="885"/>
        <v>-6.2125560006064603E-2</v>
      </c>
      <c r="H396" s="1">
        <f t="shared" si="576"/>
        <v>36.770341797721265</v>
      </c>
      <c r="I396" s="1">
        <f t="shared" si="868"/>
        <v>-55.025126708440695</v>
      </c>
      <c r="J396" s="1">
        <f t="shared" si="869"/>
        <v>0</v>
      </c>
      <c r="K396" s="1">
        <f t="shared" si="870"/>
        <v>9.296817824431923E-2</v>
      </c>
      <c r="L396" s="1">
        <f t="shared" ref="L396:N396" si="904">E396/$H396</f>
        <v>0.99999857269885684</v>
      </c>
      <c r="M396" s="1">
        <f t="shared" si="904"/>
        <v>0</v>
      </c>
      <c r="N396" s="1">
        <f t="shared" si="904"/>
        <v>-1.6895562284361103E-3</v>
      </c>
      <c r="O396" s="1">
        <f t="shared" si="578"/>
        <v>-1.6895562284361103E-3</v>
      </c>
      <c r="P396" s="1">
        <f t="shared" si="872"/>
        <v>1.6895538169305741E-3</v>
      </c>
      <c r="Q396" s="1">
        <f t="shared" si="873"/>
        <v>0</v>
      </c>
      <c r="R396" s="1">
        <f t="shared" si="874"/>
        <v>0.99999714539975093</v>
      </c>
      <c r="S396" s="1">
        <f t="shared" si="875"/>
        <v>4.4488463815897941</v>
      </c>
      <c r="T396" s="1">
        <f t="shared" ref="T396:V396" si="905">$S396*P396</f>
        <v>7.5165653849528094E-3</v>
      </c>
      <c r="U396" s="1">
        <f t="shared" si="905"/>
        <v>0</v>
      </c>
      <c r="V396" s="1">
        <f t="shared" si="905"/>
        <v>4.4488336819118048</v>
      </c>
      <c r="W396" s="1">
        <f t="shared" si="877"/>
        <v>-55.017610143055741</v>
      </c>
      <c r="X396" s="1">
        <f t="shared" si="878"/>
        <v>0</v>
      </c>
      <c r="Y396" s="1">
        <f t="shared" si="879"/>
        <v>-5.2648481398438758</v>
      </c>
    </row>
    <row r="397" spans="1:25">
      <c r="A397" s="1">
        <v>0.39500000000000002</v>
      </c>
      <c r="B397" s="1">
        <f t="shared" si="880"/>
        <v>21.932915463168353</v>
      </c>
      <c r="C397" s="1">
        <f t="shared" si="881"/>
        <v>0</v>
      </c>
      <c r="D397" s="1">
        <f t="shared" si="882"/>
        <v>0.21199789626395349</v>
      </c>
      <c r="E397" s="1">
        <f t="shared" si="883"/>
        <v>36.71527170522733</v>
      </c>
      <c r="F397" s="1">
        <f t="shared" si="884"/>
        <v>0</v>
      </c>
      <c r="G397" s="1">
        <f t="shared" si="885"/>
        <v>-6.7390408145908479E-2</v>
      </c>
      <c r="H397" s="1">
        <f t="shared" si="576"/>
        <v>36.715333552288158</v>
      </c>
      <c r="I397" s="1">
        <f t="shared" si="868"/>
        <v>-54.860601121751792</v>
      </c>
      <c r="J397" s="1">
        <f t="shared" si="869"/>
        <v>0</v>
      </c>
      <c r="K397" s="1">
        <f t="shared" si="870"/>
        <v>0.10069592649094755</v>
      </c>
      <c r="L397" s="1">
        <f t="shared" ref="L397:N397" si="906">E397/$H397</f>
        <v>0.9999983154977814</v>
      </c>
      <c r="M397" s="1">
        <f t="shared" si="906"/>
        <v>0</v>
      </c>
      <c r="N397" s="1">
        <f t="shared" si="906"/>
        <v>-1.8354840233150654E-3</v>
      </c>
      <c r="O397" s="1">
        <f t="shared" si="578"/>
        <v>-1.8354840233150654E-3</v>
      </c>
      <c r="P397" s="1">
        <f t="shared" si="872"/>
        <v>1.835480931438156E-3</v>
      </c>
      <c r="Q397" s="1">
        <f t="shared" si="873"/>
        <v>0</v>
      </c>
      <c r="R397" s="1">
        <f t="shared" si="874"/>
        <v>0.99999663099840019</v>
      </c>
      <c r="S397" s="1">
        <f t="shared" si="875"/>
        <v>4.4355454347213774</v>
      </c>
      <c r="T397" s="1">
        <f t="shared" ref="T397:V397" si="907">$S397*P397</f>
        <v>8.1413590659586543E-3</v>
      </c>
      <c r="U397" s="1">
        <f t="shared" si="907"/>
        <v>0</v>
      </c>
      <c r="V397" s="1">
        <f t="shared" si="907"/>
        <v>4.4355304913617122</v>
      </c>
      <c r="W397" s="1">
        <f t="shared" si="877"/>
        <v>-54.852459762685832</v>
      </c>
      <c r="X397" s="1">
        <f t="shared" si="878"/>
        <v>0</v>
      </c>
      <c r="Y397" s="1">
        <f t="shared" si="879"/>
        <v>-5.2704235821473393</v>
      </c>
    </row>
    <row r="398" spans="1:25">
      <c r="A398" s="1">
        <v>0.39600000000000002</v>
      </c>
      <c r="B398" s="1">
        <f t="shared" si="880"/>
        <v>21.969575882413817</v>
      </c>
      <c r="C398" s="1">
        <f t="shared" si="881"/>
        <v>0</v>
      </c>
      <c r="D398" s="1">
        <f t="shared" si="882"/>
        <v>0.21192523543222544</v>
      </c>
      <c r="E398" s="1">
        <f t="shared" si="883"/>
        <v>36.660419245464645</v>
      </c>
      <c r="F398" s="1">
        <f t="shared" si="884"/>
        <v>0</v>
      </c>
      <c r="G398" s="1">
        <f t="shared" si="885"/>
        <v>-7.2660831728055819E-2</v>
      </c>
      <c r="H398" s="1">
        <f t="shared" si="576"/>
        <v>36.660491252160028</v>
      </c>
      <c r="I398" s="1">
        <f t="shared" si="868"/>
        <v>-54.696815858284452</v>
      </c>
      <c r="J398" s="1">
        <f t="shared" si="869"/>
        <v>0</v>
      </c>
      <c r="K398" s="1">
        <f t="shared" si="870"/>
        <v>0.10840891116189115</v>
      </c>
      <c r="L398" s="1">
        <f t="shared" ref="L398:N398" si="908">E398/$H398</f>
        <v>0.99999803585023217</v>
      </c>
      <c r="M398" s="1">
        <f t="shared" si="908"/>
        <v>0</v>
      </c>
      <c r="N398" s="1">
        <f t="shared" si="908"/>
        <v>-1.9819928551496062E-3</v>
      </c>
      <c r="O398" s="1">
        <f t="shared" si="578"/>
        <v>-1.9819928551496062E-3</v>
      </c>
      <c r="P398" s="1">
        <f t="shared" si="872"/>
        <v>1.9819889622187999E-3</v>
      </c>
      <c r="Q398" s="1">
        <f t="shared" si="873"/>
        <v>0</v>
      </c>
      <c r="R398" s="1">
        <f t="shared" si="874"/>
        <v>0.99999607170432214</v>
      </c>
      <c r="S398" s="1">
        <f t="shared" si="875"/>
        <v>4.4223044363125066</v>
      </c>
      <c r="T398" s="1">
        <f t="shared" ref="T398:V398" si="909">$S398*P398</f>
        <v>8.7649585803426192E-3</v>
      </c>
      <c r="U398" s="1">
        <f t="shared" si="909"/>
        <v>0</v>
      </c>
      <c r="V398" s="1">
        <f t="shared" si="909"/>
        <v>4.4222870641931031</v>
      </c>
      <c r="W398" s="1">
        <f t="shared" si="877"/>
        <v>-54.688050899704109</v>
      </c>
      <c r="X398" s="1">
        <f t="shared" si="878"/>
        <v>0</v>
      </c>
      <c r="Y398" s="1">
        <f t="shared" si="879"/>
        <v>-5.2759540246450047</v>
      </c>
    </row>
    <row r="399" spans="1:25">
      <c r="A399" s="1">
        <v>0.39700000000000002</v>
      </c>
      <c r="B399" s="1">
        <f t="shared" si="880"/>
        <v>22.006181613608383</v>
      </c>
      <c r="C399" s="1">
        <f t="shared" si="881"/>
        <v>0</v>
      </c>
      <c r="D399" s="1">
        <f t="shared" si="882"/>
        <v>0.21184729864647273</v>
      </c>
      <c r="E399" s="1">
        <f t="shared" si="883"/>
        <v>36.605731194564939</v>
      </c>
      <c r="F399" s="1">
        <f t="shared" si="884"/>
        <v>0</v>
      </c>
      <c r="G399" s="1">
        <f t="shared" si="885"/>
        <v>-7.7936785752700827E-2</v>
      </c>
      <c r="H399" s="1">
        <f t="shared" si="576"/>
        <v>36.605814161568894</v>
      </c>
      <c r="I399" s="1">
        <f t="shared" si="868"/>
        <v>-54.533766500079636</v>
      </c>
      <c r="J399" s="1">
        <f t="shared" si="869"/>
        <v>0</v>
      </c>
      <c r="K399" s="1">
        <f t="shared" si="870"/>
        <v>0.11610713233439167</v>
      </c>
      <c r="L399" s="1">
        <f t="shared" ref="L399:N399" si="910">E399/$H399</f>
        <v>0.99999773350201726</v>
      </c>
      <c r="M399" s="1">
        <f t="shared" si="910"/>
        <v>0</v>
      </c>
      <c r="N399" s="1">
        <f t="shared" si="910"/>
        <v>-2.1290821564221296E-3</v>
      </c>
      <c r="O399" s="1">
        <f t="shared" si="578"/>
        <v>-2.1290821564221296E-3</v>
      </c>
      <c r="P399" s="1">
        <f t="shared" si="872"/>
        <v>2.129077330861717E-3</v>
      </c>
      <c r="Q399" s="1">
        <f t="shared" si="873"/>
        <v>0</v>
      </c>
      <c r="R399" s="1">
        <f t="shared" si="874"/>
        <v>0.99999546700917119</v>
      </c>
      <c r="S399" s="1">
        <f t="shared" si="875"/>
        <v>4.4091230294451043</v>
      </c>
      <c r="T399" s="1">
        <f t="shared" ref="T399:V399" si="911">$S399*P399</f>
        <v>9.3873638909719101E-3</v>
      </c>
      <c r="U399" s="1">
        <f t="shared" si="911"/>
        <v>0</v>
      </c>
      <c r="V399" s="1">
        <f t="shared" si="911"/>
        <v>4.4091030429308491</v>
      </c>
      <c r="W399" s="1">
        <f t="shared" si="877"/>
        <v>-54.524379136188664</v>
      </c>
      <c r="X399" s="1">
        <f t="shared" si="878"/>
        <v>0</v>
      </c>
      <c r="Y399" s="1">
        <f t="shared" si="879"/>
        <v>-5.2814398247347585</v>
      </c>
    </row>
    <row r="400" spans="1:25">
      <c r="A400" s="1">
        <v>0.39800000000000002</v>
      </c>
      <c r="B400" s="1">
        <f t="shared" si="880"/>
        <v>22.042732820423812</v>
      </c>
      <c r="C400" s="1">
        <f t="shared" si="881"/>
        <v>0</v>
      </c>
      <c r="D400" s="1">
        <f t="shared" si="882"/>
        <v>0.21176408042089528</v>
      </c>
      <c r="E400" s="1">
        <f t="shared" si="883"/>
        <v>36.551206815428749</v>
      </c>
      <c r="F400" s="1">
        <f t="shared" si="884"/>
        <v>0</v>
      </c>
      <c r="G400" s="1">
        <f t="shared" si="885"/>
        <v>-8.3218225577435578E-2</v>
      </c>
      <c r="H400" s="1">
        <f t="shared" si="576"/>
        <v>36.551301549155717</v>
      </c>
      <c r="I400" s="1">
        <f t="shared" si="868"/>
        <v>-54.371448662111483</v>
      </c>
      <c r="J400" s="1">
        <f t="shared" si="869"/>
        <v>0</v>
      </c>
      <c r="K400" s="1">
        <f t="shared" si="870"/>
        <v>0.12379059062492069</v>
      </c>
      <c r="L400" s="1">
        <f t="shared" ref="L400:N400" si="912">E400/$H400</f>
        <v>0.99999740819825966</v>
      </c>
      <c r="M400" s="1">
        <f t="shared" si="912"/>
        <v>0</v>
      </c>
      <c r="N400" s="1">
        <f t="shared" si="912"/>
        <v>-2.276751361795427E-3</v>
      </c>
      <c r="O400" s="1">
        <f t="shared" si="578"/>
        <v>-2.276751361795427E-3</v>
      </c>
      <c r="P400" s="1">
        <f t="shared" si="872"/>
        <v>2.2767454609072852E-3</v>
      </c>
      <c r="Q400" s="1">
        <f t="shared" si="873"/>
        <v>0</v>
      </c>
      <c r="R400" s="1">
        <f t="shared" si="874"/>
        <v>0.99999481640323651</v>
      </c>
      <c r="S400" s="1">
        <f t="shared" si="875"/>
        <v>4.3960008598610552</v>
      </c>
      <c r="T400" s="1">
        <f t="shared" ref="T400:V400" si="913">$S400*P400</f>
        <v>1.0008575003833179E-2</v>
      </c>
      <c r="U400" s="1">
        <f t="shared" si="913"/>
        <v>0</v>
      </c>
      <c r="V400" s="1">
        <f t="shared" si="913"/>
        <v>4.3959780727652253</v>
      </c>
      <c r="W400" s="1">
        <f t="shared" si="877"/>
        <v>-54.361440087107653</v>
      </c>
      <c r="X400" s="1">
        <f t="shared" si="878"/>
        <v>0</v>
      </c>
      <c r="Y400" s="1">
        <f t="shared" si="879"/>
        <v>-5.286881336609853</v>
      </c>
    </row>
    <row r="401" spans="1:25">
      <c r="A401" s="1">
        <v>0.39900000000000002</v>
      </c>
      <c r="B401" s="1">
        <f t="shared" si="880"/>
        <v>22.079229665799154</v>
      </c>
      <c r="C401" s="1">
        <f t="shared" si="881"/>
        <v>0</v>
      </c>
      <c r="D401" s="1">
        <f t="shared" si="882"/>
        <v>0.21167557531398123</v>
      </c>
      <c r="E401" s="1">
        <f t="shared" si="883"/>
        <v>36.496845375341643</v>
      </c>
      <c r="F401" s="1">
        <f t="shared" si="884"/>
        <v>0</v>
      </c>
      <c r="G401" s="1">
        <f t="shared" si="885"/>
        <v>-8.8505106914045437E-2</v>
      </c>
      <c r="H401" s="1">
        <f t="shared" si="576"/>
        <v>36.496952687937473</v>
      </c>
      <c r="I401" s="1">
        <f t="shared" si="868"/>
        <v>-54.209857991992919</v>
      </c>
      <c r="J401" s="1">
        <f t="shared" si="869"/>
        <v>0</v>
      </c>
      <c r="K401" s="1">
        <f t="shared" si="870"/>
        <v>0.13145928718042366</v>
      </c>
      <c r="L401" s="1">
        <f t="shared" ref="L401:N401" si="914">E401/$H401</f>
        <v>0.99999705968340025</v>
      </c>
      <c r="M401" s="1">
        <f t="shared" si="914"/>
        <v>0</v>
      </c>
      <c r="N401" s="1">
        <f t="shared" si="914"/>
        <v>-2.4249999080963565E-3</v>
      </c>
      <c r="O401" s="1">
        <f t="shared" si="578"/>
        <v>-2.4249999080963565E-3</v>
      </c>
      <c r="P401" s="1">
        <f t="shared" si="872"/>
        <v>2.4249927778288724E-3</v>
      </c>
      <c r="Q401" s="1">
        <f t="shared" si="873"/>
        <v>0</v>
      </c>
      <c r="R401" s="1">
        <f t="shared" si="874"/>
        <v>0.99999411937544569</v>
      </c>
      <c r="S401" s="1">
        <f t="shared" si="875"/>
        <v>4.3829375759384313</v>
      </c>
      <c r="T401" s="1">
        <f t="shared" ref="T401:V401" si="915">$S401*P401</f>
        <v>1.0628591967325482E-2</v>
      </c>
      <c r="U401" s="1">
        <f t="shared" si="915"/>
        <v>0</v>
      </c>
      <c r="V401" s="1">
        <f t="shared" si="915"/>
        <v>4.3829118015281026</v>
      </c>
      <c r="W401" s="1">
        <f t="shared" si="877"/>
        <v>-54.199229400025594</v>
      </c>
      <c r="X401" s="1">
        <f t="shared" si="878"/>
        <v>0</v>
      </c>
      <c r="Y401" s="1">
        <f t="shared" si="879"/>
        <v>-5.292278911291473</v>
      </c>
    </row>
    <row r="402" spans="1:25">
      <c r="A402" s="1">
        <v>0.4</v>
      </c>
      <c r="B402" s="1">
        <f t="shared" si="880"/>
        <v>22.115672311945097</v>
      </c>
      <c r="C402" s="1">
        <f t="shared" si="881"/>
        <v>0</v>
      </c>
      <c r="D402" s="1">
        <f t="shared" si="882"/>
        <v>0.21158177792815588</v>
      </c>
      <c r="E402" s="1">
        <f t="shared" si="883"/>
        <v>36.442646145941616</v>
      </c>
      <c r="F402" s="1">
        <f t="shared" si="884"/>
        <v>0</v>
      </c>
      <c r="G402" s="1">
        <f t="shared" si="885"/>
        <v>-9.3797385825336907E-2</v>
      </c>
      <c r="H402" s="1">
        <f t="shared" si="576"/>
        <v>36.442766855274598</v>
      </c>
      <c r="I402" s="1">
        <f t="shared" si="868"/>
        <v>-54.048990169684643</v>
      </c>
      <c r="J402" s="1">
        <f t="shared" si="869"/>
        <v>0</v>
      </c>
      <c r="K402" s="1">
        <f t="shared" si="870"/>
        <v>0.13911322366969028</v>
      </c>
      <c r="L402" s="1">
        <f t="shared" ref="L402:N402" si="916">E402/$H402</f>
        <v>0.99999668770119843</v>
      </c>
      <c r="M402" s="1">
        <f t="shared" si="916"/>
        <v>0</v>
      </c>
      <c r="N402" s="1">
        <f t="shared" si="916"/>
        <v>-2.57382723429961E-3</v>
      </c>
      <c r="O402" s="1">
        <f t="shared" si="578"/>
        <v>-2.57382723429961E-3</v>
      </c>
      <c r="P402" s="1">
        <f t="shared" si="872"/>
        <v>2.5738187090147465E-3</v>
      </c>
      <c r="Q402" s="1">
        <f t="shared" si="873"/>
        <v>0</v>
      </c>
      <c r="R402" s="1">
        <f t="shared" si="874"/>
        <v>0.99999337541336797</v>
      </c>
      <c r="S402" s="1">
        <f t="shared" si="875"/>
        <v>4.3699328286679879</v>
      </c>
      <c r="T402" s="1">
        <f t="shared" ref="T402:V402" si="917">$S402*P402</f>
        <v>1.12474148715634E-2</v>
      </c>
      <c r="U402" s="1">
        <f t="shared" si="917"/>
        <v>0</v>
      </c>
      <c r="V402" s="1">
        <f t="shared" si="917"/>
        <v>4.3699038796693879</v>
      </c>
      <c r="W402" s="1">
        <f t="shared" si="877"/>
        <v>-54.037742754813081</v>
      </c>
      <c r="X402" s="1">
        <f t="shared" si="878"/>
        <v>0</v>
      </c>
      <c r="Y402" s="1">
        <f t="shared" si="879"/>
        <v>-5.2976328966609216</v>
      </c>
    </row>
    <row r="403" spans="1:25">
      <c r="A403" s="1">
        <v>0.40100000000000002</v>
      </c>
      <c r="B403" s="1">
        <f t="shared" si="880"/>
        <v>22.152060920348283</v>
      </c>
      <c r="C403" s="1">
        <f t="shared" si="881"/>
        <v>0</v>
      </c>
      <c r="D403" s="1">
        <f t="shared" si="882"/>
        <v>0.21148268290943389</v>
      </c>
      <c r="E403" s="1">
        <f t="shared" si="883"/>
        <v>36.388608403186801</v>
      </c>
      <c r="F403" s="1">
        <f t="shared" si="884"/>
        <v>0</v>
      </c>
      <c r="G403" s="1">
        <f t="shared" si="885"/>
        <v>-9.909501872199783E-2</v>
      </c>
      <c r="H403" s="1">
        <f t="shared" si="576"/>
        <v>36.388743332838693</v>
      </c>
      <c r="I403" s="1">
        <f t="shared" si="868"/>
        <v>-53.888840907207047</v>
      </c>
      <c r="J403" s="1">
        <f t="shared" si="869"/>
        <v>0</v>
      </c>
      <c r="K403" s="1">
        <f t="shared" si="870"/>
        <v>0.14675240227484967</v>
      </c>
      <c r="L403" s="1">
        <f t="shared" ref="L403:N403" si="918">E403/$H403</f>
        <v>0.99999629199473428</v>
      </c>
      <c r="M403" s="1">
        <f t="shared" si="918"/>
        <v>0</v>
      </c>
      <c r="N403" s="1">
        <f t="shared" si="918"/>
        <v>-2.7232327815115954E-3</v>
      </c>
      <c r="O403" s="1">
        <f t="shared" si="578"/>
        <v>-2.7232327815115954E-3</v>
      </c>
      <c r="P403" s="1">
        <f t="shared" si="872"/>
        <v>2.7232226837501016E-3</v>
      </c>
      <c r="Q403" s="1">
        <f t="shared" si="873"/>
        <v>0</v>
      </c>
      <c r="R403" s="1">
        <f t="shared" si="874"/>
        <v>0.99999258400321767</v>
      </c>
      <c r="S403" s="1">
        <f t="shared" si="875"/>
        <v>4.3569862716298848</v>
      </c>
      <c r="T403" s="1">
        <f t="shared" ref="T403:V403" si="919">$S403*P403</f>
        <v>1.1865043847690285E-2</v>
      </c>
      <c r="U403" s="1">
        <f t="shared" si="919"/>
        <v>0</v>
      </c>
      <c r="V403" s="1">
        <f t="shared" si="919"/>
        <v>4.3569539602337137</v>
      </c>
      <c r="W403" s="1">
        <f t="shared" si="877"/>
        <v>-53.876975863359355</v>
      </c>
      <c r="X403" s="1">
        <f t="shared" si="878"/>
        <v>0</v>
      </c>
      <c r="Y403" s="1">
        <f t="shared" si="879"/>
        <v>-5.3029436374914356</v>
      </c>
    </row>
    <row r="404" spans="1:25">
      <c r="A404" s="1">
        <v>0.40200000000000002</v>
      </c>
      <c r="B404" s="1">
        <f t="shared" si="880"/>
        <v>22.188395651775608</v>
      </c>
      <c r="C404" s="1">
        <f t="shared" si="881"/>
        <v>0</v>
      </c>
      <c r="D404" s="1">
        <f t="shared" si="882"/>
        <v>0.21137828494707442</v>
      </c>
      <c r="E404" s="1">
        <f t="shared" si="883"/>
        <v>36.33473142732344</v>
      </c>
      <c r="F404" s="1">
        <f t="shared" si="884"/>
        <v>0</v>
      </c>
      <c r="G404" s="1">
        <f t="shared" si="885"/>
        <v>-0.10439796235948927</v>
      </c>
      <c r="H404" s="1">
        <f t="shared" si="576"/>
        <v>36.334881406580521</v>
      </c>
      <c r="I404" s="1">
        <f t="shared" si="868"/>
        <v>-53.729405948355094</v>
      </c>
      <c r="J404" s="1">
        <f t="shared" si="869"/>
        <v>0</v>
      </c>
      <c r="K404" s="1">
        <f t="shared" si="870"/>
        <v>0.15437682568298791</v>
      </c>
      <c r="L404" s="1">
        <f t="shared" ref="L404:N404" si="920">E404/$H404</f>
        <v>0.99999587230640985</v>
      </c>
      <c r="M404" s="1">
        <f t="shared" si="920"/>
        <v>0</v>
      </c>
      <c r="N404" s="1">
        <f t="shared" si="920"/>
        <v>-2.8732159929544181E-3</v>
      </c>
      <c r="O404" s="1">
        <f t="shared" si="578"/>
        <v>-2.8732159929544181E-3</v>
      </c>
      <c r="P404" s="1">
        <f t="shared" si="872"/>
        <v>2.8732041331991807E-3</v>
      </c>
      <c r="Q404" s="1">
        <f t="shared" si="873"/>
        <v>0</v>
      </c>
      <c r="R404" s="1">
        <f t="shared" si="874"/>
        <v>0.99999174462985785</v>
      </c>
      <c r="S404" s="1">
        <f t="shared" si="875"/>
        <v>4.3440975609706642</v>
      </c>
      <c r="T404" s="1">
        <f t="shared" ref="T404:V404" si="921">$S404*P404</f>
        <v>1.2481479067201392E-2</v>
      </c>
      <c r="U404" s="1">
        <f t="shared" si="921"/>
        <v>0</v>
      </c>
      <c r="V404" s="1">
        <f t="shared" si="921"/>
        <v>4.3440616988373648</v>
      </c>
      <c r="W404" s="1">
        <f t="shared" si="877"/>
        <v>-53.716924469287889</v>
      </c>
      <c r="X404" s="1">
        <f t="shared" si="878"/>
        <v>0</v>
      </c>
      <c r="Y404" s="1">
        <f t="shared" si="879"/>
        <v>-5.3082114754796468</v>
      </c>
    </row>
    <row r="405" spans="1:25">
      <c r="A405" s="1">
        <v>0.40300000000000002</v>
      </c>
      <c r="B405" s="1">
        <f t="shared" si="880"/>
        <v>22.224676666278462</v>
      </c>
      <c r="C405" s="1">
        <f t="shared" si="881"/>
        <v>0</v>
      </c>
      <c r="D405" s="1">
        <f t="shared" si="882"/>
        <v>0.21126857877323946</v>
      </c>
      <c r="E405" s="1">
        <f t="shared" si="883"/>
        <v>36.281014502854156</v>
      </c>
      <c r="F405" s="1">
        <f t="shared" si="884"/>
        <v>0</v>
      </c>
      <c r="G405" s="1">
        <f t="shared" si="885"/>
        <v>-0.10970617383496892</v>
      </c>
      <c r="H405" s="1">
        <f t="shared" si="576"/>
        <v>36.281180366698258</v>
      </c>
      <c r="I405" s="1">
        <f t="shared" si="868"/>
        <v>-53.570681068416093</v>
      </c>
      <c r="J405" s="1">
        <f t="shared" si="869"/>
        <v>0</v>
      </c>
      <c r="K405" s="1">
        <f t="shared" si="870"/>
        <v>0.16198649707788629</v>
      </c>
      <c r="L405" s="1">
        <f t="shared" ref="L405:N405" si="922">E405/$H405</f>
        <v>0.99999542837795174</v>
      </c>
      <c r="M405" s="1">
        <f t="shared" si="922"/>
        <v>0</v>
      </c>
      <c r="N405" s="1">
        <f t="shared" si="922"/>
        <v>-3.0237763139499712E-3</v>
      </c>
      <c r="O405" s="1">
        <f t="shared" si="578"/>
        <v>-3.0237763139499712E-3</v>
      </c>
      <c r="P405" s="1">
        <f t="shared" si="872"/>
        <v>3.0237624903875055E-3</v>
      </c>
      <c r="Q405" s="1">
        <f t="shared" si="873"/>
        <v>0</v>
      </c>
      <c r="R405" s="1">
        <f t="shared" si="874"/>
        <v>0.99999085677680322</v>
      </c>
      <c r="S405" s="1">
        <f t="shared" si="875"/>
        <v>4.3312663553804516</v>
      </c>
      <c r="T405" s="1">
        <f t="shared" ref="T405:V405" si="923">$S405*P405</f>
        <v>1.3096720741276808E-2</v>
      </c>
      <c r="U405" s="1">
        <f t="shared" si="923"/>
        <v>0</v>
      </c>
      <c r="V405" s="1">
        <f t="shared" si="923"/>
        <v>4.3312267536454394</v>
      </c>
      <c r="W405" s="1">
        <f t="shared" si="877"/>
        <v>-53.557584347674819</v>
      </c>
      <c r="X405" s="1">
        <f t="shared" si="878"/>
        <v>0</v>
      </c>
      <c r="Y405" s="1">
        <f t="shared" si="879"/>
        <v>-5.3134367492766739</v>
      </c>
    </row>
    <row r="406" spans="1:25">
      <c r="A406" s="1">
        <v>0.40400000000000003</v>
      </c>
      <c r="B406" s="1">
        <f t="shared" si="880"/>
        <v>22.260904123196969</v>
      </c>
      <c r="C406" s="1">
        <f t="shared" si="881"/>
        <v>0</v>
      </c>
      <c r="D406" s="1">
        <f t="shared" si="882"/>
        <v>0.21115355916265521</v>
      </c>
      <c r="E406" s="1">
        <f t="shared" si="883"/>
        <v>36.227456918506483</v>
      </c>
      <c r="F406" s="1">
        <f t="shared" si="884"/>
        <v>0</v>
      </c>
      <c r="G406" s="1">
        <f t="shared" si="885"/>
        <v>-0.11501961058424559</v>
      </c>
      <c r="H406" s="1">
        <f t="shared" si="576"/>
        <v>36.227639507606099</v>
      </c>
      <c r="I406" s="1">
        <f t="shared" si="868"/>
        <v>-53.412662073890601</v>
      </c>
      <c r="J406" s="1">
        <f t="shared" si="869"/>
        <v>0</v>
      </c>
      <c r="K406" s="1">
        <f t="shared" si="870"/>
        <v>0.16958142013187916</v>
      </c>
      <c r="L406" s="1">
        <f t="shared" ref="L406:N406" si="924">E406/$H406</f>
        <v>0.99999495995041088</v>
      </c>
      <c r="M406" s="1">
        <f t="shared" si="924"/>
        <v>0</v>
      </c>
      <c r="N406" s="1">
        <f t="shared" si="924"/>
        <v>-3.1749131919041229E-3</v>
      </c>
      <c r="O406" s="1">
        <f t="shared" si="578"/>
        <v>-3.1749131919041229E-3</v>
      </c>
      <c r="P406" s="1">
        <f t="shared" si="872"/>
        <v>3.1748971901841947E-3</v>
      </c>
      <c r="Q406" s="1">
        <f t="shared" si="873"/>
        <v>0</v>
      </c>
      <c r="R406" s="1">
        <f t="shared" si="874"/>
        <v>0.99998991992622388</v>
      </c>
      <c r="S406" s="1">
        <f t="shared" si="875"/>
        <v>4.3184923160704072</v>
      </c>
      <c r="T406" s="1">
        <f t="shared" ref="T406:V406" si="925">$S406*P406</f>
        <v>1.3710769120123971E-2</v>
      </c>
      <c r="U406" s="1">
        <f t="shared" si="925"/>
        <v>0</v>
      </c>
      <c r="V406" s="1">
        <f t="shared" si="925"/>
        <v>4.3184487853492595</v>
      </c>
      <c r="W406" s="1">
        <f t="shared" si="877"/>
        <v>-53.398951304770478</v>
      </c>
      <c r="X406" s="1">
        <f t="shared" si="878"/>
        <v>0</v>
      </c>
      <c r="Y406" s="1">
        <f t="shared" si="879"/>
        <v>-5.3186197945188605</v>
      </c>
    </row>
    <row r="407" spans="1:25">
      <c r="A407" s="1">
        <v>0.40500000000000003</v>
      </c>
      <c r="B407" s="1">
        <f t="shared" si="880"/>
        <v>22.297078181164171</v>
      </c>
      <c r="C407" s="1">
        <f t="shared" si="881"/>
        <v>0</v>
      </c>
      <c r="D407" s="1">
        <f t="shared" si="882"/>
        <v>0.21103322093227644</v>
      </c>
      <c r="E407" s="1">
        <f t="shared" si="883"/>
        <v>36.174057967201712</v>
      </c>
      <c r="F407" s="1">
        <f t="shared" si="884"/>
        <v>0</v>
      </c>
      <c r="G407" s="1">
        <f t="shared" si="885"/>
        <v>-0.12033823037876445</v>
      </c>
      <c r="H407" s="1">
        <f t="shared" si="576"/>
        <v>36.174258127903059</v>
      </c>
      <c r="I407" s="1">
        <f t="shared" si="868"/>
        <v>-53.255344802215944</v>
      </c>
      <c r="J407" s="1">
        <f t="shared" si="869"/>
        <v>0</v>
      </c>
      <c r="K407" s="1">
        <f t="shared" si="870"/>
        <v>0.17716159899782866</v>
      </c>
      <c r="L407" s="1">
        <f t="shared" ref="L407:N407" si="926">E407/$H407</f>
        <v>0.99999446676416581</v>
      </c>
      <c r="M407" s="1">
        <f t="shared" si="926"/>
        <v>0</v>
      </c>
      <c r="N407" s="1">
        <f t="shared" si="926"/>
        <v>-3.3266260762910135E-3</v>
      </c>
      <c r="O407" s="1">
        <f t="shared" si="578"/>
        <v>-3.3266260762910135E-3</v>
      </c>
      <c r="P407" s="1">
        <f t="shared" si="872"/>
        <v>3.3266076692844014E-3</v>
      </c>
      <c r="Q407" s="1">
        <f t="shared" si="873"/>
        <v>0</v>
      </c>
      <c r="R407" s="1">
        <f t="shared" si="874"/>
        <v>0.99998893355894858</v>
      </c>
      <c r="S407" s="1">
        <f t="shared" si="875"/>
        <v>4.3057751067504038</v>
      </c>
      <c r="T407" s="1">
        <f t="shared" ref="T407:V407" si="927">$S407*P407</f>
        <v>1.4323624492329755E-2</v>
      </c>
      <c r="U407" s="1">
        <f t="shared" si="927"/>
        <v>0</v>
      </c>
      <c r="V407" s="1">
        <f t="shared" si="927"/>
        <v>4.3057274571440045</v>
      </c>
      <c r="W407" s="1">
        <f t="shared" si="877"/>
        <v>-53.241021177723617</v>
      </c>
      <c r="X407" s="1">
        <f t="shared" si="878"/>
        <v>0</v>
      </c>
      <c r="Y407" s="1">
        <f t="shared" si="879"/>
        <v>-5.3237609438581659</v>
      </c>
    </row>
    <row r="408" spans="1:25">
      <c r="A408" s="1">
        <v>0.40600000000000003</v>
      </c>
      <c r="B408" s="1">
        <f t="shared" si="880"/>
        <v>22.333198998110195</v>
      </c>
      <c r="C408" s="1">
        <f t="shared" si="881"/>
        <v>0</v>
      </c>
      <c r="D408" s="1">
        <f t="shared" si="882"/>
        <v>0.21090755894095381</v>
      </c>
      <c r="E408" s="1">
        <f t="shared" si="883"/>
        <v>36.120816946023986</v>
      </c>
      <c r="F408" s="1">
        <f t="shared" si="884"/>
        <v>0</v>
      </c>
      <c r="G408" s="1">
        <f t="shared" si="885"/>
        <v>-0.12566199132262262</v>
      </c>
      <c r="H408" s="1">
        <f t="shared" si="576"/>
        <v>36.121035530342105</v>
      </c>
      <c r="I408" s="1">
        <f t="shared" si="868"/>
        <v>-53.098725121492819</v>
      </c>
      <c r="J408" s="1">
        <f t="shared" si="869"/>
        <v>0</v>
      </c>
      <c r="K408" s="1">
        <f t="shared" si="870"/>
        <v>0.18472703830121517</v>
      </c>
      <c r="L408" s="1">
        <f t="shared" ref="L408:N408" si="928">E408/$H408</f>
        <v>0.99999394855892387</v>
      </c>
      <c r="M408" s="1">
        <f t="shared" si="928"/>
        <v>0</v>
      </c>
      <c r="N408" s="1">
        <f t="shared" si="928"/>
        <v>-3.4789144186374455E-3</v>
      </c>
      <c r="O408" s="1">
        <f t="shared" si="578"/>
        <v>-3.4789144186374455E-3</v>
      </c>
      <c r="P408" s="1">
        <f t="shared" si="872"/>
        <v>3.4788933661918323E-3</v>
      </c>
      <c r="Q408" s="1">
        <f t="shared" si="873"/>
        <v>0</v>
      </c>
      <c r="R408" s="1">
        <f t="shared" si="874"/>
        <v>0.99998789715446779</v>
      </c>
      <c r="S408" s="1">
        <f t="shared" si="875"/>
        <v>4.2931143936069285</v>
      </c>
      <c r="T408" s="1">
        <f t="shared" ref="T408:V408" si="929">$S408*P408</f>
        <v>1.4935287184221815E-2</v>
      </c>
      <c r="U408" s="1">
        <f t="shared" si="929"/>
        <v>0</v>
      </c>
      <c r="V408" s="1">
        <f t="shared" si="929"/>
        <v>4.2930624347065702</v>
      </c>
      <c r="W408" s="1">
        <f t="shared" si="877"/>
        <v>-53.083789834308597</v>
      </c>
      <c r="X408" s="1">
        <f t="shared" si="878"/>
        <v>0</v>
      </c>
      <c r="Y408" s="1">
        <f t="shared" si="879"/>
        <v>-5.328860526992214</v>
      </c>
    </row>
    <row r="409" spans="1:25">
      <c r="A409" s="1">
        <v>0.40699999999999997</v>
      </c>
      <c r="B409" s="1">
        <f t="shared" si="880"/>
        <v>22.369266731266386</v>
      </c>
      <c r="C409" s="1">
        <f t="shared" si="881"/>
        <v>0</v>
      </c>
      <c r="D409" s="1">
        <f t="shared" si="882"/>
        <v>0.21077656808910419</v>
      </c>
      <c r="E409" s="1">
        <f t="shared" si="883"/>
        <v>36.067733156189675</v>
      </c>
      <c r="F409" s="1">
        <f t="shared" si="884"/>
        <v>0</v>
      </c>
      <c r="G409" s="1">
        <f t="shared" si="885"/>
        <v>-0.13099085184961484</v>
      </c>
      <c r="H409" s="1">
        <f t="shared" si="576"/>
        <v>36.067971021799558</v>
      </c>
      <c r="I409" s="1">
        <f t="shared" si="868"/>
        <v>-52.942798930214572</v>
      </c>
      <c r="J409" s="1">
        <f t="shared" si="869"/>
        <v>0</v>
      </c>
      <c r="K409" s="1">
        <f t="shared" si="870"/>
        <v>0.19227774313234175</v>
      </c>
      <c r="L409" s="1">
        <f t="shared" ref="L409:N409" si="930">E409/$H409</f>
        <v>0.99999340507372214</v>
      </c>
      <c r="M409" s="1">
        <f t="shared" si="930"/>
        <v>0</v>
      </c>
      <c r="N409" s="1">
        <f t="shared" si="930"/>
        <v>-3.6317776725073806E-3</v>
      </c>
      <c r="O409" s="1">
        <f t="shared" si="578"/>
        <v>-3.6317776725073806E-3</v>
      </c>
      <c r="P409" s="1">
        <f t="shared" si="872"/>
        <v>3.6317537212013726E-3</v>
      </c>
      <c r="Q409" s="1">
        <f t="shared" si="873"/>
        <v>0</v>
      </c>
      <c r="R409" s="1">
        <f t="shared" si="874"/>
        <v>0.99998681019093749</v>
      </c>
      <c r="S409" s="1">
        <f t="shared" si="875"/>
        <v>4.2805098452812311</v>
      </c>
      <c r="T409" s="1">
        <f t="shared" ref="T409:V409" si="931">$S409*P409</f>
        <v>1.5545757559239223E-2</v>
      </c>
      <c r="U409" s="1">
        <f t="shared" si="931"/>
        <v>0</v>
      </c>
      <c r="V409" s="1">
        <f t="shared" si="931"/>
        <v>4.280453386173682</v>
      </c>
      <c r="W409" s="1">
        <f t="shared" si="877"/>
        <v>-52.927253172655334</v>
      </c>
      <c r="X409" s="1">
        <f t="shared" si="878"/>
        <v>0</v>
      </c>
      <c r="Y409" s="1">
        <f t="shared" si="879"/>
        <v>-5.3339188706939753</v>
      </c>
    </row>
    <row r="410" spans="1:25">
      <c r="A410" s="1">
        <v>0.40799999999999997</v>
      </c>
      <c r="B410" s="1">
        <f t="shared" si="880"/>
        <v>22.405281537169405</v>
      </c>
      <c r="C410" s="1">
        <f t="shared" si="881"/>
        <v>0</v>
      </c>
      <c r="D410" s="1">
        <f t="shared" si="882"/>
        <v>0.21064024331838388</v>
      </c>
      <c r="E410" s="1">
        <f t="shared" si="883"/>
        <v>36.01480590301702</v>
      </c>
      <c r="F410" s="1">
        <f t="shared" si="884"/>
        <v>0</v>
      </c>
      <c r="G410" s="1">
        <f t="shared" si="885"/>
        <v>-0.13632477072030882</v>
      </c>
      <c r="H410" s="1">
        <f t="shared" si="576"/>
        <v>36.01506391324471</v>
      </c>
      <c r="I410" s="1">
        <f t="shared" si="868"/>
        <v>-52.787562156999279</v>
      </c>
      <c r="J410" s="1">
        <f t="shared" si="869"/>
        <v>0</v>
      </c>
      <c r="K410" s="1">
        <f t="shared" si="870"/>
        <v>0.19981371903865058</v>
      </c>
      <c r="L410" s="1">
        <f t="shared" ref="L410:N410" si="932">E410/$H410</f>
        <v>0.9999928360469299</v>
      </c>
      <c r="M410" s="1">
        <f t="shared" si="932"/>
        <v>0</v>
      </c>
      <c r="N410" s="1">
        <f t="shared" si="932"/>
        <v>-3.785215293486533E-3</v>
      </c>
      <c r="O410" s="1">
        <f t="shared" si="578"/>
        <v>-3.785215293486533E-3</v>
      </c>
      <c r="P410" s="1">
        <f t="shared" si="872"/>
        <v>3.7851881763818103E-3</v>
      </c>
      <c r="Q410" s="1">
        <f t="shared" si="873"/>
        <v>0</v>
      </c>
      <c r="R410" s="1">
        <f t="shared" si="874"/>
        <v>0.99998567214518197</v>
      </c>
      <c r="S410" s="1">
        <f t="shared" si="875"/>
        <v>4.2679611328476703</v>
      </c>
      <c r="T410" s="1">
        <f t="shared" ref="T410:V410" si="933">$S410*P410</f>
        <v>1.6155036017312118E-2</v>
      </c>
      <c r="U410" s="1">
        <f t="shared" si="933"/>
        <v>0</v>
      </c>
      <c r="V410" s="1">
        <f t="shared" si="933"/>
        <v>4.2678999821201895</v>
      </c>
      <c r="W410" s="1">
        <f t="shared" si="877"/>
        <v>-52.771407120981969</v>
      </c>
      <c r="X410" s="1">
        <f t="shared" si="878"/>
        <v>0</v>
      </c>
      <c r="Y410" s="1">
        <f t="shared" si="879"/>
        <v>-5.3389362988411593</v>
      </c>
    </row>
    <row r="411" spans="1:25">
      <c r="A411" s="1">
        <v>0.40899999999999997</v>
      </c>
      <c r="B411" s="1">
        <f t="shared" si="880"/>
        <v>22.4412435716653</v>
      </c>
      <c r="C411" s="1">
        <f t="shared" si="881"/>
        <v>0</v>
      </c>
      <c r="D411" s="1">
        <f t="shared" si="882"/>
        <v>0.21049857961136473</v>
      </c>
      <c r="E411" s="1">
        <f t="shared" si="883"/>
        <v>35.962034495896042</v>
      </c>
      <c r="F411" s="1">
        <f t="shared" si="884"/>
        <v>0</v>
      </c>
      <c r="G411" s="1">
        <f t="shared" si="885"/>
        <v>-0.14166370701914999</v>
      </c>
      <c r="H411" s="1">
        <f t="shared" si="576"/>
        <v>35.962313519709816</v>
      </c>
      <c r="I411" s="1">
        <f t="shared" si="868"/>
        <v>-52.633010760324666</v>
      </c>
      <c r="J411" s="1">
        <f t="shared" si="869"/>
        <v>0</v>
      </c>
      <c r="K411" s="1">
        <f t="shared" si="870"/>
        <v>0.20733497201715037</v>
      </c>
      <c r="L411" s="1">
        <f t="shared" ref="L411:N411" si="934">E411/$H411</f>
        <v>0.9999922412162493</v>
      </c>
      <c r="M411" s="1">
        <f t="shared" si="934"/>
        <v>0</v>
      </c>
      <c r="N411" s="1">
        <f t="shared" si="934"/>
        <v>-3.9392267391670606E-3</v>
      </c>
      <c r="O411" s="1">
        <f t="shared" si="578"/>
        <v>-3.9392267391670606E-3</v>
      </c>
      <c r="P411" s="1">
        <f t="shared" si="872"/>
        <v>3.9391961755586465E-3</v>
      </c>
      <c r="Q411" s="1">
        <f t="shared" si="873"/>
        <v>0</v>
      </c>
      <c r="R411" s="1">
        <f t="shared" si="874"/>
        <v>0.99998448249269745</v>
      </c>
      <c r="S411" s="1">
        <f t="shared" si="875"/>
        <v>4.2554679297923137</v>
      </c>
      <c r="T411" s="1">
        <f t="shared" ref="T411:V411" si="935">$S411*P411</f>
        <v>1.6763122994250354E-2</v>
      </c>
      <c r="U411" s="1">
        <f t="shared" si="935"/>
        <v>0</v>
      </c>
      <c r="V411" s="1">
        <f t="shared" si="935"/>
        <v>4.2554018955376369</v>
      </c>
      <c r="W411" s="1">
        <f t="shared" si="877"/>
        <v>-52.616247637330417</v>
      </c>
      <c r="X411" s="1">
        <f t="shared" si="878"/>
        <v>0</v>
      </c>
      <c r="Y411" s="1">
        <f t="shared" si="879"/>
        <v>-5.3439131324452118</v>
      </c>
    </row>
    <row r="412" spans="1:25">
      <c r="A412" s="1">
        <v>0.41</v>
      </c>
      <c r="B412" s="1">
        <f t="shared" si="880"/>
        <v>22.477152989913559</v>
      </c>
      <c r="C412" s="1">
        <f t="shared" si="881"/>
        <v>0</v>
      </c>
      <c r="D412" s="1">
        <f t="shared" si="882"/>
        <v>0.21035157199121313</v>
      </c>
      <c r="E412" s="1">
        <f t="shared" si="883"/>
        <v>35.90941824825871</v>
      </c>
      <c r="F412" s="1">
        <f t="shared" si="884"/>
        <v>0</v>
      </c>
      <c r="G412" s="1">
        <f t="shared" si="885"/>
        <v>-0.14700762015159519</v>
      </c>
      <c r="H412" s="1">
        <f t="shared" si="576"/>
        <v>35.909719160260195</v>
      </c>
      <c r="I412" s="1">
        <f t="shared" si="868"/>
        <v>-52.479140728265563</v>
      </c>
      <c r="J412" s="1">
        <f t="shared" si="869"/>
        <v>0</v>
      </c>
      <c r="K412" s="1">
        <f t="shared" si="870"/>
        <v>0.21484150850695202</v>
      </c>
      <c r="L412" s="1">
        <f t="shared" ref="L412:N412" si="936">E412/$H412</f>
        <v>0.99999162031871813</v>
      </c>
      <c r="M412" s="1">
        <f t="shared" si="936"/>
        <v>0</v>
      </c>
      <c r="N412" s="1">
        <f t="shared" si="936"/>
        <v>-4.0938114691323581E-3</v>
      </c>
      <c r="O412" s="1">
        <f t="shared" si="578"/>
        <v>-4.0938114691323581E-3</v>
      </c>
      <c r="P412" s="1">
        <f t="shared" si="872"/>
        <v>4.0937771642970185E-3</v>
      </c>
      <c r="Q412" s="1">
        <f t="shared" si="873"/>
        <v>0</v>
      </c>
      <c r="R412" s="1">
        <f t="shared" si="874"/>
        <v>0.99998324070765521</v>
      </c>
      <c r="S412" s="1">
        <f t="shared" si="875"/>
        <v>4.2430299119917176</v>
      </c>
      <c r="T412" s="1">
        <f t="shared" ref="T412:V412" si="937">$S412*P412</f>
        <v>1.7370018961140883E-2</v>
      </c>
      <c r="U412" s="1">
        <f t="shared" si="937"/>
        <v>0</v>
      </c>
      <c r="V412" s="1">
        <f t="shared" si="937"/>
        <v>4.2429588018129945</v>
      </c>
      <c r="W412" s="1">
        <f t="shared" si="877"/>
        <v>-52.461770709304425</v>
      </c>
      <c r="X412" s="1">
        <f t="shared" si="878"/>
        <v>0</v>
      </c>
      <c r="Y412" s="1">
        <f t="shared" si="879"/>
        <v>-5.348849689680053</v>
      </c>
    </row>
    <row r="413" spans="1:25">
      <c r="A413" s="1">
        <v>0.41099999999999998</v>
      </c>
      <c r="B413" s="1">
        <f t="shared" si="880"/>
        <v>22.513009946391108</v>
      </c>
      <c r="C413" s="1">
        <f t="shared" si="881"/>
        <v>0</v>
      </c>
      <c r="D413" s="1">
        <f t="shared" si="882"/>
        <v>0.21019921552137186</v>
      </c>
      <c r="E413" s="1">
        <f t="shared" si="883"/>
        <v>35.856956477549403</v>
      </c>
      <c r="F413" s="1">
        <f t="shared" si="884"/>
        <v>0</v>
      </c>
      <c r="G413" s="1">
        <f t="shared" si="885"/>
        <v>-0.15235646984127524</v>
      </c>
      <c r="H413" s="1">
        <f t="shared" si="576"/>
        <v>35.85728015796478</v>
      </c>
      <c r="I413" s="1">
        <f t="shared" si="868"/>
        <v>-52.325948078234305</v>
      </c>
      <c r="J413" s="1">
        <f t="shared" si="869"/>
        <v>0</v>
      </c>
      <c r="K413" s="1">
        <f t="shared" si="870"/>
        <v>0.22233333538191272</v>
      </c>
      <c r="L413" s="1">
        <f t="shared" ref="L413:N413" si="938">E413/$H413</f>
        <v>0.99999097309070983</v>
      </c>
      <c r="M413" s="1">
        <f t="shared" si="938"/>
        <v>0</v>
      </c>
      <c r="N413" s="1">
        <f t="shared" si="938"/>
        <v>-4.2489689449419421E-3</v>
      </c>
      <c r="O413" s="1">
        <f t="shared" si="578"/>
        <v>-4.2489689449419421E-3</v>
      </c>
      <c r="P413" s="1">
        <f t="shared" si="872"/>
        <v>4.248930589884699E-3</v>
      </c>
      <c r="Q413" s="1">
        <f t="shared" si="873"/>
        <v>0</v>
      </c>
      <c r="R413" s="1">
        <f t="shared" si="874"/>
        <v>0.99998194626290493</v>
      </c>
      <c r="S413" s="1">
        <f t="shared" si="875"/>
        <v>4.2306467576919751</v>
      </c>
      <c r="T413" s="1">
        <f t="shared" ref="T413:V413" si="939">$S413*P413</f>
        <v>1.7975724423753954E-2</v>
      </c>
      <c r="U413" s="1">
        <f t="shared" si="939"/>
        <v>0</v>
      </c>
      <c r="V413" s="1">
        <f t="shared" si="939"/>
        <v>4.2305703787076698</v>
      </c>
      <c r="W413" s="1">
        <f t="shared" si="877"/>
        <v>-52.307972353810548</v>
      </c>
      <c r="X413" s="1">
        <f t="shared" si="878"/>
        <v>0</v>
      </c>
      <c r="Y413" s="1">
        <f t="shared" si="879"/>
        <v>-5.3537462859104172</v>
      </c>
    </row>
    <row r="414" spans="1:25">
      <c r="A414" s="1">
        <v>0.41199999999999998</v>
      </c>
      <c r="B414" s="1">
        <f t="shared" si="880"/>
        <v>22.548814594896303</v>
      </c>
      <c r="C414" s="1">
        <f t="shared" si="881"/>
        <v>0</v>
      </c>
      <c r="D414" s="1">
        <f t="shared" si="882"/>
        <v>0.21004150530524468</v>
      </c>
      <c r="E414" s="1">
        <f t="shared" si="883"/>
        <v>35.804648505195594</v>
      </c>
      <c r="F414" s="1">
        <f t="shared" si="884"/>
        <v>0</v>
      </c>
      <c r="G414" s="1">
        <f t="shared" si="885"/>
        <v>-0.15771021612718567</v>
      </c>
      <c r="H414" s="1">
        <f t="shared" si="576"/>
        <v>35.804995839866763</v>
      </c>
      <c r="I414" s="1">
        <f t="shared" si="868"/>
        <v>-52.173428856723582</v>
      </c>
      <c r="J414" s="1">
        <f t="shared" si="869"/>
        <v>0</v>
      </c>
      <c r="K414" s="1">
        <f t="shared" si="870"/>
        <v>0.22981045994338473</v>
      </c>
      <c r="L414" s="1">
        <f t="shared" ref="L414:N414" si="940">E414/$H414</f>
        <v>0.9999902992679367</v>
      </c>
      <c r="M414" s="1">
        <f t="shared" si="940"/>
        <v>0</v>
      </c>
      <c r="N414" s="1">
        <f t="shared" si="940"/>
        <v>-4.4046986301164315E-3</v>
      </c>
      <c r="O414" s="1">
        <f t="shared" si="578"/>
        <v>-4.4046986301164315E-3</v>
      </c>
      <c r="P414" s="1">
        <f t="shared" si="872"/>
        <v>4.4046559013152008E-3</v>
      </c>
      <c r="Q414" s="1">
        <f t="shared" si="873"/>
        <v>0</v>
      </c>
      <c r="R414" s="1">
        <f t="shared" si="874"/>
        <v>0.9999805986299779</v>
      </c>
      <c r="S414" s="1">
        <f t="shared" si="875"/>
        <v>4.2183181474879277</v>
      </c>
      <c r="T414" s="1">
        <f t="shared" ref="T414:V414" si="941">$S414*P414</f>
        <v>1.8580239921957706E-2</v>
      </c>
      <c r="U414" s="1">
        <f t="shared" si="941"/>
        <v>0</v>
      </c>
      <c r="V414" s="1">
        <f t="shared" si="941"/>
        <v>4.218236306336677</v>
      </c>
      <c r="W414" s="1">
        <f t="shared" si="877"/>
        <v>-52.154848616801623</v>
      </c>
      <c r="X414" s="1">
        <f t="shared" si="878"/>
        <v>0</v>
      </c>
      <c r="Y414" s="1">
        <f t="shared" si="879"/>
        <v>-5.3586032337199381</v>
      </c>
    </row>
    <row r="415" spans="1:25">
      <c r="A415" s="1">
        <v>0.41299999999999998</v>
      </c>
      <c r="B415" s="1">
        <f t="shared" si="880"/>
        <v>22.58456708855288</v>
      </c>
      <c r="C415" s="1">
        <f t="shared" si="881"/>
        <v>0</v>
      </c>
      <c r="D415" s="1">
        <f t="shared" si="882"/>
        <v>0.20987843648588378</v>
      </c>
      <c r="E415" s="1">
        <f t="shared" si="883"/>
        <v>35.752493656578793</v>
      </c>
      <c r="F415" s="1">
        <f t="shared" si="884"/>
        <v>0</v>
      </c>
      <c r="G415" s="1">
        <f t="shared" si="885"/>
        <v>-0.16306881936090561</v>
      </c>
      <c r="H415" s="1">
        <f t="shared" si="576"/>
        <v>35.75286553695458</v>
      </c>
      <c r="I415" s="1">
        <f t="shared" si="868"/>
        <v>-52.021579139051937</v>
      </c>
      <c r="J415" s="1">
        <f t="shared" si="869"/>
        <v>0</v>
      </c>
      <c r="K415" s="1">
        <f t="shared" si="870"/>
        <v>0.23727288991306897</v>
      </c>
      <c r="L415" s="1">
        <f t="shared" ref="L415:N415" si="942">E415/$H415</f>
        <v>0.99998959858545033</v>
      </c>
      <c r="M415" s="1">
        <f t="shared" si="942"/>
        <v>0</v>
      </c>
      <c r="N415" s="1">
        <f t="shared" si="942"/>
        <v>-4.5609999901226319E-3</v>
      </c>
      <c r="O415" s="1">
        <f t="shared" si="578"/>
        <v>-4.5609999901226319E-3</v>
      </c>
      <c r="P415" s="1">
        <f t="shared" si="872"/>
        <v>4.5609525492709734E-3</v>
      </c>
      <c r="Q415" s="1">
        <f t="shared" si="873"/>
        <v>0</v>
      </c>
      <c r="R415" s="1">
        <f t="shared" si="874"/>
        <v>0.99997919727909013</v>
      </c>
      <c r="S415" s="1">
        <f t="shared" si="875"/>
        <v>4.2060437643026232</v>
      </c>
      <c r="T415" s="1">
        <f t="shared" ref="T415:V415" si="943">$S415*P415</f>
        <v>1.9183566029141331E-2</v>
      </c>
      <c r="U415" s="1">
        <f t="shared" si="943"/>
        <v>0</v>
      </c>
      <c r="V415" s="1">
        <f t="shared" si="943"/>
        <v>4.2059562671480597</v>
      </c>
      <c r="W415" s="1">
        <f t="shared" si="877"/>
        <v>-52.002395573022795</v>
      </c>
      <c r="X415" s="1">
        <f t="shared" si="878"/>
        <v>0</v>
      </c>
      <c r="Y415" s="1">
        <f t="shared" si="879"/>
        <v>-5.3634208429388703</v>
      </c>
    </row>
    <row r="416" spans="1:25">
      <c r="A416" s="1">
        <v>0.41399999999999998</v>
      </c>
      <c r="B416" s="1">
        <f t="shared" si="880"/>
        <v>22.620267579813888</v>
      </c>
      <c r="C416" s="1">
        <f t="shared" si="881"/>
        <v>0</v>
      </c>
      <c r="D416" s="1">
        <f t="shared" si="882"/>
        <v>0.20971000424567993</v>
      </c>
      <c r="E416" s="1">
        <f t="shared" si="883"/>
        <v>35.700491261005773</v>
      </c>
      <c r="F416" s="1">
        <f t="shared" si="884"/>
        <v>0</v>
      </c>
      <c r="G416" s="1">
        <f t="shared" si="885"/>
        <v>-0.16843224020384448</v>
      </c>
      <c r="H416" s="1">
        <f t="shared" si="576"/>
        <v>35.70088858413316</v>
      </c>
      <c r="I416" s="1">
        <f t="shared" si="868"/>
        <v>-51.87039502911199</v>
      </c>
      <c r="J416" s="1">
        <f t="shared" si="869"/>
        <v>0</v>
      </c>
      <c r="K416" s="1">
        <f t="shared" si="870"/>
        <v>0.24472063342597145</v>
      </c>
      <c r="L416" s="1">
        <f t="shared" ref="L416:N416" si="944">E416/$H416</f>
        <v>0.9999888707776432</v>
      </c>
      <c r="M416" s="1">
        <f t="shared" si="944"/>
        <v>0</v>
      </c>
      <c r="N416" s="1">
        <f t="shared" si="944"/>
        <v>-4.7178724923586978E-3</v>
      </c>
      <c r="O416" s="1">
        <f t="shared" si="578"/>
        <v>-4.7178724923586978E-3</v>
      </c>
      <c r="P416" s="1">
        <f t="shared" si="872"/>
        <v>4.7178199861066797E-3</v>
      </c>
      <c r="Q416" s="1">
        <f t="shared" si="873"/>
        <v>0</v>
      </c>
      <c r="R416" s="1">
        <f t="shared" si="874"/>
        <v>0.99997774167914588</v>
      </c>
      <c r="S416" s="1">
        <f t="shared" si="875"/>
        <v>4.1938232933669681</v>
      </c>
      <c r="T416" s="1">
        <f t="shared" ref="T416:V416" si="945">$S416*P416</f>
        <v>1.9785703351646419E-2</v>
      </c>
      <c r="U416" s="1">
        <f t="shared" si="945"/>
        <v>0</v>
      </c>
      <c r="V416" s="1">
        <f t="shared" si="945"/>
        <v>4.1937299459024988</v>
      </c>
      <c r="W416" s="1">
        <f t="shared" si="877"/>
        <v>-51.850609325760345</v>
      </c>
      <c r="X416" s="1">
        <f t="shared" si="878"/>
        <v>0</v>
      </c>
      <c r="Y416" s="1">
        <f t="shared" si="879"/>
        <v>-5.3681994206715293</v>
      </c>
    </row>
    <row r="417" spans="1:25">
      <c r="A417" s="1">
        <v>0.41499999999999998</v>
      </c>
      <c r="B417" s="1">
        <f t="shared" si="880"/>
        <v>22.655916220465567</v>
      </c>
      <c r="C417" s="1">
        <f t="shared" si="881"/>
        <v>0</v>
      </c>
      <c r="D417" s="1">
        <f t="shared" si="882"/>
        <v>0.20953620380605542</v>
      </c>
      <c r="E417" s="1">
        <f t="shared" si="883"/>
        <v>35.648640651680012</v>
      </c>
      <c r="F417" s="1">
        <f t="shared" si="884"/>
        <v>0</v>
      </c>
      <c r="G417" s="1">
        <f t="shared" si="885"/>
        <v>-0.17380043962451602</v>
      </c>
      <c r="H417" s="1">
        <f t="shared" si="576"/>
        <v>35.649064320195365</v>
      </c>
      <c r="I417" s="1">
        <f t="shared" si="868"/>
        <v>-51.719872659121052</v>
      </c>
      <c r="J417" s="1">
        <f t="shared" si="869"/>
        <v>0</v>
      </c>
      <c r="K417" s="1">
        <f t="shared" si="870"/>
        <v>0.25215369902346063</v>
      </c>
      <c r="L417" s="1">
        <f t="shared" ref="L417:N417" si="946">E417/$H417</f>
        <v>0.99998811557825062</v>
      </c>
      <c r="M417" s="1">
        <f t="shared" si="946"/>
        <v>0</v>
      </c>
      <c r="N417" s="1">
        <f t="shared" si="946"/>
        <v>-4.8753156061394085E-3</v>
      </c>
      <c r="O417" s="1">
        <f t="shared" si="578"/>
        <v>-4.8753156061394085E-3</v>
      </c>
      <c r="P417" s="1">
        <f t="shared" si="872"/>
        <v>4.8752576658325835E-3</v>
      </c>
      <c r="Q417" s="1">
        <f t="shared" si="873"/>
        <v>0</v>
      </c>
      <c r="R417" s="1">
        <f t="shared" si="874"/>
        <v>0.99997623129774049</v>
      </c>
      <c r="S417" s="1">
        <f t="shared" si="875"/>
        <v>4.1816564221995955</v>
      </c>
      <c r="T417" s="1">
        <f t="shared" ref="T417:V417" si="947">$S417*P417</f>
        <v>2.0386652528206633E-2</v>
      </c>
      <c r="U417" s="1">
        <f t="shared" si="947"/>
        <v>0</v>
      </c>
      <c r="V417" s="1">
        <f t="shared" si="947"/>
        <v>4.1815570296531446</v>
      </c>
      <c r="W417" s="1">
        <f t="shared" si="877"/>
        <v>-51.699486006592842</v>
      </c>
      <c r="X417" s="1">
        <f t="shared" si="878"/>
        <v>0</v>
      </c>
      <c r="Y417" s="1">
        <f t="shared" si="879"/>
        <v>-5.3729392713233945</v>
      </c>
    </row>
    <row r="418" spans="1:25">
      <c r="A418" s="1">
        <v>0.41599999999999998</v>
      </c>
      <c r="B418" s="1">
        <f t="shared" si="880"/>
        <v>22.691513161631242</v>
      </c>
      <c r="C418" s="1">
        <f t="shared" si="881"/>
        <v>0</v>
      </c>
      <c r="D418" s="1">
        <f t="shared" si="882"/>
        <v>0.20935703042715958</v>
      </c>
      <c r="E418" s="1">
        <f t="shared" si="883"/>
        <v>35.596941165673421</v>
      </c>
      <c r="F418" s="1">
        <f t="shared" si="884"/>
        <v>0</v>
      </c>
      <c r="G418" s="1">
        <f t="shared" si="885"/>
        <v>-0.17917337889583942</v>
      </c>
      <c r="H418" s="1">
        <f t="shared" si="576"/>
        <v>35.597392087793736</v>
      </c>
      <c r="I418" s="1">
        <f t="shared" si="868"/>
        <v>-51.57000818937442</v>
      </c>
      <c r="J418" s="1">
        <f t="shared" si="869"/>
        <v>0</v>
      </c>
      <c r="K418" s="1">
        <f t="shared" si="870"/>
        <v>0.25957209564642447</v>
      </c>
      <c r="L418" s="1">
        <f t="shared" ref="L418:N418" si="948">E418/$H418</f>
        <v>0.99998733272035201</v>
      </c>
      <c r="M418" s="1">
        <f t="shared" si="948"/>
        <v>0</v>
      </c>
      <c r="N418" s="1">
        <f t="shared" si="948"/>
        <v>-5.0333288026815194E-3</v>
      </c>
      <c r="O418" s="1">
        <f t="shared" si="578"/>
        <v>-5.0333288026815194E-3</v>
      </c>
      <c r="P418" s="1">
        <f t="shared" si="872"/>
        <v>5.0332650440980155E-3</v>
      </c>
      <c r="Q418" s="1">
        <f t="shared" si="873"/>
        <v>0</v>
      </c>
      <c r="R418" s="1">
        <f t="shared" si="874"/>
        <v>0.9999746656011641</v>
      </c>
      <c r="S418" s="1">
        <f t="shared" si="875"/>
        <v>4.169542840586927</v>
      </c>
      <c r="T418" s="1">
        <f t="shared" ref="T418:V418" si="949">$S418*P418</f>
        <v>2.0986414229395324E-2</v>
      </c>
      <c r="U418" s="1">
        <f t="shared" si="949"/>
        <v>0</v>
      </c>
      <c r="V418" s="1">
        <f t="shared" si="949"/>
        <v>4.1694372077256405</v>
      </c>
      <c r="W418" s="1">
        <f t="shared" si="877"/>
        <v>-51.549021775145022</v>
      </c>
      <c r="X418" s="1">
        <f t="shared" si="878"/>
        <v>0</v>
      </c>
      <c r="Y418" s="1">
        <f t="shared" si="879"/>
        <v>-5.3776406966279344</v>
      </c>
    </row>
    <row r="419" spans="1:25">
      <c r="A419" s="1">
        <v>0.41699999999999998</v>
      </c>
      <c r="B419" s="1">
        <f t="shared" si="880"/>
        <v>22.727058553775141</v>
      </c>
      <c r="C419" s="1">
        <f t="shared" si="881"/>
        <v>0</v>
      </c>
      <c r="D419" s="1">
        <f t="shared" si="882"/>
        <v>0.20917247940756711</v>
      </c>
      <c r="E419" s="1">
        <f t="shared" si="883"/>
        <v>35.545392143898276</v>
      </c>
      <c r="F419" s="1">
        <f t="shared" si="884"/>
        <v>0</v>
      </c>
      <c r="G419" s="1">
        <f t="shared" si="885"/>
        <v>-0.18455101959246736</v>
      </c>
      <c r="H419" s="1">
        <f t="shared" si="576"/>
        <v>35.545871233412434</v>
      </c>
      <c r="I419" s="1">
        <f t="shared" si="868"/>
        <v>-51.420797808001069</v>
      </c>
      <c r="J419" s="1">
        <f t="shared" si="869"/>
        <v>0</v>
      </c>
      <c r="K419" s="1">
        <f t="shared" si="870"/>
        <v>0.26697583262852598</v>
      </c>
      <c r="L419" s="1">
        <f t="shared" ref="L419:N419" si="950">E419/$H419</f>
        <v>0.99998652193637305</v>
      </c>
      <c r="M419" s="1">
        <f t="shared" si="950"/>
        <v>0</v>
      </c>
      <c r="N419" s="1">
        <f t="shared" si="950"/>
        <v>-5.1919115550892155E-3</v>
      </c>
      <c r="O419" s="1">
        <f t="shared" si="578"/>
        <v>-5.1919115550892155E-3</v>
      </c>
      <c r="P419" s="1">
        <f t="shared" si="872"/>
        <v>5.1918415781749307E-3</v>
      </c>
      <c r="Q419" s="1">
        <f t="shared" si="873"/>
        <v>0</v>
      </c>
      <c r="R419" s="1">
        <f t="shared" si="874"/>
        <v>0.99997304405440413</v>
      </c>
      <c r="S419" s="1">
        <f t="shared" si="875"/>
        <v>4.1574822405634437</v>
      </c>
      <c r="T419" s="1">
        <f t="shared" ref="T419:V419" si="951">$S419*P419</f>
        <v>2.1584989157081156E-2</v>
      </c>
      <c r="U419" s="1">
        <f t="shared" si="951"/>
        <v>0</v>
      </c>
      <c r="V419" s="1">
        <f t="shared" si="951"/>
        <v>4.1573701716983509</v>
      </c>
      <c r="W419" s="1">
        <f t="shared" si="877"/>
        <v>-51.399212818843985</v>
      </c>
      <c r="X419" s="1">
        <f t="shared" si="878"/>
        <v>0</v>
      </c>
      <c r="Y419" s="1">
        <f t="shared" si="879"/>
        <v>-5.3823039956731229</v>
      </c>
    </row>
    <row r="420" spans="1:25">
      <c r="A420" s="1">
        <v>0.41799999999999998</v>
      </c>
      <c r="B420" s="1">
        <f t="shared" si="880"/>
        <v>22.762552546706221</v>
      </c>
      <c r="C420" s="1">
        <f t="shared" si="881"/>
        <v>0</v>
      </c>
      <c r="D420" s="1">
        <f t="shared" si="882"/>
        <v>0.20898254608397898</v>
      </c>
      <c r="E420" s="1">
        <f t="shared" si="883"/>
        <v>35.493992931079433</v>
      </c>
      <c r="F420" s="1">
        <f t="shared" si="884"/>
        <v>0</v>
      </c>
      <c r="G420" s="1">
        <f t="shared" si="885"/>
        <v>-0.1899333235881405</v>
      </c>
      <c r="H420" s="1">
        <f t="shared" si="576"/>
        <v>35.494501107339509</v>
      </c>
      <c r="I420" s="1">
        <f t="shared" si="868"/>
        <v>-51.272237730721905</v>
      </c>
      <c r="J420" s="1">
        <f t="shared" si="869"/>
        <v>0</v>
      </c>
      <c r="K420" s="1">
        <f t="shared" si="870"/>
        <v>0.27436491968955579</v>
      </c>
      <c r="L420" s="1">
        <f t="shared" ref="L420:N420" si="952">E420/$H420</f>
        <v>0.99998568295808576</v>
      </c>
      <c r="M420" s="1">
        <f t="shared" si="952"/>
        <v>0</v>
      </c>
      <c r="N420" s="1">
        <f t="shared" si="952"/>
        <v>-5.3510633383396485E-3</v>
      </c>
      <c r="O420" s="1">
        <f t="shared" si="578"/>
        <v>-5.3510633383396485E-3</v>
      </c>
      <c r="P420" s="1">
        <f t="shared" si="872"/>
        <v>5.350986726941548E-3</v>
      </c>
      <c r="Q420" s="1">
        <f t="shared" si="873"/>
        <v>0</v>
      </c>
      <c r="R420" s="1">
        <f t="shared" si="874"/>
        <v>0.99997136612114912</v>
      </c>
      <c r="S420" s="1">
        <f t="shared" si="875"/>
        <v>4.1454743163921641</v>
      </c>
      <c r="T420" s="1">
        <f t="shared" ref="T420:V420" si="953">$S420*P420</f>
        <v>2.2182378043891556E-2</v>
      </c>
      <c r="U420" s="1">
        <f t="shared" si="953"/>
        <v>0</v>
      </c>
      <c r="V420" s="1">
        <f t="shared" si="953"/>
        <v>4.1453556153828091</v>
      </c>
      <c r="W420" s="1">
        <f t="shared" si="877"/>
        <v>-51.250055352678011</v>
      </c>
      <c r="X420" s="1">
        <f t="shared" si="878"/>
        <v>0</v>
      </c>
      <c r="Y420" s="1">
        <f t="shared" si="879"/>
        <v>-5.3869294649276345</v>
      </c>
    </row>
    <row r="421" spans="1:25">
      <c r="A421" s="1">
        <v>0.41899999999999998</v>
      </c>
      <c r="B421" s="1">
        <f t="shared" si="880"/>
        <v>22.797995289581948</v>
      </c>
      <c r="C421" s="1">
        <f t="shared" si="881"/>
        <v>0</v>
      </c>
      <c r="D421" s="1">
        <f t="shared" si="882"/>
        <v>0.2087872258309259</v>
      </c>
      <c r="E421" s="1">
        <f t="shared" si="883"/>
        <v>35.442742875726758</v>
      </c>
      <c r="F421" s="1">
        <f t="shared" si="884"/>
        <v>0</v>
      </c>
      <c r="G421" s="1">
        <f t="shared" si="885"/>
        <v>-0.19532025305306813</v>
      </c>
      <c r="H421" s="1">
        <f t="shared" si="576"/>
        <v>35.443281063639304</v>
      </c>
      <c r="I421" s="1">
        <f t="shared" si="868"/>
        <v>-51.124324200610417</v>
      </c>
      <c r="J421" s="1">
        <f t="shared" si="869"/>
        <v>0</v>
      </c>
      <c r="K421" s="1">
        <f t="shared" si="870"/>
        <v>0.2817393669288798</v>
      </c>
      <c r="L421" s="1">
        <f t="shared" ref="L421:N421" si="954">E421/$H421</f>
        <v>0.99998481551661145</v>
      </c>
      <c r="M421" s="1">
        <f t="shared" si="954"/>
        <v>0</v>
      </c>
      <c r="N421" s="1">
        <f t="shared" si="954"/>
        <v>-5.5107836292685687E-3</v>
      </c>
      <c r="O421" s="1">
        <f t="shared" si="578"/>
        <v>-5.5107836292685687E-3</v>
      </c>
      <c r="P421" s="1">
        <f t="shared" si="872"/>
        <v>5.5106999508660924E-3</v>
      </c>
      <c r="Q421" s="1">
        <f t="shared" si="873"/>
        <v>0</v>
      </c>
      <c r="R421" s="1">
        <f t="shared" si="874"/>
        <v>0.99996963126379135</v>
      </c>
      <c r="S421" s="1">
        <f t="shared" si="875"/>
        <v>4.1335187645453058</v>
      </c>
      <c r="T421" s="1">
        <f t="shared" ref="T421:V421" si="955">$S421*P421</f>
        <v>2.2778581652683889E-2</v>
      </c>
      <c r="U421" s="1">
        <f t="shared" si="955"/>
        <v>0</v>
      </c>
      <c r="V421" s="1">
        <f t="shared" si="955"/>
        <v>4.1333932348043314</v>
      </c>
      <c r="W421" s="1">
        <f t="shared" si="877"/>
        <v>-51.101545618957736</v>
      </c>
      <c r="X421" s="1">
        <f t="shared" si="878"/>
        <v>0</v>
      </c>
      <c r="Y421" s="1">
        <f t="shared" si="879"/>
        <v>-5.3915173982667879</v>
      </c>
    </row>
    <row r="422" spans="1:25">
      <c r="A422" s="1">
        <v>0.42</v>
      </c>
      <c r="B422" s="1">
        <f t="shared" si="880"/>
        <v>22.833386930912056</v>
      </c>
      <c r="C422" s="1">
        <f t="shared" si="881"/>
        <v>0</v>
      </c>
      <c r="D422" s="1">
        <f t="shared" si="882"/>
        <v>0.20858651406047457</v>
      </c>
      <c r="E422" s="1">
        <f t="shared" si="883"/>
        <v>35.391641330107802</v>
      </c>
      <c r="F422" s="1">
        <f t="shared" si="884"/>
        <v>0</v>
      </c>
      <c r="G422" s="1">
        <f t="shared" si="885"/>
        <v>-0.20071177045133493</v>
      </c>
      <c r="H422" s="1">
        <f t="shared" si="576"/>
        <v>35.392210460125156</v>
      </c>
      <c r="I422" s="1">
        <f t="shared" si="868"/>
        <v>-50.977053487855692</v>
      </c>
      <c r="J422" s="1">
        <f t="shared" si="869"/>
        <v>0</v>
      </c>
      <c r="K422" s="1">
        <f t="shared" si="870"/>
        <v>0.28909918481898078</v>
      </c>
      <c r="L422" s="1">
        <f t="shared" ref="L422:N422" si="956">E422/$H422</f>
        <v>0.99998391934242159</v>
      </c>
      <c r="M422" s="1">
        <f t="shared" si="956"/>
        <v>0</v>
      </c>
      <c r="N422" s="1">
        <f t="shared" si="956"/>
        <v>-5.6710719065560496E-3</v>
      </c>
      <c r="O422" s="1">
        <f t="shared" si="578"/>
        <v>-5.6710719065560496E-3</v>
      </c>
      <c r="P422" s="1">
        <f t="shared" si="872"/>
        <v>5.6709807119906174E-3</v>
      </c>
      <c r="Q422" s="1">
        <f t="shared" si="873"/>
        <v>0</v>
      </c>
      <c r="R422" s="1">
        <f t="shared" si="874"/>
        <v>0.99996783894343066</v>
      </c>
      <c r="S422" s="1">
        <f t="shared" si="875"/>
        <v>4.1216152836851458</v>
      </c>
      <c r="T422" s="1">
        <f t="shared" ref="T422:V422" si="957">$S422*P422</f>
        <v>2.3373600776024198E-2</v>
      </c>
      <c r="U422" s="1">
        <f t="shared" si="957"/>
        <v>0</v>
      </c>
      <c r="V422" s="1">
        <f t="shared" si="957"/>
        <v>4.1214827281828503</v>
      </c>
      <c r="W422" s="1">
        <f t="shared" si="877"/>
        <v>-50.953679887079666</v>
      </c>
      <c r="X422" s="1">
        <f t="shared" si="878"/>
        <v>0</v>
      </c>
      <c r="Y422" s="1">
        <f t="shared" si="879"/>
        <v>-5.3960680869981683</v>
      </c>
    </row>
    <row r="423" spans="1:25">
      <c r="A423" s="1">
        <v>0.42099999999999999</v>
      </c>
      <c r="B423" s="1">
        <f t="shared" si="880"/>
        <v>22.868727618562275</v>
      </c>
      <c r="C423" s="1">
        <f t="shared" si="881"/>
        <v>0</v>
      </c>
      <c r="D423" s="1">
        <f t="shared" si="882"/>
        <v>0.20838040622193624</v>
      </c>
      <c r="E423" s="1">
        <f t="shared" si="883"/>
        <v>35.340687650220723</v>
      </c>
      <c r="F423" s="1">
        <f t="shared" si="884"/>
        <v>0</v>
      </c>
      <c r="G423" s="1">
        <f t="shared" si="885"/>
        <v>-0.20610783853833309</v>
      </c>
      <c r="H423" s="1">
        <f t="shared" si="576"/>
        <v>35.341288658332346</v>
      </c>
      <c r="I423" s="1">
        <f t="shared" si="868"/>
        <v>-50.830421889527983</v>
      </c>
      <c r="J423" s="1">
        <f t="shared" si="869"/>
        <v>0</v>
      </c>
      <c r="K423" s="1">
        <f t="shared" si="870"/>
        <v>0.29644438419909336</v>
      </c>
      <c r="L423" s="1">
        <f t="shared" ref="L423:N423" si="958">E423/$H423</f>
        <v>0.9999829941653392</v>
      </c>
      <c r="M423" s="1">
        <f t="shared" si="958"/>
        <v>0</v>
      </c>
      <c r="N423" s="1">
        <f t="shared" si="958"/>
        <v>-5.8319276507122911E-3</v>
      </c>
      <c r="O423" s="1">
        <f t="shared" si="578"/>
        <v>-5.8319276507122911E-3</v>
      </c>
      <c r="P423" s="1">
        <f t="shared" si="872"/>
        <v>5.8318284739149098E-3</v>
      </c>
      <c r="Q423" s="1">
        <f t="shared" si="873"/>
        <v>0</v>
      </c>
      <c r="R423" s="1">
        <f t="shared" si="874"/>
        <v>0.99996598861987684</v>
      </c>
      <c r="S423" s="1">
        <f t="shared" si="875"/>
        <v>4.1097635746450862</v>
      </c>
      <c r="T423" s="1">
        <f t="shared" ref="T423:V423" si="959">$S423*P423</f>
        <v>2.3967436235673538E-2</v>
      </c>
      <c r="U423" s="1">
        <f t="shared" si="959"/>
        <v>0</v>
      </c>
      <c r="V423" s="1">
        <f t="shared" si="959"/>
        <v>4.109623795913933</v>
      </c>
      <c r="W423" s="1">
        <f t="shared" si="877"/>
        <v>-50.806454453292311</v>
      </c>
      <c r="X423" s="1">
        <f t="shared" si="878"/>
        <v>0</v>
      </c>
      <c r="Y423" s="1">
        <f t="shared" si="879"/>
        <v>-5.4005818198869733</v>
      </c>
    </row>
    <row r="424" spans="1:25">
      <c r="A424" s="1">
        <v>0.42199999999999999</v>
      </c>
      <c r="B424" s="1">
        <f t="shared" si="880"/>
        <v>22.904017499758041</v>
      </c>
      <c r="C424" s="1">
        <f t="shared" si="881"/>
        <v>0</v>
      </c>
      <c r="D424" s="1">
        <f t="shared" si="882"/>
        <v>0.20816889780157802</v>
      </c>
      <c r="E424" s="1">
        <f t="shared" si="883"/>
        <v>35.289881195767428</v>
      </c>
      <c r="F424" s="1">
        <f t="shared" si="884"/>
        <v>0</v>
      </c>
      <c r="G424" s="1">
        <f t="shared" si="885"/>
        <v>-0.21150842035822007</v>
      </c>
      <c r="H424" s="1">
        <f t="shared" si="576"/>
        <v>35.290515023491253</v>
      </c>
      <c r="I424" s="1">
        <f t="shared" si="868"/>
        <v>-50.684425729346451</v>
      </c>
      <c r="J424" s="1">
        <f t="shared" si="869"/>
        <v>0</v>
      </c>
      <c r="K424" s="1">
        <f t="shared" si="870"/>
        <v>0.30377497626892952</v>
      </c>
      <c r="L424" s="1">
        <f t="shared" ref="L424:N424" si="960">E424/$H424</f>
        <v>0.9999820397145408</v>
      </c>
      <c r="M424" s="1">
        <f t="shared" si="960"/>
        <v>0</v>
      </c>
      <c r="N424" s="1">
        <f t="shared" si="960"/>
        <v>-5.9933503440635187E-3</v>
      </c>
      <c r="O424" s="1">
        <f t="shared" si="578"/>
        <v>-5.9933503440635187E-3</v>
      </c>
      <c r="P424" s="1">
        <f t="shared" si="872"/>
        <v>5.993242701780482E-3</v>
      </c>
      <c r="Q424" s="1">
        <f t="shared" si="873"/>
        <v>0</v>
      </c>
      <c r="R424" s="1">
        <f t="shared" si="874"/>
        <v>0.99996407975165336</v>
      </c>
      <c r="S424" s="1">
        <f t="shared" si="875"/>
        <v>4.0979633404108951</v>
      </c>
      <c r="T424" s="1">
        <f t="shared" ref="T424:V424" si="961">$S424*P424</f>
        <v>2.4560088882081561E-2</v>
      </c>
      <c r="U424" s="1">
        <f t="shared" si="961"/>
        <v>0</v>
      </c>
      <c r="V424" s="1">
        <f t="shared" si="961"/>
        <v>4.097816140549992</v>
      </c>
      <c r="W424" s="1">
        <f t="shared" si="877"/>
        <v>-50.659865640464368</v>
      </c>
      <c r="X424" s="1">
        <f t="shared" si="878"/>
        <v>0</v>
      </c>
      <c r="Y424" s="1">
        <f t="shared" si="879"/>
        <v>-5.405058883181078</v>
      </c>
    </row>
    <row r="425" spans="1:25">
      <c r="A425" s="1">
        <v>0.42299999999999999</v>
      </c>
      <c r="B425" s="1">
        <f t="shared" si="880"/>
        <v>22.939256721088167</v>
      </c>
      <c r="C425" s="1">
        <f t="shared" si="881"/>
        <v>0</v>
      </c>
      <c r="D425" s="1">
        <f t="shared" si="882"/>
        <v>0.20795198432233661</v>
      </c>
      <c r="E425" s="1">
        <f t="shared" si="883"/>
        <v>35.239221330126966</v>
      </c>
      <c r="F425" s="1">
        <f t="shared" si="884"/>
        <v>0</v>
      </c>
      <c r="G425" s="1">
        <f t="shared" si="885"/>
        <v>-0.21691347924140114</v>
      </c>
      <c r="H425" s="1">
        <f t="shared" si="576"/>
        <v>35.239888924500768</v>
      </c>
      <c r="I425" s="1">
        <f t="shared" si="868"/>
        <v>-50.539061357449455</v>
      </c>
      <c r="J425" s="1">
        <f t="shared" si="869"/>
        <v>0</v>
      </c>
      <c r="K425" s="1">
        <f t="shared" si="870"/>
        <v>0.3110909725824953</v>
      </c>
      <c r="L425" s="1">
        <f t="shared" ref="L425:N425" si="962">E425/$H425</f>
        <v>0.99998105571855711</v>
      </c>
      <c r="M425" s="1">
        <f t="shared" si="962"/>
        <v>0</v>
      </c>
      <c r="N425" s="1">
        <f t="shared" si="962"/>
        <v>-6.1553394707379626E-3</v>
      </c>
      <c r="O425" s="1">
        <f t="shared" si="578"/>
        <v>-6.1553394707379626E-3</v>
      </c>
      <c r="P425" s="1">
        <f t="shared" si="872"/>
        <v>6.1552228622546524E-3</v>
      </c>
      <c r="Q425" s="1">
        <f t="shared" si="873"/>
        <v>0</v>
      </c>
      <c r="R425" s="1">
        <f t="shared" si="874"/>
        <v>0.99996211179600003</v>
      </c>
      <c r="S425" s="1">
        <f t="shared" si="875"/>
        <v>4.0862142861021518</v>
      </c>
      <c r="T425" s="1">
        <f t="shared" ref="T425:V425" si="963">$S425*P425</f>
        <v>2.5151559593887537E-2</v>
      </c>
      <c r="U425" s="1">
        <f t="shared" si="963"/>
        <v>0</v>
      </c>
      <c r="V425" s="1">
        <f t="shared" si="963"/>
        <v>4.0860594667816921</v>
      </c>
      <c r="W425" s="1">
        <f t="shared" si="877"/>
        <v>-50.513909797855568</v>
      </c>
      <c r="X425" s="1">
        <f t="shared" si="878"/>
        <v>0</v>
      </c>
      <c r="Y425" s="1">
        <f t="shared" si="879"/>
        <v>-5.4094995606358118</v>
      </c>
    </row>
    <row r="426" spans="1:25">
      <c r="A426" s="1">
        <v>0.42399999999999999</v>
      </c>
      <c r="B426" s="1">
        <f t="shared" si="880"/>
        <v>22.974445428508496</v>
      </c>
      <c r="C426" s="1">
        <f t="shared" si="881"/>
        <v>0</v>
      </c>
      <c r="D426" s="1">
        <f t="shared" si="882"/>
        <v>0.20772966134353457</v>
      </c>
      <c r="E426" s="1">
        <f t="shared" si="883"/>
        <v>35.188707420329109</v>
      </c>
      <c r="F426" s="1">
        <f t="shared" si="884"/>
        <v>0</v>
      </c>
      <c r="G426" s="1">
        <f t="shared" si="885"/>
        <v>-0.22232297880203694</v>
      </c>
      <c r="H426" s="1">
        <f t="shared" si="576"/>
        <v>35.189409733901876</v>
      </c>
      <c r="I426" s="1">
        <f t="shared" si="868"/>
        <v>-50.394325150166857</v>
      </c>
      <c r="J426" s="1">
        <f t="shared" si="869"/>
        <v>0</v>
      </c>
      <c r="K426" s="1">
        <f t="shared" si="870"/>
        <v>0.31839238504199419</v>
      </c>
      <c r="L426" s="1">
        <f t="shared" ref="L426:N426" si="964">E426/$H426</f>
        <v>0.99998004190527556</v>
      </c>
      <c r="M426" s="1">
        <f t="shared" si="964"/>
        <v>0</v>
      </c>
      <c r="N426" s="1">
        <f t="shared" si="964"/>
        <v>-6.3178945166519366E-3</v>
      </c>
      <c r="O426" s="1">
        <f t="shared" si="578"/>
        <v>-6.3178945166519366E-3</v>
      </c>
      <c r="P426" s="1">
        <f t="shared" si="872"/>
        <v>6.3177684235147143E-3</v>
      </c>
      <c r="Q426" s="1">
        <f t="shared" si="873"/>
        <v>0</v>
      </c>
      <c r="R426" s="1">
        <f t="shared" si="874"/>
        <v>0.9999600842088765</v>
      </c>
      <c r="S426" s="1">
        <f t="shared" si="875"/>
        <v>4.0745161189538504</v>
      </c>
      <c r="T426" s="1">
        <f t="shared" ref="T426:V426" si="965">$S426*P426</f>
        <v>2.5741849277428359E-2</v>
      </c>
      <c r="U426" s="1">
        <f t="shared" si="965"/>
        <v>0</v>
      </c>
      <c r="V426" s="1">
        <f t="shared" si="965"/>
        <v>4.074353481419517</v>
      </c>
      <c r="W426" s="1">
        <f t="shared" si="877"/>
        <v>-50.368583300889426</v>
      </c>
      <c r="X426" s="1">
        <f t="shared" si="878"/>
        <v>0</v>
      </c>
      <c r="Y426" s="1">
        <f t="shared" si="879"/>
        <v>-5.4139041335384883</v>
      </c>
    </row>
    <row r="427" spans="1:25">
      <c r="A427" s="1">
        <v>0.42499999999999999</v>
      </c>
      <c r="B427" s="1">
        <f t="shared" si="880"/>
        <v>23.009583767345525</v>
      </c>
      <c r="C427" s="1">
        <f t="shared" si="881"/>
        <v>0</v>
      </c>
      <c r="D427" s="1">
        <f t="shared" si="882"/>
        <v>0.20750192446059901</v>
      </c>
      <c r="E427" s="1">
        <f t="shared" si="883"/>
        <v>35.138338837028222</v>
      </c>
      <c r="F427" s="1">
        <f t="shared" si="884"/>
        <v>0</v>
      </c>
      <c r="G427" s="1">
        <f t="shared" si="885"/>
        <v>-0.22773688293557542</v>
      </c>
      <c r="H427" s="1">
        <f t="shared" si="576"/>
        <v>35.139076827851568</v>
      </c>
      <c r="I427" s="1">
        <f t="shared" si="868"/>
        <v>-50.25021350979496</v>
      </c>
      <c r="J427" s="1">
        <f t="shared" si="869"/>
        <v>0</v>
      </c>
      <c r="K427" s="1">
        <f t="shared" si="870"/>
        <v>0.32567922589182058</v>
      </c>
      <c r="L427" s="1">
        <f t="shared" ref="L427:N427" si="966">E427/$H427</f>
        <v>0.99997899800194068</v>
      </c>
      <c r="M427" s="1">
        <f t="shared" si="966"/>
        <v>0</v>
      </c>
      <c r="N427" s="1">
        <f t="shared" si="966"/>
        <v>-6.4810149694959828E-3</v>
      </c>
      <c r="O427" s="1">
        <f t="shared" si="578"/>
        <v>-6.4810149694959828E-3</v>
      </c>
      <c r="P427" s="1">
        <f t="shared" si="872"/>
        <v>6.4808788552321714E-3</v>
      </c>
      <c r="Q427" s="1">
        <f t="shared" si="873"/>
        <v>0</v>
      </c>
      <c r="R427" s="1">
        <f t="shared" si="874"/>
        <v>0.99995799644496519</v>
      </c>
      <c r="S427" s="1">
        <f t="shared" si="875"/>
        <v>4.0628685482982361</v>
      </c>
      <c r="T427" s="1">
        <f t="shared" ref="T427:V427" si="967">$S427*P427</f>
        <v>2.6330958866253865E-2</v>
      </c>
      <c r="U427" s="1">
        <f t="shared" si="967"/>
        <v>0</v>
      </c>
      <c r="V427" s="1">
        <f t="shared" si="967"/>
        <v>4.0626978933755682</v>
      </c>
      <c r="W427" s="1">
        <f t="shared" si="877"/>
        <v>-50.223882550928707</v>
      </c>
      <c r="X427" s="1">
        <f t="shared" si="878"/>
        <v>0</v>
      </c>
      <c r="Y427" s="1">
        <f t="shared" si="879"/>
        <v>-5.4182728807326104</v>
      </c>
    </row>
    <row r="428" spans="1:25">
      <c r="A428" s="1">
        <v>0.42599999999999999</v>
      </c>
      <c r="B428" s="1">
        <f t="shared" si="880"/>
        <v>23.044671882300001</v>
      </c>
      <c r="C428" s="1">
        <f t="shared" si="881"/>
        <v>0</v>
      </c>
      <c r="D428" s="1">
        <f t="shared" si="882"/>
        <v>0.20726876930478269</v>
      </c>
      <c r="E428" s="1">
        <f t="shared" si="883"/>
        <v>35.088114954477291</v>
      </c>
      <c r="F428" s="1">
        <f t="shared" si="884"/>
        <v>0</v>
      </c>
      <c r="G428" s="1">
        <f t="shared" si="885"/>
        <v>-0.23315515581630802</v>
      </c>
      <c r="H428" s="1">
        <f t="shared" si="576"/>
        <v>35.088889586096862</v>
      </c>
      <c r="I428" s="1">
        <f t="shared" si="868"/>
        <v>-50.106722864373381</v>
      </c>
      <c r="J428" s="1">
        <f t="shared" si="869"/>
        <v>0</v>
      </c>
      <c r="K428" s="1">
        <f t="shared" si="870"/>
        <v>0.33295150771263704</v>
      </c>
      <c r="L428" s="1">
        <f t="shared" ref="L428:N428" si="968">E428/$H428</f>
        <v>0.99997792373515637</v>
      </c>
      <c r="M428" s="1">
        <f t="shared" si="968"/>
        <v>0</v>
      </c>
      <c r="N428" s="1">
        <f t="shared" si="968"/>
        <v>-6.6447003187211206E-3</v>
      </c>
      <c r="O428" s="1">
        <f t="shared" si="578"/>
        <v>-6.6447003187211206E-3</v>
      </c>
      <c r="P428" s="1">
        <f t="shared" si="872"/>
        <v>6.644553628557078E-3</v>
      </c>
      <c r="Q428" s="1">
        <f t="shared" si="873"/>
        <v>0</v>
      </c>
      <c r="R428" s="1">
        <f t="shared" si="874"/>
        <v>0.99995584795767434</v>
      </c>
      <c r="S428" s="1">
        <f t="shared" si="875"/>
        <v>4.0512712855467647</v>
      </c>
      <c r="T428" s="1">
        <f t="shared" ref="T428:V428" si="969">$S428*P428</f>
        <v>2.6918889320648853E-2</v>
      </c>
      <c r="U428" s="1">
        <f t="shared" si="969"/>
        <v>0</v>
      </c>
      <c r="V428" s="1">
        <f t="shared" si="969"/>
        <v>4.0510924136454927</v>
      </c>
      <c r="W428" s="1">
        <f t="shared" si="877"/>
        <v>-50.079803975052734</v>
      </c>
      <c r="X428" s="1">
        <f t="shared" si="878"/>
        <v>0</v>
      </c>
      <c r="Y428" s="1">
        <f t="shared" si="879"/>
        <v>-5.4226060786418699</v>
      </c>
    </row>
    <row r="429" spans="1:25">
      <c r="A429" s="1">
        <v>0.42699999999999999</v>
      </c>
      <c r="B429" s="1">
        <f t="shared" si="880"/>
        <v>23.079709917450504</v>
      </c>
      <c r="C429" s="1">
        <f t="shared" si="881"/>
        <v>0</v>
      </c>
      <c r="D429" s="1">
        <f t="shared" si="882"/>
        <v>0.20703019154288774</v>
      </c>
      <c r="E429" s="1">
        <f t="shared" si="883"/>
        <v>35.038035150502239</v>
      </c>
      <c r="F429" s="1">
        <f t="shared" si="884"/>
        <v>0</v>
      </c>
      <c r="G429" s="1">
        <f t="shared" si="885"/>
        <v>-0.23857776189494989</v>
      </c>
      <c r="H429" s="1">
        <f t="shared" si="576"/>
        <v>35.03884739194914</v>
      </c>
      <c r="I429" s="1">
        <f t="shared" si="868"/>
        <v>-49.963849667464409</v>
      </c>
      <c r="J429" s="1">
        <f t="shared" si="869"/>
        <v>0</v>
      </c>
      <c r="K429" s="1">
        <f t="shared" si="870"/>
        <v>0.3402092434155381</v>
      </c>
      <c r="L429" s="1">
        <f t="shared" ref="L429:N429" si="970">E429/$H429</f>
        <v>0.9999768188308874</v>
      </c>
      <c r="M429" s="1">
        <f t="shared" si="970"/>
        <v>0</v>
      </c>
      <c r="N429" s="1">
        <f t="shared" si="970"/>
        <v>-6.8089500555251654E-3</v>
      </c>
      <c r="O429" s="1">
        <f t="shared" si="578"/>
        <v>-6.8089500555251654E-3</v>
      </c>
      <c r="P429" s="1">
        <f t="shared" si="872"/>
        <v>6.8087922161024494E-3</v>
      </c>
      <c r="Q429" s="1">
        <f t="shared" si="873"/>
        <v>0</v>
      </c>
      <c r="R429" s="1">
        <f t="shared" si="874"/>
        <v>0.9999536381991414</v>
      </c>
      <c r="S429" s="1">
        <f t="shared" si="875"/>
        <v>4.0397240441722948</v>
      </c>
      <c r="T429" s="1">
        <f t="shared" ref="T429:V429" si="971">$S429*P429</f>
        <v>2.7505641627162229E-2</v>
      </c>
      <c r="U429" s="1">
        <f t="shared" si="971"/>
        <v>0</v>
      </c>
      <c r="V429" s="1">
        <f t="shared" si="971"/>
        <v>4.0395367552906354</v>
      </c>
      <c r="W429" s="1">
        <f t="shared" si="877"/>
        <v>-49.936344025837244</v>
      </c>
      <c r="X429" s="1">
        <f t="shared" si="878"/>
        <v>0</v>
      </c>
      <c r="Y429" s="1">
        <f t="shared" si="879"/>
        <v>-5.4269040012938259</v>
      </c>
    </row>
    <row r="430" spans="1:25">
      <c r="A430" s="1">
        <v>0.42799999999999999</v>
      </c>
      <c r="B430" s="1">
        <f t="shared" si="880"/>
        <v>23.11469801625698</v>
      </c>
      <c r="C430" s="1">
        <f t="shared" si="881"/>
        <v>0</v>
      </c>
      <c r="D430" s="1">
        <f t="shared" si="882"/>
        <v>0.20678618687699149</v>
      </c>
      <c r="E430" s="1">
        <f t="shared" si="883"/>
        <v>34.988098806476401</v>
      </c>
      <c r="F430" s="1">
        <f t="shared" si="884"/>
        <v>0</v>
      </c>
      <c r="G430" s="1">
        <f t="shared" si="885"/>
        <v>-0.24400466589624373</v>
      </c>
      <c r="H430" s="1">
        <f t="shared" si="576"/>
        <v>34.988949632258674</v>
      </c>
      <c r="I430" s="1">
        <f t="shared" si="868"/>
        <v>-49.821590397934401</v>
      </c>
      <c r="J430" s="1">
        <f t="shared" si="869"/>
        <v>0</v>
      </c>
      <c r="K430" s="1">
        <f t="shared" si="870"/>
        <v>0.34745244623629695</v>
      </c>
      <c r="L430" s="1">
        <f t="shared" ref="L430:N430" si="972">E430/$H430</f>
        <v>0.99997568301445983</v>
      </c>
      <c r="M430" s="1">
        <f t="shared" si="972"/>
        <v>0</v>
      </c>
      <c r="N430" s="1">
        <f t="shared" si="972"/>
        <v>-6.9737636728391342E-3</v>
      </c>
      <c r="O430" s="1">
        <f t="shared" si="578"/>
        <v>-6.9737636728391342E-3</v>
      </c>
      <c r="P430" s="1">
        <f t="shared" si="872"/>
        <v>6.9735940919287412E-3</v>
      </c>
      <c r="Q430" s="1">
        <f t="shared" si="873"/>
        <v>0</v>
      </c>
      <c r="R430" s="1">
        <f t="shared" si="874"/>
        <v>0.99995136662023543</v>
      </c>
      <c r="S430" s="1">
        <f t="shared" si="875"/>
        <v>4.0282265396914267</v>
      </c>
      <c r="T430" s="1">
        <f t="shared" ref="T430:V430" si="973">$S430*P430</f>
        <v>2.809121679814269E-2</v>
      </c>
      <c r="U430" s="1">
        <f t="shared" si="973"/>
        <v>0</v>
      </c>
      <c r="V430" s="1">
        <f t="shared" si="973"/>
        <v>4.028030633420344</v>
      </c>
      <c r="W430" s="1">
        <f t="shared" si="877"/>
        <v>-49.793499181136255</v>
      </c>
      <c r="X430" s="1">
        <f t="shared" si="878"/>
        <v>0</v>
      </c>
      <c r="Y430" s="1">
        <f t="shared" si="879"/>
        <v>-5.4311669203433581</v>
      </c>
    </row>
    <row r="431" spans="1:25">
      <c r="A431" s="1">
        <v>0.42899999999999999</v>
      </c>
      <c r="B431" s="1">
        <f t="shared" si="880"/>
        <v>23.149636321564277</v>
      </c>
      <c r="C431" s="1">
        <f t="shared" si="881"/>
        <v>0</v>
      </c>
      <c r="D431" s="1">
        <f t="shared" si="882"/>
        <v>0.2065367510441749</v>
      </c>
      <c r="E431" s="1">
        <f t="shared" si="883"/>
        <v>34.938305307295266</v>
      </c>
      <c r="F431" s="1">
        <f t="shared" si="884"/>
        <v>0</v>
      </c>
      <c r="G431" s="1">
        <f t="shared" si="885"/>
        <v>-0.2494358328165871</v>
      </c>
      <c r="H431" s="1">
        <f t="shared" si="576"/>
        <v>34.939195697389337</v>
      </c>
      <c r="I431" s="1">
        <f t="shared" si="868"/>
        <v>-49.679941559737422</v>
      </c>
      <c r="J431" s="1">
        <f t="shared" si="869"/>
        <v>0</v>
      </c>
      <c r="K431" s="1">
        <f t="shared" si="870"/>
        <v>0.3546811297296949</v>
      </c>
      <c r="L431" s="1">
        <f t="shared" ref="L431:N431" si="974">E431/$H431</f>
        <v>0.99997451601056353</v>
      </c>
      <c r="M431" s="1">
        <f t="shared" si="974"/>
        <v>0</v>
      </c>
      <c r="N431" s="1">
        <f t="shared" si="974"/>
        <v>-7.1391406653137411E-3</v>
      </c>
      <c r="O431" s="1">
        <f t="shared" si="578"/>
        <v>-7.1391406653137411E-3</v>
      </c>
      <c r="P431" s="1">
        <f t="shared" si="872"/>
        <v>7.1389587315284411E-3</v>
      </c>
      <c r="Q431" s="1">
        <f t="shared" si="873"/>
        <v>0</v>
      </c>
      <c r="R431" s="1">
        <f t="shared" si="874"/>
        <v>0.9999490326705609</v>
      </c>
      <c r="S431" s="1">
        <f t="shared" si="875"/>
        <v>4.0167784896470282</v>
      </c>
      <c r="T431" s="1">
        <f t="shared" ref="T431:V431" si="975">$S431*P431</f>
        <v>2.8675615871281274E-2</v>
      </c>
      <c r="U431" s="1">
        <f t="shared" si="975"/>
        <v>0</v>
      </c>
      <c r="V431" s="1">
        <f t="shared" si="975"/>
        <v>4.0165737651744626</v>
      </c>
      <c r="W431" s="1">
        <f t="shared" si="877"/>
        <v>-49.651265943866143</v>
      </c>
      <c r="X431" s="1">
        <f t="shared" si="878"/>
        <v>0</v>
      </c>
      <c r="Y431" s="1">
        <f t="shared" si="879"/>
        <v>-5.435395105095842</v>
      </c>
    </row>
    <row r="432" spans="1:25">
      <c r="A432" s="1">
        <v>0.43</v>
      </c>
      <c r="B432" s="1">
        <f t="shared" si="880"/>
        <v>23.18452497560563</v>
      </c>
      <c r="C432" s="1">
        <f t="shared" si="881"/>
        <v>0</v>
      </c>
      <c r="D432" s="1">
        <f t="shared" si="882"/>
        <v>0.20628187981625323</v>
      </c>
      <c r="E432" s="1">
        <f t="shared" si="883"/>
        <v>34.888654041351401</v>
      </c>
      <c r="F432" s="1">
        <f t="shared" si="884"/>
        <v>0</v>
      </c>
      <c r="G432" s="1">
        <f t="shared" si="885"/>
        <v>-0.25487122792168293</v>
      </c>
      <c r="H432" s="1">
        <f t="shared" si="576"/>
        <v>34.889584981193572</v>
      </c>
      <c r="I432" s="1">
        <f t="shared" si="868"/>
        <v>-49.538899681701039</v>
      </c>
      <c r="J432" s="1">
        <f t="shared" si="869"/>
        <v>0</v>
      </c>
      <c r="K432" s="1">
        <f t="shared" si="870"/>
        <v>0.36189530776393186</v>
      </c>
      <c r="L432" s="1">
        <f t="shared" ref="L432:N432" si="976">E432/$H432</f>
        <v>0.99997331754325336</v>
      </c>
      <c r="M432" s="1">
        <f t="shared" si="976"/>
        <v>0</v>
      </c>
      <c r="N432" s="1">
        <f t="shared" si="976"/>
        <v>-7.305080529305963E-3</v>
      </c>
      <c r="O432" s="1">
        <f t="shared" si="578"/>
        <v>-7.305080529305963E-3</v>
      </c>
      <c r="P432" s="1">
        <f t="shared" si="872"/>
        <v>7.3048856118107094E-3</v>
      </c>
      <c r="Q432" s="1">
        <f t="shared" si="873"/>
        <v>0</v>
      </c>
      <c r="R432" s="1">
        <f t="shared" si="874"/>
        <v>0.99994663579846033</v>
      </c>
      <c r="S432" s="1">
        <f t="shared" si="875"/>
        <v>4.0053796135909305</v>
      </c>
      <c r="T432" s="1">
        <f t="shared" ref="T432:V432" si="977">$S432*P432</f>
        <v>2.9258839909160329E-2</v>
      </c>
      <c r="U432" s="1">
        <f t="shared" si="977"/>
        <v>0</v>
      </c>
      <c r="V432" s="1">
        <f t="shared" si="977"/>
        <v>4.005165869705988</v>
      </c>
      <c r="W432" s="1">
        <f t="shared" si="877"/>
        <v>-49.509640841791878</v>
      </c>
      <c r="X432" s="1">
        <f t="shared" si="878"/>
        <v>0</v>
      </c>
      <c r="Y432" s="1">
        <f t="shared" si="879"/>
        <v>-5.4395888225300792</v>
      </c>
    </row>
    <row r="433" spans="1:25">
      <c r="A433" s="1">
        <v>0.43099999999999999</v>
      </c>
      <c r="B433" s="1">
        <f t="shared" si="880"/>
        <v>23.219364120006141</v>
      </c>
      <c r="C433" s="1">
        <f t="shared" si="881"/>
        <v>0</v>
      </c>
      <c r="D433" s="1">
        <f t="shared" si="882"/>
        <v>0.20602156899950902</v>
      </c>
      <c r="E433" s="1">
        <f t="shared" si="883"/>
        <v>34.83914440050961</v>
      </c>
      <c r="F433" s="1">
        <f t="shared" si="884"/>
        <v>0</v>
      </c>
      <c r="G433" s="1">
        <f t="shared" si="885"/>
        <v>-0.26031081674421302</v>
      </c>
      <c r="H433" s="1">
        <f t="shared" si="576"/>
        <v>34.840116880987559</v>
      </c>
      <c r="I433" s="1">
        <f t="shared" si="868"/>
        <v>-49.398461317314236</v>
      </c>
      <c r="J433" s="1">
        <f t="shared" si="869"/>
        <v>0</v>
      </c>
      <c r="K433" s="1">
        <f t="shared" si="870"/>
        <v>0.36909499451511751</v>
      </c>
      <c r="L433" s="1">
        <f t="shared" ref="L433:N433" si="978">E433/$H433</f>
        <v>0.99997208733595044</v>
      </c>
      <c r="M433" s="1">
        <f t="shared" si="978"/>
        <v>0</v>
      </c>
      <c r="N433" s="1">
        <f t="shared" si="978"/>
        <v>-7.4715827628657029E-3</v>
      </c>
      <c r="O433" s="1">
        <f t="shared" si="578"/>
        <v>-7.4715827628657029E-3</v>
      </c>
      <c r="P433" s="1">
        <f t="shared" si="872"/>
        <v>7.4713742110861245E-3</v>
      </c>
      <c r="Q433" s="1">
        <f t="shared" si="873"/>
        <v>0</v>
      </c>
      <c r="R433" s="1">
        <f t="shared" si="874"/>
        <v>0.99994417545101766</v>
      </c>
      <c r="S433" s="1">
        <f t="shared" si="875"/>
        <v>3.994029633066801</v>
      </c>
      <c r="T433" s="1">
        <f t="shared" ref="T433:V433" si="979">$S433*P433</f>
        <v>2.9840889998809073E-2</v>
      </c>
      <c r="U433" s="1">
        <f t="shared" si="979"/>
        <v>0</v>
      </c>
      <c r="V433" s="1">
        <f t="shared" si="979"/>
        <v>3.9938066681639128</v>
      </c>
      <c r="W433" s="1">
        <f t="shared" si="877"/>
        <v>-49.368620427315427</v>
      </c>
      <c r="X433" s="1">
        <f t="shared" si="878"/>
        <v>0</v>
      </c>
      <c r="Y433" s="1">
        <f t="shared" si="879"/>
        <v>-5.4437483373209687</v>
      </c>
    </row>
    <row r="434" spans="1:25">
      <c r="A434" s="1">
        <v>0.432</v>
      </c>
      <c r="B434" s="1">
        <f t="shared" si="880"/>
        <v>23.254153895786224</v>
      </c>
      <c r="C434" s="1">
        <f t="shared" si="881"/>
        <v>0</v>
      </c>
      <c r="D434" s="1">
        <f t="shared" si="882"/>
        <v>0.20575581443442748</v>
      </c>
      <c r="E434" s="1">
        <f t="shared" si="883"/>
        <v>34.789775780082294</v>
      </c>
      <c r="F434" s="1">
        <f t="shared" si="884"/>
        <v>0</v>
      </c>
      <c r="G434" s="1">
        <f t="shared" si="885"/>
        <v>-0.265754565081534</v>
      </c>
      <c r="H434" s="1">
        <f t="shared" si="576"/>
        <v>34.790790797526611</v>
      </c>
      <c r="I434" s="1">
        <f t="shared" si="868"/>
        <v>-49.258623044517485</v>
      </c>
      <c r="J434" s="1">
        <f t="shared" si="869"/>
        <v>0</v>
      </c>
      <c r="K434" s="1">
        <f t="shared" si="870"/>
        <v>0.37628020446184107</v>
      </c>
      <c r="L434" s="1">
        <f t="shared" ref="L434:N434" si="980">E434/$H434</f>
        <v>0.99997082511144331</v>
      </c>
      <c r="M434" s="1">
        <f t="shared" si="980"/>
        <v>0</v>
      </c>
      <c r="N434" s="1">
        <f t="shared" si="980"/>
        <v>-7.6386468657225048E-3</v>
      </c>
      <c r="O434" s="1">
        <f t="shared" si="578"/>
        <v>-7.6386468657225048E-3</v>
      </c>
      <c r="P434" s="1">
        <f t="shared" si="872"/>
        <v>7.6384240090514735E-3</v>
      </c>
      <c r="Q434" s="1">
        <f t="shared" si="873"/>
        <v>0</v>
      </c>
      <c r="R434" s="1">
        <f t="shared" si="874"/>
        <v>0.99994165107406074</v>
      </c>
      <c r="S434" s="1">
        <f t="shared" si="875"/>
        <v>3.9827282715931864</v>
      </c>
      <c r="T434" s="1">
        <f t="shared" ref="T434:V434" si="981">$S434*P434</f>
        <v>3.0421767251265473E-2</v>
      </c>
      <c r="U434" s="1">
        <f t="shared" si="981"/>
        <v>0</v>
      </c>
      <c r="V434" s="1">
        <f t="shared" si="981"/>
        <v>3.982495883676231</v>
      </c>
      <c r="W434" s="1">
        <f t="shared" si="877"/>
        <v>-49.228201277266223</v>
      </c>
      <c r="X434" s="1">
        <f t="shared" si="878"/>
        <v>0</v>
      </c>
      <c r="Y434" s="1">
        <f t="shared" si="879"/>
        <v>-5.4478739118619277</v>
      </c>
    </row>
    <row r="435" spans="1:25">
      <c r="A435" s="1">
        <v>0.433</v>
      </c>
      <c r="B435" s="1">
        <f t="shared" si="880"/>
        <v>23.288894443365031</v>
      </c>
      <c r="C435" s="1">
        <f t="shared" si="881"/>
        <v>0</v>
      </c>
      <c r="D435" s="1">
        <f t="shared" si="882"/>
        <v>0.20548461199543408</v>
      </c>
      <c r="E435" s="1">
        <f t="shared" si="883"/>
        <v>34.740547578805028</v>
      </c>
      <c r="F435" s="1">
        <f t="shared" si="884"/>
        <v>0</v>
      </c>
      <c r="G435" s="1">
        <f t="shared" si="885"/>
        <v>-0.27120243899339591</v>
      </c>
      <c r="H435" s="1">
        <f t="shared" si="576"/>
        <v>34.741606134980749</v>
      </c>
      <c r="I435" s="1">
        <f t="shared" si="868"/>
        <v>-49.11938146549479</v>
      </c>
      <c r="J435" s="1">
        <f t="shared" si="869"/>
        <v>0</v>
      </c>
      <c r="K435" s="1">
        <f t="shared" si="870"/>
        <v>0.38345095237981869</v>
      </c>
      <c r="L435" s="1">
        <f t="shared" ref="L435:N435" si="982">E435/$H435</f>
        <v>0.99996953059189009</v>
      </c>
      <c r="M435" s="1">
        <f t="shared" si="982"/>
        <v>0</v>
      </c>
      <c r="N435" s="1">
        <f t="shared" si="982"/>
        <v>-7.8062723392723823E-3</v>
      </c>
      <c r="O435" s="1">
        <f t="shared" si="578"/>
        <v>-7.8062723392723823E-3</v>
      </c>
      <c r="P435" s="1">
        <f t="shared" si="872"/>
        <v>7.8060344867746595E-3</v>
      </c>
      <c r="Q435" s="1">
        <f t="shared" si="873"/>
        <v>0</v>
      </c>
      <c r="R435" s="1">
        <f t="shared" si="874"/>
        <v>0.9999390621121651</v>
      </c>
      <c r="S435" s="1">
        <f t="shared" si="875"/>
        <v>3.97147525464672</v>
      </c>
      <c r="T435" s="1">
        <f t="shared" ref="T435:V435" si="983">$S435*P435</f>
        <v>3.1001472801144469E-2</v>
      </c>
      <c r="U435" s="1">
        <f t="shared" si="983"/>
        <v>0</v>
      </c>
      <c r="V435" s="1">
        <f t="shared" si="983"/>
        <v>3.9712332413331133</v>
      </c>
      <c r="W435" s="1">
        <f t="shared" si="877"/>
        <v>-49.088379992693646</v>
      </c>
      <c r="X435" s="1">
        <f t="shared" si="878"/>
        <v>0</v>
      </c>
      <c r="Y435" s="1">
        <f t="shared" si="879"/>
        <v>-5.4519658062870677</v>
      </c>
    </row>
    <row r="436" spans="1:25">
      <c r="A436" s="1">
        <v>0.434</v>
      </c>
      <c r="B436" s="1">
        <f t="shared" si="880"/>
        <v>23.323585902563842</v>
      </c>
      <c r="C436" s="1">
        <f t="shared" si="881"/>
        <v>0</v>
      </c>
      <c r="D436" s="1">
        <f t="shared" si="882"/>
        <v>0.2052079575906344</v>
      </c>
      <c r="E436" s="1">
        <f t="shared" si="883"/>
        <v>34.691459198812332</v>
      </c>
      <c r="F436" s="1">
        <f t="shared" si="884"/>
        <v>0</v>
      </c>
      <c r="G436" s="1">
        <f t="shared" si="885"/>
        <v>-0.27665440479968295</v>
      </c>
      <c r="H436" s="1">
        <f t="shared" si="576"/>
        <v>34.692562300910495</v>
      </c>
      <c r="I436" s="1">
        <f t="shared" si="868"/>
        <v>-48.98073320646791</v>
      </c>
      <c r="J436" s="1">
        <f t="shared" si="869"/>
        <v>0</v>
      </c>
      <c r="K436" s="1">
        <f t="shared" si="870"/>
        <v>0.39060725333661828</v>
      </c>
      <c r="L436" s="1">
        <f t="shared" ref="L436:N436" si="984">E436/$H436</f>
        <v>0.99996820349881932</v>
      </c>
      <c r="M436" s="1">
        <f t="shared" si="984"/>
        <v>0</v>
      </c>
      <c r="N436" s="1">
        <f t="shared" si="984"/>
        <v>-7.9744586865647064E-3</v>
      </c>
      <c r="O436" s="1">
        <f t="shared" si="578"/>
        <v>-7.9744586865647064E-3</v>
      </c>
      <c r="P436" s="1">
        <f t="shared" si="872"/>
        <v>7.9742051266796631E-3</v>
      </c>
      <c r="Q436" s="1">
        <f t="shared" si="873"/>
        <v>0</v>
      </c>
      <c r="R436" s="1">
        <f t="shared" si="874"/>
        <v>0.99993640800865624</v>
      </c>
      <c r="S436" s="1">
        <f t="shared" si="875"/>
        <v>3.9602703096454928</v>
      </c>
      <c r="T436" s="1">
        <f t="shared" ref="T436:V436" si="985">$S436*P436</f>
        <v>3.1580007806212347E-2</v>
      </c>
      <c r="U436" s="1">
        <f t="shared" si="985"/>
        <v>0</v>
      </c>
      <c r="V436" s="1">
        <f t="shared" si="985"/>
        <v>3.9600184681702428</v>
      </c>
      <c r="W436" s="1">
        <f t="shared" si="877"/>
        <v>-48.949153198661698</v>
      </c>
      <c r="X436" s="1">
        <f t="shared" si="878"/>
        <v>0</v>
      </c>
      <c r="Y436" s="1">
        <f t="shared" si="879"/>
        <v>-5.4560242784931381</v>
      </c>
    </row>
    <row r="437" spans="1:25">
      <c r="A437" s="1">
        <v>0.435</v>
      </c>
      <c r="B437" s="1">
        <f t="shared" si="880"/>
        <v>23.358228412609456</v>
      </c>
      <c r="C437" s="1">
        <f t="shared" si="881"/>
        <v>0</v>
      </c>
      <c r="D437" s="1">
        <f t="shared" si="882"/>
        <v>0.20492584716155623</v>
      </c>
      <c r="E437" s="1">
        <f t="shared" si="883"/>
        <v>34.642510045613669</v>
      </c>
      <c r="F437" s="1">
        <f t="shared" si="884"/>
        <v>0</v>
      </c>
      <c r="G437" s="1">
        <f t="shared" si="885"/>
        <v>-0.28211042907817607</v>
      </c>
      <c r="H437" s="1">
        <f t="shared" si="576"/>
        <v>34.643658706242888</v>
      </c>
      <c r="I437" s="1">
        <f t="shared" si="868"/>
        <v>-48.842674917492509</v>
      </c>
      <c r="J437" s="1">
        <f t="shared" si="869"/>
        <v>0</v>
      </c>
      <c r="K437" s="1">
        <f t="shared" si="870"/>
        <v>0.39774912268645901</v>
      </c>
      <c r="L437" s="1">
        <f t="shared" ref="L437:N437" si="986">E437/$H437</f>
        <v>0.99996684355313159</v>
      </c>
      <c r="M437" s="1">
        <f t="shared" si="986"/>
        <v>0</v>
      </c>
      <c r="N437" s="1">
        <f t="shared" si="986"/>
        <v>-8.1432054122891739E-3</v>
      </c>
      <c r="O437" s="1">
        <f t="shared" si="578"/>
        <v>-8.1432054122891739E-3</v>
      </c>
      <c r="P437" s="1">
        <f t="shared" si="872"/>
        <v>8.1429354125315823E-3</v>
      </c>
      <c r="Q437" s="1">
        <f t="shared" si="873"/>
        <v>0</v>
      </c>
      <c r="R437" s="1">
        <f t="shared" si="874"/>
        <v>0.99993368820561324</v>
      </c>
      <c r="S437" s="1">
        <f t="shared" si="875"/>
        <v>3.9491131659325984</v>
      </c>
      <c r="T437" s="1">
        <f t="shared" ref="T437:V437" si="987">$S437*P437</f>
        <v>3.2157373446967265E-2</v>
      </c>
      <c r="U437" s="1">
        <f t="shared" si="987"/>
        <v>0</v>
      </c>
      <c r="V437" s="1">
        <f t="shared" si="987"/>
        <v>3.948851293152329</v>
      </c>
      <c r="W437" s="1">
        <f t="shared" si="877"/>
        <v>-48.810517544045545</v>
      </c>
      <c r="X437" s="1">
        <f t="shared" si="878"/>
        <v>0</v>
      </c>
      <c r="Y437" s="1">
        <f t="shared" si="879"/>
        <v>-5.4600495841612116</v>
      </c>
    </row>
    <row r="438" spans="1:25">
      <c r="A438" s="1">
        <v>0.436</v>
      </c>
      <c r="B438" s="1">
        <f t="shared" si="880"/>
        <v>23.392822112137527</v>
      </c>
      <c r="C438" s="1">
        <f t="shared" si="881"/>
        <v>0</v>
      </c>
      <c r="D438" s="1">
        <f t="shared" si="882"/>
        <v>0.20463827668289389</v>
      </c>
      <c r="E438" s="1">
        <f t="shared" si="883"/>
        <v>34.593699528069621</v>
      </c>
      <c r="F438" s="1">
        <f t="shared" si="884"/>
        <v>0</v>
      </c>
      <c r="G438" s="1">
        <f t="shared" si="885"/>
        <v>-0.28757047866233726</v>
      </c>
      <c r="H438" s="1">
        <f t="shared" si="576"/>
        <v>34.594894765247695</v>
      </c>
      <c r="I438" s="1">
        <f t="shared" si="868"/>
        <v>-48.705203272256455</v>
      </c>
      <c r="J438" s="1">
        <f t="shared" si="869"/>
        <v>0</v>
      </c>
      <c r="K438" s="1">
        <f t="shared" si="870"/>
        <v>0.40487657606508642</v>
      </c>
      <c r="L438" s="1">
        <f t="shared" ref="L438:N438" si="988">E438/$H438</f>
        <v>0.99996545047510088</v>
      </c>
      <c r="M438" s="1">
        <f t="shared" si="988"/>
        <v>0</v>
      </c>
      <c r="N438" s="1">
        <f t="shared" si="988"/>
        <v>-8.3125120227628569E-3</v>
      </c>
      <c r="O438" s="1">
        <f t="shared" si="578"/>
        <v>-8.3125120227628569E-3</v>
      </c>
      <c r="P438" s="1">
        <f t="shared" si="872"/>
        <v>8.3122248294217518E-3</v>
      </c>
      <c r="Q438" s="1">
        <f t="shared" si="873"/>
        <v>0</v>
      </c>
      <c r="R438" s="1">
        <f t="shared" si="874"/>
        <v>0.99993090214387137</v>
      </c>
      <c r="S438" s="1">
        <f t="shared" si="875"/>
        <v>3.9380035547598369</v>
      </c>
      <c r="T438" s="1">
        <f t="shared" ref="T438:V438" si="989">$S438*P438</f>
        <v>3.2733570926225836E-2</v>
      </c>
      <c r="U438" s="1">
        <f t="shared" si="989"/>
        <v>0</v>
      </c>
      <c r="V438" s="1">
        <f t="shared" si="989"/>
        <v>3.9377314471567759</v>
      </c>
      <c r="W438" s="1">
        <f t="shared" si="877"/>
        <v>-48.672469701330229</v>
      </c>
      <c r="X438" s="1">
        <f t="shared" si="878"/>
        <v>0</v>
      </c>
      <c r="Y438" s="1">
        <f t="shared" si="879"/>
        <v>-5.4640419767781374</v>
      </c>
    </row>
    <row r="439" spans="1:25">
      <c r="A439" s="1">
        <v>0.437</v>
      </c>
      <c r="B439" s="1">
        <f t="shared" si="880"/>
        <v>23.427367139195894</v>
      </c>
      <c r="C439" s="1">
        <f t="shared" si="881"/>
        <v>0</v>
      </c>
      <c r="D439" s="1">
        <f t="shared" si="882"/>
        <v>0.20434524216225478</v>
      </c>
      <c r="E439" s="1">
        <f t="shared" si="883"/>
        <v>34.545027058368291</v>
      </c>
      <c r="F439" s="1">
        <f t="shared" si="884"/>
        <v>0</v>
      </c>
      <c r="G439" s="1">
        <f t="shared" si="885"/>
        <v>-0.29303452063911539</v>
      </c>
      <c r="H439" s="1">
        <f t="shared" si="576"/>
        <v>34.546269895513802</v>
      </c>
      <c r="I439" s="1">
        <f t="shared" si="868"/>
        <v>-48.568314967879957</v>
      </c>
      <c r="J439" s="1">
        <f t="shared" si="869"/>
        <v>0</v>
      </c>
      <c r="K439" s="1">
        <f t="shared" si="870"/>
        <v>0.41198962938472</v>
      </c>
      <c r="L439" s="1">
        <f t="shared" ref="L439:N439" si="990">E439/$H439</f>
        <v>0.999964023984376</v>
      </c>
      <c r="M439" s="1">
        <f t="shared" si="990"/>
        <v>0</v>
      </c>
      <c r="N439" s="1">
        <f t="shared" si="990"/>
        <v>-8.4823780259173226E-3</v>
      </c>
      <c r="O439" s="1">
        <f t="shared" si="578"/>
        <v>-8.4823780259173226E-3</v>
      </c>
      <c r="P439" s="1">
        <f t="shared" si="872"/>
        <v>8.482072863752934E-3</v>
      </c>
      <c r="Q439" s="1">
        <f t="shared" si="873"/>
        <v>0</v>
      </c>
      <c r="R439" s="1">
        <f t="shared" si="874"/>
        <v>0.99992804926302548</v>
      </c>
      <c r="S439" s="1">
        <f t="shared" si="875"/>
        <v>3.9269412092715719</v>
      </c>
      <c r="T439" s="1">
        <f t="shared" ref="T439:V439" si="991">$S439*P439</f>
        <v>3.3308601468715532E-2</v>
      </c>
      <c r="U439" s="1">
        <f t="shared" si="991"/>
        <v>0</v>
      </c>
      <c r="V439" s="1">
        <f t="shared" si="991"/>
        <v>3.9266586629575091</v>
      </c>
      <c r="W439" s="1">
        <f t="shared" si="877"/>
        <v>-48.535006366411238</v>
      </c>
      <c r="X439" s="1">
        <f t="shared" si="878"/>
        <v>0</v>
      </c>
      <c r="Y439" s="1">
        <f t="shared" si="879"/>
        <v>-5.4680017076577707</v>
      </c>
    </row>
    <row r="440" spans="1:25">
      <c r="A440" s="1">
        <v>0.438</v>
      </c>
      <c r="B440" s="1">
        <f t="shared" si="880"/>
        <v>23.461863631247898</v>
      </c>
      <c r="C440" s="1">
        <f t="shared" si="881"/>
        <v>0</v>
      </c>
      <c r="D440" s="1">
        <f t="shared" si="882"/>
        <v>0.20404673963990799</v>
      </c>
      <c r="E440" s="1">
        <f t="shared" si="883"/>
        <v>34.496492052001877</v>
      </c>
      <c r="F440" s="1">
        <f t="shared" si="884"/>
        <v>0</v>
      </c>
      <c r="G440" s="1">
        <f t="shared" si="885"/>
        <v>-0.29850252234677316</v>
      </c>
      <c r="H440" s="1">
        <f t="shared" si="576"/>
        <v>34.497783517925846</v>
      </c>
      <c r="I440" s="1">
        <f t="shared" si="868"/>
        <v>-48.432006724717766</v>
      </c>
      <c r="J440" s="1">
        <f t="shared" si="869"/>
        <v>0</v>
      </c>
      <c r="K440" s="1">
        <f t="shared" si="870"/>
        <v>0.41908829882907378</v>
      </c>
      <c r="L440" s="1">
        <f t="shared" ref="L440:N440" si="992">E440/$H440</f>
        <v>0.99996256379998161</v>
      </c>
      <c r="M440" s="1">
        <f t="shared" si="992"/>
        <v>0</v>
      </c>
      <c r="N440" s="1">
        <f t="shared" si="992"/>
        <v>-8.6528029312858412E-3</v>
      </c>
      <c r="O440" s="1">
        <f t="shared" si="578"/>
        <v>-8.6528029312858412E-3</v>
      </c>
      <c r="P440" s="1">
        <f t="shared" si="872"/>
        <v>8.6524790032245866E-3</v>
      </c>
      <c r="Q440" s="1">
        <f t="shared" si="873"/>
        <v>0</v>
      </c>
      <c r="R440" s="1">
        <f t="shared" si="874"/>
        <v>0.99992512900143238</v>
      </c>
      <c r="S440" s="1">
        <f t="shared" si="875"/>
        <v>3.9159258644887602</v>
      </c>
      <c r="T440" s="1">
        <f t="shared" ref="T440:V440" si="993">$S440*P440</f>
        <v>3.3882466320673085E-2</v>
      </c>
      <c r="U440" s="1">
        <f t="shared" si="993"/>
        <v>0</v>
      </c>
      <c r="V440" s="1">
        <f t="shared" si="993"/>
        <v>3.9156326752089692</v>
      </c>
      <c r="W440" s="1">
        <f t="shared" si="877"/>
        <v>-48.39812425839709</v>
      </c>
      <c r="X440" s="1">
        <f t="shared" si="878"/>
        <v>0</v>
      </c>
      <c r="Y440" s="1">
        <f t="shared" si="879"/>
        <v>-5.4719290259619564</v>
      </c>
    </row>
    <row r="441" spans="1:25">
      <c r="A441" s="1">
        <v>0.439</v>
      </c>
      <c r="B441" s="1">
        <f t="shared" si="880"/>
        <v>23.496311725175641</v>
      </c>
      <c r="C441" s="1">
        <f t="shared" si="881"/>
        <v>0</v>
      </c>
      <c r="D441" s="1">
        <f t="shared" si="882"/>
        <v>0.20374276518853526</v>
      </c>
      <c r="E441" s="1">
        <f t="shared" si="883"/>
        <v>34.448093927743479</v>
      </c>
      <c r="F441" s="1">
        <f t="shared" si="884"/>
        <v>0</v>
      </c>
      <c r="G441" s="1">
        <f t="shared" si="885"/>
        <v>-0.3039744513727351</v>
      </c>
      <c r="H441" s="1">
        <f t="shared" si="576"/>
        <v>34.449435056640979</v>
      </c>
      <c r="I441" s="1">
        <f t="shared" si="868"/>
        <v>-48.296275286163286</v>
      </c>
      <c r="J441" s="1">
        <f t="shared" si="869"/>
        <v>0</v>
      </c>
      <c r="K441" s="1">
        <f t="shared" si="870"/>
        <v>0.4261726008484481</v>
      </c>
      <c r="L441" s="1">
        <f t="shared" ref="L441:N441" si="994">E441/$H441</f>
        <v>0.99996106964032083</v>
      </c>
      <c r="M441" s="1">
        <f t="shared" si="994"/>
        <v>0</v>
      </c>
      <c r="N441" s="1">
        <f t="shared" si="994"/>
        <v>-8.8237862499906655E-3</v>
      </c>
      <c r="O441" s="1">
        <f t="shared" si="578"/>
        <v>-8.8237862499906655E-3</v>
      </c>
      <c r="P441" s="1">
        <f t="shared" si="872"/>
        <v>8.8234427368182218E-3</v>
      </c>
      <c r="Q441" s="1">
        <f t="shared" si="873"/>
        <v>0</v>
      </c>
      <c r="R441" s="1">
        <f t="shared" si="874"/>
        <v>0.99992214079621444</v>
      </c>
      <c r="S441" s="1">
        <f t="shared" si="875"/>
        <v>3.9049572572931219</v>
      </c>
      <c r="T441" s="1">
        <f t="shared" ref="T441:V441" si="995">$S441*P441</f>
        <v>3.4455166749448603E-2</v>
      </c>
      <c r="U441" s="1">
        <f t="shared" si="995"/>
        <v>0</v>
      </c>
      <c r="V441" s="1">
        <f t="shared" si="995"/>
        <v>3.9046532204302524</v>
      </c>
      <c r="W441" s="1">
        <f t="shared" si="877"/>
        <v>-48.261820119413841</v>
      </c>
      <c r="X441" s="1">
        <f t="shared" si="878"/>
        <v>0</v>
      </c>
      <c r="Y441" s="1">
        <f t="shared" si="879"/>
        <v>-5.4758241787212985</v>
      </c>
    </row>
    <row r="442" spans="1:25">
      <c r="A442" s="1">
        <v>0.44</v>
      </c>
      <c r="B442" s="1">
        <f t="shared" si="880"/>
        <v>23.530711557283265</v>
      </c>
      <c r="C442" s="1">
        <f t="shared" si="881"/>
        <v>0</v>
      </c>
      <c r="D442" s="1">
        <f t="shared" si="882"/>
        <v>0.2034333149129838</v>
      </c>
      <c r="E442" s="1">
        <f t="shared" si="883"/>
        <v>34.399832107624064</v>
      </c>
      <c r="F442" s="1">
        <f t="shared" si="884"/>
        <v>0</v>
      </c>
      <c r="G442" s="1">
        <f t="shared" si="885"/>
        <v>-0.30945027555145638</v>
      </c>
      <c r="H442" s="1">
        <f t="shared" si="576"/>
        <v>34.401223939065922</v>
      </c>
      <c r="I442" s="1">
        <f t="shared" si="868"/>
        <v>-48.16111741845468</v>
      </c>
      <c r="J442" s="1">
        <f t="shared" si="869"/>
        <v>0</v>
      </c>
      <c r="K442" s="1">
        <f t="shared" si="870"/>
        <v>0.43324255215489194</v>
      </c>
      <c r="L442" s="1">
        <f t="shared" ref="L442:N442" si="996">E442/$H442</f>
        <v>0.99995954122317499</v>
      </c>
      <c r="M442" s="1">
        <f t="shared" si="996"/>
        <v>0</v>
      </c>
      <c r="N442" s="1">
        <f t="shared" si="996"/>
        <v>-8.9953274947303721E-3</v>
      </c>
      <c r="O442" s="1">
        <f t="shared" si="578"/>
        <v>-8.9953274947303721E-3</v>
      </c>
      <c r="P442" s="1">
        <f t="shared" si="872"/>
        <v>8.9949635547827943E-3</v>
      </c>
      <c r="Q442" s="1">
        <f t="shared" si="873"/>
        <v>0</v>
      </c>
      <c r="R442" s="1">
        <f t="shared" si="874"/>
        <v>0.99991908408326258</v>
      </c>
      <c r="S442" s="1">
        <f t="shared" si="875"/>
        <v>3.8940351264114845</v>
      </c>
      <c r="T442" s="1">
        <f t="shared" ref="T442:V442" si="997">$S442*P442</f>
        <v>3.5026704043115316E-2</v>
      </c>
      <c r="U442" s="1">
        <f t="shared" si="997"/>
        <v>0</v>
      </c>
      <c r="V442" s="1">
        <f t="shared" si="997"/>
        <v>3.8937200369894231</v>
      </c>
      <c r="W442" s="1">
        <f t="shared" si="877"/>
        <v>-48.126090714411568</v>
      </c>
      <c r="X442" s="1">
        <f t="shared" si="878"/>
        <v>0</v>
      </c>
      <c r="Y442" s="1">
        <f t="shared" si="879"/>
        <v>-5.4796874108556839</v>
      </c>
    </row>
    <row r="443" spans="1:25">
      <c r="A443" s="1">
        <v>0.441</v>
      </c>
      <c r="B443" s="1">
        <f t="shared" si="880"/>
        <v>23.565063263300175</v>
      </c>
      <c r="C443" s="1">
        <f t="shared" si="881"/>
        <v>0</v>
      </c>
      <c r="D443" s="1">
        <f t="shared" si="882"/>
        <v>0.20311838495002149</v>
      </c>
      <c r="E443" s="1">
        <f t="shared" si="883"/>
        <v>34.351706016909652</v>
      </c>
      <c r="F443" s="1">
        <f t="shared" si="884"/>
        <v>0</v>
      </c>
      <c r="G443" s="1">
        <f t="shared" si="885"/>
        <v>-0.31492996296231207</v>
      </c>
      <c r="H443" s="1">
        <f t="shared" si="576"/>
        <v>34.353149595834125</v>
      </c>
      <c r="I443" s="1">
        <f t="shared" si="868"/>
        <v>-48.026529910482722</v>
      </c>
      <c r="J443" s="1">
        <f t="shared" si="869"/>
        <v>0</v>
      </c>
      <c r="K443" s="1">
        <f t="shared" si="870"/>
        <v>0.44029816971743435</v>
      </c>
      <c r="L443" s="1">
        <f t="shared" ref="L443:N443" si="998">E443/$H443</f>
        <v>0.9999579782657062</v>
      </c>
      <c r="M443" s="1">
        <f t="shared" si="998"/>
        <v>0</v>
      </c>
      <c r="N443" s="1">
        <f t="shared" si="998"/>
        <v>-9.1674261797672959E-3</v>
      </c>
      <c r="O443" s="1">
        <f t="shared" si="578"/>
        <v>-9.1674261797672959E-3</v>
      </c>
      <c r="P443" s="1">
        <f t="shared" si="872"/>
        <v>9.1670409486202115E-3</v>
      </c>
      <c r="Q443" s="1">
        <f t="shared" si="873"/>
        <v>0</v>
      </c>
      <c r="R443" s="1">
        <f t="shared" si="874"/>
        <v>0.99991595829723856</v>
      </c>
      <c r="S443" s="1">
        <f t="shared" si="875"/>
        <v>3.8831592124002681</v>
      </c>
      <c r="T443" s="1">
        <f t="shared" ref="T443:V443" si="999">$S443*P443</f>
        <v>3.5597079510085068E-2</v>
      </c>
      <c r="U443" s="1">
        <f t="shared" si="999"/>
        <v>0</v>
      </c>
      <c r="V443" s="1">
        <f t="shared" si="999"/>
        <v>3.882832865087964</v>
      </c>
      <c r="W443" s="1">
        <f t="shared" si="877"/>
        <v>-47.990932830972639</v>
      </c>
      <c r="X443" s="1">
        <f t="shared" si="878"/>
        <v>0</v>
      </c>
      <c r="Y443" s="1">
        <f t="shared" si="879"/>
        <v>-5.4835189651946008</v>
      </c>
    </row>
    <row r="444" spans="1:25">
      <c r="A444" s="1">
        <v>0.442</v>
      </c>
      <c r="B444" s="1">
        <f t="shared" si="880"/>
        <v>23.599366978384253</v>
      </c>
      <c r="C444" s="1">
        <f t="shared" si="881"/>
        <v>0</v>
      </c>
      <c r="D444" s="1">
        <f t="shared" si="882"/>
        <v>0.20279797146809397</v>
      </c>
      <c r="E444" s="1">
        <f t="shared" si="883"/>
        <v>34.303715084078682</v>
      </c>
      <c r="F444" s="1">
        <f t="shared" si="884"/>
        <v>0</v>
      </c>
      <c r="G444" s="1">
        <f t="shared" si="885"/>
        <v>-0.32041348192750668</v>
      </c>
      <c r="H444" s="1">
        <f t="shared" si="576"/>
        <v>34.305211460783156</v>
      </c>
      <c r="I444" s="1">
        <f t="shared" si="868"/>
        <v>-47.892509573600691</v>
      </c>
      <c r="J444" s="1">
        <f t="shared" si="869"/>
        <v>0</v>
      </c>
      <c r="K444" s="1">
        <f t="shared" si="870"/>
        <v>0.44733947075738389</v>
      </c>
      <c r="L444" s="1">
        <f t="shared" ref="L444:N444" si="1000">E444/$H444</f>
        <v>0.99995638048445834</v>
      </c>
      <c r="M444" s="1">
        <f t="shared" si="1000"/>
        <v>0</v>
      </c>
      <c r="N444" s="1">
        <f t="shared" si="1000"/>
        <v>-9.3400818209150305E-3</v>
      </c>
      <c r="O444" s="1">
        <f t="shared" si="578"/>
        <v>-9.3400818209150305E-3</v>
      </c>
      <c r="P444" s="1">
        <f t="shared" si="872"/>
        <v>9.3396744110708831E-3</v>
      </c>
      <c r="Q444" s="1">
        <f t="shared" si="873"/>
        <v>0</v>
      </c>
      <c r="R444" s="1">
        <f t="shared" si="874"/>
        <v>0.9999127628715786</v>
      </c>
      <c r="S444" s="1">
        <f t="shared" si="875"/>
        <v>3.8723292576301214</v>
      </c>
      <c r="T444" s="1">
        <f t="shared" ref="T444:V444" si="1001">$S444*P444</f>
        <v>3.6166294478729155E-2</v>
      </c>
      <c r="U444" s="1">
        <f t="shared" si="1001"/>
        <v>0</v>
      </c>
      <c r="V444" s="1">
        <f t="shared" si="1001"/>
        <v>3.8719914467453833</v>
      </c>
      <c r="W444" s="1">
        <f t="shared" si="877"/>
        <v>-47.856343279121958</v>
      </c>
      <c r="X444" s="1">
        <f t="shared" si="878"/>
        <v>0</v>
      </c>
      <c r="Y444" s="1">
        <f t="shared" si="879"/>
        <v>-5.4873190824972324</v>
      </c>
    </row>
    <row r="445" spans="1:25">
      <c r="A445" s="1">
        <v>0.443</v>
      </c>
      <c r="B445" s="1">
        <f t="shared" si="880"/>
        <v>23.633622837125053</v>
      </c>
      <c r="C445" s="1">
        <f t="shared" si="881"/>
        <v>0</v>
      </c>
      <c r="D445" s="1">
        <f t="shared" si="882"/>
        <v>0.20247207066708398</v>
      </c>
      <c r="E445" s="1">
        <f t="shared" si="883"/>
        <v>34.25585874079956</v>
      </c>
      <c r="F445" s="1">
        <f t="shared" si="884"/>
        <v>0</v>
      </c>
      <c r="G445" s="1">
        <f t="shared" si="885"/>
        <v>-0.3259008010100039</v>
      </c>
      <c r="H445" s="1">
        <f t="shared" si="576"/>
        <v>34.257408970932296</v>
      </c>
      <c r="I445" s="1">
        <f t="shared" si="868"/>
        <v>-47.759053241436078</v>
      </c>
      <c r="J445" s="1">
        <f t="shared" si="869"/>
        <v>0</v>
      </c>
      <c r="K445" s="1">
        <f t="shared" si="870"/>
        <v>0.45436647274369707</v>
      </c>
      <c r="L445" s="1">
        <f t="shared" ref="L445:N445" si="1002">E445/$H445</f>
        <v>0.99995474759535807</v>
      </c>
      <c r="M445" s="1">
        <f t="shared" si="1002"/>
        <v>0</v>
      </c>
      <c r="N445" s="1">
        <f t="shared" si="1002"/>
        <v>-9.5132939355259908E-3</v>
      </c>
      <c r="O445" s="1">
        <f t="shared" si="578"/>
        <v>-9.5132939355259908E-3</v>
      </c>
      <c r="P445" s="1">
        <f t="shared" si="872"/>
        <v>9.5128634360993423E-3</v>
      </c>
      <c r="Q445" s="1">
        <f t="shared" si="873"/>
        <v>0</v>
      </c>
      <c r="R445" s="1">
        <f t="shared" si="874"/>
        <v>0.99990949723849631</v>
      </c>
      <c r="S445" s="1">
        <f t="shared" si="875"/>
        <v>3.8615450062707213</v>
      </c>
      <c r="T445" s="1">
        <f t="shared" ref="T445:V445" si="1003">$S445*P445</f>
        <v>3.6734350297004753E-2</v>
      </c>
      <c r="U445" s="1">
        <f t="shared" si="1003"/>
        <v>0</v>
      </c>
      <c r="V445" s="1">
        <f t="shared" si="1003"/>
        <v>3.861195525783983</v>
      </c>
      <c r="W445" s="1">
        <f t="shared" si="877"/>
        <v>-47.722318891139075</v>
      </c>
      <c r="X445" s="1">
        <f t="shared" si="878"/>
        <v>0</v>
      </c>
      <c r="Y445" s="1">
        <f t="shared" si="879"/>
        <v>-5.4910880014723196</v>
      </c>
    </row>
    <row r="446" spans="1:25">
      <c r="A446" s="1">
        <v>0.44400000000000001</v>
      </c>
      <c r="B446" s="1">
        <f t="shared" si="880"/>
        <v>23.667830973546963</v>
      </c>
      <c r="C446" s="1">
        <f t="shared" si="881"/>
        <v>0</v>
      </c>
      <c r="D446" s="1">
        <f t="shared" si="882"/>
        <v>0.20214067877807249</v>
      </c>
      <c r="E446" s="1">
        <f t="shared" si="883"/>
        <v>34.208136421908421</v>
      </c>
      <c r="F446" s="1">
        <f t="shared" si="884"/>
        <v>0</v>
      </c>
      <c r="G446" s="1">
        <f t="shared" si="885"/>
        <v>-0.3313918890114762</v>
      </c>
      <c r="H446" s="1">
        <f t="shared" si="576"/>
        <v>34.209741566460281</v>
      </c>
      <c r="I446" s="1">
        <f t="shared" si="868"/>
        <v>-47.626157769704029</v>
      </c>
      <c r="J446" s="1">
        <f t="shared" si="869"/>
        <v>0</v>
      </c>
      <c r="K446" s="1">
        <f t="shared" si="870"/>
        <v>0.46137919338841049</v>
      </c>
      <c r="L446" s="1">
        <f t="shared" ref="L446:N446" si="1004">E446/$H446</f>
        <v>0.99995307931371702</v>
      </c>
      <c r="M446" s="1">
        <f t="shared" si="1004"/>
        <v>0</v>
      </c>
      <c r="N446" s="1">
        <f t="shared" si="1004"/>
        <v>-9.687062042479079E-3</v>
      </c>
      <c r="O446" s="1">
        <f t="shared" si="578"/>
        <v>-9.687062042479079E-3</v>
      </c>
      <c r="P446" s="1">
        <f t="shared" si="872"/>
        <v>9.6866075188799805E-3</v>
      </c>
      <c r="Q446" s="1">
        <f t="shared" si="873"/>
        <v>0</v>
      </c>
      <c r="R446" s="1">
        <f t="shared" si="874"/>
        <v>0.9999061608289852</v>
      </c>
      <c r="S446" s="1">
        <f t="shared" si="875"/>
        <v>3.8508062042757056</v>
      </c>
      <c r="T446" s="1">
        <f t="shared" ref="T446:V446" si="1005">$S446*P446</f>
        <v>3.7301248332086728E-2</v>
      </c>
      <c r="U446" s="1">
        <f t="shared" si="1005"/>
        <v>0</v>
      </c>
      <c r="V446" s="1">
        <f t="shared" si="1005"/>
        <v>3.8504448478137578</v>
      </c>
      <c r="W446" s="1">
        <f t="shared" si="877"/>
        <v>-47.588856521371945</v>
      </c>
      <c r="X446" s="1">
        <f t="shared" si="878"/>
        <v>0</v>
      </c>
      <c r="Y446" s="1">
        <f t="shared" si="879"/>
        <v>-5.494825958797831</v>
      </c>
    </row>
    <row r="447" spans="1:25">
      <c r="A447" s="1">
        <v>0.44500000000000001</v>
      </c>
      <c r="B447" s="1">
        <f t="shared" si="880"/>
        <v>23.701991521112351</v>
      </c>
      <c r="C447" s="1">
        <f t="shared" si="881"/>
        <v>0</v>
      </c>
      <c r="D447" s="1">
        <f t="shared" si="882"/>
        <v>0.2018037920631022</v>
      </c>
      <c r="E447" s="1">
        <f t="shared" si="883"/>
        <v>34.160547565387049</v>
      </c>
      <c r="F447" s="1">
        <f t="shared" si="884"/>
        <v>0</v>
      </c>
      <c r="G447" s="1">
        <f t="shared" si="885"/>
        <v>-0.33688671497027406</v>
      </c>
      <c r="H447" s="1">
        <f t="shared" si="576"/>
        <v>34.162208690683258</v>
      </c>
      <c r="I447" s="1">
        <f t="shared" si="868"/>
        <v>-47.493820036022811</v>
      </c>
      <c r="J447" s="1">
        <f t="shared" si="869"/>
        <v>0</v>
      </c>
      <c r="K447" s="1">
        <f t="shared" si="870"/>
        <v>0.46837765064214137</v>
      </c>
      <c r="L447" s="1">
        <f t="shared" ref="L447:N447" si="1006">E447/$H447</f>
        <v>0.99995137535423284</v>
      </c>
      <c r="M447" s="1">
        <f t="shared" si="1006"/>
        <v>0</v>
      </c>
      <c r="N447" s="1">
        <f t="shared" si="1006"/>
        <v>-9.8613856621673889E-3</v>
      </c>
      <c r="O447" s="1">
        <f t="shared" si="578"/>
        <v>-9.8613856621673889E-3</v>
      </c>
      <c r="P447" s="1">
        <f t="shared" si="872"/>
        <v>9.8609061557827921E-3</v>
      </c>
      <c r="Q447" s="1">
        <f t="shared" si="873"/>
        <v>0</v>
      </c>
      <c r="R447" s="1">
        <f t="shared" si="874"/>
        <v>0.99990275307282195</v>
      </c>
      <c r="S447" s="1">
        <f t="shared" si="875"/>
        <v>3.8401125993677585</v>
      </c>
      <c r="T447" s="1">
        <f t="shared" ref="T447:V447" si="1007">$S447*P447</f>
        <v>3.7866989970004587E-2</v>
      </c>
      <c r="U447" s="1">
        <f t="shared" si="1007"/>
        <v>0</v>
      </c>
      <c r="V447" s="1">
        <f t="shared" si="1007"/>
        <v>3.8397391602174524</v>
      </c>
      <c r="W447" s="1">
        <f t="shared" si="877"/>
        <v>-47.455953046052805</v>
      </c>
      <c r="X447" s="1">
        <f t="shared" si="878"/>
        <v>0</v>
      </c>
      <c r="Y447" s="1">
        <f t="shared" si="879"/>
        <v>-5.4985331891404057</v>
      </c>
    </row>
    <row r="448" spans="1:25">
      <c r="A448" s="1">
        <v>0.44600000000000001</v>
      </c>
      <c r="B448" s="1">
        <f t="shared" si="880"/>
        <v>23.736104612724692</v>
      </c>
      <c r="C448" s="1">
        <f t="shared" si="881"/>
        <v>0</v>
      </c>
      <c r="D448" s="1">
        <f t="shared" si="882"/>
        <v>0.20146140681494279</v>
      </c>
      <c r="E448" s="1">
        <f t="shared" si="883"/>
        <v>34.113091612340995</v>
      </c>
      <c r="F448" s="1">
        <f t="shared" si="884"/>
        <v>0</v>
      </c>
      <c r="G448" s="1">
        <f t="shared" si="885"/>
        <v>-0.34238524815941446</v>
      </c>
      <c r="H448" s="1">
        <f t="shared" si="576"/>
        <v>34.114809790032929</v>
      </c>
      <c r="I448" s="1">
        <f t="shared" si="868"/>
        <v>-47.362036939730828</v>
      </c>
      <c r="J448" s="1">
        <f t="shared" si="869"/>
        <v>0</v>
      </c>
      <c r="K448" s="1">
        <f t="shared" si="870"/>
        <v>0.47536186268965014</v>
      </c>
      <c r="L448" s="1">
        <f t="shared" ref="L448:N448" si="1008">E448/$H448</f>
        <v>0.99994963543098991</v>
      </c>
      <c r="M448" s="1">
        <f t="shared" si="1008"/>
        <v>0</v>
      </c>
      <c r="N448" s="1">
        <f t="shared" si="1008"/>
        <v>-1.0036264316485992E-2</v>
      </c>
      <c r="O448" s="1">
        <f t="shared" si="578"/>
        <v>-1.0036264316485992E-2</v>
      </c>
      <c r="P448" s="1">
        <f t="shared" si="872"/>
        <v>1.003575884435922E-2</v>
      </c>
      <c r="Q448" s="1">
        <f t="shared" si="873"/>
        <v>0</v>
      </c>
      <c r="R448" s="1">
        <f t="shared" si="874"/>
        <v>0.99989927339856965</v>
      </c>
      <c r="S448" s="1">
        <f t="shared" si="875"/>
        <v>3.8294639410238474</v>
      </c>
      <c r="T448" s="1">
        <f t="shared" ref="T448:V448" si="1009">$S448*P448</f>
        <v>3.843157661528479E-2</v>
      </c>
      <c r="U448" s="1">
        <f t="shared" si="1009"/>
        <v>0</v>
      </c>
      <c r="V448" s="1">
        <f t="shared" si="1009"/>
        <v>3.829078212135768</v>
      </c>
      <c r="W448" s="1">
        <f t="shared" si="877"/>
        <v>-47.32360536311554</v>
      </c>
      <c r="X448" s="1">
        <f t="shared" si="878"/>
        <v>0</v>
      </c>
      <c r="Y448" s="1">
        <f t="shared" si="879"/>
        <v>-5.5022099251745811</v>
      </c>
    </row>
    <row r="449" spans="1:25">
      <c r="A449" s="1">
        <v>0.44700000000000001</v>
      </c>
      <c r="B449" s="1">
        <f t="shared" si="880"/>
        <v>23.77017038073167</v>
      </c>
      <c r="C449" s="1">
        <f t="shared" si="881"/>
        <v>0</v>
      </c>
      <c r="D449" s="1">
        <f t="shared" si="882"/>
        <v>0.2011135193568582</v>
      </c>
      <c r="E449" s="1">
        <f t="shared" si="883"/>
        <v>34.065768006977876</v>
      </c>
      <c r="F449" s="1">
        <f t="shared" si="884"/>
        <v>0</v>
      </c>
      <c r="G449" s="1">
        <f t="shared" si="885"/>
        <v>-0.34788745808458904</v>
      </c>
      <c r="H449" s="1">
        <f t="shared" si="576"/>
        <v>34.067544314034876</v>
      </c>
      <c r="I449" s="1">
        <f t="shared" si="868"/>
        <v>-47.230805401705688</v>
      </c>
      <c r="J449" s="1">
        <f t="shared" si="869"/>
        <v>0</v>
      </c>
      <c r="K449" s="1">
        <f t="shared" si="870"/>
        <v>0.48233184794546879</v>
      </c>
      <c r="L449" s="1">
        <f t="shared" ref="L449:N449" si="1010">E449/$H449</f>
        <v>0.99994785925746144</v>
      </c>
      <c r="M449" s="1">
        <f t="shared" si="1010"/>
        <v>0</v>
      </c>
      <c r="N449" s="1">
        <f t="shared" si="1010"/>
        <v>-1.0211697528819803E-2</v>
      </c>
      <c r="O449" s="1">
        <f t="shared" si="578"/>
        <v>-1.0211697528819803E-2</v>
      </c>
      <c r="P449" s="1">
        <f t="shared" si="872"/>
        <v>1.0211165083328071E-2</v>
      </c>
      <c r="Q449" s="1">
        <f t="shared" si="873"/>
        <v>0</v>
      </c>
      <c r="R449" s="1">
        <f t="shared" si="874"/>
        <v>0.99989572123357995</v>
      </c>
      <c r="S449" s="1">
        <f t="shared" si="875"/>
        <v>3.8188599804605978</v>
      </c>
      <c r="T449" s="1">
        <f t="shared" ref="T449:V449" si="1011">$S449*P449</f>
        <v>3.899500969059818E-2</v>
      </c>
      <c r="U449" s="1">
        <f t="shared" si="1011"/>
        <v>0</v>
      </c>
      <c r="V449" s="1">
        <f t="shared" si="1011"/>
        <v>3.8184617544527044</v>
      </c>
      <c r="W449" s="1">
        <f t="shared" si="877"/>
        <v>-47.191810392015093</v>
      </c>
      <c r="X449" s="1">
        <f t="shared" si="878"/>
        <v>0</v>
      </c>
      <c r="Y449" s="1">
        <f t="shared" si="879"/>
        <v>-5.5058563976018267</v>
      </c>
    </row>
    <row r="450" spans="1:25">
      <c r="A450" s="1">
        <v>0.44800000000000001</v>
      </c>
      <c r="B450" s="1">
        <f t="shared" si="880"/>
        <v>23.804188956928257</v>
      </c>
      <c r="C450" s="1">
        <f t="shared" si="881"/>
        <v>0</v>
      </c>
      <c r="D450" s="1">
        <f t="shared" si="882"/>
        <v>0.200760126042376</v>
      </c>
      <c r="E450" s="1">
        <f t="shared" si="883"/>
        <v>34.018576196585862</v>
      </c>
      <c r="F450" s="1">
        <f t="shared" si="884"/>
        <v>0</v>
      </c>
      <c r="G450" s="1">
        <f t="shared" si="885"/>
        <v>-0.35339331448219086</v>
      </c>
      <c r="H450" s="1">
        <f t="shared" si="576"/>
        <v>34.020411715287025</v>
      </c>
      <c r="I450" s="1">
        <f t="shared" ref="I450:I513" si="1012">-K_drag*$H450*E450</f>
        <v>-47.100122364184756</v>
      </c>
      <c r="J450" s="1">
        <f t="shared" ref="J450:J513" si="1013">-K_drag*$H450*F450</f>
        <v>0</v>
      </c>
      <c r="K450" s="1">
        <f t="shared" ref="K450:K513" si="1014">-K_drag*$H450*G450</f>
        <v>0.48928762504959011</v>
      </c>
      <c r="L450" s="1">
        <f t="shared" ref="L450:N450" si="1015">E450/$H450</f>
        <v>0.99994604654651087</v>
      </c>
      <c r="M450" s="1">
        <f t="shared" si="1015"/>
        <v>0</v>
      </c>
      <c r="N450" s="1">
        <f t="shared" si="1015"/>
        <v>-1.0387684824031511E-2</v>
      </c>
      <c r="O450" s="1">
        <f t="shared" si="578"/>
        <v>-1.0387684824031511E-2</v>
      </c>
      <c r="P450" s="1">
        <f t="shared" ref="P450:P513" si="1016">u_axis_f-$O450*L450</f>
        <v>1.0387124372561498E-2</v>
      </c>
      <c r="Q450" s="1">
        <f t="shared" ref="Q450:Q513" si="1017">u_axis_r-$O450*M450</f>
        <v>0</v>
      </c>
      <c r="R450" s="1">
        <f t="shared" ref="R450:R513" si="1018">u_axis_u-$O450*N450</f>
        <v>0.99989209600399653</v>
      </c>
      <c r="S450" s="1">
        <f t="shared" ref="S450:S513" si="1019">K_lift*H450^2</f>
        <v>3.8083004706198054</v>
      </c>
      <c r="T450" s="1">
        <f t="shared" ref="T450:V450" si="1020">$S450*P450</f>
        <v>3.9557290636412404E-2</v>
      </c>
      <c r="U450" s="1">
        <f t="shared" si="1020"/>
        <v>0</v>
      </c>
      <c r="V450" s="1">
        <f t="shared" si="1020"/>
        <v>3.8078895397810437</v>
      </c>
      <c r="W450" s="1">
        <f t="shared" ref="W450:W513" si="1021">I450+T450+g_f</f>
        <v>-47.060565073548347</v>
      </c>
      <c r="X450" s="1">
        <f t="shared" ref="X450:X513" si="1022">J450+U450+g_r</f>
        <v>0</v>
      </c>
      <c r="Y450" s="1">
        <f t="shared" ref="Y450:Y513" si="1023">K450+V450+g_u</f>
        <v>-5.5094728351693654</v>
      </c>
    </row>
    <row r="451" spans="1:25">
      <c r="A451" s="1">
        <v>0.44900000000000001</v>
      </c>
      <c r="B451" s="1">
        <f t="shared" ref="B451:B514" si="1024">B450+E451*dt</f>
        <v>23.838160472559771</v>
      </c>
      <c r="C451" s="1">
        <f t="shared" ref="C451:C514" si="1025">C450+F451*dt</f>
        <v>0</v>
      </c>
      <c r="D451" s="1">
        <f t="shared" ref="D451:D514" si="1026">D450+G451*dt</f>
        <v>0.20040122325505863</v>
      </c>
      <c r="E451" s="1">
        <f t="shared" ref="E451:E514" si="1027">E450+W450*dt</f>
        <v>33.971515631512311</v>
      </c>
      <c r="F451" s="1">
        <f t="shared" ref="F451:F514" si="1028">F450+X450*dt</f>
        <v>0</v>
      </c>
      <c r="G451" s="1">
        <f t="shared" ref="G451:G514" si="1029">G450+Y450*dt</f>
        <v>-0.35890278731736025</v>
      </c>
      <c r="H451" s="1">
        <f t="shared" si="576"/>
        <v>33.973411449438359</v>
      </c>
      <c r="I451" s="1">
        <f t="shared" si="1012"/>
        <v>-46.969984790587674</v>
      </c>
      <c r="J451" s="1">
        <f t="shared" si="1013"/>
        <v>0</v>
      </c>
      <c r="K451" s="1">
        <f t="shared" si="1014"/>
        <v>0.49622921286322014</v>
      </c>
      <c r="L451" s="1">
        <f t="shared" ref="L451:N451" si="1030">E451/$H451</f>
        <v>0.99994419701039239</v>
      </c>
      <c r="M451" s="1">
        <f t="shared" si="1030"/>
        <v>0</v>
      </c>
      <c r="N451" s="1">
        <f t="shared" si="1030"/>
        <v>-1.056422572844958E-2</v>
      </c>
      <c r="O451" s="1">
        <f t="shared" si="578"/>
        <v>-1.056422572844958E-2</v>
      </c>
      <c r="P451" s="1">
        <f t="shared" si="1016"/>
        <v>1.0563636213071043E-2</v>
      </c>
      <c r="Q451" s="1">
        <f t="shared" si="1017"/>
        <v>0</v>
      </c>
      <c r="R451" s="1">
        <f t="shared" si="1018"/>
        <v>0.99988839713475841</v>
      </c>
      <c r="S451" s="1">
        <f t="shared" si="1019"/>
        <v>3.7977851661540987</v>
      </c>
      <c r="T451" s="1">
        <f t="shared" ref="T451:V451" si="1031">$S451*P451</f>
        <v>4.0118420910649467E-2</v>
      </c>
      <c r="U451" s="1">
        <f t="shared" si="1031"/>
        <v>0</v>
      </c>
      <c r="V451" s="1">
        <f t="shared" si="1031"/>
        <v>3.7973613224479839</v>
      </c>
      <c r="W451" s="1">
        <f t="shared" si="1021"/>
        <v>-46.929866369677022</v>
      </c>
      <c r="X451" s="1">
        <f t="shared" si="1022"/>
        <v>0</v>
      </c>
      <c r="Y451" s="1">
        <f t="shared" si="1023"/>
        <v>-5.5130594646887952</v>
      </c>
    </row>
    <row r="452" spans="1:25">
      <c r="A452" s="1">
        <v>0.45</v>
      </c>
      <c r="B452" s="1">
        <f t="shared" si="1024"/>
        <v>23.872085058324913</v>
      </c>
      <c r="C452" s="1">
        <f t="shared" si="1025"/>
        <v>0</v>
      </c>
      <c r="D452" s="1">
        <f t="shared" si="1026"/>
        <v>0.20003680740827659</v>
      </c>
      <c r="E452" s="1">
        <f t="shared" si="1027"/>
        <v>33.924585765142631</v>
      </c>
      <c r="F452" s="1">
        <f t="shared" si="1028"/>
        <v>0</v>
      </c>
      <c r="G452" s="1">
        <f t="shared" si="1029"/>
        <v>-0.36441584678204902</v>
      </c>
      <c r="H452" s="1">
        <f t="shared" si="576"/>
        <v>33.926542975167742</v>
      </c>
      <c r="I452" s="1">
        <f t="shared" si="1012"/>
        <v>-46.840389665340425</v>
      </c>
      <c r="J452" s="1">
        <f t="shared" si="1013"/>
        <v>0</v>
      </c>
      <c r="K452" s="1">
        <f t="shared" si="1014"/>
        <v>0.50315663046459025</v>
      </c>
      <c r="L452" s="1">
        <f t="shared" ref="L452:N452" si="1032">E452/$H452</f>
        <v>0.99994231036075376</v>
      </c>
      <c r="M452" s="1">
        <f t="shared" si="1032"/>
        <v>0</v>
      </c>
      <c r="N452" s="1">
        <f t="shared" si="1032"/>
        <v>-1.0741319769856312E-2</v>
      </c>
      <c r="O452" s="1">
        <f t="shared" si="578"/>
        <v>-1.0741319769856312E-2</v>
      </c>
      <c r="P452" s="1">
        <f t="shared" si="1016"/>
        <v>1.074070010699376E-2</v>
      </c>
      <c r="Q452" s="1">
        <f t="shared" si="1017"/>
        <v>0</v>
      </c>
      <c r="R452" s="1">
        <f t="shared" si="1018"/>
        <v>0.99988462404960166</v>
      </c>
      <c r="S452" s="1">
        <f t="shared" si="1019"/>
        <v>3.7873138234127302</v>
      </c>
      <c r="T452" s="1">
        <f t="shared" ref="T452:V452" si="1033">$S452*P452</f>
        <v>4.0678401988348059E-2</v>
      </c>
      <c r="U452" s="1">
        <f t="shared" si="1033"/>
        <v>0</v>
      </c>
      <c r="V452" s="1">
        <f t="shared" si="1033"/>
        <v>3.7868768584808969</v>
      </c>
      <c r="W452" s="1">
        <f t="shared" si="1021"/>
        <v>-46.79971126335208</v>
      </c>
      <c r="X452" s="1">
        <f t="shared" si="1022"/>
        <v>0</v>
      </c>
      <c r="Y452" s="1">
        <f t="shared" si="1023"/>
        <v>-5.5166165110545125</v>
      </c>
    </row>
    <row r="453" spans="1:25">
      <c r="A453" s="1">
        <v>0.45100000000000001</v>
      </c>
      <c r="B453" s="1">
        <f t="shared" si="1024"/>
        <v>23.905962844378791</v>
      </c>
      <c r="C453" s="1">
        <f t="shared" si="1025"/>
        <v>0</v>
      </c>
      <c r="D453" s="1">
        <f t="shared" si="1026"/>
        <v>0.19966687494498347</v>
      </c>
      <c r="E453" s="1">
        <f t="shared" si="1027"/>
        <v>33.877786053879277</v>
      </c>
      <c r="F453" s="1">
        <f t="shared" si="1028"/>
        <v>0</v>
      </c>
      <c r="G453" s="1">
        <f t="shared" si="1029"/>
        <v>-0.36993246329310353</v>
      </c>
      <c r="H453" s="1">
        <f t="shared" si="576"/>
        <v>33.879805754162987</v>
      </c>
      <c r="I453" s="1">
        <f t="shared" si="1012"/>
        <v>-46.711333993701274</v>
      </c>
      <c r="J453" s="1">
        <f t="shared" si="1013"/>
        <v>0</v>
      </c>
      <c r="K453" s="1">
        <f t="shared" si="1014"/>
        <v>0.51006989714483109</v>
      </c>
      <c r="L453" s="1">
        <f t="shared" ref="L453:N453" si="1034">E453/$H453</f>
        <v>0.99994038630863569</v>
      </c>
      <c r="M453" s="1">
        <f t="shared" si="1034"/>
        <v>0</v>
      </c>
      <c r="N453" s="1">
        <f t="shared" si="1034"/>
        <v>-1.0918966477475981E-2</v>
      </c>
      <c r="O453" s="1">
        <f t="shared" si="578"/>
        <v>-1.0918966477475981E-2</v>
      </c>
      <c r="P453" s="1">
        <f t="shared" si="1016"/>
        <v>1.0918315557578375E-2</v>
      </c>
      <c r="Q453" s="1">
        <f t="shared" si="1017"/>
        <v>0</v>
      </c>
      <c r="R453" s="1">
        <f t="shared" si="1018"/>
        <v>0.99988077617106375</v>
      </c>
      <c r="S453" s="1">
        <f t="shared" si="1019"/>
        <v>3.7768862004275223</v>
      </c>
      <c r="T453" s="1">
        <f t="shared" ref="T453:V453" si="1035">$S453*P453</f>
        <v>4.1237235361330893E-2</v>
      </c>
      <c r="U453" s="1">
        <f t="shared" si="1035"/>
        <v>0</v>
      </c>
      <c r="V453" s="1">
        <f t="shared" si="1035"/>
        <v>3.7764359055932508</v>
      </c>
      <c r="W453" s="1">
        <f t="shared" si="1021"/>
        <v>-46.670096758339945</v>
      </c>
      <c r="X453" s="1">
        <f t="shared" si="1022"/>
        <v>0</v>
      </c>
      <c r="Y453" s="1">
        <f t="shared" si="1023"/>
        <v>-5.5201441972619172</v>
      </c>
    </row>
    <row r="454" spans="1:25">
      <c r="A454" s="1">
        <v>0.45200000000000001</v>
      </c>
      <c r="B454" s="1">
        <f t="shared" si="1024"/>
        <v>23.939793960335912</v>
      </c>
      <c r="C454" s="1">
        <f t="shared" si="1025"/>
        <v>0</v>
      </c>
      <c r="D454" s="1">
        <f t="shared" si="1026"/>
        <v>0.19929142233749311</v>
      </c>
      <c r="E454" s="1">
        <f t="shared" si="1027"/>
        <v>33.831115957120936</v>
      </c>
      <c r="F454" s="1">
        <f t="shared" si="1028"/>
        <v>0</v>
      </c>
      <c r="G454" s="1">
        <f t="shared" si="1029"/>
        <v>-0.37545260749036546</v>
      </c>
      <c r="H454" s="1">
        <f t="shared" si="576"/>
        <v>33.833199251100005</v>
      </c>
      <c r="I454" s="1">
        <f t="shared" si="1012"/>
        <v>-46.582814801588171</v>
      </c>
      <c r="J454" s="1">
        <f t="shared" si="1013"/>
        <v>0</v>
      </c>
      <c r="K454" s="1">
        <f t="shared" si="1014"/>
        <v>0.51696903240390346</v>
      </c>
      <c r="L454" s="1">
        <f t="shared" ref="L454:N454" si="1036">E454/$H454</f>
        <v>0.99993842456447568</v>
      </c>
      <c r="M454" s="1">
        <f t="shared" si="1036"/>
        <v>0</v>
      </c>
      <c r="N454" s="1">
        <f t="shared" si="1036"/>
        <v>-1.1097165381963059E-2</v>
      </c>
      <c r="O454" s="1">
        <f t="shared" si="578"/>
        <v>-1.1097165381963059E-2</v>
      </c>
      <c r="P454" s="1">
        <f t="shared" si="1016"/>
        <v>1.1096482069171579E-2</v>
      </c>
      <c r="Q454" s="1">
        <f t="shared" si="1017"/>
        <v>0</v>
      </c>
      <c r="R454" s="1">
        <f t="shared" si="1018"/>
        <v>0.99987685292048534</v>
      </c>
      <c r="S454" s="1">
        <f t="shared" si="1019"/>
        <v>3.7665020568989189</v>
      </c>
      <c r="T454" s="1">
        <f t="shared" ref="T454:V454" si="1037">$S454*P454</f>
        <v>4.1794922537876728E-2</v>
      </c>
      <c r="U454" s="1">
        <f t="shared" si="1037"/>
        <v>0</v>
      </c>
      <c r="V454" s="1">
        <f t="shared" si="1037"/>
        <v>3.766038223170626</v>
      </c>
      <c r="W454" s="1">
        <f t="shared" si="1021"/>
        <v>-46.541019879050296</v>
      </c>
      <c r="X454" s="1">
        <f t="shared" si="1022"/>
        <v>0</v>
      </c>
      <c r="Y454" s="1">
        <f t="shared" si="1023"/>
        <v>-5.5236427444254703</v>
      </c>
    </row>
    <row r="455" spans="1:25">
      <c r="A455" s="1">
        <v>0.45300000000000001</v>
      </c>
      <c r="B455" s="1">
        <f t="shared" si="1024"/>
        <v>23.973578535273155</v>
      </c>
      <c r="C455" s="1">
        <f t="shared" si="1025"/>
        <v>0</v>
      </c>
      <c r="D455" s="1">
        <f t="shared" si="1026"/>
        <v>0.19891044608725833</v>
      </c>
      <c r="E455" s="1">
        <f t="shared" si="1027"/>
        <v>33.784574937241885</v>
      </c>
      <c r="F455" s="1">
        <f t="shared" si="1028"/>
        <v>0</v>
      </c>
      <c r="G455" s="1">
        <f t="shared" si="1029"/>
        <v>-0.38097625023479093</v>
      </c>
      <c r="H455" s="1">
        <f t="shared" si="576"/>
        <v>33.786722933622244</v>
      </c>
      <c r="I455" s="1">
        <f t="shared" si="1012"/>
        <v>-46.454829135408048</v>
      </c>
      <c r="J455" s="1">
        <f t="shared" si="1013"/>
        <v>0</v>
      </c>
      <c r="K455" s="1">
        <f t="shared" si="1014"/>
        <v>0.52385405594658996</v>
      </c>
      <c r="L455" s="1">
        <f t="shared" ref="L455:N455" si="1038">E455/$H455</f>
        <v>0.99993642483810641</v>
      </c>
      <c r="M455" s="1">
        <f t="shared" si="1038"/>
        <v>0</v>
      </c>
      <c r="N455" s="1">
        <f t="shared" si="1038"/>
        <v>-1.1275916015390451E-2</v>
      </c>
      <c r="O455" s="1">
        <f t="shared" si="578"/>
        <v>-1.1275916015390451E-2</v>
      </c>
      <c r="P455" s="1">
        <f t="shared" si="1016"/>
        <v>1.1275199147204274E-2</v>
      </c>
      <c r="Q455" s="1">
        <f t="shared" si="1017"/>
        <v>0</v>
      </c>
      <c r="R455" s="1">
        <f t="shared" si="1018"/>
        <v>0.99987285371801382</v>
      </c>
      <c r="S455" s="1">
        <f t="shared" si="1019"/>
        <v>3.7561611541822111</v>
      </c>
      <c r="T455" s="1">
        <f t="shared" ref="T455:V455" si="1039">$S455*P455</f>
        <v>4.2351465042397091E-2</v>
      </c>
      <c r="U455" s="1">
        <f t="shared" si="1039"/>
        <v>0</v>
      </c>
      <c r="V455" s="1">
        <f t="shared" si="1039"/>
        <v>3.755683572256916</v>
      </c>
      <c r="W455" s="1">
        <f t="shared" si="1021"/>
        <v>-46.412477670365654</v>
      </c>
      <c r="X455" s="1">
        <f t="shared" si="1022"/>
        <v>0</v>
      </c>
      <c r="Y455" s="1">
        <f t="shared" si="1023"/>
        <v>-5.5271123717964938</v>
      </c>
    </row>
    <row r="456" spans="1:25">
      <c r="A456" s="1">
        <v>0.45400000000000001</v>
      </c>
      <c r="B456" s="1">
        <f t="shared" si="1024"/>
        <v>24.007316697732726</v>
      </c>
      <c r="C456" s="1">
        <f t="shared" si="1025"/>
        <v>0</v>
      </c>
      <c r="D456" s="1">
        <f t="shared" si="1026"/>
        <v>0.19852394272465174</v>
      </c>
      <c r="E456" s="1">
        <f t="shared" si="1027"/>
        <v>33.738162459571519</v>
      </c>
      <c r="F456" s="1">
        <f t="shared" si="1028"/>
        <v>0</v>
      </c>
      <c r="G456" s="1">
        <f t="shared" si="1029"/>
        <v>-0.38650336260658741</v>
      </c>
      <c r="H456" s="1">
        <f t="shared" si="576"/>
        <v>33.740376272320191</v>
      </c>
      <c r="I456" s="1">
        <f t="shared" si="1012"/>
        <v>-46.327374061887625</v>
      </c>
      <c r="J456" s="1">
        <f t="shared" si="1013"/>
        <v>0</v>
      </c>
      <c r="K456" s="1">
        <f t="shared" si="1014"/>
        <v>0.53072498767854259</v>
      </c>
      <c r="L456" s="1">
        <f t="shared" ref="L456:N456" si="1040">E456/$H456</f>
        <v>0.99993438683875946</v>
      </c>
      <c r="M456" s="1">
        <f t="shared" si="1040"/>
        <v>0</v>
      </c>
      <c r="N456" s="1">
        <f t="shared" si="1040"/>
        <v>-1.1455217911237868E-2</v>
      </c>
      <c r="O456" s="1">
        <f t="shared" si="578"/>
        <v>-1.1455217911237868E-2</v>
      </c>
      <c r="P456" s="1">
        <f t="shared" si="1016"/>
        <v>1.1454466298178013E-2</v>
      </c>
      <c r="Q456" s="1">
        <f t="shared" si="1017"/>
        <v>0</v>
      </c>
      <c r="R456" s="1">
        <f t="shared" si="1018"/>
        <v>0.99986877798260609</v>
      </c>
      <c r="S456" s="1">
        <f t="shared" si="1019"/>
        <v>3.7458632552738584</v>
      </c>
      <c r="T456" s="1">
        <f t="shared" ref="T456:V456" si="1041">$S456*P456</f>
        <v>4.2906864415117797E-2</v>
      </c>
      <c r="U456" s="1">
        <f t="shared" si="1041"/>
        <v>0</v>
      </c>
      <c r="V456" s="1">
        <f t="shared" si="1041"/>
        <v>3.7453717155406197</v>
      </c>
      <c r="W456" s="1">
        <f t="shared" si="1021"/>
        <v>-46.284467197472509</v>
      </c>
      <c r="X456" s="1">
        <f t="shared" si="1022"/>
        <v>0</v>
      </c>
      <c r="Y456" s="1">
        <f t="shared" si="1023"/>
        <v>-5.5305532967808375</v>
      </c>
    </row>
    <row r="457" spans="1:25">
      <c r="A457" s="1">
        <v>0.45500000000000002</v>
      </c>
      <c r="B457" s="1">
        <f t="shared" si="1024"/>
        <v>24.041008575725101</v>
      </c>
      <c r="C457" s="1">
        <f t="shared" si="1025"/>
        <v>0</v>
      </c>
      <c r="D457" s="1">
        <f t="shared" si="1026"/>
        <v>0.19813190880874837</v>
      </c>
      <c r="E457" s="1">
        <f t="shared" si="1027"/>
        <v>33.691877992374046</v>
      </c>
      <c r="F457" s="1">
        <f t="shared" si="1028"/>
        <v>0</v>
      </c>
      <c r="G457" s="1">
        <f t="shared" si="1029"/>
        <v>-0.39203391590336822</v>
      </c>
      <c r="H457" s="1">
        <f t="shared" si="576"/>
        <v>33.694158740711082</v>
      </c>
      <c r="I457" s="1">
        <f t="shared" si="1012"/>
        <v>-46.200446667905801</v>
      </c>
      <c r="J457" s="1">
        <f t="shared" si="1013"/>
        <v>0</v>
      </c>
      <c r="K457" s="1">
        <f t="shared" si="1014"/>
        <v>0.53758184770238715</v>
      </c>
      <c r="L457" s="1">
        <f t="shared" ref="L457:N457" si="1042">E457/$H457</f>
        <v>0.99993231027506613</v>
      </c>
      <c r="M457" s="1">
        <f t="shared" si="1042"/>
        <v>0</v>
      </c>
      <c r="N457" s="1">
        <f t="shared" si="1042"/>
        <v>-1.1635070604380217E-2</v>
      </c>
      <c r="O457" s="1">
        <f t="shared" si="578"/>
        <v>-1.1635070604380217E-2</v>
      </c>
      <c r="P457" s="1">
        <f t="shared" si="1016"/>
        <v>1.1634283029651421E-2</v>
      </c>
      <c r="Q457" s="1">
        <f t="shared" si="1017"/>
        <v>0</v>
      </c>
      <c r="R457" s="1">
        <f t="shared" si="1018"/>
        <v>0.99986462513203112</v>
      </c>
      <c r="S457" s="1">
        <f t="shared" si="1019"/>
        <v>3.7356081247979613</v>
      </c>
      <c r="T457" s="1">
        <f t="shared" ref="T457:V457" si="1043">$S457*P457</f>
        <v>4.3461122211764888E-2</v>
      </c>
      <c r="U457" s="1">
        <f t="shared" si="1043"/>
        <v>0</v>
      </c>
      <c r="V457" s="1">
        <f t="shared" si="1043"/>
        <v>3.7351024173412832</v>
      </c>
      <c r="W457" s="1">
        <f t="shared" si="1021"/>
        <v>-46.156985545694035</v>
      </c>
      <c r="X457" s="1">
        <f t="shared" si="1022"/>
        <v>0</v>
      </c>
      <c r="Y457" s="1">
        <f t="shared" si="1023"/>
        <v>-5.5339657349563289</v>
      </c>
    </row>
    <row r="458" spans="1:25">
      <c r="A458" s="1">
        <v>0.45600000000000002</v>
      </c>
      <c r="B458" s="1">
        <f t="shared" si="1024"/>
        <v>24.074654296731929</v>
      </c>
      <c r="C458" s="1">
        <f t="shared" si="1025"/>
        <v>0</v>
      </c>
      <c r="D458" s="1">
        <f t="shared" si="1026"/>
        <v>0.19773434092711004</v>
      </c>
      <c r="E458" s="1">
        <f t="shared" si="1027"/>
        <v>33.645721006828353</v>
      </c>
      <c r="F458" s="1">
        <f t="shared" si="1028"/>
        <v>0</v>
      </c>
      <c r="G458" s="1">
        <f t="shared" si="1029"/>
        <v>-0.39756788163832457</v>
      </c>
      <c r="H458" s="1">
        <f t="shared" si="576"/>
        <v>33.64806981521884</v>
      </c>
      <c r="I458" s="1">
        <f t="shared" si="1012"/>
        <v>-46.074044060327871</v>
      </c>
      <c r="J458" s="1">
        <f t="shared" si="1013"/>
        <v>0</v>
      </c>
      <c r="K458" s="1">
        <f t="shared" si="1014"/>
        <v>0.54442465631388492</v>
      </c>
      <c r="L458" s="1">
        <f t="shared" ref="L458:N458" si="1044">E458/$H458</f>
        <v>0.99993019485505752</v>
      </c>
      <c r="M458" s="1">
        <f t="shared" si="1044"/>
        <v>0</v>
      </c>
      <c r="N458" s="1">
        <f t="shared" si="1044"/>
        <v>-1.1815473631076061E-2</v>
      </c>
      <c r="O458" s="1">
        <f t="shared" si="578"/>
        <v>-1.1815473631076061E-2</v>
      </c>
      <c r="P458" s="1">
        <f t="shared" si="1016"/>
        <v>1.181464885022668E-2</v>
      </c>
      <c r="Q458" s="1">
        <f t="shared" si="1017"/>
        <v>0</v>
      </c>
      <c r="R458" s="1">
        <f t="shared" si="1018"/>
        <v>0.99986039458287335</v>
      </c>
      <c r="S458" s="1">
        <f t="shared" si="1019"/>
        <v>3.725395528992868</v>
      </c>
      <c r="T458" s="1">
        <f t="shared" ref="T458:V458" si="1045">$S458*P458</f>
        <v>4.4014240003255198E-2</v>
      </c>
      <c r="U458" s="1">
        <f t="shared" si="1045"/>
        <v>0</v>
      </c>
      <c r="V458" s="1">
        <f t="shared" si="1045"/>
        <v>3.7248754435960811</v>
      </c>
      <c r="W458" s="1">
        <f t="shared" si="1021"/>
        <v>-46.030029820324614</v>
      </c>
      <c r="X458" s="1">
        <f t="shared" si="1022"/>
        <v>0</v>
      </c>
      <c r="Y458" s="1">
        <f t="shared" si="1023"/>
        <v>-5.5373499000900335</v>
      </c>
    </row>
    <row r="459" spans="1:25">
      <c r="A459" s="1">
        <v>0.45700000000000002</v>
      </c>
      <c r="B459" s="1">
        <f t="shared" si="1024"/>
        <v>24.108253987708938</v>
      </c>
      <c r="C459" s="1">
        <f t="shared" si="1025"/>
        <v>0</v>
      </c>
      <c r="D459" s="1">
        <f t="shared" si="1026"/>
        <v>0.19733123569557162</v>
      </c>
      <c r="E459" s="1">
        <f t="shared" si="1027"/>
        <v>33.599690977008031</v>
      </c>
      <c r="F459" s="1">
        <f t="shared" si="1028"/>
        <v>0</v>
      </c>
      <c r="G459" s="1">
        <f t="shared" si="1029"/>
        <v>-0.4031052315384146</v>
      </c>
      <c r="H459" s="1">
        <f t="shared" si="576"/>
        <v>33.602108975154053</v>
      </c>
      <c r="I459" s="1">
        <f t="shared" si="1012"/>
        <v>-45.948163365841047</v>
      </c>
      <c r="J459" s="1">
        <f t="shared" si="1013"/>
        <v>0</v>
      </c>
      <c r="K459" s="1">
        <f t="shared" si="1014"/>
        <v>0.55125343399814775</v>
      </c>
      <c r="L459" s="1">
        <f t="shared" ref="L459:N459" si="1046">E459/$H459</f>
        <v>0.99992804028616744</v>
      </c>
      <c r="M459" s="1">
        <f t="shared" si="1046"/>
        <v>0</v>
      </c>
      <c r="N459" s="1">
        <f t="shared" si="1046"/>
        <v>-1.1996426528956178E-2</v>
      </c>
      <c r="O459" s="1">
        <f t="shared" si="578"/>
        <v>-1.1996426528956178E-2</v>
      </c>
      <c r="P459" s="1">
        <f t="shared" si="1016"/>
        <v>1.1995563269536141E-2</v>
      </c>
      <c r="Q459" s="1">
        <f t="shared" si="1017"/>
        <v>0</v>
      </c>
      <c r="R459" s="1">
        <f t="shared" si="1018"/>
        <v>0.99985608575053531</v>
      </c>
      <c r="S459" s="1">
        <f t="shared" si="1019"/>
        <v>3.7152252356978899</v>
      </c>
      <c r="T459" s="1">
        <f t="shared" ref="T459:V459" si="1047">$S459*P459</f>
        <v>4.4566219375391361E-2</v>
      </c>
      <c r="U459" s="1">
        <f t="shared" si="1047"/>
        <v>0</v>
      </c>
      <c r="V459" s="1">
        <f t="shared" si="1047"/>
        <v>3.7146905618465023</v>
      </c>
      <c r="W459" s="1">
        <f t="shared" si="1021"/>
        <v>-45.903597146465657</v>
      </c>
      <c r="X459" s="1">
        <f t="shared" si="1022"/>
        <v>0</v>
      </c>
      <c r="Y459" s="1">
        <f t="shared" si="1023"/>
        <v>-5.5407060041553491</v>
      </c>
    </row>
    <row r="460" spans="1:25">
      <c r="A460" s="1">
        <v>0.45800000000000002</v>
      </c>
      <c r="B460" s="1">
        <f t="shared" si="1024"/>
        <v>24.1418077750888</v>
      </c>
      <c r="C460" s="1">
        <f t="shared" si="1025"/>
        <v>0</v>
      </c>
      <c r="D460" s="1">
        <f t="shared" si="1026"/>
        <v>0.19692258975802907</v>
      </c>
      <c r="E460" s="1">
        <f t="shared" si="1027"/>
        <v>33.553787379861568</v>
      </c>
      <c r="F460" s="1">
        <f t="shared" si="1028"/>
        <v>0</v>
      </c>
      <c r="G460" s="1">
        <f t="shared" si="1029"/>
        <v>-0.40864593754256995</v>
      </c>
      <c r="H460" s="1">
        <f t="shared" si="576"/>
        <v>33.556275702694236</v>
      </c>
      <c r="I460" s="1">
        <f t="shared" si="1012"/>
        <v>-45.822801730791781</v>
      </c>
      <c r="J460" s="1">
        <f t="shared" si="1013"/>
        <v>0</v>
      </c>
      <c r="K460" s="1">
        <f t="shared" si="1014"/>
        <v>0.55806820142590885</v>
      </c>
      <c r="L460" s="1">
        <f t="shared" ref="L460:N460" si="1048">E460/$H460</f>
        <v>0.99992584627523284</v>
      </c>
      <c r="M460" s="1">
        <f t="shared" si="1048"/>
        <v>0</v>
      </c>
      <c r="N460" s="1">
        <f t="shared" si="1048"/>
        <v>-1.2177928837012139E-2</v>
      </c>
      <c r="O460" s="1">
        <f t="shared" si="578"/>
        <v>-1.2177928837012139E-2</v>
      </c>
      <c r="P460" s="1">
        <f t="shared" si="1016"/>
        <v>1.2177025798228925E-2</v>
      </c>
      <c r="Q460" s="1">
        <f t="shared" si="1017"/>
        <v>0</v>
      </c>
      <c r="R460" s="1">
        <f t="shared" si="1018"/>
        <v>0.99985169804924068</v>
      </c>
      <c r="S460" s="1">
        <f t="shared" si="1019"/>
        <v>3.7050970143401671</v>
      </c>
      <c r="T460" s="1">
        <f t="shared" ref="T460:V460" si="1049">$S460*P460</f>
        <v>4.5117061928561179E-2</v>
      </c>
      <c r="U460" s="1">
        <f t="shared" si="1049"/>
        <v>0</v>
      </c>
      <c r="V460" s="1">
        <f t="shared" si="1049"/>
        <v>3.704547541225188</v>
      </c>
      <c r="W460" s="1">
        <f t="shared" si="1021"/>
        <v>-45.777684668863223</v>
      </c>
      <c r="X460" s="1">
        <f t="shared" si="1022"/>
        <v>0</v>
      </c>
      <c r="Y460" s="1">
        <f t="shared" si="1023"/>
        <v>-5.544034257348903</v>
      </c>
    </row>
    <row r="461" spans="1:25">
      <c r="A461" s="1">
        <v>0.45900000000000002</v>
      </c>
      <c r="B461" s="1">
        <f t="shared" si="1024"/>
        <v>24.175315784783994</v>
      </c>
      <c r="C461" s="1">
        <f t="shared" si="1025"/>
        <v>0</v>
      </c>
      <c r="D461" s="1">
        <f t="shared" si="1026"/>
        <v>0.19650839978622914</v>
      </c>
      <c r="E461" s="1">
        <f t="shared" si="1027"/>
        <v>33.508009695192705</v>
      </c>
      <c r="F461" s="1">
        <f t="shared" si="1028"/>
        <v>0</v>
      </c>
      <c r="G461" s="1">
        <f t="shared" si="1029"/>
        <v>-0.41418997179991884</v>
      </c>
      <c r="H461" s="1">
        <f t="shared" si="576"/>
        <v>33.510569482864177</v>
      </c>
      <c r="I461" s="1">
        <f t="shared" si="1012"/>
        <v>-45.697956321024492</v>
      </c>
      <c r="J461" s="1">
        <f t="shared" si="1013"/>
        <v>0</v>
      </c>
      <c r="K461" s="1">
        <f t="shared" si="1014"/>
        <v>0.56486897944984626</v>
      </c>
      <c r="L461" s="1">
        <f t="shared" ref="L461:N461" si="1050">E461/$H461</f>
        <v>0.99992361252849549</v>
      </c>
      <c r="M461" s="1">
        <f t="shared" si="1050"/>
        <v>0</v>
      </c>
      <c r="N461" s="1">
        <f t="shared" si="1050"/>
        <v>-1.2359980095584984E-2</v>
      </c>
      <c r="O461" s="1">
        <f t="shared" si="578"/>
        <v>-1.2359980095584984E-2</v>
      </c>
      <c r="P461" s="1">
        <f t="shared" si="1016"/>
        <v>1.2359035947957637E-2</v>
      </c>
      <c r="Q461" s="1">
        <f t="shared" si="1017"/>
        <v>0</v>
      </c>
      <c r="R461" s="1">
        <f t="shared" si="1018"/>
        <v>0.99984723089203675</v>
      </c>
      <c r="S461" s="1">
        <f t="shared" si="1019"/>
        <v>3.6950106359216401</v>
      </c>
      <c r="T461" s="1">
        <f t="shared" ref="T461:V461" si="1051">$S461*P461</f>
        <v>4.5666769277441357E-2</v>
      </c>
      <c r="U461" s="1">
        <f t="shared" si="1051"/>
        <v>0</v>
      </c>
      <c r="V461" s="1">
        <f t="shared" si="1051"/>
        <v>3.6944461524428758</v>
      </c>
      <c r="W461" s="1">
        <f t="shared" si="1021"/>
        <v>-45.652289551747053</v>
      </c>
      <c r="X461" s="1">
        <f t="shared" si="1022"/>
        <v>0</v>
      </c>
      <c r="Y461" s="1">
        <f t="shared" si="1023"/>
        <v>-5.5473348681072778</v>
      </c>
    </row>
    <row r="462" spans="1:25">
      <c r="A462" s="1">
        <v>0.46</v>
      </c>
      <c r="B462" s="1">
        <f t="shared" si="1024"/>
        <v>24.208778142189633</v>
      </c>
      <c r="C462" s="1">
        <f t="shared" si="1025"/>
        <v>0</v>
      </c>
      <c r="D462" s="1">
        <f t="shared" si="1026"/>
        <v>0.19608866247956111</v>
      </c>
      <c r="E462" s="1">
        <f t="shared" si="1027"/>
        <v>33.462357405640958</v>
      </c>
      <c r="F462" s="1">
        <f t="shared" si="1028"/>
        <v>0</v>
      </c>
      <c r="G462" s="1">
        <f t="shared" si="1029"/>
        <v>-0.41973730666802611</v>
      </c>
      <c r="H462" s="1">
        <f t="shared" si="576"/>
        <v>33.464989803516502</v>
      </c>
      <c r="I462" s="1">
        <f t="shared" si="1012"/>
        <v>-45.573624321722015</v>
      </c>
      <c r="J462" s="1">
        <f t="shared" si="1013"/>
        <v>0</v>
      </c>
      <c r="K462" s="1">
        <f t="shared" si="1014"/>
        <v>0.57165578910096038</v>
      </c>
      <c r="L462" s="1">
        <f t="shared" ref="L462:N462" si="1052">E462/$H462</f>
        <v>0.99992133875160283</v>
      </c>
      <c r="M462" s="1">
        <f t="shared" si="1052"/>
        <v>0</v>
      </c>
      <c r="N462" s="1">
        <f t="shared" si="1052"/>
        <v>-1.2542579846353938E-2</v>
      </c>
      <c r="O462" s="1">
        <f t="shared" si="578"/>
        <v>-1.2542579846353938E-2</v>
      </c>
      <c r="P462" s="1">
        <f t="shared" si="1016"/>
        <v>1.2541593231365103E-2</v>
      </c>
      <c r="Q462" s="1">
        <f t="shared" si="1017"/>
        <v>0</v>
      </c>
      <c r="R462" s="1">
        <f t="shared" si="1018"/>
        <v>0.99984268369079787</v>
      </c>
      <c r="S462" s="1">
        <f t="shared" si="1019"/>
        <v>3.6849658730061621</v>
      </c>
      <c r="T462" s="1">
        <f t="shared" ref="T462:V462" si="1053">$S462*P462</f>
        <v>4.621534305070548E-2</v>
      </c>
      <c r="U462" s="1">
        <f t="shared" si="1053"/>
        <v>0</v>
      </c>
      <c r="V462" s="1">
        <f t="shared" si="1053"/>
        <v>3.684386167775485</v>
      </c>
      <c r="W462" s="1">
        <f t="shared" si="1021"/>
        <v>-45.527408978671311</v>
      </c>
      <c r="X462" s="1">
        <f t="shared" si="1022"/>
        <v>0</v>
      </c>
      <c r="Y462" s="1">
        <f t="shared" si="1023"/>
        <v>-5.550608043123554</v>
      </c>
    </row>
    <row r="463" spans="1:25">
      <c r="A463" s="1">
        <v>0.46100000000000002</v>
      </c>
      <c r="B463" s="1">
        <f t="shared" si="1024"/>
        <v>24.242194972186294</v>
      </c>
      <c r="C463" s="1">
        <f t="shared" si="1025"/>
        <v>0</v>
      </c>
      <c r="D463" s="1">
        <f t="shared" si="1026"/>
        <v>0.19566337456484997</v>
      </c>
      <c r="E463" s="1">
        <f t="shared" si="1027"/>
        <v>33.416829996662287</v>
      </c>
      <c r="F463" s="1">
        <f t="shared" si="1028"/>
        <v>0</v>
      </c>
      <c r="G463" s="1">
        <f t="shared" si="1029"/>
        <v>-0.42528791471114968</v>
      </c>
      <c r="H463" s="1">
        <f t="shared" si="576"/>
        <v>33.419536155312329</v>
      </c>
      <c r="I463" s="1">
        <f t="shared" si="1012"/>
        <v>-45.44980293724732</v>
      </c>
      <c r="J463" s="1">
        <f t="shared" si="1013"/>
        <v>0</v>
      </c>
      <c r="K463" s="1">
        <f t="shared" si="1014"/>
        <v>0.57842865158500156</v>
      </c>
      <c r="L463" s="1">
        <f t="shared" ref="L463:N463" si="1054">E463/$H463</f>
        <v>0.99991902464961013</v>
      </c>
      <c r="M463" s="1">
        <f t="shared" si="1054"/>
        <v>0</v>
      </c>
      <c r="N463" s="1">
        <f t="shared" si="1054"/>
        <v>-1.2725727632325216E-2</v>
      </c>
      <c r="O463" s="1">
        <f t="shared" si="578"/>
        <v>-1.2725727632325216E-2</v>
      </c>
      <c r="P463" s="1">
        <f t="shared" si="1016"/>
        <v>1.2724697162071223E-2</v>
      </c>
      <c r="Q463" s="1">
        <f t="shared" si="1017"/>
        <v>0</v>
      </c>
      <c r="R463" s="1">
        <f t="shared" si="1018"/>
        <v>0.99983805585622787</v>
      </c>
      <c r="S463" s="1">
        <f t="shared" si="1019"/>
        <v>3.6749624997067181</v>
      </c>
      <c r="T463" s="1">
        <f t="shared" ref="T463:V463" si="1055">$S463*P463</f>
        <v>4.6762784890736243E-2</v>
      </c>
      <c r="U463" s="1">
        <f t="shared" si="1055"/>
        <v>0</v>
      </c>
      <c r="V463" s="1">
        <f t="shared" si="1055"/>
        <v>3.6743673610513086</v>
      </c>
      <c r="W463" s="1">
        <f t="shared" si="1021"/>
        <v>-45.403040152356581</v>
      </c>
      <c r="X463" s="1">
        <f t="shared" si="1022"/>
        <v>0</v>
      </c>
      <c r="Y463" s="1">
        <f t="shared" si="1023"/>
        <v>-5.5538539873636896</v>
      </c>
    </row>
    <row r="464" spans="1:25">
      <c r="A464" s="1">
        <v>0.46200000000000002</v>
      </c>
      <c r="B464" s="1">
        <f t="shared" si="1024"/>
        <v>24.275566399142804</v>
      </c>
      <c r="C464" s="1">
        <f t="shared" si="1025"/>
        <v>0</v>
      </c>
      <c r="D464" s="1">
        <f t="shared" si="1026"/>
        <v>0.19523253279615146</v>
      </c>
      <c r="E464" s="1">
        <f t="shared" si="1027"/>
        <v>33.371426956509929</v>
      </c>
      <c r="F464" s="1">
        <f t="shared" si="1028"/>
        <v>0</v>
      </c>
      <c r="G464" s="1">
        <f t="shared" si="1029"/>
        <v>-0.43084176869851337</v>
      </c>
      <c r="H464" s="1">
        <f t="shared" si="576"/>
        <v>33.374208031702153</v>
      </c>
      <c r="I464" s="1">
        <f t="shared" si="1012"/>
        <v>-45.326489390986993</v>
      </c>
      <c r="J464" s="1">
        <f t="shared" si="1013"/>
        <v>0</v>
      </c>
      <c r="K464" s="1">
        <f t="shared" si="1014"/>
        <v>0.58518758827895156</v>
      </c>
      <c r="L464" s="1">
        <f t="shared" ref="L464:N464" si="1056">E464/$H464</f>
        <v>0.99991666992698125</v>
      </c>
      <c r="M464" s="1">
        <f t="shared" si="1056"/>
        <v>0</v>
      </c>
      <c r="N464" s="1">
        <f t="shared" si="1056"/>
        <v>-1.2909422997820857E-2</v>
      </c>
      <c r="O464" s="1">
        <f t="shared" si="578"/>
        <v>-1.2909422997820857E-2</v>
      </c>
      <c r="P464" s="1">
        <f t="shared" si="1016"/>
        <v>1.290834725465982E-2</v>
      </c>
      <c r="Q464" s="1">
        <f t="shared" si="1017"/>
        <v>0</v>
      </c>
      <c r="R464" s="1">
        <f t="shared" si="1018"/>
        <v>0.99983334679786329</v>
      </c>
      <c r="S464" s="1">
        <f t="shared" si="1019"/>
        <v>3.665000291672782</v>
      </c>
      <c r="T464" s="1">
        <f t="shared" ref="T464:V464" si="1057">$S464*P464</f>
        <v>4.7309096453341797E-2</v>
      </c>
      <c r="U464" s="1">
        <f t="shared" si="1057"/>
        <v>0</v>
      </c>
      <c r="V464" s="1">
        <f t="shared" si="1057"/>
        <v>3.6643895076383428</v>
      </c>
      <c r="W464" s="1">
        <f t="shared" si="1021"/>
        <v>-45.279180294533653</v>
      </c>
      <c r="X464" s="1">
        <f t="shared" si="1022"/>
        <v>0</v>
      </c>
      <c r="Y464" s="1">
        <f t="shared" si="1023"/>
        <v>-5.5570729040827054</v>
      </c>
    </row>
    <row r="465" spans="1:25">
      <c r="A465" s="1">
        <v>0.46300000000000002</v>
      </c>
      <c r="B465" s="1">
        <f t="shared" si="1024"/>
        <v>24.308892546919019</v>
      </c>
      <c r="C465" s="1">
        <f t="shared" si="1025"/>
        <v>0</v>
      </c>
      <c r="D465" s="1">
        <f t="shared" si="1026"/>
        <v>0.19479613395454887</v>
      </c>
      <c r="E465" s="1">
        <f t="shared" si="1027"/>
        <v>33.326147776215393</v>
      </c>
      <c r="F465" s="1">
        <f t="shared" si="1028"/>
        <v>0</v>
      </c>
      <c r="G465" s="1">
        <f t="shared" si="1029"/>
        <v>-0.43639884160259607</v>
      </c>
      <c r="H465" s="1">
        <f t="shared" si="576"/>
        <v>33.329004928906869</v>
      </c>
      <c r="I465" s="1">
        <f t="shared" si="1012"/>
        <v>-45.203680925196046</v>
      </c>
      <c r="J465" s="1">
        <f t="shared" si="1013"/>
        <v>0</v>
      </c>
      <c r="K465" s="1">
        <f t="shared" si="1014"/>
        <v>0.59193262072755393</v>
      </c>
      <c r="L465" s="1">
        <f t="shared" ref="L465:N465" si="1058">E465/$H465</f>
        <v>0.99991427428758917</v>
      </c>
      <c r="M465" s="1">
        <f t="shared" si="1058"/>
        <v>0</v>
      </c>
      <c r="N465" s="1">
        <f t="shared" si="1058"/>
        <v>-1.3093665488467649E-2</v>
      </c>
      <c r="O465" s="1">
        <f t="shared" si="578"/>
        <v>-1.3093665488467649E-2</v>
      </c>
      <c r="P465" s="1">
        <f t="shared" si="1016"/>
        <v>1.3092543024665582E-2</v>
      </c>
      <c r="Q465" s="1">
        <f t="shared" si="1017"/>
        <v>0</v>
      </c>
      <c r="R465" s="1">
        <f t="shared" si="1018"/>
        <v>0.99982855592407616</v>
      </c>
      <c r="S465" s="1">
        <f t="shared" si="1019"/>
        <v>3.6550790260777895</v>
      </c>
      <c r="T465" s="1">
        <f t="shared" ref="T465:V465" si="1059">$S465*P465</f>
        <v>4.7854279407476233E-2</v>
      </c>
      <c r="U465" s="1">
        <f t="shared" si="1059"/>
        <v>0</v>
      </c>
      <c r="V465" s="1">
        <f t="shared" si="1059"/>
        <v>3.6544523844317349</v>
      </c>
      <c r="W465" s="1">
        <f t="shared" si="1021"/>
        <v>-45.155826645788572</v>
      </c>
      <c r="X465" s="1">
        <f t="shared" si="1022"/>
        <v>0</v>
      </c>
      <c r="Y465" s="1">
        <f t="shared" si="1023"/>
        <v>-5.5602649948407104</v>
      </c>
    </row>
    <row r="466" spans="1:25">
      <c r="A466" s="1">
        <v>0.46400000000000002</v>
      </c>
      <c r="B466" s="1">
        <f t="shared" si="1024"/>
        <v>24.34217353886859</v>
      </c>
      <c r="C466" s="1">
        <f t="shared" si="1025"/>
        <v>0</v>
      </c>
      <c r="D466" s="1">
        <f t="shared" si="1026"/>
        <v>0.19435417484795142</v>
      </c>
      <c r="E466" s="1">
        <f t="shared" si="1027"/>
        <v>33.280991949569604</v>
      </c>
      <c r="F466" s="1">
        <f t="shared" si="1028"/>
        <v>0</v>
      </c>
      <c r="G466" s="1">
        <f t="shared" si="1029"/>
        <v>-0.44195910659743676</v>
      </c>
      <c r="H466" s="1">
        <f t="shared" si="576"/>
        <v>33.283926345898877</v>
      </c>
      <c r="I466" s="1">
        <f t="shared" si="1012"/>
        <v>-45.081374800844209</v>
      </c>
      <c r="J466" s="1">
        <f t="shared" si="1013"/>
        <v>0</v>
      </c>
      <c r="K466" s="1">
        <f t="shared" si="1014"/>
        <v>0.59866377063989429</v>
      </c>
      <c r="L466" s="1">
        <f t="shared" ref="L466:N466" si="1060">E466/$H466</f>
        <v>0.99991183743471912</v>
      </c>
      <c r="M466" s="1">
        <f t="shared" si="1060"/>
        <v>0</v>
      </c>
      <c r="N466" s="1">
        <f t="shared" si="1060"/>
        <v>-1.3278454651186107E-2</v>
      </c>
      <c r="O466" s="1">
        <f t="shared" si="578"/>
        <v>-1.3278454651186107E-2</v>
      </c>
      <c r="P466" s="1">
        <f t="shared" si="1016"/>
        <v>1.3277283988561093E-2</v>
      </c>
      <c r="Q466" s="1">
        <f t="shared" si="1017"/>
        <v>0</v>
      </c>
      <c r="R466" s="1">
        <f t="shared" si="1018"/>
        <v>0.99982368264207644</v>
      </c>
      <c r="S466" s="1">
        <f t="shared" si="1019"/>
        <v>3.6451984816067133</v>
      </c>
      <c r="T466" s="1">
        <f t="shared" ref="T466:V466" si="1061">$S466*P466</f>
        <v>4.8398335434964024E-2</v>
      </c>
      <c r="U466" s="1">
        <f t="shared" si="1061"/>
        <v>0</v>
      </c>
      <c r="V466" s="1">
        <f t="shared" si="1061"/>
        <v>3.6445557698413293</v>
      </c>
      <c r="W466" s="1">
        <f t="shared" si="1021"/>
        <v>-45.032976465409241</v>
      </c>
      <c r="X466" s="1">
        <f t="shared" si="1022"/>
        <v>0</v>
      </c>
      <c r="Y466" s="1">
        <f t="shared" si="1023"/>
        <v>-5.5634304595187754</v>
      </c>
    </row>
    <row r="467" spans="1:25">
      <c r="A467" s="1">
        <v>0.46500000000000002</v>
      </c>
      <c r="B467" s="1">
        <f t="shared" si="1024"/>
        <v>24.375409497841694</v>
      </c>
      <c r="C467" s="1">
        <f t="shared" si="1025"/>
        <v>0</v>
      </c>
      <c r="D467" s="1">
        <f t="shared" si="1026"/>
        <v>0.19390665231089446</v>
      </c>
      <c r="E467" s="1">
        <f t="shared" si="1027"/>
        <v>33.235958973104196</v>
      </c>
      <c r="F467" s="1">
        <f t="shared" si="1028"/>
        <v>0</v>
      </c>
      <c r="G467" s="1">
        <f t="shared" si="1029"/>
        <v>-0.44752253705695555</v>
      </c>
      <c r="H467" s="1">
        <f t="shared" si="576"/>
        <v>33.238971784383452</v>
      </c>
      <c r="I467" s="1">
        <f t="shared" si="1012"/>
        <v>-44.95956829746379</v>
      </c>
      <c r="J467" s="1">
        <f t="shared" si="1013"/>
        <v>0</v>
      </c>
      <c r="K467" s="1">
        <f t="shared" si="1014"/>
        <v>0.60538105988603108</v>
      </c>
      <c r="L467" s="1">
        <f t="shared" ref="L467:N467" si="1062">E467/$H467</f>
        <v>0.99990935907106882</v>
      </c>
      <c r="M467" s="1">
        <f t="shared" si="1062"/>
        <v>0</v>
      </c>
      <c r="N467" s="1">
        <f t="shared" si="1062"/>
        <v>-1.3463790034179501E-2</v>
      </c>
      <c r="O467" s="1">
        <f t="shared" si="578"/>
        <v>-1.3463790034179501E-2</v>
      </c>
      <c r="P467" s="1">
        <f t="shared" si="1016"/>
        <v>1.3462569663743868E-2</v>
      </c>
      <c r="Q467" s="1">
        <f t="shared" si="1017"/>
        <v>0</v>
      </c>
      <c r="R467" s="1">
        <f t="shared" si="1018"/>
        <v>0.99981872635791558</v>
      </c>
      <c r="S467" s="1">
        <f t="shared" si="1019"/>
        <v>3.6353584384437814</v>
      </c>
      <c r="T467" s="1">
        <f t="shared" ref="T467:V467" si="1063">$S467*P467</f>
        <v>4.8941266230228528E-2</v>
      </c>
      <c r="U467" s="1">
        <f t="shared" si="1063"/>
        <v>0</v>
      </c>
      <c r="V467" s="1">
        <f t="shared" si="1063"/>
        <v>3.6346994437793625</v>
      </c>
      <c r="W467" s="1">
        <f t="shared" si="1021"/>
        <v>-44.91062703123356</v>
      </c>
      <c r="X467" s="1">
        <f t="shared" si="1022"/>
        <v>0</v>
      </c>
      <c r="Y467" s="1">
        <f t="shared" si="1023"/>
        <v>-5.5665694963346057</v>
      </c>
    </row>
    <row r="468" spans="1:25">
      <c r="A468" s="1">
        <v>0.46600000000000003</v>
      </c>
      <c r="B468" s="1">
        <f t="shared" si="1024"/>
        <v>24.408600546187767</v>
      </c>
      <c r="C468" s="1">
        <f t="shared" si="1025"/>
        <v>0</v>
      </c>
      <c r="D468" s="1">
        <f t="shared" si="1026"/>
        <v>0.19345356320434118</v>
      </c>
      <c r="E468" s="1">
        <f t="shared" si="1027"/>
        <v>33.191048346072961</v>
      </c>
      <c r="F468" s="1">
        <f t="shared" si="1028"/>
        <v>0</v>
      </c>
      <c r="G468" s="1">
        <f t="shared" si="1029"/>
        <v>-0.45308910655329016</v>
      </c>
      <c r="H468" s="1">
        <f t="shared" si="576"/>
        <v>33.194140748780192</v>
      </c>
      <c r="I468" s="1">
        <f t="shared" si="1012"/>
        <v>-44.838258712998837</v>
      </c>
      <c r="J468" s="1">
        <f t="shared" si="1013"/>
        <v>0</v>
      </c>
      <c r="K468" s="1">
        <f t="shared" si="1014"/>
        <v>0.61208451049367352</v>
      </c>
      <c r="L468" s="1">
        <f t="shared" ref="L468:N468" si="1064">E468/$H468</f>
        <v>0.99990683889874921</v>
      </c>
      <c r="M468" s="1">
        <f t="shared" si="1064"/>
        <v>0</v>
      </c>
      <c r="N468" s="1">
        <f t="shared" si="1064"/>
        <v>-1.3649671186922955E-2</v>
      </c>
      <c r="O468" s="1">
        <f t="shared" si="578"/>
        <v>-1.3649671186922955E-2</v>
      </c>
      <c r="P468" s="1">
        <f t="shared" si="1016"/>
        <v>1.364839956852347E-2</v>
      </c>
      <c r="Q468" s="1">
        <f t="shared" si="1017"/>
        <v>0</v>
      </c>
      <c r="R468" s="1">
        <f t="shared" si="1018"/>
        <v>0.99981368647648894</v>
      </c>
      <c r="S468" s="1">
        <f t="shared" si="1019"/>
        <v>3.6255586782602984</v>
      </c>
      <c r="T468" s="1">
        <f t="shared" ref="T468:V468" si="1065">$S468*P468</f>
        <v>4.9483073500024378E-2</v>
      </c>
      <c r="U468" s="1">
        <f t="shared" si="1065"/>
        <v>0</v>
      </c>
      <c r="V468" s="1">
        <f t="shared" si="1065"/>
        <v>3.6248831876482557</v>
      </c>
      <c r="W468" s="1">
        <f t="shared" si="1021"/>
        <v>-44.788775639498809</v>
      </c>
      <c r="X468" s="1">
        <f t="shared" si="1022"/>
        <v>0</v>
      </c>
      <c r="Y468" s="1">
        <f t="shared" si="1023"/>
        <v>-5.5696823018580703</v>
      </c>
    </row>
    <row r="469" spans="1:25">
      <c r="A469" s="1">
        <v>0.46700000000000003</v>
      </c>
      <c r="B469" s="1">
        <f t="shared" si="1024"/>
        <v>24.4417468057582</v>
      </c>
      <c r="C469" s="1">
        <f t="shared" si="1025"/>
        <v>0</v>
      </c>
      <c r="D469" s="1">
        <f t="shared" si="1026"/>
        <v>0.19299490441548603</v>
      </c>
      <c r="E469" s="1">
        <f t="shared" si="1027"/>
        <v>33.146259570433465</v>
      </c>
      <c r="F469" s="1">
        <f t="shared" si="1028"/>
        <v>0</v>
      </c>
      <c r="G469" s="1">
        <f t="shared" si="1029"/>
        <v>-0.45865878885514821</v>
      </c>
      <c r="H469" s="1">
        <f t="shared" si="576"/>
        <v>33.14943274620466</v>
      </c>
      <c r="I469" s="1">
        <f t="shared" si="1012"/>
        <v>-44.717443363655882</v>
      </c>
      <c r="J469" s="1">
        <f t="shared" si="1013"/>
        <v>0</v>
      </c>
      <c r="K469" s="1">
        <f t="shared" si="1014"/>
        <v>0.61877414464490887</v>
      </c>
      <c r="L469" s="1">
        <f t="shared" ref="L469:N469" si="1066">E469/$H469</f>
        <v>0.99990427661928671</v>
      </c>
      <c r="M469" s="1">
        <f t="shared" si="1066"/>
        <v>0</v>
      </c>
      <c r="N469" s="1">
        <f t="shared" si="1066"/>
        <v>-1.3836097660152598E-2</v>
      </c>
      <c r="O469" s="1">
        <f t="shared" si="578"/>
        <v>-1.3836097660152598E-2</v>
      </c>
      <c r="P469" s="1">
        <f t="shared" si="1016"/>
        <v>1.3834773222108689E-2</v>
      </c>
      <c r="Q469" s="1">
        <f t="shared" si="1017"/>
        <v>0</v>
      </c>
      <c r="R469" s="1">
        <f t="shared" si="1018"/>
        <v>0.9998085624015387</v>
      </c>
      <c r="S469" s="1">
        <f t="shared" si="1019"/>
        <v>3.6157989842025851</v>
      </c>
      <c r="T469" s="1">
        <f t="shared" ref="T469:V469" si="1067">$S469*P469</f>
        <v>5.0023758963173723E-2</v>
      </c>
      <c r="U469" s="1">
        <f t="shared" si="1067"/>
        <v>0</v>
      </c>
      <c r="V469" s="1">
        <f t="shared" si="1067"/>
        <v>3.6151067843285305</v>
      </c>
      <c r="W469" s="1">
        <f t="shared" si="1021"/>
        <v>-44.667419604692711</v>
      </c>
      <c r="X469" s="1">
        <f t="shared" si="1022"/>
        <v>0</v>
      </c>
      <c r="Y469" s="1">
        <f t="shared" si="1023"/>
        <v>-5.5727690710265598</v>
      </c>
    </row>
    <row r="470" spans="1:25">
      <c r="A470" s="1">
        <v>0.46800000000000003</v>
      </c>
      <c r="B470" s="1">
        <f t="shared" si="1024"/>
        <v>24.474848397909028</v>
      </c>
      <c r="C470" s="1">
        <f t="shared" si="1025"/>
        <v>0</v>
      </c>
      <c r="D470" s="1">
        <f t="shared" si="1026"/>
        <v>0.19253067285755984</v>
      </c>
      <c r="E470" s="1">
        <f t="shared" si="1027"/>
        <v>33.101592150828772</v>
      </c>
      <c r="F470" s="1">
        <f t="shared" si="1028"/>
        <v>0</v>
      </c>
      <c r="G470" s="1">
        <f t="shared" si="1029"/>
        <v>-0.46423155792617476</v>
      </c>
      <c r="H470" s="1">
        <f t="shared" si="576"/>
        <v>33.104847286450116</v>
      </c>
      <c r="I470" s="1">
        <f t="shared" si="1012"/>
        <v>-44.597119583755919</v>
      </c>
      <c r="J470" s="1">
        <f t="shared" si="1013"/>
        <v>0</v>
      </c>
      <c r="K470" s="1">
        <f t="shared" si="1014"/>
        <v>0.62544998467297519</v>
      </c>
      <c r="L470" s="1">
        <f t="shared" ref="L470:N470" si="1068">E470/$H470</f>
        <v>0.99990167193362411</v>
      </c>
      <c r="M470" s="1">
        <f t="shared" si="1068"/>
        <v>0</v>
      </c>
      <c r="N470" s="1">
        <f t="shared" si="1068"/>
        <v>-1.4023069005854793E-2</v>
      </c>
      <c r="O470" s="1">
        <f t="shared" si="578"/>
        <v>-1.4023069005854793E-2</v>
      </c>
      <c r="P470" s="1">
        <f t="shared" si="1016"/>
        <v>1.4021690144594793E-2</v>
      </c>
      <c r="Q470" s="1">
        <f t="shared" si="1017"/>
        <v>0</v>
      </c>
      <c r="R470" s="1">
        <f t="shared" si="1018"/>
        <v>0.99980335353565708</v>
      </c>
      <c r="S470" s="1">
        <f t="shared" si="1019"/>
        <v>3.6060791408800248</v>
      </c>
      <c r="T470" s="1">
        <f t="shared" ref="T470:V470" si="1069">$S470*P470</f>
        <v>5.0563324350306298E-2</v>
      </c>
      <c r="U470" s="1">
        <f t="shared" si="1069"/>
        <v>0</v>
      </c>
      <c r="V470" s="1">
        <f t="shared" si="1069"/>
        <v>3.60537001816683</v>
      </c>
      <c r="W470" s="1">
        <f t="shared" si="1021"/>
        <v>-44.546556259405612</v>
      </c>
      <c r="X470" s="1">
        <f t="shared" si="1022"/>
        <v>0</v>
      </c>
      <c r="Y470" s="1">
        <f t="shared" si="1023"/>
        <v>-5.5758299971601941</v>
      </c>
    </row>
    <row r="471" spans="1:25">
      <c r="A471" s="1">
        <v>0.46899999999999997</v>
      </c>
      <c r="B471" s="1">
        <f t="shared" si="1024"/>
        <v>24.507905443503599</v>
      </c>
      <c r="C471" s="1">
        <f t="shared" si="1025"/>
        <v>0</v>
      </c>
      <c r="D471" s="1">
        <f t="shared" si="1026"/>
        <v>0.19206086546963652</v>
      </c>
      <c r="E471" s="1">
        <f t="shared" si="1027"/>
        <v>33.057045594569367</v>
      </c>
      <c r="F471" s="1">
        <f t="shared" si="1028"/>
        <v>0</v>
      </c>
      <c r="G471" s="1">
        <f t="shared" si="1029"/>
        <v>-0.46980738792333498</v>
      </c>
      <c r="H471" s="1">
        <f t="shared" si="576"/>
        <v>33.06038388196945</v>
      </c>
      <c r="I471" s="1">
        <f t="shared" si="1012"/>
        <v>-44.477284725587886</v>
      </c>
      <c r="J471" s="1">
        <f t="shared" si="1013"/>
        <v>0</v>
      </c>
      <c r="K471" s="1">
        <f t="shared" si="1014"/>
        <v>0.63211205305908102</v>
      </c>
      <c r="L471" s="1">
        <f t="shared" ref="L471:N471" si="1070">E471/$H471</f>
        <v>0.99989902454212265</v>
      </c>
      <c r="M471" s="1">
        <f t="shared" si="1070"/>
        <v>0</v>
      </c>
      <c r="N471" s="1">
        <f t="shared" si="1070"/>
        <v>-1.4210584777255404E-2</v>
      </c>
      <c r="O471" s="1">
        <f t="shared" si="578"/>
        <v>-1.4210584777255404E-2</v>
      </c>
      <c r="P471" s="1">
        <f t="shared" si="1016"/>
        <v>1.4209149856950817E-2</v>
      </c>
      <c r="Q471" s="1">
        <f t="shared" si="1017"/>
        <v>0</v>
      </c>
      <c r="R471" s="1">
        <f t="shared" si="1018"/>
        <v>0.99979805928028842</v>
      </c>
      <c r="S471" s="1">
        <f t="shared" si="1019"/>
        <v>3.5963989343532332</v>
      </c>
      <c r="T471" s="1">
        <f t="shared" ref="T471:V471" si="1071">$S471*P471</f>
        <v>5.1101771403603315E-2</v>
      </c>
      <c r="U471" s="1">
        <f t="shared" si="1071"/>
        <v>0</v>
      </c>
      <c r="V471" s="1">
        <f t="shared" si="1071"/>
        <v>3.5956726749640602</v>
      </c>
      <c r="W471" s="1">
        <f t="shared" si="1021"/>
        <v>-44.426182954184284</v>
      </c>
      <c r="X471" s="1">
        <f t="shared" si="1022"/>
        <v>0</v>
      </c>
      <c r="Y471" s="1">
        <f t="shared" si="1023"/>
        <v>-5.5788652719768583</v>
      </c>
    </row>
    <row r="472" spans="1:25">
      <c r="A472" s="1">
        <v>0.47</v>
      </c>
      <c r="B472" s="1">
        <f t="shared" si="1024"/>
        <v>24.540918062915214</v>
      </c>
      <c r="C472" s="1">
        <f t="shared" si="1025"/>
        <v>0</v>
      </c>
      <c r="D472" s="1">
        <f t="shared" si="1026"/>
        <v>0.1915854792164412</v>
      </c>
      <c r="E472" s="1">
        <f t="shared" si="1027"/>
        <v>33.012619411615184</v>
      </c>
      <c r="F472" s="1">
        <f t="shared" si="1028"/>
        <v>0</v>
      </c>
      <c r="G472" s="1">
        <f t="shared" si="1029"/>
        <v>-0.47538625319531186</v>
      </c>
      <c r="H472" s="1">
        <f t="shared" si="576"/>
        <v>33.016042047857262</v>
      </c>
      <c r="I472" s="1">
        <f t="shared" si="1012"/>
        <v>-44.357936159263595</v>
      </c>
      <c r="J472" s="1">
        <f t="shared" si="1013"/>
        <v>0</v>
      </c>
      <c r="K472" s="1">
        <f t="shared" si="1014"/>
        <v>0.63876037242927297</v>
      </c>
      <c r="L472" s="1">
        <f t="shared" ref="L472:N472" si="1072">E472/$H472</f>
        <v>0.99989633414456169</v>
      </c>
      <c r="M472" s="1">
        <f t="shared" si="1072"/>
        <v>0</v>
      </c>
      <c r="N472" s="1">
        <f t="shared" si="1072"/>
        <v>-1.4398644528809122E-2</v>
      </c>
      <c r="O472" s="1">
        <f t="shared" si="578"/>
        <v>-1.4398644528809122E-2</v>
      </c>
      <c r="P472" s="1">
        <f t="shared" si="1016"/>
        <v>1.4397151881006891E-2</v>
      </c>
      <c r="Q472" s="1">
        <f t="shared" si="1017"/>
        <v>0</v>
      </c>
      <c r="R472" s="1">
        <f t="shared" si="1018"/>
        <v>0.99979267903573299</v>
      </c>
      <c r="S472" s="1">
        <f t="shared" si="1019"/>
        <v>3.586758152122338</v>
      </c>
      <c r="T472" s="1">
        <f t="shared" ref="T472:V472" si="1073">$S472*P472</f>
        <v>5.163910187654492E-2</v>
      </c>
      <c r="U472" s="1">
        <f t="shared" si="1073"/>
        <v>0</v>
      </c>
      <c r="V472" s="1">
        <f t="shared" si="1073"/>
        <v>3.5860145419636473</v>
      </c>
      <c r="W472" s="1">
        <f t="shared" si="1021"/>
        <v>-44.306297057387049</v>
      </c>
      <c r="X472" s="1">
        <f t="shared" si="1022"/>
        <v>0</v>
      </c>
      <c r="Y472" s="1">
        <f t="shared" si="1023"/>
        <v>-5.5818750856070789</v>
      </c>
    </row>
    <row r="473" spans="1:25">
      <c r="A473" s="1">
        <v>0.47099999999999997</v>
      </c>
      <c r="B473" s="1">
        <f t="shared" si="1024"/>
        <v>24.573886376029773</v>
      </c>
      <c r="C473" s="1">
        <f t="shared" si="1025"/>
        <v>0</v>
      </c>
      <c r="D473" s="1">
        <f t="shared" si="1026"/>
        <v>0.19110451108816029</v>
      </c>
      <c r="E473" s="1">
        <f t="shared" si="1027"/>
        <v>32.968313114557795</v>
      </c>
      <c r="F473" s="1">
        <f t="shared" si="1028"/>
        <v>0</v>
      </c>
      <c r="G473" s="1">
        <f t="shared" si="1029"/>
        <v>-0.48096812828091895</v>
      </c>
      <c r="H473" s="1">
        <f t="shared" si="576"/>
        <v>32.971821301832044</v>
      </c>
      <c r="I473" s="1">
        <f t="shared" si="1012"/>
        <v>-44.239071272573803</v>
      </c>
      <c r="J473" s="1">
        <f t="shared" si="1013"/>
        <v>0</v>
      </c>
      <c r="K473" s="1">
        <f t="shared" si="1014"/>
        <v>0.64539496555134523</v>
      </c>
      <c r="L473" s="1">
        <f t="shared" ref="L473:N473" si="1074">E473/$H473</f>
        <v>0.99989360044014142</v>
      </c>
      <c r="M473" s="1">
        <f t="shared" si="1074"/>
        <v>0</v>
      </c>
      <c r="N473" s="1">
        <f t="shared" si="1074"/>
        <v>-1.4587247816188864E-2</v>
      </c>
      <c r="O473" s="1">
        <f t="shared" si="578"/>
        <v>-1.4587247816188864E-2</v>
      </c>
      <c r="P473" s="1">
        <f t="shared" si="1016"/>
        <v>1.4585695739441674E-2</v>
      </c>
      <c r="Q473" s="1">
        <f t="shared" si="1017"/>
        <v>0</v>
      </c>
      <c r="R473" s="1">
        <f t="shared" si="1018"/>
        <v>0.99978721220114908</v>
      </c>
      <c r="S473" s="1">
        <f t="shared" si="1019"/>
        <v>3.5771565831153596</v>
      </c>
      <c r="T473" s="1">
        <f t="shared" ref="T473:V473" si="1075">$S473*P473</f>
        <v>5.2175317533661433E-2</v>
      </c>
      <c r="U473" s="1">
        <f t="shared" si="1075"/>
        <v>0</v>
      </c>
      <c r="V473" s="1">
        <f t="shared" si="1075"/>
        <v>3.5763954078398932</v>
      </c>
      <c r="W473" s="1">
        <f t="shared" si="1021"/>
        <v>-44.186895955040143</v>
      </c>
      <c r="X473" s="1">
        <f t="shared" si="1022"/>
        <v>0</v>
      </c>
      <c r="Y473" s="1">
        <f t="shared" si="1023"/>
        <v>-5.5848596266087611</v>
      </c>
    </row>
    <row r="474" spans="1:25">
      <c r="A474" s="1">
        <v>0.47199999999999998</v>
      </c>
      <c r="B474" s="1">
        <f t="shared" si="1024"/>
        <v>24.606810502248376</v>
      </c>
      <c r="C474" s="1">
        <f t="shared" si="1025"/>
        <v>0</v>
      </c>
      <c r="D474" s="1">
        <f t="shared" si="1026"/>
        <v>0.19061795810025275</v>
      </c>
      <c r="E474" s="1">
        <f t="shared" si="1027"/>
        <v>32.924126218602751</v>
      </c>
      <c r="F474" s="1">
        <f t="shared" si="1028"/>
        <v>0</v>
      </c>
      <c r="G474" s="1">
        <f t="shared" si="1029"/>
        <v>-0.48655298790752771</v>
      </c>
      <c r="H474" s="1">
        <f t="shared" si="576"/>
        <v>32.927721164218561</v>
      </c>
      <c r="I474" s="1">
        <f t="shared" si="1012"/>
        <v>-44.12068747084593</v>
      </c>
      <c r="J474" s="1">
        <f t="shared" si="1013"/>
        <v>0</v>
      </c>
      <c r="K474" s="1">
        <f t="shared" si="1014"/>
        <v>0.65201585533179673</v>
      </c>
      <c r="L474" s="1">
        <f t="shared" ref="L474:N474" si="1076">E474/$H474</f>
        <v>0.99989082312748334</v>
      </c>
      <c r="M474" s="1">
        <f t="shared" si="1076"/>
        <v>0</v>
      </c>
      <c r="N474" s="1">
        <f t="shared" si="1076"/>
        <v>-1.4776394196275215E-2</v>
      </c>
      <c r="O474" s="1">
        <f t="shared" si="578"/>
        <v>-1.4776394196275215E-2</v>
      </c>
      <c r="P474" s="1">
        <f t="shared" si="1016"/>
        <v>1.4774780955769793E-2</v>
      </c>
      <c r="Q474" s="1">
        <f t="shared" si="1017"/>
        <v>0</v>
      </c>
      <c r="R474" s="1">
        <f t="shared" si="1018"/>
        <v>0.99978165817455633</v>
      </c>
      <c r="S474" s="1">
        <f t="shared" si="1019"/>
        <v>3.5675940176767176</v>
      </c>
      <c r="T474" s="1">
        <f t="shared" ref="T474:V474" si="1077">$S474*P474</f>
        <v>5.2710420150288206E-2</v>
      </c>
      <c r="U474" s="1">
        <f t="shared" si="1077"/>
        <v>0</v>
      </c>
      <c r="V474" s="1">
        <f t="shared" si="1077"/>
        <v>3.5668150626864561</v>
      </c>
      <c r="W474" s="1">
        <f t="shared" si="1021"/>
        <v>-44.067977050695639</v>
      </c>
      <c r="X474" s="1">
        <f t="shared" si="1022"/>
        <v>0</v>
      </c>
      <c r="Y474" s="1">
        <f t="shared" si="1023"/>
        <v>-5.5878190819817464</v>
      </c>
    </row>
    <row r="475" spans="1:25">
      <c r="A475" s="1">
        <v>0.47299999999999998</v>
      </c>
      <c r="B475" s="1">
        <f t="shared" si="1024"/>
        <v>24.639690560489928</v>
      </c>
      <c r="C475" s="1">
        <f t="shared" si="1025"/>
        <v>0</v>
      </c>
      <c r="D475" s="1">
        <f t="shared" si="1026"/>
        <v>0.19012581729326325</v>
      </c>
      <c r="E475" s="1">
        <f t="shared" si="1027"/>
        <v>32.880058241552057</v>
      </c>
      <c r="F475" s="1">
        <f t="shared" si="1028"/>
        <v>0</v>
      </c>
      <c r="G475" s="1">
        <f t="shared" si="1029"/>
        <v>-0.49214080698950946</v>
      </c>
      <c r="H475" s="1">
        <f t="shared" si="576"/>
        <v>32.883741157930309</v>
      </c>
      <c r="I475" s="1">
        <f t="shared" si="1012"/>
        <v>-44.002782176802846</v>
      </c>
      <c r="J475" s="1">
        <f t="shared" si="1013"/>
        <v>0</v>
      </c>
      <c r="K475" s="1">
        <f t="shared" si="1014"/>
        <v>0.65862306481282973</v>
      </c>
      <c r="L475" s="1">
        <f t="shared" ref="L475:N475" si="1078">E475/$H475</f>
        <v>0.99988800190463234</v>
      </c>
      <c r="M475" s="1">
        <f t="shared" si="1078"/>
        <v>0</v>
      </c>
      <c r="N475" s="1">
        <f t="shared" si="1078"/>
        <v>-1.4966083227145941E-2</v>
      </c>
      <c r="O475" s="1">
        <f t="shared" si="578"/>
        <v>-1.4966083227145941E-2</v>
      </c>
      <c r="P475" s="1">
        <f t="shared" si="1016"/>
        <v>1.4964407054329387E-2</v>
      </c>
      <c r="Q475" s="1">
        <f t="shared" si="1017"/>
        <v>0</v>
      </c>
      <c r="R475" s="1">
        <f t="shared" si="1018"/>
        <v>0.99977601635283819</v>
      </c>
      <c r="S475" s="1">
        <f t="shared" si="1019"/>
        <v>3.5580702475558219</v>
      </c>
      <c r="T475" s="1">
        <f t="shared" ref="T475:V475" si="1079">$S475*P475</f>
        <v>5.3244411512323848E-2</v>
      </c>
      <c r="U475" s="1">
        <f t="shared" si="1079"/>
        <v>0</v>
      </c>
      <c r="V475" s="1">
        <f t="shared" si="1079"/>
        <v>3.5572732980049167</v>
      </c>
      <c r="W475" s="1">
        <f t="shared" si="1021"/>
        <v>-43.949537765290522</v>
      </c>
      <c r="X475" s="1">
        <f t="shared" si="1022"/>
        <v>0</v>
      </c>
      <c r="Y475" s="1">
        <f t="shared" si="1023"/>
        <v>-5.590753637182253</v>
      </c>
    </row>
    <row r="476" spans="1:25">
      <c r="A476" s="1">
        <v>0.47399999999999998</v>
      </c>
      <c r="B476" s="1">
        <f t="shared" si="1024"/>
        <v>24.672526669193715</v>
      </c>
      <c r="C476" s="1">
        <f t="shared" si="1025"/>
        <v>0</v>
      </c>
      <c r="D476" s="1">
        <f t="shared" si="1026"/>
        <v>0.18962808573263656</v>
      </c>
      <c r="E476" s="1">
        <f t="shared" si="1027"/>
        <v>32.836108703786763</v>
      </c>
      <c r="F476" s="1">
        <f t="shared" si="1028"/>
        <v>0</v>
      </c>
      <c r="G476" s="1">
        <f t="shared" si="1029"/>
        <v>-0.49773156062669172</v>
      </c>
      <c r="H476" s="1">
        <f t="shared" si="576"/>
        <v>32.839880808452165</v>
      </c>
      <c r="I476" s="1">
        <f t="shared" si="1012"/>
        <v>-43.885352830423123</v>
      </c>
      <c r="J476" s="1">
        <f t="shared" si="1013"/>
        <v>0</v>
      </c>
      <c r="K476" s="1">
        <f t="shared" si="1014"/>
        <v>0.6652166171693934</v>
      </c>
      <c r="L476" s="1">
        <f t="shared" ref="L476:N476" si="1080">E476/$H476</f>
        <v>0.99988513646905719</v>
      </c>
      <c r="M476" s="1">
        <f t="shared" si="1080"/>
        <v>0</v>
      </c>
      <c r="N476" s="1">
        <f t="shared" si="1080"/>
        <v>-1.5156314468065549E-2</v>
      </c>
      <c r="O476" s="1">
        <f t="shared" si="578"/>
        <v>-1.5156314468065549E-2</v>
      </c>
      <c r="P476" s="1">
        <f t="shared" si="1016"/>
        <v>1.5154573560269667E-2</v>
      </c>
      <c r="Q476" s="1">
        <f t="shared" si="1017"/>
        <v>0</v>
      </c>
      <c r="R476" s="1">
        <f t="shared" si="1018"/>
        <v>0.99977028613174512</v>
      </c>
      <c r="S476" s="1">
        <f t="shared" si="1019"/>
        <v>3.5485850658957938</v>
      </c>
      <c r="T476" s="1">
        <f t="shared" ref="T476:V476" si="1081">$S476*P476</f>
        <v>5.3777293415992189E-2</v>
      </c>
      <c r="U476" s="1">
        <f t="shared" si="1081"/>
        <v>0</v>
      </c>
      <c r="V476" s="1">
        <f t="shared" si="1081"/>
        <v>3.5477699066934756</v>
      </c>
      <c r="W476" s="1">
        <f t="shared" si="1021"/>
        <v>-43.831575537007133</v>
      </c>
      <c r="X476" s="1">
        <f t="shared" si="1022"/>
        <v>0</v>
      </c>
      <c r="Y476" s="1">
        <f t="shared" si="1023"/>
        <v>-5.5936634761371309</v>
      </c>
    </row>
    <row r="477" spans="1:25">
      <c r="A477" s="1">
        <v>0.47499999999999998</v>
      </c>
      <c r="B477" s="1">
        <f t="shared" si="1024"/>
        <v>24.705318946321963</v>
      </c>
      <c r="C477" s="1">
        <f t="shared" si="1025"/>
        <v>0</v>
      </c>
      <c r="D477" s="1">
        <f t="shared" si="1026"/>
        <v>0.18912476050853375</v>
      </c>
      <c r="E477" s="1">
        <f t="shared" si="1027"/>
        <v>32.792277128249758</v>
      </c>
      <c r="F477" s="1">
        <f t="shared" si="1028"/>
        <v>0</v>
      </c>
      <c r="G477" s="1">
        <f t="shared" si="1029"/>
        <v>-0.50332522410282887</v>
      </c>
      <c r="H477" s="1">
        <f t="shared" si="576"/>
        <v>32.796139643823182</v>
      </c>
      <c r="I477" s="1">
        <f t="shared" si="1012"/>
        <v>-43.768396888802613</v>
      </c>
      <c r="J477" s="1">
        <f t="shared" si="1013"/>
        <v>0</v>
      </c>
      <c r="K477" s="1">
        <f t="shared" si="1014"/>
        <v>0.67179653570626985</v>
      </c>
      <c r="L477" s="1">
        <f t="shared" ref="L477:N477" si="1082">E477/$H477</f>
        <v>0.99988222651765202</v>
      </c>
      <c r="M477" s="1">
        <f t="shared" si="1082"/>
        <v>0</v>
      </c>
      <c r="N477" s="1">
        <f t="shared" si="1082"/>
        <v>-1.5347087479474891E-2</v>
      </c>
      <c r="O477" s="1">
        <f t="shared" si="578"/>
        <v>-1.5347087479474891E-2</v>
      </c>
      <c r="P477" s="1">
        <f t="shared" si="1016"/>
        <v>1.5345279999538533E-2</v>
      </c>
      <c r="Q477" s="1">
        <f t="shared" si="1017"/>
        <v>0</v>
      </c>
      <c r="R477" s="1">
        <f t="shared" si="1018"/>
        <v>0.99976446690589738</v>
      </c>
      <c r="S477" s="1">
        <f t="shared" si="1019"/>
        <v>3.5391382672222829</v>
      </c>
      <c r="T477" s="1">
        <f t="shared" ref="T477:V477" si="1083">$S477*P477</f>
        <v>5.4309067667607562E-2</v>
      </c>
      <c r="U477" s="1">
        <f t="shared" si="1083"/>
        <v>0</v>
      </c>
      <c r="V477" s="1">
        <f t="shared" si="1083"/>
        <v>3.5383046830357472</v>
      </c>
      <c r="W477" s="1">
        <f t="shared" si="1021"/>
        <v>-43.714087821135003</v>
      </c>
      <c r="X477" s="1">
        <f t="shared" si="1022"/>
        <v>0</v>
      </c>
      <c r="Y477" s="1">
        <f t="shared" si="1023"/>
        <v>-5.5965487812579822</v>
      </c>
    </row>
    <row r="478" spans="1:25">
      <c r="A478" s="1">
        <v>0.47599999999999998</v>
      </c>
      <c r="B478" s="1">
        <f t="shared" si="1024"/>
        <v>24.738067509362391</v>
      </c>
      <c r="C478" s="1">
        <f t="shared" si="1025"/>
        <v>0</v>
      </c>
      <c r="D478" s="1">
        <f t="shared" si="1026"/>
        <v>0.18861583873564966</v>
      </c>
      <c r="E478" s="1">
        <f t="shared" si="1027"/>
        <v>32.748563040428621</v>
      </c>
      <c r="F478" s="1">
        <f t="shared" si="1028"/>
        <v>0</v>
      </c>
      <c r="G478" s="1">
        <f t="shared" si="1029"/>
        <v>-0.50892177288408691</v>
      </c>
      <c r="H478" s="1">
        <f t="shared" si="576"/>
        <v>32.75251719461945</v>
      </c>
      <c r="I478" s="1">
        <f t="shared" si="1012"/>
        <v>-43.651911826017177</v>
      </c>
      <c r="J478" s="1">
        <f t="shared" si="1013"/>
        <v>0</v>
      </c>
      <c r="K478" s="1">
        <f t="shared" si="1014"/>
        <v>0.6783628438552014</v>
      </c>
      <c r="L478" s="1">
        <f t="shared" ref="L478:N478" si="1084">E478/$H478</f>
        <v>0.9998792717467383</v>
      </c>
      <c r="M478" s="1">
        <f t="shared" si="1084"/>
        <v>0</v>
      </c>
      <c r="N478" s="1">
        <f t="shared" si="1084"/>
        <v>-1.5538401822980863E-2</v>
      </c>
      <c r="O478" s="1">
        <f t="shared" si="578"/>
        <v>-1.5538401822980863E-2</v>
      </c>
      <c r="P478" s="1">
        <f t="shared" si="1016"/>
        <v>1.5536525898870295E-2</v>
      </c>
      <c r="Q478" s="1">
        <f t="shared" si="1017"/>
        <v>0</v>
      </c>
      <c r="R478" s="1">
        <f t="shared" si="1018"/>
        <v>0.99975855806878755</v>
      </c>
      <c r="S478" s="1">
        <f t="shared" si="1019"/>
        <v>3.5297296474323789</v>
      </c>
      <c r="T478" s="1">
        <f t="shared" ref="T478:V478" si="1085">$S478*P478</f>
        <v>5.4839736083343471E-2</v>
      </c>
      <c r="U478" s="1">
        <f t="shared" si="1085"/>
        <v>0</v>
      </c>
      <c r="V478" s="1">
        <f t="shared" si="1085"/>
        <v>3.5288774226896451</v>
      </c>
      <c r="W478" s="1">
        <f t="shared" si="1021"/>
        <v>-43.597072089933832</v>
      </c>
      <c r="X478" s="1">
        <f t="shared" si="1022"/>
        <v>0</v>
      </c>
      <c r="Y478" s="1">
        <f t="shared" si="1023"/>
        <v>-5.5994097334551531</v>
      </c>
    </row>
    <row r="479" spans="1:25">
      <c r="A479" s="1">
        <v>0.47699999999999998</v>
      </c>
      <c r="B479" s="1">
        <f t="shared" si="1024"/>
        <v>24.77077247533073</v>
      </c>
      <c r="C479" s="1">
        <f t="shared" si="1025"/>
        <v>0</v>
      </c>
      <c r="D479" s="1">
        <f t="shared" si="1026"/>
        <v>0.18810131755303211</v>
      </c>
      <c r="E479" s="1">
        <f t="shared" si="1027"/>
        <v>32.704965968338691</v>
      </c>
      <c r="F479" s="1">
        <f t="shared" si="1028"/>
        <v>0</v>
      </c>
      <c r="G479" s="1">
        <f t="shared" si="1029"/>
        <v>-0.51452118261754209</v>
      </c>
      <c r="H479" s="1">
        <f t="shared" si="576"/>
        <v>32.709012993937222</v>
      </c>
      <c r="I479" s="1">
        <f t="shared" si="1012"/>
        <v>-43.535895132986937</v>
      </c>
      <c r="J479" s="1">
        <f t="shared" si="1013"/>
        <v>0</v>
      </c>
      <c r="K479" s="1">
        <f t="shared" si="1014"/>
        <v>0.68491556517206154</v>
      </c>
      <c r="L479" s="1">
        <f t="shared" ref="L479:N479" si="1086">E479/$H479</f>
        <v>0.99987627185206474</v>
      </c>
      <c r="M479" s="1">
        <f t="shared" si="1086"/>
        <v>0</v>
      </c>
      <c r="N479" s="1">
        <f t="shared" si="1086"/>
        <v>-1.5730257061346092E-2</v>
      </c>
      <c r="O479" s="1">
        <f t="shared" si="578"/>
        <v>-1.5730257061346092E-2</v>
      </c>
      <c r="P479" s="1">
        <f t="shared" si="1016"/>
        <v>1.5728310785773348E-2</v>
      </c>
      <c r="Q479" s="1">
        <f t="shared" si="1017"/>
        <v>0</v>
      </c>
      <c r="R479" s="1">
        <f t="shared" si="1018"/>
        <v>0.99975255901278393</v>
      </c>
      <c r="S479" s="1">
        <f t="shared" si="1019"/>
        <v>3.5203590037836552</v>
      </c>
      <c r="T479" s="1">
        <f t="shared" ref="T479:V479" si="1087">$S479*P479</f>
        <v>5.5369300489004784E-2</v>
      </c>
      <c r="U479" s="1">
        <f t="shared" si="1087"/>
        <v>0</v>
      </c>
      <c r="V479" s="1">
        <f t="shared" si="1087"/>
        <v>3.519487922676404</v>
      </c>
      <c r="W479" s="1">
        <f t="shared" si="1021"/>
        <v>-43.480525832497932</v>
      </c>
      <c r="X479" s="1">
        <f t="shared" si="1022"/>
        <v>0</v>
      </c>
      <c r="Y479" s="1">
        <f t="shared" si="1023"/>
        <v>-5.6022465121515337</v>
      </c>
    </row>
    <row r="480" spans="1:25">
      <c r="A480" s="1">
        <v>0.47799999999999998</v>
      </c>
      <c r="B480" s="1">
        <f t="shared" si="1024"/>
        <v>24.803433960773237</v>
      </c>
      <c r="C480" s="1">
        <f t="shared" si="1025"/>
        <v>0</v>
      </c>
      <c r="D480" s="1">
        <f t="shared" si="1026"/>
        <v>0.18758119412390242</v>
      </c>
      <c r="E480" s="1">
        <f t="shared" si="1027"/>
        <v>32.661485442506191</v>
      </c>
      <c r="F480" s="1">
        <f t="shared" si="1028"/>
        <v>0</v>
      </c>
      <c r="G480" s="1">
        <f t="shared" si="1029"/>
        <v>-0.52012342912969367</v>
      </c>
      <c r="H480" s="1">
        <f t="shared" si="576"/>
        <v>32.665626577376003</v>
      </c>
      <c r="I480" s="1">
        <f t="shared" si="1012"/>
        <v>-43.420344317341467</v>
      </c>
      <c r="J480" s="1">
        <f t="shared" si="1013"/>
        <v>0</v>
      </c>
      <c r="K480" s="1">
        <f t="shared" si="1014"/>
        <v>0.69145472333406333</v>
      </c>
      <c r="L480" s="1">
        <f t="shared" ref="L480:N480" si="1088">E480/$H480</f>
        <v>0.99987322652880994</v>
      </c>
      <c r="M480" s="1">
        <f t="shared" si="1088"/>
        <v>0</v>
      </c>
      <c r="N480" s="1">
        <f t="shared" si="1088"/>
        <v>-1.5922652758478779E-2</v>
      </c>
      <c r="O480" s="1">
        <f t="shared" si="578"/>
        <v>-1.5922652758478779E-2</v>
      </c>
      <c r="P480" s="1">
        <f t="shared" si="1016"/>
        <v>1.5920634188518034E-2</v>
      </c>
      <c r="Q480" s="1">
        <f t="shared" si="1017"/>
        <v>0</v>
      </c>
      <c r="R480" s="1">
        <f t="shared" si="1018"/>
        <v>0.9997464691291329</v>
      </c>
      <c r="S480" s="1">
        <f t="shared" si="1019"/>
        <v>3.5110261348832728</v>
      </c>
      <c r="T480" s="1">
        <f t="shared" ref="T480:V480" si="1089">$S480*P480</f>
        <v>5.5897762719802964E-2</v>
      </c>
      <c r="U480" s="1">
        <f t="shared" si="1089"/>
        <v>0</v>
      </c>
      <c r="V480" s="1">
        <f t="shared" si="1089"/>
        <v>3.5101359813696584</v>
      </c>
      <c r="W480" s="1">
        <f t="shared" si="1021"/>
        <v>-43.364446554621665</v>
      </c>
      <c r="X480" s="1">
        <f t="shared" si="1022"/>
        <v>0</v>
      </c>
      <c r="Y480" s="1">
        <f t="shared" si="1023"/>
        <v>-5.6050592952962779</v>
      </c>
    </row>
    <row r="481" spans="1:25">
      <c r="A481" s="1">
        <v>0.47899999999999998</v>
      </c>
      <c r="B481" s="1">
        <f t="shared" si="1024"/>
        <v>24.836052081769189</v>
      </c>
      <c r="C481" s="1">
        <f t="shared" si="1025"/>
        <v>0</v>
      </c>
      <c r="D481" s="1">
        <f t="shared" si="1026"/>
        <v>0.18705546563547742</v>
      </c>
      <c r="E481" s="1">
        <f t="shared" si="1027"/>
        <v>32.618120995951571</v>
      </c>
      <c r="F481" s="1">
        <f t="shared" si="1028"/>
        <v>0</v>
      </c>
      <c r="G481" s="1">
        <f t="shared" si="1029"/>
        <v>-0.52572848842498998</v>
      </c>
      <c r="H481" s="1">
        <f t="shared" si="576"/>
        <v>32.62235748302195</v>
      </c>
      <c r="I481" s="1">
        <f t="shared" si="1012"/>
        <v>-43.305256903286626</v>
      </c>
      <c r="J481" s="1">
        <f t="shared" si="1013"/>
        <v>0</v>
      </c>
      <c r="K481" s="1">
        <f t="shared" si="1014"/>
        <v>0.69798034213701221</v>
      </c>
      <c r="L481" s="1">
        <f t="shared" ref="L481:N481" si="1090">E481/$H481</f>
        <v>0.9998701354715831</v>
      </c>
      <c r="M481" s="1">
        <f t="shared" si="1090"/>
        <v>0</v>
      </c>
      <c r="N481" s="1">
        <f t="shared" si="1090"/>
        <v>-1.6115588479422471E-2</v>
      </c>
      <c r="O481" s="1">
        <f t="shared" si="578"/>
        <v>-1.6115588479422471E-2</v>
      </c>
      <c r="P481" s="1">
        <f t="shared" si="1016"/>
        <v>1.6113495636124429E-2</v>
      </c>
      <c r="Q481" s="1">
        <f t="shared" si="1017"/>
        <v>0</v>
      </c>
      <c r="R481" s="1">
        <f t="shared" si="1018"/>
        <v>0.99974028780796187</v>
      </c>
      <c r="S481" s="1">
        <f t="shared" si="1019"/>
        <v>3.5017308406772276</v>
      </c>
      <c r="T481" s="1">
        <f t="shared" ref="T481:V481" si="1091">$S481*P481</f>
        <v>5.6425124620134839E-2</v>
      </c>
      <c r="U481" s="1">
        <f t="shared" si="1091"/>
        <v>0</v>
      </c>
      <c r="V481" s="1">
        <f t="shared" si="1091"/>
        <v>3.5008213984846677</v>
      </c>
      <c r="W481" s="1">
        <f t="shared" si="1021"/>
        <v>-43.248831778666492</v>
      </c>
      <c r="X481" s="1">
        <f t="shared" si="1022"/>
        <v>0</v>
      </c>
      <c r="Y481" s="1">
        <f t="shared" si="1023"/>
        <v>-5.6078482593783194</v>
      </c>
    </row>
    <row r="482" spans="1:25">
      <c r="A482" s="1">
        <v>0.48</v>
      </c>
      <c r="B482" s="1">
        <f t="shared" si="1024"/>
        <v>24.868626953933362</v>
      </c>
      <c r="C482" s="1">
        <f t="shared" si="1025"/>
        <v>0</v>
      </c>
      <c r="D482" s="1">
        <f t="shared" si="1026"/>
        <v>0.18652412929879306</v>
      </c>
      <c r="E482" s="1">
        <f t="shared" si="1027"/>
        <v>32.574872164172902</v>
      </c>
      <c r="F482" s="1">
        <f t="shared" si="1028"/>
        <v>0</v>
      </c>
      <c r="G482" s="1">
        <f t="shared" si="1029"/>
        <v>-0.5313363366843683</v>
      </c>
      <c r="H482" s="1">
        <f t="shared" si="576"/>
        <v>32.579205251431283</v>
      </c>
      <c r="I482" s="1">
        <f t="shared" si="1012"/>
        <v>-43.190630431472222</v>
      </c>
      <c r="J482" s="1">
        <f t="shared" si="1013"/>
        <v>0</v>
      </c>
      <c r="K482" s="1">
        <f t="shared" si="1014"/>
        <v>0.7044924454925956</v>
      </c>
      <c r="L482" s="1">
        <f t="shared" ref="L482:N482" si="1092">E482/$H482</f>
        <v>0.99986699837442505</v>
      </c>
      <c r="M482" s="1">
        <f t="shared" si="1092"/>
        <v>0</v>
      </c>
      <c r="N482" s="1">
        <f t="shared" si="1092"/>
        <v>-1.6309063790346003E-2</v>
      </c>
      <c r="O482" s="1">
        <f t="shared" si="578"/>
        <v>-1.6309063790346003E-2</v>
      </c>
      <c r="P482" s="1">
        <f t="shared" si="1016"/>
        <v>1.6306894658350279E-2</v>
      </c>
      <c r="Q482" s="1">
        <f t="shared" si="1017"/>
        <v>0</v>
      </c>
      <c r="R482" s="1">
        <f t="shared" si="1018"/>
        <v>0.99973401443828247</v>
      </c>
      <c r="S482" s="1">
        <f t="shared" si="1019"/>
        <v>3.4924729224396724</v>
      </c>
      <c r="T482" s="1">
        <f t="shared" ref="T482:V482" si="1093">$S482*P482</f>
        <v>5.6951388043364484E-2</v>
      </c>
      <c r="U482" s="1">
        <f t="shared" si="1093"/>
        <v>0</v>
      </c>
      <c r="V482" s="1">
        <f t="shared" si="1093"/>
        <v>3.4915439750676143</v>
      </c>
      <c r="W482" s="1">
        <f t="shared" si="1021"/>
        <v>-43.133679043428856</v>
      </c>
      <c r="X482" s="1">
        <f t="shared" si="1022"/>
        <v>0</v>
      </c>
      <c r="Y482" s="1">
        <f t="shared" si="1023"/>
        <v>-5.6106135794397893</v>
      </c>
    </row>
    <row r="483" spans="1:25">
      <c r="A483" s="1">
        <v>0.48099999999999998</v>
      </c>
      <c r="B483" s="1">
        <f t="shared" si="1024"/>
        <v>24.901158692418491</v>
      </c>
      <c r="C483" s="1">
        <f t="shared" si="1025"/>
        <v>0</v>
      </c>
      <c r="D483" s="1">
        <f t="shared" si="1026"/>
        <v>0.18598718234852926</v>
      </c>
      <c r="E483" s="1">
        <f t="shared" si="1027"/>
        <v>32.531738485129473</v>
      </c>
      <c r="F483" s="1">
        <f t="shared" si="1028"/>
        <v>0</v>
      </c>
      <c r="G483" s="1">
        <f t="shared" si="1029"/>
        <v>-0.53694695026380812</v>
      </c>
      <c r="H483" s="1">
        <f t="shared" si="576"/>
        <v>32.536169425613885</v>
      </c>
      <c r="I483" s="1">
        <f t="shared" si="1012"/>
        <v>-43.076462458861286</v>
      </c>
      <c r="J483" s="1">
        <f t="shared" si="1013"/>
        <v>0</v>
      </c>
      <c r="K483" s="1">
        <f t="shared" si="1014"/>
        <v>0.71099105742571367</v>
      </c>
      <c r="L483" s="1">
        <f t="shared" ref="L483:N483" si="1094">E483/$H483</f>
        <v>0.99986381493080978</v>
      </c>
      <c r="M483" s="1">
        <f t="shared" si="1094"/>
        <v>0</v>
      </c>
      <c r="N483" s="1">
        <f t="shared" si="1094"/>
        <v>-1.6503078258533414E-2</v>
      </c>
      <c r="O483" s="1">
        <f t="shared" si="578"/>
        <v>-1.6503078258533414E-2</v>
      </c>
      <c r="P483" s="1">
        <f t="shared" si="1016"/>
        <v>1.6500830785678926E-2</v>
      </c>
      <c r="Q483" s="1">
        <f t="shared" si="1017"/>
        <v>0</v>
      </c>
      <c r="R483" s="1">
        <f t="shared" si="1018"/>
        <v>0.99972764840799277</v>
      </c>
      <c r="S483" s="1">
        <f t="shared" si="1019"/>
        <v>3.4832521827623442</v>
      </c>
      <c r="T483" s="1">
        <f t="shared" ref="T483:V483" si="1095">$S483*P483</f>
        <v>5.7476554851608207E-2</v>
      </c>
      <c r="U483" s="1">
        <f t="shared" si="1095"/>
        <v>0</v>
      </c>
      <c r="V483" s="1">
        <f t="shared" si="1095"/>
        <v>3.482303513485006</v>
      </c>
      <c r="W483" s="1">
        <f t="shared" si="1021"/>
        <v>-43.018985904009675</v>
      </c>
      <c r="X483" s="1">
        <f t="shared" si="1022"/>
        <v>0</v>
      </c>
      <c r="Y483" s="1">
        <f t="shared" si="1023"/>
        <v>-5.61335542908928</v>
      </c>
    </row>
    <row r="484" spans="1:25">
      <c r="A484" s="1">
        <v>0.48199999999999998</v>
      </c>
      <c r="B484" s="1">
        <f t="shared" si="1024"/>
        <v>24.933647411917718</v>
      </c>
      <c r="C484" s="1">
        <f t="shared" si="1025"/>
        <v>0</v>
      </c>
      <c r="D484" s="1">
        <f t="shared" si="1026"/>
        <v>0.18544462204283638</v>
      </c>
      <c r="E484" s="1">
        <f t="shared" si="1027"/>
        <v>32.488719499225461</v>
      </c>
      <c r="F484" s="1">
        <f t="shared" si="1028"/>
        <v>0</v>
      </c>
      <c r="G484" s="1">
        <f t="shared" si="1029"/>
        <v>-0.54256030569289737</v>
      </c>
      <c r="H484" s="1">
        <f t="shared" si="576"/>
        <v>32.493249551016994</v>
      </c>
      <c r="I484" s="1">
        <f t="shared" si="1012"/>
        <v>-42.962750558600248</v>
      </c>
      <c r="J484" s="1">
        <f t="shared" si="1013"/>
        <v>0</v>
      </c>
      <c r="K484" s="1">
        <f t="shared" si="1014"/>
        <v>0.71747620207184726</v>
      </c>
      <c r="L484" s="1">
        <f t="shared" ref="L484:N484" si="1096">E484/$H484</f>
        <v>0.99986058483364615</v>
      </c>
      <c r="M484" s="1">
        <f t="shared" si="1096"/>
        <v>0</v>
      </c>
      <c r="N484" s="1">
        <f t="shared" si="1096"/>
        <v>-1.6697631452373959E-2</v>
      </c>
      <c r="O484" s="1">
        <f t="shared" si="578"/>
        <v>-1.6697631452373959E-2</v>
      </c>
      <c r="P484" s="1">
        <f t="shared" si="1016"/>
        <v>1.669530354930731E-2</v>
      </c>
      <c r="Q484" s="1">
        <f t="shared" si="1017"/>
        <v>0</v>
      </c>
      <c r="R484" s="1">
        <f t="shared" si="1018"/>
        <v>0.99972118910388064</v>
      </c>
      <c r="S484" s="1">
        <f t="shared" si="1019"/>
        <v>3.4740684255440883</v>
      </c>
      <c r="T484" s="1">
        <f t="shared" ref="T484:V484" si="1097">$S484*P484</f>
        <v>5.8000626915522678E-2</v>
      </c>
      <c r="U484" s="1">
        <f t="shared" si="1097"/>
        <v>0</v>
      </c>
      <c r="V484" s="1">
        <f t="shared" si="1097"/>
        <v>3.4730998174131824</v>
      </c>
      <c r="W484" s="1">
        <f t="shared" si="1021"/>
        <v>-42.904749931684727</v>
      </c>
      <c r="X484" s="1">
        <f t="shared" si="1022"/>
        <v>0</v>
      </c>
      <c r="Y484" s="1">
        <f t="shared" si="1023"/>
        <v>-5.6160739805149698</v>
      </c>
    </row>
    <row r="485" spans="1:25">
      <c r="A485" s="1">
        <v>0.48299999999999998</v>
      </c>
      <c r="B485" s="1">
        <f t="shared" si="1024"/>
        <v>24.966093226667013</v>
      </c>
      <c r="C485" s="1">
        <f t="shared" si="1025"/>
        <v>0</v>
      </c>
      <c r="D485" s="1">
        <f t="shared" si="1026"/>
        <v>0.18489644566316296</v>
      </c>
      <c r="E485" s="1">
        <f t="shared" si="1027"/>
        <v>32.445814749293774</v>
      </c>
      <c r="F485" s="1">
        <f t="shared" si="1028"/>
        <v>0</v>
      </c>
      <c r="G485" s="1">
        <f t="shared" si="1029"/>
        <v>-0.54817637967341237</v>
      </c>
      <c r="H485" s="1">
        <f t="shared" si="576"/>
        <v>32.450445175509095</v>
      </c>
      <c r="I485" s="1">
        <f t="shared" si="1012"/>
        <v>-42.849492319890572</v>
      </c>
      <c r="J485" s="1">
        <f t="shared" si="1013"/>
        <v>0</v>
      </c>
      <c r="K485" s="1">
        <f t="shared" si="1014"/>
        <v>0.72394790367446615</v>
      </c>
      <c r="L485" s="1">
        <f t="shared" ref="L485:N485" si="1098">E485/$H485</f>
        <v>0.9998573077752777</v>
      </c>
      <c r="M485" s="1">
        <f t="shared" si="1098"/>
        <v>0</v>
      </c>
      <c r="N485" s="1">
        <f t="shared" si="1098"/>
        <v>-1.6892722941352141E-2</v>
      </c>
      <c r="O485" s="1">
        <f t="shared" si="578"/>
        <v>-1.6892722941352141E-2</v>
      </c>
      <c r="P485" s="1">
        <f t="shared" si="1016"/>
        <v>1.6890312481134023E-2</v>
      </c>
      <c r="Q485" s="1">
        <f t="shared" si="1017"/>
        <v>0</v>
      </c>
      <c r="R485" s="1">
        <f t="shared" si="1018"/>
        <v>0.99971463591162668</v>
      </c>
      <c r="S485" s="1">
        <f t="shared" si="1019"/>
        <v>3.4649214559804919</v>
      </c>
      <c r="T485" s="1">
        <f t="shared" ref="T485:V485" si="1099">$S485*P485</f>
        <v>5.852360611409637E-2</v>
      </c>
      <c r="U485" s="1">
        <f t="shared" si="1099"/>
        <v>0</v>
      </c>
      <c r="V485" s="1">
        <f t="shared" si="1099"/>
        <v>3.463932691827921</v>
      </c>
      <c r="W485" s="1">
        <f t="shared" si="1021"/>
        <v>-42.790968713776479</v>
      </c>
      <c r="X485" s="1">
        <f t="shared" si="1022"/>
        <v>0</v>
      </c>
      <c r="Y485" s="1">
        <f t="shared" si="1023"/>
        <v>-5.6187694044976126</v>
      </c>
    </row>
    <row r="486" spans="1:25">
      <c r="A486" s="1">
        <v>0.48399999999999999</v>
      </c>
      <c r="B486" s="1">
        <f t="shared" si="1024"/>
        <v>24.998496250447594</v>
      </c>
      <c r="C486" s="1">
        <f t="shared" si="1025"/>
        <v>0</v>
      </c>
      <c r="D486" s="1">
        <f t="shared" si="1026"/>
        <v>0.18434265051408505</v>
      </c>
      <c r="E486" s="1">
        <f t="shared" si="1027"/>
        <v>32.40302378058</v>
      </c>
      <c r="F486" s="1">
        <f t="shared" si="1028"/>
        <v>0</v>
      </c>
      <c r="G486" s="1">
        <f t="shared" si="1029"/>
        <v>-0.55379514907790994</v>
      </c>
      <c r="H486" s="1">
        <f t="shared" si="576"/>
        <v>32.407755849363824</v>
      </c>
      <c r="I486" s="1">
        <f t="shared" si="1012"/>
        <v>-42.73668534786129</v>
      </c>
      <c r="J486" s="1">
        <f t="shared" si="1013"/>
        <v>0</v>
      </c>
      <c r="K486" s="1">
        <f t="shared" si="1014"/>
        <v>0.73040618658247147</v>
      </c>
      <c r="L486" s="1">
        <f t="shared" ref="L486:N486" si="1100">E486/$H486</f>
        <v>0.99985398344748644</v>
      </c>
      <c r="M486" s="1">
        <f t="shared" si="1100"/>
        <v>0</v>
      </c>
      <c r="N486" s="1">
        <f t="shared" si="1100"/>
        <v>-1.7088352296037838E-2</v>
      </c>
      <c r="O486" s="1">
        <f t="shared" si="578"/>
        <v>-1.7088352296037838E-2</v>
      </c>
      <c r="P486" s="1">
        <f t="shared" si="1016"/>
        <v>1.7085857113747435E-2</v>
      </c>
      <c r="Q486" s="1">
        <f t="shared" si="1017"/>
        <v>0</v>
      </c>
      <c r="R486" s="1">
        <f t="shared" si="1018"/>
        <v>0.99970798821580653</v>
      </c>
      <c r="S486" s="1">
        <f t="shared" si="1019"/>
        <v>3.4558110805535867</v>
      </c>
      <c r="T486" s="1">
        <f t="shared" ref="T486:V486" si="1101">$S486*P486</f>
        <v>5.9045494334443706E-2</v>
      </c>
      <c r="U486" s="1">
        <f t="shared" si="1101"/>
        <v>0</v>
      </c>
      <c r="V486" s="1">
        <f t="shared" si="1101"/>
        <v>3.4548019429941186</v>
      </c>
      <c r="W486" s="1">
        <f t="shared" si="1021"/>
        <v>-42.677639853526848</v>
      </c>
      <c r="X486" s="1">
        <f t="shared" si="1022"/>
        <v>0</v>
      </c>
      <c r="Y486" s="1">
        <f t="shared" si="1023"/>
        <v>-5.6214418704234097</v>
      </c>
    </row>
    <row r="487" spans="1:25">
      <c r="A487" s="1">
        <v>0.48499999999999999</v>
      </c>
      <c r="B487" s="1">
        <f t="shared" si="1024"/>
        <v>25.030856596588322</v>
      </c>
      <c r="C487" s="1">
        <f t="shared" si="1025"/>
        <v>0</v>
      </c>
      <c r="D487" s="1">
        <f t="shared" si="1026"/>
        <v>0.18378323392313672</v>
      </c>
      <c r="E487" s="1">
        <f t="shared" si="1027"/>
        <v>32.36034614072647</v>
      </c>
      <c r="F487" s="1">
        <f t="shared" si="1028"/>
        <v>0</v>
      </c>
      <c r="G487" s="1">
        <f t="shared" si="1029"/>
        <v>-0.5594165909483334</v>
      </c>
      <c r="H487" s="1">
        <f t="shared" si="576"/>
        <v>32.365181125244128</v>
      </c>
      <c r="I487" s="1">
        <f t="shared" si="1012"/>
        <v>-42.624327263443057</v>
      </c>
      <c r="J487" s="1">
        <f t="shared" si="1013"/>
        <v>0</v>
      </c>
      <c r="K487" s="1">
        <f t="shared" si="1014"/>
        <v>0.73685107524768023</v>
      </c>
      <c r="L487" s="1">
        <f t="shared" ref="L487:N487" si="1102">E487/$H487</f>
        <v>0.99985061154149124</v>
      </c>
      <c r="M487" s="1">
        <f t="shared" si="1102"/>
        <v>0</v>
      </c>
      <c r="N487" s="1">
        <f t="shared" si="1102"/>
        <v>-1.728451908807644E-2</v>
      </c>
      <c r="O487" s="1">
        <f t="shared" si="578"/>
        <v>-1.728451908807644E-2</v>
      </c>
      <c r="P487" s="1">
        <f t="shared" si="1016"/>
        <v>1.7281936980413807E-2</v>
      </c>
      <c r="Q487" s="1">
        <f t="shared" si="1017"/>
        <v>0</v>
      </c>
      <c r="R487" s="1">
        <f t="shared" si="1018"/>
        <v>0.99970124539989391</v>
      </c>
      <c r="S487" s="1">
        <f t="shared" si="1019"/>
        <v>3.4467371070216779</v>
      </c>
      <c r="T487" s="1">
        <f t="shared" ref="T487:V487" si="1103">$S487*P487</f>
        <v>5.9566293471602437E-2</v>
      </c>
      <c r="U487" s="1">
        <f t="shared" si="1103"/>
        <v>0</v>
      </c>
      <c r="V487" s="1">
        <f t="shared" si="1103"/>
        <v>3.4457073784555989</v>
      </c>
      <c r="W487" s="1">
        <f t="shared" si="1021"/>
        <v>-42.564760969971452</v>
      </c>
      <c r="X487" s="1">
        <f t="shared" si="1022"/>
        <v>0</v>
      </c>
      <c r="Y487" s="1">
        <f t="shared" si="1023"/>
        <v>-5.6240915462967198</v>
      </c>
    </row>
    <row r="488" spans="1:25">
      <c r="A488" s="1">
        <v>0.48599999999999999</v>
      </c>
      <c r="B488" s="1">
        <f t="shared" si="1024"/>
        <v>25.063174377968078</v>
      </c>
      <c r="C488" s="1">
        <f t="shared" si="1025"/>
        <v>0</v>
      </c>
      <c r="D488" s="1">
        <f t="shared" si="1026"/>
        <v>0.18321819324064209</v>
      </c>
      <c r="E488" s="1">
        <f t="shared" si="1027"/>
        <v>32.317781379756497</v>
      </c>
      <c r="F488" s="1">
        <f t="shared" si="1028"/>
        <v>0</v>
      </c>
      <c r="G488" s="1">
        <f t="shared" si="1029"/>
        <v>-0.56504068249463013</v>
      </c>
      <c r="H488" s="1">
        <f t="shared" si="576"/>
        <v>32.322720558186461</v>
      </c>
      <c r="I488" s="1">
        <f t="shared" si="1012"/>
        <v>-42.512415703243072</v>
      </c>
      <c r="J488" s="1">
        <f t="shared" si="1013"/>
        <v>0</v>
      </c>
      <c r="K488" s="1">
        <f t="shared" si="1014"/>
        <v>0.74328259422234166</v>
      </c>
      <c r="L488" s="1">
        <f t="shared" ref="L488:N488" si="1104">E488/$H488</f>
        <v>0.999847191747951</v>
      </c>
      <c r="M488" s="1">
        <f t="shared" si="1104"/>
        <v>0</v>
      </c>
      <c r="N488" s="1">
        <f t="shared" si="1104"/>
        <v>-1.748122289017905E-2</v>
      </c>
      <c r="O488" s="1">
        <f t="shared" si="578"/>
        <v>-1.748122289017905E-2</v>
      </c>
      <c r="P488" s="1">
        <f t="shared" si="1016"/>
        <v>1.7478551615065521E-2</v>
      </c>
      <c r="Q488" s="1">
        <f t="shared" si="1017"/>
        <v>0</v>
      </c>
      <c r="R488" s="1">
        <f t="shared" si="1018"/>
        <v>0.99969440684626387</v>
      </c>
      <c r="S488" s="1">
        <f t="shared" si="1019"/>
        <v>3.4376993444092436</v>
      </c>
      <c r="T488" s="1">
        <f t="shared" ref="T488:V488" si="1105">$S488*P488</f>
        <v>6.0086005428333866E-2</v>
      </c>
      <c r="U488" s="1">
        <f t="shared" si="1105"/>
        <v>0</v>
      </c>
      <c r="V488" s="1">
        <f t="shared" si="1105"/>
        <v>3.436648807024989</v>
      </c>
      <c r="W488" s="1">
        <f t="shared" si="1021"/>
        <v>-42.45232969781474</v>
      </c>
      <c r="X488" s="1">
        <f t="shared" si="1022"/>
        <v>0</v>
      </c>
      <c r="Y488" s="1">
        <f t="shared" si="1023"/>
        <v>-5.6267185987526691</v>
      </c>
    </row>
    <row r="489" spans="1:25">
      <c r="A489" s="1">
        <v>0.48699999999999999</v>
      </c>
      <c r="B489" s="1">
        <f t="shared" si="1024"/>
        <v>25.095449707018137</v>
      </c>
      <c r="C489" s="1">
        <f t="shared" si="1025"/>
        <v>0</v>
      </c>
      <c r="D489" s="1">
        <f t="shared" si="1026"/>
        <v>0.18264752583954871</v>
      </c>
      <c r="E489" s="1">
        <f t="shared" si="1027"/>
        <v>32.27532905005868</v>
      </c>
      <c r="F489" s="1">
        <f t="shared" si="1028"/>
        <v>0</v>
      </c>
      <c r="G489" s="1">
        <f t="shared" si="1029"/>
        <v>-0.57066740109338276</v>
      </c>
      <c r="H489" s="1">
        <f t="shared" si="576"/>
        <v>32.280373705585134</v>
      </c>
      <c r="I489" s="1">
        <f t="shared" si="1012"/>
        <v>-42.40094831942131</v>
      </c>
      <c r="J489" s="1">
        <f t="shared" si="1013"/>
        <v>0</v>
      </c>
      <c r="K489" s="1">
        <f t="shared" si="1014"/>
        <v>0.74970076815669218</v>
      </c>
      <c r="L489" s="1">
        <f t="shared" ref="L489:N489" si="1106">E489/$H489</f>
        <v>0.99984372375696562</v>
      </c>
      <c r="M489" s="1">
        <f t="shared" si="1106"/>
        <v>0</v>
      </c>
      <c r="N489" s="1">
        <f t="shared" si="1106"/>
        <v>-1.767846327611276E-2</v>
      </c>
      <c r="O489" s="1">
        <f t="shared" si="578"/>
        <v>-1.767846327611276E-2</v>
      </c>
      <c r="P489" s="1">
        <f t="shared" si="1016"/>
        <v>1.7675700552289349E-2</v>
      </c>
      <c r="Q489" s="1">
        <f t="shared" si="1017"/>
        <v>0</v>
      </c>
      <c r="R489" s="1">
        <f t="shared" si="1018"/>
        <v>0.99968747193619512</v>
      </c>
      <c r="S489" s="1">
        <f t="shared" si="1019"/>
        <v>3.4286976029969392</v>
      </c>
      <c r="T489" s="1">
        <f t="shared" ref="T489:V489" si="1107">$S489*P489</f>
        <v>6.0604632114926164E-2</v>
      </c>
      <c r="U489" s="1">
        <f t="shared" si="1107"/>
        <v>0</v>
      </c>
      <c r="V489" s="1">
        <f t="shared" si="1107"/>
        <v>3.4276260387737021</v>
      </c>
      <c r="W489" s="1">
        <f t="shared" si="1021"/>
        <v>-42.340343687306387</v>
      </c>
      <c r="X489" s="1">
        <f t="shared" si="1022"/>
        <v>0</v>
      </c>
      <c r="Y489" s="1">
        <f t="shared" si="1023"/>
        <v>-5.629323193069605</v>
      </c>
    </row>
    <row r="490" spans="1:25">
      <c r="A490" s="1">
        <v>0.48799999999999999</v>
      </c>
      <c r="B490" s="1">
        <f t="shared" si="1024"/>
        <v>25.127682695724509</v>
      </c>
      <c r="C490" s="1">
        <f t="shared" si="1025"/>
        <v>0</v>
      </c>
      <c r="D490" s="1">
        <f t="shared" si="1026"/>
        <v>0.18207122911526227</v>
      </c>
      <c r="E490" s="1">
        <f t="shared" si="1027"/>
        <v>32.232988706371373</v>
      </c>
      <c r="F490" s="1">
        <f t="shared" si="1028"/>
        <v>0</v>
      </c>
      <c r="G490" s="1">
        <f t="shared" si="1029"/>
        <v>-0.5762967242864524</v>
      </c>
      <c r="H490" s="1">
        <f t="shared" si="576"/>
        <v>32.238140127176813</v>
      </c>
      <c r="I490" s="1">
        <f t="shared" si="1012"/>
        <v>-42.289922779567853</v>
      </c>
      <c r="J490" s="1">
        <f t="shared" si="1013"/>
        <v>0</v>
      </c>
      <c r="K490" s="1">
        <f t="shared" si="1014"/>
        <v>0.75610562179654617</v>
      </c>
      <c r="L490" s="1">
        <f t="shared" ref="L490:N490" si="1108">E490/$H490</f>
        <v>0.99984020725807632</v>
      </c>
      <c r="M490" s="1">
        <f t="shared" si="1108"/>
        <v>0</v>
      </c>
      <c r="N490" s="1">
        <f t="shared" si="1108"/>
        <v>-1.7876239820690934E-2</v>
      </c>
      <c r="O490" s="1">
        <f t="shared" si="578"/>
        <v>-1.7876239820690934E-2</v>
      </c>
      <c r="P490" s="1">
        <f t="shared" si="1016"/>
        <v>1.7873383327314699E-2</v>
      </c>
      <c r="Q490" s="1">
        <f t="shared" si="1017"/>
        <v>0</v>
      </c>
      <c r="R490" s="1">
        <f t="shared" si="1018"/>
        <v>0.99968044004987311</v>
      </c>
      <c r="S490" s="1">
        <f t="shared" si="1019"/>
        <v>3.4197316943116909</v>
      </c>
      <c r="T490" s="1">
        <f t="shared" ref="T490:V490" si="1109">$S490*P490</f>
        <v>6.1122175449000227E-2</v>
      </c>
      <c r="U490" s="1">
        <f t="shared" si="1109"/>
        <v>0</v>
      </c>
      <c r="V490" s="1">
        <f t="shared" si="1109"/>
        <v>3.4186388850220091</v>
      </c>
      <c r="W490" s="1">
        <f t="shared" si="1021"/>
        <v>-42.228800604118852</v>
      </c>
      <c r="X490" s="1">
        <f t="shared" si="1022"/>
        <v>0</v>
      </c>
      <c r="Y490" s="1">
        <f t="shared" si="1023"/>
        <v>-5.6319054931814438</v>
      </c>
    </row>
    <row r="491" spans="1:25">
      <c r="A491" s="1">
        <v>0.48899999999999999</v>
      </c>
      <c r="B491" s="1">
        <f t="shared" si="1024"/>
        <v>25.159873455630276</v>
      </c>
      <c r="C491" s="1">
        <f t="shared" si="1025"/>
        <v>0</v>
      </c>
      <c r="D491" s="1">
        <f t="shared" si="1026"/>
        <v>0.18148930048548265</v>
      </c>
      <c r="E491" s="1">
        <f t="shared" si="1027"/>
        <v>32.190759905767251</v>
      </c>
      <c r="F491" s="1">
        <f t="shared" si="1028"/>
        <v>0</v>
      </c>
      <c r="G491" s="1">
        <f t="shared" si="1029"/>
        <v>-0.58192862977963389</v>
      </c>
      <c r="H491" s="1">
        <f t="shared" si="576"/>
        <v>32.19601938502506</v>
      </c>
      <c r="I491" s="1">
        <f t="shared" si="1012"/>
        <v>-42.179336766581322</v>
      </c>
      <c r="J491" s="1">
        <f t="shared" si="1013"/>
        <v>0</v>
      </c>
      <c r="K491" s="1">
        <f t="shared" si="1014"/>
        <v>0.76249717998092026</v>
      </c>
      <c r="L491" s="1">
        <f t="shared" ref="L491:N491" si="1110">E491/$H491</f>
        <v>0.99983664194026867</v>
      </c>
      <c r="M491" s="1">
        <f t="shared" si="1110"/>
        <v>0</v>
      </c>
      <c r="N491" s="1">
        <f t="shared" si="1110"/>
        <v>-1.8074552099763587E-2</v>
      </c>
      <c r="O491" s="1">
        <f t="shared" si="578"/>
        <v>-1.8074552099763587E-2</v>
      </c>
      <c r="P491" s="1">
        <f t="shared" si="1016"/>
        <v>1.8071599476002058E-2</v>
      </c>
      <c r="Q491" s="1">
        <f t="shared" si="1017"/>
        <v>0</v>
      </c>
      <c r="R491" s="1">
        <f t="shared" si="1018"/>
        <v>0.99967331056639297</v>
      </c>
      <c r="S491" s="1">
        <f t="shared" si="1019"/>
        <v>3.4108014311168739</v>
      </c>
      <c r="T491" s="1">
        <f t="shared" ref="T491:V491" si="1111">$S491*P491</f>
        <v>6.1638637355318771E-2</v>
      </c>
      <c r="U491" s="1">
        <f t="shared" si="1111"/>
        <v>0</v>
      </c>
      <c r="V491" s="1">
        <f t="shared" si="1111"/>
        <v>3.4096871583291963</v>
      </c>
      <c r="W491" s="1">
        <f t="shared" si="1021"/>
        <v>-42.117698129226007</v>
      </c>
      <c r="X491" s="1">
        <f t="shared" si="1022"/>
        <v>0</v>
      </c>
      <c r="Y491" s="1">
        <f t="shared" si="1023"/>
        <v>-5.6344656616898829</v>
      </c>
    </row>
    <row r="492" spans="1:25">
      <c r="A492" s="1">
        <v>0.49</v>
      </c>
      <c r="B492" s="1">
        <f t="shared" si="1024"/>
        <v>25.192022097837913</v>
      </c>
      <c r="C492" s="1">
        <f t="shared" si="1025"/>
        <v>0</v>
      </c>
      <c r="D492" s="1">
        <f t="shared" si="1026"/>
        <v>0.18090173739004131</v>
      </c>
      <c r="E492" s="1">
        <f t="shared" si="1027"/>
        <v>32.148642207638026</v>
      </c>
      <c r="F492" s="1">
        <f t="shared" si="1028"/>
        <v>0</v>
      </c>
      <c r="G492" s="1">
        <f t="shared" si="1029"/>
        <v>-0.58756309544132379</v>
      </c>
      <c r="H492" s="1">
        <f t="shared" si="576"/>
        <v>32.154011043505129</v>
      </c>
      <c r="I492" s="1">
        <f t="shared" si="1012"/>
        <v>-42.069187978548506</v>
      </c>
      <c r="J492" s="1">
        <f t="shared" si="1013"/>
        <v>0</v>
      </c>
      <c r="K492" s="1">
        <f t="shared" si="1014"/>
        <v>0.76887546763969394</v>
      </c>
      <c r="L492" s="1">
        <f t="shared" ref="L492:N492" si="1112">E492/$H492</f>
        <v>0.99983302749197178</v>
      </c>
      <c r="M492" s="1">
        <f t="shared" si="1112"/>
        <v>0</v>
      </c>
      <c r="N492" s="1">
        <f t="shared" si="1112"/>
        <v>-1.8273399690207769E-2</v>
      </c>
      <c r="O492" s="1">
        <f t="shared" si="578"/>
        <v>-1.8273399690207769E-2</v>
      </c>
      <c r="P492" s="1">
        <f t="shared" si="1016"/>
        <v>1.8270348534831293E-2</v>
      </c>
      <c r="Q492" s="1">
        <f t="shared" si="1017"/>
        <v>0</v>
      </c>
      <c r="R492" s="1">
        <f t="shared" si="1018"/>
        <v>0.99966608286376191</v>
      </c>
      <c r="S492" s="1">
        <f t="shared" si="1019"/>
        <v>3.4019066274025986</v>
      </c>
      <c r="T492" s="1">
        <f t="shared" ref="T492:V492" si="1113">$S492*P492</f>
        <v>6.215401976559793E-2</v>
      </c>
      <c r="U492" s="1">
        <f t="shared" si="1113"/>
        <v>0</v>
      </c>
      <c r="V492" s="1">
        <f t="shared" si="1113"/>
        <v>3.4007706724838269</v>
      </c>
      <c r="W492" s="1">
        <f t="shared" si="1021"/>
        <v>-42.007033958782905</v>
      </c>
      <c r="X492" s="1">
        <f t="shared" si="1022"/>
        <v>0</v>
      </c>
      <c r="Y492" s="1">
        <f t="shared" si="1023"/>
        <v>-5.6370038598764785</v>
      </c>
    </row>
    <row r="493" spans="1:25">
      <c r="A493" s="1">
        <v>0.49099999999999999</v>
      </c>
      <c r="B493" s="1">
        <f t="shared" si="1024"/>
        <v>25.224128733011593</v>
      </c>
      <c r="C493" s="1">
        <f t="shared" si="1025"/>
        <v>0</v>
      </c>
      <c r="D493" s="1">
        <f t="shared" si="1026"/>
        <v>0.18030853729074012</v>
      </c>
      <c r="E493" s="1">
        <f t="shared" si="1027"/>
        <v>32.106635173679244</v>
      </c>
      <c r="F493" s="1">
        <f t="shared" si="1028"/>
        <v>0</v>
      </c>
      <c r="G493" s="1">
        <f t="shared" si="1029"/>
        <v>-0.59320009930120032</v>
      </c>
      <c r="H493" s="1">
        <f t="shared" si="576"/>
        <v>32.112114669288729</v>
      </c>
      <c r="I493" s="1">
        <f t="shared" si="1012"/>
        <v>-41.959474128624969</v>
      </c>
      <c r="J493" s="1">
        <f t="shared" si="1013"/>
        <v>0</v>
      </c>
      <c r="K493" s="1">
        <f t="shared" si="1014"/>
        <v>0.77524050979130299</v>
      </c>
      <c r="L493" s="1">
        <f t="shared" ref="L493:N493" si="1114">E493/$H493</f>
        <v>0.99982936360106101</v>
      </c>
      <c r="M493" s="1">
        <f t="shared" si="1114"/>
        <v>0</v>
      </c>
      <c r="N493" s="1">
        <f t="shared" si="1114"/>
        <v>-1.8472782169918038E-2</v>
      </c>
      <c r="O493" s="1">
        <f t="shared" si="578"/>
        <v>-1.8472782169918038E-2</v>
      </c>
      <c r="P493" s="1">
        <f t="shared" si="1016"/>
        <v>1.8469630040890177E-2</v>
      </c>
      <c r="Q493" s="1">
        <f t="shared" si="1017"/>
        <v>0</v>
      </c>
      <c r="R493" s="1">
        <f t="shared" si="1018"/>
        <v>0.99965875631890277</v>
      </c>
      <c r="S493" s="1">
        <f t="shared" si="1019"/>
        <v>3.3930470983760608</v>
      </c>
      <c r="T493" s="1">
        <f t="shared" ref="T493:V493" si="1115">$S493*P493</f>
        <v>6.2668324618321739E-2</v>
      </c>
      <c r="U493" s="1">
        <f t="shared" si="1115"/>
        <v>0</v>
      </c>
      <c r="V493" s="1">
        <f t="shared" si="1115"/>
        <v>3.3918892424940745</v>
      </c>
      <c r="W493" s="1">
        <f t="shared" si="1021"/>
        <v>-41.896805804006647</v>
      </c>
      <c r="X493" s="1">
        <f t="shared" si="1022"/>
        <v>0</v>
      </c>
      <c r="Y493" s="1">
        <f t="shared" si="1023"/>
        <v>-5.6395202477146222</v>
      </c>
    </row>
    <row r="494" spans="1:25">
      <c r="A494" s="1">
        <v>0.49199999999999999</v>
      </c>
      <c r="B494" s="1">
        <f t="shared" si="1024"/>
        <v>25.256193471379468</v>
      </c>
      <c r="C494" s="1">
        <f t="shared" si="1025"/>
        <v>0</v>
      </c>
      <c r="D494" s="1">
        <f t="shared" si="1026"/>
        <v>0.17970969767119122</v>
      </c>
      <c r="E494" s="1">
        <f t="shared" si="1027"/>
        <v>32.064738367875236</v>
      </c>
      <c r="F494" s="1">
        <f t="shared" si="1028"/>
        <v>0</v>
      </c>
      <c r="G494" s="1">
        <f t="shared" si="1029"/>
        <v>-0.59883961954891496</v>
      </c>
      <c r="H494" s="1">
        <f t="shared" si="576"/>
        <v>32.070329831329019</v>
      </c>
      <c r="I494" s="1">
        <f t="shared" si="1012"/>
        <v>-41.850192944916849</v>
      </c>
      <c r="J494" s="1">
        <f t="shared" si="1013"/>
        <v>0</v>
      </c>
      <c r="K494" s="1">
        <f t="shared" si="1014"/>
        <v>0.78159233154046748</v>
      </c>
      <c r="L494" s="1">
        <f t="shared" ref="L494:N494" si="1116">E494/$H494</f>
        <v>0.9998256499548589</v>
      </c>
      <c r="M494" s="1">
        <f t="shared" si="1116"/>
        <v>0</v>
      </c>
      <c r="N494" s="1">
        <f t="shared" si="1116"/>
        <v>-1.8672699117796961E-2</v>
      </c>
      <c r="O494" s="1">
        <f t="shared" si="578"/>
        <v>-1.8672699117796961E-2</v>
      </c>
      <c r="P494" s="1">
        <f t="shared" si="1016"/>
        <v>1.8669443531862867E-2</v>
      </c>
      <c r="Q494" s="1">
        <f t="shared" si="1017"/>
        <v>0</v>
      </c>
      <c r="R494" s="1">
        <f t="shared" si="1018"/>
        <v>0.99965133030765618</v>
      </c>
      <c r="S494" s="1">
        <f t="shared" si="1019"/>
        <v>3.3842226604520009</v>
      </c>
      <c r="T494" s="1">
        <f t="shared" ref="T494:V494" si="1117">$S494*P494</f>
        <v>6.318155385855935E-2</v>
      </c>
      <c r="U494" s="1">
        <f t="shared" si="1117"/>
        <v>0</v>
      </c>
      <c r="V494" s="1">
        <f t="shared" si="1117"/>
        <v>3.3830426845781583</v>
      </c>
      <c r="W494" s="1">
        <f t="shared" si="1021"/>
        <v>-41.787011391058286</v>
      </c>
      <c r="X494" s="1">
        <f t="shared" si="1022"/>
        <v>0</v>
      </c>
      <c r="Y494" s="1">
        <f t="shared" si="1023"/>
        <v>-5.6420149838813733</v>
      </c>
    </row>
    <row r="495" spans="1:25">
      <c r="A495" s="1">
        <v>0.49299999999999999</v>
      </c>
      <c r="B495" s="1">
        <f t="shared" si="1024"/>
        <v>25.288216422735953</v>
      </c>
      <c r="C495" s="1">
        <f t="shared" si="1025"/>
        <v>0</v>
      </c>
      <c r="D495" s="1">
        <f t="shared" si="1026"/>
        <v>0.17910521603665841</v>
      </c>
      <c r="E495" s="1">
        <f t="shared" si="1027"/>
        <v>32.022951356484178</v>
      </c>
      <c r="F495" s="1">
        <f t="shared" si="1028"/>
        <v>0</v>
      </c>
      <c r="G495" s="1">
        <f t="shared" si="1029"/>
        <v>-0.60448163453279635</v>
      </c>
      <c r="H495" s="1">
        <f t="shared" si="576"/>
        <v>32.02865610084568</v>
      </c>
      <c r="I495" s="1">
        <f t="shared" si="1012"/>
        <v>-41.741342170363723</v>
      </c>
      <c r="J495" s="1">
        <f t="shared" si="1013"/>
        <v>0</v>
      </c>
      <c r="K495" s="1">
        <f t="shared" si="1014"/>
        <v>0.78793095807595259</v>
      </c>
      <c r="L495" s="1">
        <f t="shared" ref="L495:N495" si="1118">E495/$H495</f>
        <v>0.99982188624013635</v>
      </c>
      <c r="M495" s="1">
        <f t="shared" si="1118"/>
        <v>0</v>
      </c>
      <c r="N495" s="1">
        <f t="shared" si="1118"/>
        <v>-1.8873150113745664E-2</v>
      </c>
      <c r="O495" s="1">
        <f t="shared" si="578"/>
        <v>-1.8873150113745664E-2</v>
      </c>
      <c r="P495" s="1">
        <f t="shared" si="1016"/>
        <v>1.8869788546018434E-2</v>
      </c>
      <c r="Q495" s="1">
        <f t="shared" si="1017"/>
        <v>0</v>
      </c>
      <c r="R495" s="1">
        <f t="shared" si="1018"/>
        <v>0.99964380420478405</v>
      </c>
      <c r="S495" s="1">
        <f t="shared" si="1019"/>
        <v>3.3754331312432408</v>
      </c>
      <c r="T495" s="1">
        <f t="shared" ref="T495:V495" si="1119">$S495*P495</f>
        <v>6.3693709437784837E-2</v>
      </c>
      <c r="U495" s="1">
        <f t="shared" si="1119"/>
        <v>0</v>
      </c>
      <c r="V495" s="1">
        <f t="shared" si="1119"/>
        <v>3.3742308161548595</v>
      </c>
      <c r="W495" s="1">
        <f t="shared" si="1021"/>
        <v>-41.677648460925937</v>
      </c>
      <c r="X495" s="1">
        <f t="shared" si="1022"/>
        <v>0</v>
      </c>
      <c r="Y495" s="1">
        <f t="shared" si="1023"/>
        <v>-5.6444882257691873</v>
      </c>
    </row>
    <row r="496" spans="1:25">
      <c r="A496" s="1">
        <v>0.49399999999999999</v>
      </c>
      <c r="B496" s="1">
        <f t="shared" si="1024"/>
        <v>25.320197696443977</v>
      </c>
      <c r="C496" s="1">
        <f t="shared" si="1025"/>
        <v>0</v>
      </c>
      <c r="D496" s="1">
        <f t="shared" si="1026"/>
        <v>0.17849508991389984</v>
      </c>
      <c r="E496" s="1">
        <f t="shared" si="1027"/>
        <v>31.981273708023252</v>
      </c>
      <c r="F496" s="1">
        <f t="shared" si="1028"/>
        <v>0</v>
      </c>
      <c r="G496" s="1">
        <f t="shared" si="1029"/>
        <v>-0.61012612275856559</v>
      </c>
      <c r="H496" s="1">
        <f t="shared" si="576"/>
        <v>31.987093051310115</v>
      </c>
      <c r="I496" s="1">
        <f t="shared" si="1012"/>
        <v>-41.632919562622533</v>
      </c>
      <c r="J496" s="1">
        <f t="shared" si="1013"/>
        <v>0</v>
      </c>
      <c r="K496" s="1">
        <f t="shared" si="1014"/>
        <v>0.79425641466836272</v>
      </c>
      <c r="L496" s="1">
        <f t="shared" ref="L496:N496" si="1120">E496/$H496</f>
        <v>0.99981807214311325</v>
      </c>
      <c r="M496" s="1">
        <f t="shared" si="1120"/>
        <v>0</v>
      </c>
      <c r="N496" s="1">
        <f t="shared" si="1120"/>
        <v>-1.9074134738654418E-2</v>
      </c>
      <c r="O496" s="1">
        <f t="shared" si="578"/>
        <v>-1.9074134738654418E-2</v>
      </c>
      <c r="P496" s="1">
        <f t="shared" si="1016"/>
        <v>1.9070664622199446E-2</v>
      </c>
      <c r="Q496" s="1">
        <f t="shared" si="1017"/>
        <v>0</v>
      </c>
      <c r="R496" s="1">
        <f t="shared" si="1018"/>
        <v>0.9996361773839717</v>
      </c>
      <c r="S496" s="1">
        <f t="shared" si="1019"/>
        <v>3.3666783295513141</v>
      </c>
      <c r="T496" s="1">
        <f t="shared" ref="T496:V496" si="1121">$S496*P496</f>
        <v>6.4204793313699771E-2</v>
      </c>
      <c r="U496" s="1">
        <f t="shared" si="1121"/>
        <v>0</v>
      </c>
      <c r="V496" s="1">
        <f t="shared" si="1121"/>
        <v>3.3654534558341309</v>
      </c>
      <c r="W496" s="1">
        <f t="shared" si="1021"/>
        <v>-41.568714769308833</v>
      </c>
      <c r="X496" s="1">
        <f t="shared" si="1022"/>
        <v>0</v>
      </c>
      <c r="Y496" s="1">
        <f t="shared" si="1023"/>
        <v>-5.6469401294975059</v>
      </c>
    </row>
    <row r="497" spans="1:25">
      <c r="A497" s="1">
        <v>0.495</v>
      </c>
      <c r="B497" s="1">
        <f t="shared" si="1024"/>
        <v>25.352137401437229</v>
      </c>
      <c r="C497" s="1">
        <f t="shared" si="1025"/>
        <v>0</v>
      </c>
      <c r="D497" s="1">
        <f t="shared" si="1026"/>
        <v>0.17787931685101177</v>
      </c>
      <c r="E497" s="1">
        <f t="shared" si="1027"/>
        <v>31.939704993253944</v>
      </c>
      <c r="F497" s="1">
        <f t="shared" si="1028"/>
        <v>0</v>
      </c>
      <c r="G497" s="1">
        <f t="shared" si="1029"/>
        <v>-0.61577306288806311</v>
      </c>
      <c r="H497" s="1">
        <f t="shared" si="576"/>
        <v>31.945640258430718</v>
      </c>
      <c r="I497" s="1">
        <f t="shared" si="1012"/>
        <v>-41.524922893952493</v>
      </c>
      <c r="J497" s="1">
        <f t="shared" si="1013"/>
        <v>0</v>
      </c>
      <c r="K497" s="1">
        <f t="shared" si="1014"/>
        <v>0.80056872666796586</v>
      </c>
      <c r="L497" s="1">
        <f t="shared" ref="L497:N497" si="1122">E497/$H497</f>
        <v>0.99981420734946114</v>
      </c>
      <c r="M497" s="1">
        <f t="shared" si="1122"/>
        <v>0</v>
      </c>
      <c r="N497" s="1">
        <f t="shared" si="1122"/>
        <v>-1.9275652574393325E-2</v>
      </c>
      <c r="O497" s="1">
        <f t="shared" si="578"/>
        <v>-1.9275652574393325E-2</v>
      </c>
      <c r="P497" s="1">
        <f t="shared" si="1016"/>
        <v>1.9272071299810664E-2</v>
      </c>
      <c r="Q497" s="1">
        <f t="shared" si="1017"/>
        <v>0</v>
      </c>
      <c r="R497" s="1">
        <f t="shared" si="1018"/>
        <v>0.99962844921783134</v>
      </c>
      <c r="S497" s="1">
        <f t="shared" si="1019"/>
        <v>3.3579580753571654</v>
      </c>
      <c r="T497" s="1">
        <f t="shared" ref="T497:V497" si="1123">$S497*P497</f>
        <v>6.4714807450058282E-2</v>
      </c>
      <c r="U497" s="1">
        <f t="shared" si="1123"/>
        <v>0</v>
      </c>
      <c r="V497" s="1">
        <f t="shared" si="1123"/>
        <v>3.3567104234077769</v>
      </c>
      <c r="W497" s="1">
        <f t="shared" si="1021"/>
        <v>-41.460208086502433</v>
      </c>
      <c r="X497" s="1">
        <f t="shared" si="1022"/>
        <v>0</v>
      </c>
      <c r="Y497" s="1">
        <f t="shared" si="1023"/>
        <v>-5.6493708499242565</v>
      </c>
    </row>
    <row r="498" spans="1:25">
      <c r="A498" s="1">
        <v>0.496</v>
      </c>
      <c r="B498" s="1">
        <f t="shared" si="1024"/>
        <v>25.384035646222397</v>
      </c>
      <c r="C498" s="1">
        <f t="shared" si="1025"/>
        <v>0</v>
      </c>
      <c r="D498" s="1">
        <f t="shared" si="1026"/>
        <v>0.17725789441727377</v>
      </c>
      <c r="E498" s="1">
        <f t="shared" si="1027"/>
        <v>31.898244785167442</v>
      </c>
      <c r="F498" s="1">
        <f t="shared" si="1028"/>
        <v>0</v>
      </c>
      <c r="G498" s="1">
        <f t="shared" si="1029"/>
        <v>-0.62142243373798733</v>
      </c>
      <c r="H498" s="1">
        <f t="shared" si="576"/>
        <v>31.904297300138342</v>
      </c>
      <c r="I498" s="1">
        <f t="shared" si="1012"/>
        <v>-41.417349951101215</v>
      </c>
      <c r="J498" s="1">
        <f t="shared" si="1013"/>
        <v>0</v>
      </c>
      <c r="K498" s="1">
        <f t="shared" si="1014"/>
        <v>0.80686791950255343</v>
      </c>
      <c r="L498" s="1">
        <f t="shared" ref="L498:N498" si="1124">E498/$H498</f>
        <v>0.99981029154430323</v>
      </c>
      <c r="M498" s="1">
        <f t="shared" si="1124"/>
        <v>0</v>
      </c>
      <c r="N498" s="1">
        <f t="shared" si="1124"/>
        <v>-1.947770320380298E-2</v>
      </c>
      <c r="O498" s="1">
        <f t="shared" si="578"/>
        <v>-1.947770320380298E-2</v>
      </c>
      <c r="P498" s="1">
        <f t="shared" si="1016"/>
        <v>1.9474008118807666E-2</v>
      </c>
      <c r="Q498" s="1">
        <f t="shared" si="1017"/>
        <v>0</v>
      </c>
      <c r="R498" s="1">
        <f t="shared" si="1018"/>
        <v>0.99962061907790456</v>
      </c>
      <c r="S498" s="1">
        <f t="shared" si="1019"/>
        <v>3.3492721898119568</v>
      </c>
      <c r="T498" s="1">
        <f t="shared" ref="T498:V498" si="1125">$S498*P498</f>
        <v>6.5223753816494784E-2</v>
      </c>
      <c r="U498" s="1">
        <f t="shared" si="1125"/>
        <v>0</v>
      </c>
      <c r="V498" s="1">
        <f t="shared" si="1125"/>
        <v>3.3480015398402374</v>
      </c>
      <c r="W498" s="1">
        <f t="shared" si="1021"/>
        <v>-41.352126197284719</v>
      </c>
      <c r="X498" s="1">
        <f t="shared" si="1022"/>
        <v>0</v>
      </c>
      <c r="Y498" s="1">
        <f t="shared" si="1023"/>
        <v>-5.6517805406572084</v>
      </c>
    </row>
    <row r="499" spans="1:25">
      <c r="A499" s="1">
        <v>0.497</v>
      </c>
      <c r="B499" s="1">
        <f t="shared" si="1024"/>
        <v>25.415892538881366</v>
      </c>
      <c r="C499" s="1">
        <f t="shared" si="1025"/>
        <v>0</v>
      </c>
      <c r="D499" s="1">
        <f t="shared" si="1026"/>
        <v>0.17663082020299511</v>
      </c>
      <c r="E499" s="1">
        <f t="shared" si="1027"/>
        <v>31.856892658970157</v>
      </c>
      <c r="F499" s="1">
        <f t="shared" si="1028"/>
        <v>0</v>
      </c>
      <c r="G499" s="1">
        <f t="shared" si="1029"/>
        <v>-0.62707421427864452</v>
      </c>
      <c r="H499" s="1">
        <f t="shared" si="576"/>
        <v>31.863063756571805</v>
      </c>
      <c r="I499" s="1">
        <f t="shared" si="1012"/>
        <v>-41.310198535191695</v>
      </c>
      <c r="J499" s="1">
        <f t="shared" si="1013"/>
        <v>0</v>
      </c>
      <c r="K499" s="1">
        <f t="shared" si="1014"/>
        <v>0.81315401867532811</v>
      </c>
      <c r="L499" s="1">
        <f t="shared" ref="L499:N499" si="1126">E499/$H499</f>
        <v>0.99980632441221617</v>
      </c>
      <c r="M499" s="1">
        <f t="shared" si="1126"/>
        <v>0</v>
      </c>
      <c r="N499" s="1">
        <f t="shared" si="1126"/>
        <v>-1.9680286210685235E-2</v>
      </c>
      <c r="O499" s="1">
        <f t="shared" si="578"/>
        <v>-1.9680286210685235E-2</v>
      </c>
      <c r="P499" s="1">
        <f t="shared" si="1016"/>
        <v>1.9676474619685625E-2</v>
      </c>
      <c r="Q499" s="1">
        <f t="shared" si="1017"/>
        <v>0</v>
      </c>
      <c r="R499" s="1">
        <f t="shared" si="1018"/>
        <v>0.99961268633466549</v>
      </c>
      <c r="S499" s="1">
        <f t="shared" si="1019"/>
        <v>3.3406204952279426</v>
      </c>
      <c r="T499" s="1">
        <f t="shared" ref="T499:V499" si="1127">$S499*P499</f>
        <v>6.5731634388354235E-2</v>
      </c>
      <c r="U499" s="1">
        <f t="shared" si="1127"/>
        <v>0</v>
      </c>
      <c r="V499" s="1">
        <f t="shared" si="1127"/>
        <v>3.3393266272594442</v>
      </c>
      <c r="W499" s="1">
        <f t="shared" si="1021"/>
        <v>-41.244466900803339</v>
      </c>
      <c r="X499" s="1">
        <f t="shared" si="1022"/>
        <v>0</v>
      </c>
      <c r="Y499" s="1">
        <f t="shared" si="1023"/>
        <v>-5.6541693540652274</v>
      </c>
    </row>
    <row r="500" spans="1:25">
      <c r="A500" s="1">
        <v>0.498</v>
      </c>
      <c r="B500" s="1">
        <f t="shared" si="1024"/>
        <v>25.447708187073435</v>
      </c>
      <c r="C500" s="1">
        <f t="shared" si="1025"/>
        <v>0</v>
      </c>
      <c r="D500" s="1">
        <f t="shared" si="1026"/>
        <v>0.17599809181936241</v>
      </c>
      <c r="E500" s="1">
        <f t="shared" si="1027"/>
        <v>31.815648192069354</v>
      </c>
      <c r="F500" s="1">
        <f t="shared" si="1028"/>
        <v>0</v>
      </c>
      <c r="G500" s="1">
        <f t="shared" si="1029"/>
        <v>-0.63272838363270978</v>
      </c>
      <c r="H500" s="1">
        <f t="shared" si="576"/>
        <v>31.821939210063555</v>
      </c>
      <c r="I500" s="1">
        <f t="shared" si="1012"/>
        <v>-41.203466461610418</v>
      </c>
      <c r="J500" s="1">
        <f t="shared" si="1013"/>
        <v>0</v>
      </c>
      <c r="K500" s="1">
        <f t="shared" si="1014"/>
        <v>0.81942704976282443</v>
      </c>
      <c r="L500" s="1">
        <f t="shared" ref="L500:N500" si="1128">E500/$H500</f>
        <v>0.99980230563723116</v>
      </c>
      <c r="M500" s="1">
        <f t="shared" si="1128"/>
        <v>0</v>
      </c>
      <c r="N500" s="1">
        <f t="shared" si="1128"/>
        <v>-1.9883401179793973E-2</v>
      </c>
      <c r="O500" s="1">
        <f t="shared" si="578"/>
        <v>-1.9883401179793973E-2</v>
      </c>
      <c r="P500" s="1">
        <f t="shared" si="1016"/>
        <v>1.9879470343468056E-2</v>
      </c>
      <c r="Q500" s="1">
        <f t="shared" si="1017"/>
        <v>0</v>
      </c>
      <c r="R500" s="1">
        <f t="shared" si="1018"/>
        <v>0.99960465035752333</v>
      </c>
      <c r="S500" s="1">
        <f t="shared" si="1019"/>
        <v>3.3320028150694307</v>
      </c>
      <c r="T500" s="1">
        <f t="shared" ref="T500:V500" si="1129">$S500*P500</f>
        <v>6.6238451146524824E-2</v>
      </c>
      <c r="U500" s="1">
        <f t="shared" si="1129"/>
        <v>0</v>
      </c>
      <c r="V500" s="1">
        <f t="shared" si="1129"/>
        <v>3.3306855089477616</v>
      </c>
      <c r="W500" s="1">
        <f t="shared" si="1021"/>
        <v>-41.137228010463893</v>
      </c>
      <c r="X500" s="1">
        <f t="shared" si="1022"/>
        <v>0</v>
      </c>
      <c r="Y500" s="1">
        <f t="shared" si="1023"/>
        <v>-5.6565374412894132</v>
      </c>
    </row>
    <row r="501" spans="1:25">
      <c r="A501" s="1">
        <v>0.499</v>
      </c>
      <c r="B501" s="1">
        <f t="shared" si="1024"/>
        <v>25.479482698037494</v>
      </c>
      <c r="C501" s="1">
        <f t="shared" si="1025"/>
        <v>0</v>
      </c>
      <c r="D501" s="1">
        <f t="shared" si="1026"/>
        <v>0.17535970689828842</v>
      </c>
      <c r="E501" s="1">
        <f t="shared" si="1027"/>
        <v>31.774510964058891</v>
      </c>
      <c r="F501" s="1">
        <f t="shared" si="1028"/>
        <v>0</v>
      </c>
      <c r="G501" s="1">
        <f t="shared" si="1029"/>
        <v>-0.63838492107399925</v>
      </c>
      <c r="H501" s="1">
        <f t="shared" si="576"/>
        <v>31.780923245125422</v>
      </c>
      <c r="I501" s="1">
        <f t="shared" si="1012"/>
        <v>-41.09715155989651</v>
      </c>
      <c r="J501" s="1">
        <f t="shared" si="1013"/>
        <v>0</v>
      </c>
      <c r="K501" s="1">
        <f t="shared" si="1014"/>
        <v>0.82568703841285951</v>
      </c>
      <c r="L501" s="1">
        <f t="shared" ref="L501:N501" si="1130">E501/$H501</f>
        <v>0.99979823490283548</v>
      </c>
      <c r="M501" s="1">
        <f t="shared" si="1130"/>
        <v>0</v>
      </c>
      <c r="N501" s="1">
        <f t="shared" si="1130"/>
        <v>-2.0087047696825962E-2</v>
      </c>
      <c r="O501" s="1">
        <f t="shared" si="578"/>
        <v>-2.0087047696825962E-2</v>
      </c>
      <c r="P501" s="1">
        <f t="shared" si="1016"/>
        <v>2.0082994831695664E-2</v>
      </c>
      <c r="Q501" s="1">
        <f t="shared" si="1017"/>
        <v>0</v>
      </c>
      <c r="R501" s="1">
        <f t="shared" si="1018"/>
        <v>0.99959651051482545</v>
      </c>
      <c r="S501" s="1">
        <f t="shared" si="1019"/>
        <v>3.3234189739438289</v>
      </c>
      <c r="T501" s="1">
        <f t="shared" ref="T501:V501" si="1131">$S501*P501</f>
        <v>6.6744206077273216E-2</v>
      </c>
      <c r="U501" s="1">
        <f t="shared" si="1131"/>
        <v>0</v>
      </c>
      <c r="V501" s="1">
        <f t="shared" si="1131"/>
        <v>3.3220780093330129</v>
      </c>
      <c r="W501" s="1">
        <f t="shared" si="1021"/>
        <v>-41.030407353819236</v>
      </c>
      <c r="X501" s="1">
        <f t="shared" si="1022"/>
        <v>0</v>
      </c>
      <c r="Y501" s="1">
        <f t="shared" si="1023"/>
        <v>-5.6588849522541267</v>
      </c>
    </row>
    <row r="502" spans="1:25">
      <c r="A502" s="1">
        <v>0.5</v>
      </c>
      <c r="B502" s="1">
        <f t="shared" si="1024"/>
        <v>25.5112161785942</v>
      </c>
      <c r="C502" s="1">
        <f t="shared" si="1025"/>
        <v>0</v>
      </c>
      <c r="D502" s="1">
        <f t="shared" si="1026"/>
        <v>0.17471566309226216</v>
      </c>
      <c r="E502" s="1">
        <f t="shared" si="1027"/>
        <v>31.733480556705072</v>
      </c>
      <c r="F502" s="1">
        <f t="shared" si="1028"/>
        <v>0</v>
      </c>
      <c r="G502" s="1">
        <f t="shared" si="1029"/>
        <v>-0.64404380602625333</v>
      </c>
      <c r="H502" s="1">
        <f t="shared" si="576"/>
        <v>31.740015448434484</v>
      </c>
      <c r="I502" s="1">
        <f t="shared" si="1012"/>
        <v>-40.991251673631737</v>
      </c>
      <c r="J502" s="1">
        <f t="shared" si="1013"/>
        <v>0</v>
      </c>
      <c r="K502" s="1">
        <f t="shared" si="1014"/>
        <v>0.83193401034251302</v>
      </c>
      <c r="L502" s="1">
        <f t="shared" ref="L502:N502" si="1132">E502/$H502</f>
        <v>0.99979411189197342</v>
      </c>
      <c r="M502" s="1">
        <f t="shared" si="1132"/>
        <v>0</v>
      </c>
      <c r="N502" s="1">
        <f t="shared" si="1132"/>
        <v>-2.0291225348411719E-2</v>
      </c>
      <c r="O502" s="1">
        <f t="shared" si="578"/>
        <v>-2.0291225348411719E-2</v>
      </c>
      <c r="P502" s="1">
        <f t="shared" si="1016"/>
        <v>2.0287047626415193E-2</v>
      </c>
      <c r="Q502" s="1">
        <f t="shared" si="1017"/>
        <v>0</v>
      </c>
      <c r="R502" s="1">
        <f t="shared" si="1018"/>
        <v>0.99958826617385999</v>
      </c>
      <c r="S502" s="1">
        <f t="shared" si="1019"/>
        <v>3.3148687975927653</v>
      </c>
      <c r="T502" s="1">
        <f t="shared" ref="T502:V502" si="1133">$S502*P502</f>
        <v>6.7248901172082098E-2</v>
      </c>
      <c r="U502" s="1">
        <f t="shared" si="1133"/>
        <v>0</v>
      </c>
      <c r="V502" s="1">
        <f t="shared" si="1133"/>
        <v>3.3135039539795801</v>
      </c>
      <c r="W502" s="1">
        <f t="shared" si="1021"/>
        <v>-40.924002772459652</v>
      </c>
      <c r="X502" s="1">
        <f t="shared" si="1022"/>
        <v>0</v>
      </c>
      <c r="Y502" s="1">
        <f t="shared" si="1023"/>
        <v>-5.6612120356779059</v>
      </c>
    </row>
    <row r="503" spans="1:25">
      <c r="A503" s="1">
        <v>0.501</v>
      </c>
      <c r="B503" s="1">
        <f t="shared" si="1024"/>
        <v>25.542908735148131</v>
      </c>
      <c r="C503" s="1">
        <f t="shared" si="1025"/>
        <v>0</v>
      </c>
      <c r="D503" s="1">
        <f t="shared" si="1026"/>
        <v>0.17406595807420022</v>
      </c>
      <c r="E503" s="1">
        <f t="shared" si="1027"/>
        <v>31.692556553932612</v>
      </c>
      <c r="F503" s="1">
        <f t="shared" si="1028"/>
        <v>0</v>
      </c>
      <c r="G503" s="1">
        <f t="shared" si="1029"/>
        <v>-0.64970501806193126</v>
      </c>
      <c r="H503" s="1">
        <f t="shared" si="576"/>
        <v>31.699215408819061</v>
      </c>
      <c r="I503" s="1">
        <f t="shared" si="1012"/>
        <v>-40.885764660331724</v>
      </c>
      <c r="J503" s="1">
        <f t="shared" si="1013"/>
        <v>0</v>
      </c>
      <c r="K503" s="1">
        <f t="shared" si="1014"/>
        <v>0.83816799133613928</v>
      </c>
      <c r="L503" s="1">
        <f t="shared" ref="L503:N503" si="1134">E503/$H503</f>
        <v>0.99978993628704771</v>
      </c>
      <c r="M503" s="1">
        <f t="shared" si="1134"/>
        <v>0</v>
      </c>
      <c r="N503" s="1">
        <f t="shared" si="1134"/>
        <v>-2.0495933722106459E-2</v>
      </c>
      <c r="O503" s="1">
        <f t="shared" si="578"/>
        <v>-2.0495933722106459E-2</v>
      </c>
      <c r="P503" s="1">
        <f t="shared" si="1016"/>
        <v>2.0491628270168368E-2</v>
      </c>
      <c r="Q503" s="1">
        <f t="shared" si="1017"/>
        <v>0</v>
      </c>
      <c r="R503" s="1">
        <f t="shared" si="1018"/>
        <v>0.99957991670085899</v>
      </c>
      <c r="S503" s="1">
        <f t="shared" si="1019"/>
        <v>3.3063521128832991</v>
      </c>
      <c r="T503" s="1">
        <f t="shared" ref="T503:V503" si="1135">$S503*P503</f>
        <v>6.7752538427490322E-2</v>
      </c>
      <c r="U503" s="1">
        <f t="shared" si="1135"/>
        <v>0</v>
      </c>
      <c r="V503" s="1">
        <f t="shared" si="1135"/>
        <v>3.3049631695795973</v>
      </c>
      <c r="W503" s="1">
        <f t="shared" si="1021"/>
        <v>-40.818012121904232</v>
      </c>
      <c r="X503" s="1">
        <f t="shared" si="1022"/>
        <v>0</v>
      </c>
      <c r="Y503" s="1">
        <f t="shared" si="1023"/>
        <v>-5.6635188390842632</v>
      </c>
    </row>
    <row r="504" spans="1:25">
      <c r="A504" s="1">
        <v>0.502</v>
      </c>
      <c r="B504" s="1">
        <f t="shared" si="1024"/>
        <v>25.574560473689942</v>
      </c>
      <c r="C504" s="1">
        <f t="shared" si="1025"/>
        <v>0</v>
      </c>
      <c r="D504" s="1">
        <f t="shared" si="1026"/>
        <v>0.17341058953729921</v>
      </c>
      <c r="E504" s="1">
        <f t="shared" si="1027"/>
        <v>31.651738541810708</v>
      </c>
      <c r="F504" s="1">
        <f t="shared" si="1028"/>
        <v>0</v>
      </c>
      <c r="G504" s="1">
        <f t="shared" si="1029"/>
        <v>-0.65536853690101549</v>
      </c>
      <c r="H504" s="1">
        <f t="shared" si="576"/>
        <v>31.658522717244804</v>
      </c>
      <c r="I504" s="1">
        <f t="shared" si="1012"/>
        <v>-40.780688391337968</v>
      </c>
      <c r="J504" s="1">
        <f t="shared" si="1013"/>
        <v>0</v>
      </c>
      <c r="K504" s="1">
        <f t="shared" si="1014"/>
        <v>0.84438900724340582</v>
      </c>
      <c r="L504" s="1">
        <f t="shared" ref="L504:N504" si="1136">E504/$H504</f>
        <v>0.99978570776992071</v>
      </c>
      <c r="M504" s="1">
        <f t="shared" si="1136"/>
        <v>0</v>
      </c>
      <c r="N504" s="1">
        <f t="shared" si="1136"/>
        <v>-2.070117240638104E-2</v>
      </c>
      <c r="O504" s="1">
        <f t="shared" si="578"/>
        <v>-2.070117240638104E-2</v>
      </c>
      <c r="P504" s="1">
        <f t="shared" si="1016"/>
        <v>2.0696736305980821E-2</v>
      </c>
      <c r="Q504" s="1">
        <f t="shared" si="1017"/>
        <v>0</v>
      </c>
      <c r="R504" s="1">
        <f t="shared" si="1018"/>
        <v>0.99957146146100129</v>
      </c>
      <c r="S504" s="1">
        <f t="shared" si="1019"/>
        <v>3.2978687477992041</v>
      </c>
      <c r="T504" s="1">
        <f t="shared" ref="T504:V504" si="1137">$S504*P504</f>
        <v>6.8255119844935291E-2</v>
      </c>
      <c r="U504" s="1">
        <f t="shared" si="1137"/>
        <v>0</v>
      </c>
      <c r="V504" s="1">
        <f t="shared" si="1137"/>
        <v>3.2964554839442126</v>
      </c>
      <c r="W504" s="1">
        <f t="shared" si="1021"/>
        <v>-40.712433271493033</v>
      </c>
      <c r="X504" s="1">
        <f t="shared" si="1022"/>
        <v>0</v>
      </c>
      <c r="Y504" s="1">
        <f t="shared" si="1023"/>
        <v>-5.6658055088123813</v>
      </c>
    </row>
    <row r="505" spans="1:25">
      <c r="A505" s="1">
        <v>0.503</v>
      </c>
      <c r="B505" s="1">
        <f t="shared" si="1024"/>
        <v>25.606171499798482</v>
      </c>
      <c r="C505" s="1">
        <f t="shared" si="1025"/>
        <v>0</v>
      </c>
      <c r="D505" s="1">
        <f t="shared" si="1026"/>
        <v>0.17274955519488938</v>
      </c>
      <c r="E505" s="1">
        <f t="shared" si="1027"/>
        <v>31.611026108539214</v>
      </c>
      <c r="F505" s="1">
        <f t="shared" si="1028"/>
        <v>0</v>
      </c>
      <c r="G505" s="1">
        <f t="shared" si="1029"/>
        <v>-0.66103434240982784</v>
      </c>
      <c r="H505" s="1">
        <f t="shared" si="576"/>
        <v>31.617936966800873</v>
      </c>
      <c r="I505" s="1">
        <f t="shared" si="1012"/>
        <v>-40.676020751710922</v>
      </c>
      <c r="J505" s="1">
        <f t="shared" si="1013"/>
        <v>0</v>
      </c>
      <c r="K505" s="1">
        <f t="shared" si="1014"/>
        <v>0.85059708397736289</v>
      </c>
      <c r="L505" s="1">
        <f t="shared" ref="L505:N505" si="1138">E505/$H505</f>
        <v>0.99978142602191555</v>
      </c>
      <c r="M505" s="1">
        <f t="shared" si="1138"/>
        <v>0</v>
      </c>
      <c r="N505" s="1">
        <f t="shared" si="1138"/>
        <v>-2.0906940990613018E-2</v>
      </c>
      <c r="O505" s="1">
        <f t="shared" si="578"/>
        <v>-2.0906940990613018E-2</v>
      </c>
      <c r="P505" s="1">
        <f t="shared" si="1016"/>
        <v>2.0902371277351124E-2</v>
      </c>
      <c r="Q505" s="1">
        <f t="shared" si="1017"/>
        <v>0</v>
      </c>
      <c r="R505" s="1">
        <f t="shared" si="1018"/>
        <v>0.99956289981841506</v>
      </c>
      <c r="S505" s="1">
        <f t="shared" si="1019"/>
        <v>3.2894185314323297</v>
      </c>
      <c r="T505" s="1">
        <f t="shared" ref="T505:V505" si="1139">$S505*P505</f>
        <v>6.8756647430597645E-2</v>
      </c>
      <c r="U505" s="1">
        <f t="shared" si="1139"/>
        <v>0</v>
      </c>
      <c r="V505" s="1">
        <f t="shared" si="1139"/>
        <v>3.2879807259949319</v>
      </c>
      <c r="W505" s="1">
        <f t="shared" si="1021"/>
        <v>-40.607264104280326</v>
      </c>
      <c r="X505" s="1">
        <f t="shared" si="1022"/>
        <v>0</v>
      </c>
      <c r="Y505" s="1">
        <f t="shared" si="1023"/>
        <v>-5.6680721900277042</v>
      </c>
    </row>
    <row r="506" spans="1:25">
      <c r="A506" s="1">
        <v>0.504</v>
      </c>
      <c r="B506" s="1">
        <f t="shared" si="1024"/>
        <v>25.637741918642917</v>
      </c>
      <c r="C506" s="1">
        <f t="shared" si="1025"/>
        <v>0</v>
      </c>
      <c r="D506" s="1">
        <f t="shared" si="1026"/>
        <v>0.17208285278028954</v>
      </c>
      <c r="E506" s="1">
        <f t="shared" si="1027"/>
        <v>31.570418844434933</v>
      </c>
      <c r="F506" s="1">
        <f t="shared" si="1028"/>
        <v>0</v>
      </c>
      <c r="G506" s="1">
        <f t="shared" si="1029"/>
        <v>-0.66670241459985558</v>
      </c>
      <c r="H506" s="1">
        <f t="shared" si="576"/>
        <v>31.577457752686261</v>
      </c>
      <c r="I506" s="1">
        <f t="shared" si="1012"/>
        <v>-40.571759640124</v>
      </c>
      <c r="J506" s="1">
        <f t="shared" si="1013"/>
        <v>0</v>
      </c>
      <c r="K506" s="1">
        <f t="shared" si="1014"/>
        <v>0.85679224751253946</v>
      </c>
      <c r="L506" s="1">
        <f t="shared" ref="L506:N506" si="1140">E506/$H506</f>
        <v>0.99977709072381771</v>
      </c>
      <c r="M506" s="1">
        <f t="shared" si="1140"/>
        <v>0</v>
      </c>
      <c r="N506" s="1">
        <f t="shared" si="1140"/>
        <v>-2.1113239065077678E-2</v>
      </c>
      <c r="O506" s="1">
        <f t="shared" si="578"/>
        <v>-2.1113239065077678E-2</v>
      </c>
      <c r="P506" s="1">
        <f t="shared" si="1016"/>
        <v>2.1108532728239818E-2</v>
      </c>
      <c r="Q506" s="1">
        <f t="shared" si="1017"/>
        <v>0</v>
      </c>
      <c r="R506" s="1">
        <f t="shared" si="1018"/>
        <v>0.99955423113618092</v>
      </c>
      <c r="S506" s="1">
        <f t="shared" si="1019"/>
        <v>3.2810012939740436</v>
      </c>
      <c r="T506" s="1">
        <f t="shared" ref="T506:V506" si="1141">$S506*P506</f>
        <v>6.9257123195248294E-2</v>
      </c>
      <c r="U506" s="1">
        <f t="shared" si="1141"/>
        <v>0</v>
      </c>
      <c r="V506" s="1">
        <f t="shared" si="1141"/>
        <v>3.2795387257550397</v>
      </c>
      <c r="W506" s="1">
        <f t="shared" si="1021"/>
        <v>-40.50250251692875</v>
      </c>
      <c r="X506" s="1">
        <f t="shared" si="1022"/>
        <v>0</v>
      </c>
      <c r="Y506" s="1">
        <f t="shared" si="1023"/>
        <v>-5.6703190267324199</v>
      </c>
    </row>
    <row r="507" spans="1:25">
      <c r="A507" s="1">
        <v>0.505</v>
      </c>
      <c r="B507" s="1">
        <f t="shared" si="1024"/>
        <v>25.669271834984833</v>
      </c>
      <c r="C507" s="1">
        <f t="shared" si="1025"/>
        <v>0</v>
      </c>
      <c r="D507" s="1">
        <f t="shared" si="1026"/>
        <v>0.17141048004666296</v>
      </c>
      <c r="E507" s="1">
        <f t="shared" si="1027"/>
        <v>31.529916341918003</v>
      </c>
      <c r="F507" s="1">
        <f t="shared" si="1028"/>
        <v>0</v>
      </c>
      <c r="G507" s="1">
        <f t="shared" si="1029"/>
        <v>-0.672372733626588</v>
      </c>
      <c r="H507" s="1">
        <f t="shared" si="576"/>
        <v>31.537084672196197</v>
      </c>
      <c r="I507" s="1">
        <f t="shared" si="1012"/>
        <v>-40.46790296875858</v>
      </c>
      <c r="J507" s="1">
        <f t="shared" si="1013"/>
        <v>0</v>
      </c>
      <c r="K507" s="1">
        <f t="shared" si="1014"/>
        <v>0.86297452388307017</v>
      </c>
      <c r="L507" s="1">
        <f t="shared" ref="L507:N507" si="1142">E507/$H507</f>
        <v>0.99977270155587605</v>
      </c>
      <c r="M507" s="1">
        <f t="shared" si="1142"/>
        <v>0</v>
      </c>
      <c r="N507" s="1">
        <f t="shared" si="1142"/>
        <v>-2.1320066220939151E-2</v>
      </c>
      <c r="O507" s="1">
        <f t="shared" si="578"/>
        <v>-2.1320066220939151E-2</v>
      </c>
      <c r="P507" s="1">
        <f t="shared" si="1016"/>
        <v>2.1315220203058514E-2</v>
      </c>
      <c r="Q507" s="1">
        <f t="shared" si="1017"/>
        <v>0</v>
      </c>
      <c r="R507" s="1">
        <f t="shared" si="1018"/>
        <v>0.99954545477633472</v>
      </c>
      <c r="S507" s="1">
        <f t="shared" si="1019"/>
        <v>3.2726168667067523</v>
      </c>
      <c r="T507" s="1">
        <f t="shared" ref="T507:V507" si="1143">$S507*P507</f>
        <v>6.9756549154097819E-2</v>
      </c>
      <c r="U507" s="1">
        <f t="shared" si="1143"/>
        <v>0</v>
      </c>
      <c r="V507" s="1">
        <f t="shared" si="1143"/>
        <v>3.2711293143411044</v>
      </c>
      <c r="W507" s="1">
        <f t="shared" si="1021"/>
        <v>-40.39814641960448</v>
      </c>
      <c r="X507" s="1">
        <f t="shared" si="1022"/>
        <v>0</v>
      </c>
      <c r="Y507" s="1">
        <f t="shared" si="1023"/>
        <v>-5.6725461617758253</v>
      </c>
    </row>
    <row r="508" spans="1:25">
      <c r="A508" s="1">
        <v>0.50600000000000001</v>
      </c>
      <c r="B508" s="1">
        <f t="shared" si="1024"/>
        <v>25.700761353180333</v>
      </c>
      <c r="C508" s="1">
        <f t="shared" si="1025"/>
        <v>0</v>
      </c>
      <c r="D508" s="1">
        <f t="shared" si="1026"/>
        <v>0.17073243476687458</v>
      </c>
      <c r="E508" s="1">
        <f t="shared" si="1027"/>
        <v>31.489518195498398</v>
      </c>
      <c r="F508" s="1">
        <f t="shared" si="1028"/>
        <v>0</v>
      </c>
      <c r="G508" s="1">
        <f t="shared" si="1029"/>
        <v>-0.67804527978836382</v>
      </c>
      <c r="H508" s="1">
        <f t="shared" si="576"/>
        <v>31.496817324708665</v>
      </c>
      <c r="I508" s="1">
        <f t="shared" si="1012"/>
        <v>-40.364448663199923</v>
      </c>
      <c r="J508" s="1">
        <f t="shared" si="1013"/>
        <v>0</v>
      </c>
      <c r="K508" s="1">
        <f t="shared" si="1014"/>
        <v>0.86914393918084709</v>
      </c>
      <c r="L508" s="1">
        <f t="shared" ref="L508:N508" si="1144">E508/$H508</f>
        <v>0.99976825819780402</v>
      </c>
      <c r="M508" s="1">
        <f t="shared" si="1144"/>
        <v>0</v>
      </c>
      <c r="N508" s="1">
        <f t="shared" si="1144"/>
        <v>-2.1527422050241565E-2</v>
      </c>
      <c r="O508" s="1">
        <f t="shared" si="578"/>
        <v>-2.1527422050241565E-2</v>
      </c>
      <c r="P508" s="1">
        <f t="shared" si="1016"/>
        <v>2.152243324665901E-2</v>
      </c>
      <c r="Q508" s="1">
        <f t="shared" si="1017"/>
        <v>0</v>
      </c>
      <c r="R508" s="1">
        <f t="shared" si="1018"/>
        <v>0.99953657009987074</v>
      </c>
      <c r="S508" s="1">
        <f t="shared" si="1019"/>
        <v>3.2642650819954939</v>
      </c>
      <c r="T508" s="1">
        <f t="shared" ref="T508:V508" si="1145">$S508*P508</f>
        <v>7.0254927326647912E-2</v>
      </c>
      <c r="U508" s="1">
        <f t="shared" si="1145"/>
        <v>0</v>
      </c>
      <c r="V508" s="1">
        <f t="shared" si="1145"/>
        <v>3.2627523239545493</v>
      </c>
      <c r="W508" s="1">
        <f t="shared" si="1021"/>
        <v>-40.294193735873272</v>
      </c>
      <c r="X508" s="1">
        <f t="shared" si="1022"/>
        <v>0</v>
      </c>
      <c r="Y508" s="1">
        <f t="shared" si="1023"/>
        <v>-5.674753736864603</v>
      </c>
    </row>
    <row r="509" spans="1:25">
      <c r="A509" s="1">
        <v>0.50700000000000001</v>
      </c>
      <c r="B509" s="1">
        <f t="shared" si="1024"/>
        <v>25.732210577182094</v>
      </c>
      <c r="C509" s="1">
        <f t="shared" si="1025"/>
        <v>0</v>
      </c>
      <c r="D509" s="1">
        <f t="shared" si="1026"/>
        <v>0.17004871473334934</v>
      </c>
      <c r="E509" s="1">
        <f t="shared" si="1027"/>
        <v>31.449224001762524</v>
      </c>
      <c r="F509" s="1">
        <f t="shared" si="1028"/>
        <v>0</v>
      </c>
      <c r="G509" s="1">
        <f t="shared" si="1029"/>
        <v>-0.68372003352522848</v>
      </c>
      <c r="H509" s="1">
        <f t="shared" si="576"/>
        <v>31.456655311671007</v>
      </c>
      <c r="I509" s="1">
        <f t="shared" si="1012"/>
        <v>-40.261394662333984</v>
      </c>
      <c r="J509" s="1">
        <f t="shared" si="1013"/>
        <v>0</v>
      </c>
      <c r="K509" s="1">
        <f t="shared" si="1014"/>
        <v>0.87530051955370047</v>
      </c>
      <c r="L509" s="1">
        <f t="shared" ref="L509:N509" si="1146">E509/$H509</f>
        <v>0.99976376032878089</v>
      </c>
      <c r="M509" s="1">
        <f t="shared" si="1146"/>
        <v>0</v>
      </c>
      <c r="N509" s="1">
        <f t="shared" si="1146"/>
        <v>-2.1735306145900246E-2</v>
      </c>
      <c r="O509" s="1">
        <f t="shared" si="578"/>
        <v>-2.1735306145900246E-2</v>
      </c>
      <c r="P509" s="1">
        <f t="shared" si="1016"/>
        <v>2.1730171404322492E-2</v>
      </c>
      <c r="Q509" s="1">
        <f t="shared" si="1017"/>
        <v>0</v>
      </c>
      <c r="R509" s="1">
        <f t="shared" si="1018"/>
        <v>0.99952757646674395</v>
      </c>
      <c r="S509" s="1">
        <f t="shared" si="1019"/>
        <v>3.2559457732796067</v>
      </c>
      <c r="T509" s="1">
        <f t="shared" ref="T509:V509" si="1147">$S509*P509</f>
        <v>7.0752259736545198E-2</v>
      </c>
      <c r="U509" s="1">
        <f t="shared" si="1147"/>
        <v>0</v>
      </c>
      <c r="V509" s="1">
        <f t="shared" si="1147"/>
        <v>3.2544075878733039</v>
      </c>
      <c r="W509" s="1">
        <f t="shared" si="1021"/>
        <v>-40.19064240259744</v>
      </c>
      <c r="X509" s="1">
        <f t="shared" si="1022"/>
        <v>0</v>
      </c>
      <c r="Y509" s="1">
        <f t="shared" si="1023"/>
        <v>-5.6769418925729953</v>
      </c>
    </row>
    <row r="510" spans="1:25">
      <c r="A510" s="1">
        <v>0.50800000000000001</v>
      </c>
      <c r="B510" s="1">
        <f t="shared" si="1024"/>
        <v>25.763619610541454</v>
      </c>
      <c r="C510" s="1">
        <f t="shared" si="1025"/>
        <v>0</v>
      </c>
      <c r="D510" s="1">
        <f t="shared" si="1026"/>
        <v>0.16935931775793153</v>
      </c>
      <c r="E510" s="1">
        <f t="shared" si="1027"/>
        <v>31.409033359359928</v>
      </c>
      <c r="F510" s="1">
        <f t="shared" si="1028"/>
        <v>0</v>
      </c>
      <c r="G510" s="1">
        <f t="shared" si="1029"/>
        <v>-0.68939697541780143</v>
      </c>
      <c r="H510" s="1">
        <f t="shared" si="576"/>
        <v>31.416598236586658</v>
      </c>
      <c r="I510" s="1">
        <f t="shared" si="1012"/>
        <v>-40.158738918245227</v>
      </c>
      <c r="J510" s="1">
        <f t="shared" si="1013"/>
        <v>0</v>
      </c>
      <c r="K510" s="1">
        <f t="shared" si="1014"/>
        <v>0.88144429120360557</v>
      </c>
      <c r="L510" s="1">
        <f t="shared" ref="L510:N510" si="1148">E510/$H510</f>
        <v>0.99975920762745341</v>
      </c>
      <c r="M510" s="1">
        <f t="shared" si="1148"/>
        <v>0</v>
      </c>
      <c r="N510" s="1">
        <f t="shared" si="1148"/>
        <v>-2.194371810169295E-2</v>
      </c>
      <c r="O510" s="1">
        <f t="shared" si="578"/>
        <v>-2.194371810169295E-2</v>
      </c>
      <c r="P510" s="1">
        <f t="shared" si="1016"/>
        <v>2.1938434221748751E-2</v>
      </c>
      <c r="Q510" s="1">
        <f t="shared" si="1017"/>
        <v>0</v>
      </c>
      <c r="R510" s="1">
        <f t="shared" si="1018"/>
        <v>0.99951847323587339</v>
      </c>
      <c r="S510" s="1">
        <f t="shared" si="1019"/>
        <v>3.2476587750644752</v>
      </c>
      <c r="T510" s="1">
        <f t="shared" ref="T510:V510" si="1149">$S510*P510</f>
        <v>7.1248548411437115E-2</v>
      </c>
      <c r="U510" s="1">
        <f t="shared" si="1149"/>
        <v>0</v>
      </c>
      <c r="V510" s="1">
        <f t="shared" si="1149"/>
        <v>3.2460949404435309</v>
      </c>
      <c r="W510" s="1">
        <f t="shared" si="1021"/>
        <v>-40.087490369833787</v>
      </c>
      <c r="X510" s="1">
        <f t="shared" si="1022"/>
        <v>0</v>
      </c>
      <c r="Y510" s="1">
        <f t="shared" si="1023"/>
        <v>-5.6791107683528628</v>
      </c>
    </row>
    <row r="511" spans="1:25">
      <c r="A511" s="1">
        <v>0.50900000000000001</v>
      </c>
      <c r="B511" s="1">
        <f t="shared" si="1024"/>
        <v>25.794988556410445</v>
      </c>
      <c r="C511" s="1">
        <f t="shared" si="1025"/>
        <v>0</v>
      </c>
      <c r="D511" s="1">
        <f t="shared" si="1026"/>
        <v>0.16866424167174537</v>
      </c>
      <c r="E511" s="1">
        <f t="shared" si="1027"/>
        <v>31.368945868990092</v>
      </c>
      <c r="F511" s="1">
        <f t="shared" si="1028"/>
        <v>0</v>
      </c>
      <c r="G511" s="1">
        <f t="shared" si="1029"/>
        <v>-0.69507608618615424</v>
      </c>
      <c r="H511" s="1">
        <f t="shared" si="576"/>
        <v>31.376645705001966</v>
      </c>
      <c r="I511" s="1">
        <f t="shared" si="1012"/>
        <v>-40.05647939611535</v>
      </c>
      <c r="J511" s="1">
        <f t="shared" si="1013"/>
        <v>0</v>
      </c>
      <c r="K511" s="1">
        <f t="shared" si="1014"/>
        <v>0.88757528038491762</v>
      </c>
      <c r="L511" s="1">
        <f t="shared" ref="L511:N511" si="1150">E511/$H511</f>
        <v>0.99975459977193659</v>
      </c>
      <c r="M511" s="1">
        <f t="shared" si="1150"/>
        <v>0</v>
      </c>
      <c r="N511" s="1">
        <f t="shared" si="1150"/>
        <v>-2.215265751225114E-2</v>
      </c>
      <c r="O511" s="1">
        <f t="shared" si="578"/>
        <v>-2.215265751225114E-2</v>
      </c>
      <c r="P511" s="1">
        <f t="shared" si="1016"/>
        <v>2.2147221245045423E-2</v>
      </c>
      <c r="Q511" s="1">
        <f t="shared" si="1017"/>
        <v>0</v>
      </c>
      <c r="R511" s="1">
        <f t="shared" si="1018"/>
        <v>0.99950925976514493</v>
      </c>
      <c r="S511" s="1">
        <f t="shared" si="1019"/>
        <v>3.2394039229133518</v>
      </c>
      <c r="T511" s="1">
        <f t="shared" ref="T511:V511" si="1151">$S511*P511</f>
        <v>7.1743795382830072E-2</v>
      </c>
      <c r="U511" s="1">
        <f t="shared" si="1151"/>
        <v>0</v>
      </c>
      <c r="V511" s="1">
        <f t="shared" si="1151"/>
        <v>3.2378142170714308</v>
      </c>
      <c r="W511" s="1">
        <f t="shared" si="1021"/>
        <v>-39.98473560073252</v>
      </c>
      <c r="X511" s="1">
        <f t="shared" si="1022"/>
        <v>0</v>
      </c>
      <c r="Y511" s="1">
        <f t="shared" si="1023"/>
        <v>-5.6812605025436511</v>
      </c>
    </row>
    <row r="512" spans="1:25">
      <c r="A512" s="1">
        <v>0.51</v>
      </c>
      <c r="B512" s="1">
        <f t="shared" si="1024"/>
        <v>25.826317517543835</v>
      </c>
      <c r="C512" s="1">
        <f t="shared" si="1025"/>
        <v>0</v>
      </c>
      <c r="D512" s="1">
        <f t="shared" si="1026"/>
        <v>0.16796348432505667</v>
      </c>
      <c r="E512" s="1">
        <f t="shared" si="1027"/>
        <v>31.32896113338936</v>
      </c>
      <c r="F512" s="1">
        <f t="shared" si="1028"/>
        <v>0</v>
      </c>
      <c r="G512" s="1">
        <f t="shared" si="1029"/>
        <v>-0.70075734668869794</v>
      </c>
      <c r="H512" s="1">
        <f t="shared" ref="H512:H766" si="1152">SQRT(E512^2+F512^2+G512^2)</f>
        <v>31.336797324493123</v>
      </c>
      <c r="I512" s="1">
        <f t="shared" si="1012"/>
        <v>-39.954614074122809</v>
      </c>
      <c r="J512" s="1">
        <f t="shared" si="1013"/>
        <v>0</v>
      </c>
      <c r="K512" s="1">
        <f t="shared" si="1014"/>
        <v>0.89369351340263092</v>
      </c>
      <c r="L512" s="1">
        <f t="shared" ref="L512:N512" si="1153">E512/$H512</f>
        <v>0.9997499364398148</v>
      </c>
      <c r="M512" s="1">
        <f t="shared" si="1153"/>
        <v>0</v>
      </c>
      <c r="N512" s="1">
        <f t="shared" si="1153"/>
        <v>-2.2362123973051314E-2</v>
      </c>
      <c r="O512" s="1">
        <f t="shared" ref="O512:O766" si="1154">N512</f>
        <v>-2.2362123973051314E-2</v>
      </c>
      <c r="P512" s="1">
        <f t="shared" si="1016"/>
        <v>2.2356532020717312E-2</v>
      </c>
      <c r="Q512" s="1">
        <f t="shared" si="1017"/>
        <v>0</v>
      </c>
      <c r="R512" s="1">
        <f t="shared" si="1018"/>
        <v>0.99949993541141391</v>
      </c>
      <c r="S512" s="1">
        <f t="shared" si="1019"/>
        <v>3.2311810534392449</v>
      </c>
      <c r="T512" s="1">
        <f t="shared" ref="T512:V512" si="1155">$S512*P512</f>
        <v>7.2238002685949571E-2</v>
      </c>
      <c r="U512" s="1">
        <f t="shared" si="1155"/>
        <v>0</v>
      </c>
      <c r="V512" s="1">
        <f t="shared" si="1155"/>
        <v>3.2295652542151094</v>
      </c>
      <c r="W512" s="1">
        <f t="shared" si="1021"/>
        <v>-39.882376071436859</v>
      </c>
      <c r="X512" s="1">
        <f t="shared" si="1022"/>
        <v>0</v>
      </c>
      <c r="Y512" s="1">
        <f t="shared" si="1023"/>
        <v>-5.6833912323822595</v>
      </c>
    </row>
    <row r="513" spans="1:25">
      <c r="A513" s="1">
        <v>0.51100000000000001</v>
      </c>
      <c r="B513" s="1">
        <f t="shared" si="1024"/>
        <v>25.857606596301153</v>
      </c>
      <c r="C513" s="1">
        <f t="shared" si="1025"/>
        <v>0</v>
      </c>
      <c r="D513" s="1">
        <f t="shared" si="1026"/>
        <v>0.16725704358713558</v>
      </c>
      <c r="E513" s="1">
        <f t="shared" si="1027"/>
        <v>31.289078757317924</v>
      </c>
      <c r="F513" s="1">
        <f t="shared" si="1028"/>
        <v>0</v>
      </c>
      <c r="G513" s="1">
        <f t="shared" si="1029"/>
        <v>-0.7064407379210802</v>
      </c>
      <c r="H513" s="1">
        <f t="shared" si="1152"/>
        <v>31.297052704653169</v>
      </c>
      <c r="I513" s="1">
        <f t="shared" si="1012"/>
        <v>-39.853140943343391</v>
      </c>
      <c r="J513" s="1">
        <f t="shared" si="1013"/>
        <v>0</v>
      </c>
      <c r="K513" s="1">
        <f t="shared" si="1014"/>
        <v>0.89979901661066519</v>
      </c>
      <c r="L513" s="1">
        <f t="shared" ref="L513:N513" si="1156">E513/$H513</f>
        <v>0.99974521730814414</v>
      </c>
      <c r="M513" s="1">
        <f t="shared" si="1156"/>
        <v>0</v>
      </c>
      <c r="N513" s="1">
        <f t="shared" si="1156"/>
        <v>-2.2572117080406372E-2</v>
      </c>
      <c r="O513" s="1">
        <f t="shared" si="1154"/>
        <v>-2.2572117080406372E-2</v>
      </c>
      <c r="P513" s="1">
        <f t="shared" si="1016"/>
        <v>2.2566366095655741E-2</v>
      </c>
      <c r="Q513" s="1">
        <f t="shared" si="1017"/>
        <v>0</v>
      </c>
      <c r="R513" s="1">
        <f t="shared" si="1018"/>
        <v>0.99949049953050839</v>
      </c>
      <c r="S513" s="1">
        <f t="shared" si="1019"/>
        <v>3.2229900042968826</v>
      </c>
      <c r="T513" s="1">
        <f t="shared" ref="T513:V513" si="1157">$S513*P513</f>
        <v>7.2731172359602525E-2</v>
      </c>
      <c r="U513" s="1">
        <f t="shared" si="1157"/>
        <v>0</v>
      </c>
      <c r="V513" s="1">
        <f t="shared" si="1157"/>
        <v>3.2213478893765268</v>
      </c>
      <c r="W513" s="1">
        <f t="shared" si="1021"/>
        <v>-39.780409770983788</v>
      </c>
      <c r="X513" s="1">
        <f t="shared" si="1022"/>
        <v>0</v>
      </c>
      <c r="Y513" s="1">
        <f t="shared" si="1023"/>
        <v>-5.6855030940128071</v>
      </c>
    </row>
    <row r="514" spans="1:25">
      <c r="A514" s="1">
        <v>0.51200000000000001</v>
      </c>
      <c r="B514" s="1">
        <f t="shared" si="1024"/>
        <v>25.8888558946487</v>
      </c>
      <c r="C514" s="1">
        <f t="shared" si="1025"/>
        <v>0</v>
      </c>
      <c r="D514" s="1">
        <f t="shared" si="1026"/>
        <v>0.16654491734612048</v>
      </c>
      <c r="E514" s="1">
        <f t="shared" si="1027"/>
        <v>31.24929834754694</v>
      </c>
      <c r="F514" s="1">
        <f t="shared" si="1028"/>
        <v>0</v>
      </c>
      <c r="G514" s="1">
        <f t="shared" si="1029"/>
        <v>-0.71212624101509303</v>
      </c>
      <c r="H514" s="1">
        <f t="shared" si="1152"/>
        <v>31.25741145707914</v>
      </c>
      <c r="I514" s="1">
        <f t="shared" ref="I514:I577" si="1158">-K_drag*$H514*E514</f>
        <v>-39.752058007651549</v>
      </c>
      <c r="J514" s="1">
        <f t="shared" ref="J514:J577" si="1159">-K_drag*$H514*F514</f>
        <v>0</v>
      </c>
      <c r="K514" s="1">
        <f t="shared" ref="K514:K577" si="1160">-K_drag*$H514*G514</f>
        <v>0.90589181641017658</v>
      </c>
      <c r="L514" s="1">
        <f t="shared" ref="L514:N514" si="1161">E514/$H514</f>
        <v>0.99974044205345214</v>
      </c>
      <c r="M514" s="1">
        <f t="shared" si="1161"/>
        <v>0</v>
      </c>
      <c r="N514" s="1">
        <f t="shared" si="1161"/>
        <v>-2.2782636431457011E-2</v>
      </c>
      <c r="O514" s="1">
        <f t="shared" si="1154"/>
        <v>-2.2782636431457011E-2</v>
      </c>
      <c r="P514" s="1">
        <f t="shared" ref="P514:P577" si="1162">u_axis_f-$O514*L514</f>
        <v>2.2776723017127916E-2</v>
      </c>
      <c r="Q514" s="1">
        <f t="shared" ref="Q514:Q577" si="1163">u_axis_r-$O514*M514</f>
        <v>0</v>
      </c>
      <c r="R514" s="1">
        <f t="shared" ref="R514:R577" si="1164">u_axis_u-$O514*N514</f>
        <v>0.99948095147723204</v>
      </c>
      <c r="S514" s="1">
        <f t="shared" ref="S514:S577" si="1165">K_lift*H514^2</f>
        <v>3.2148306141747542</v>
      </c>
      <c r="T514" s="1">
        <f t="shared" ref="T514:V514" si="1166">$S514*P514</f>
        <v>7.3223306446041594E-2</v>
      </c>
      <c r="U514" s="1">
        <f t="shared" si="1166"/>
        <v>0</v>
      </c>
      <c r="V514" s="1">
        <f t="shared" si="1166"/>
        <v>3.2131619610935176</v>
      </c>
      <c r="W514" s="1">
        <f t="shared" ref="W514:W577" si="1167">I514+T514+g_f</f>
        <v>-39.67883470120551</v>
      </c>
      <c r="X514" s="1">
        <f t="shared" ref="X514:X577" si="1168">J514+U514+g_r</f>
        <v>0</v>
      </c>
      <c r="Y514" s="1">
        <f t="shared" ref="Y514:Y577" si="1169">K514+V514+g_u</f>
        <v>-5.687596222496305</v>
      </c>
    </row>
    <row r="515" spans="1:25">
      <c r="A515" s="1">
        <v>0.51300000000000001</v>
      </c>
      <c r="B515" s="1">
        <f t="shared" ref="B515:B578" si="1170">B514+E515*dt</f>
        <v>25.920065514161546</v>
      </c>
      <c r="C515" s="1">
        <f t="shared" ref="C515:C578" si="1171">C514+F515*dt</f>
        <v>0</v>
      </c>
      <c r="D515" s="1">
        <f t="shared" ref="D515:D578" si="1172">D514+G515*dt</f>
        <v>0.16582710350888288</v>
      </c>
      <c r="E515" s="1">
        <f t="shared" ref="E515:E578" si="1173">E514+W514*dt</f>
        <v>31.209619512845734</v>
      </c>
      <c r="F515" s="1">
        <f t="shared" ref="F515:F578" si="1174">F514+X514*dt</f>
        <v>0</v>
      </c>
      <c r="G515" s="1">
        <f t="shared" ref="G515:G578" si="1175">G514+Y514*dt</f>
        <v>-0.71781383723758929</v>
      </c>
      <c r="H515" s="1">
        <f t="shared" si="1152"/>
        <v>31.217873195359271</v>
      </c>
      <c r="I515" s="1">
        <f t="shared" si="1158"/>
        <v>-39.651363283622672</v>
      </c>
      <c r="J515" s="1">
        <f t="shared" si="1159"/>
        <v>0</v>
      </c>
      <c r="K515" s="1">
        <f t="shared" si="1160"/>
        <v>0.91197193924789444</v>
      </c>
      <c r="L515" s="1">
        <f t="shared" ref="L515:N515" si="1176">E515/$H515</f>
        <v>0.9997356103517403</v>
      </c>
      <c r="M515" s="1">
        <f t="shared" si="1176"/>
        <v>0</v>
      </c>
      <c r="N515" s="1">
        <f t="shared" si="1176"/>
        <v>-2.2993681624163195E-2</v>
      </c>
      <c r="O515" s="1">
        <f t="shared" si="1154"/>
        <v>-2.2993681624163195E-2</v>
      </c>
      <c r="P515" s="1">
        <f t="shared" si="1162"/>
        <v>2.2987602332766387E-2</v>
      </c>
      <c r="Q515" s="1">
        <f t="shared" si="1163"/>
        <v>0</v>
      </c>
      <c r="R515" s="1">
        <f t="shared" si="1164"/>
        <v>0.99947129060536666</v>
      </c>
      <c r="S515" s="1">
        <f t="shared" si="1165"/>
        <v>3.2067027227872096</v>
      </c>
      <c r="T515" s="1">
        <f t="shared" ref="T515:V515" si="1177">$S515*P515</f>
        <v>7.371440699083158E-2</v>
      </c>
      <c r="U515" s="1">
        <f t="shared" si="1177"/>
        <v>0</v>
      </c>
      <c r="V515" s="1">
        <f t="shared" si="1177"/>
        <v>3.2050073089318758</v>
      </c>
      <c r="W515" s="1">
        <f t="shared" si="1167"/>
        <v>-39.577648876631841</v>
      </c>
      <c r="X515" s="1">
        <f t="shared" si="1168"/>
        <v>0</v>
      </c>
      <c r="Y515" s="1">
        <f t="shared" si="1169"/>
        <v>-5.6896707518202287</v>
      </c>
    </row>
    <row r="516" spans="1:25">
      <c r="A516" s="1">
        <v>0.51400000000000001</v>
      </c>
      <c r="B516" s="1">
        <f t="shared" si="1170"/>
        <v>25.951235556025516</v>
      </c>
      <c r="C516" s="1">
        <f t="shared" si="1171"/>
        <v>0</v>
      </c>
      <c r="D516" s="1">
        <f t="shared" si="1172"/>
        <v>0.16510360000089347</v>
      </c>
      <c r="E516" s="1">
        <f t="shared" si="1173"/>
        <v>31.170041863969104</v>
      </c>
      <c r="F516" s="1">
        <f t="shared" si="1174"/>
        <v>0</v>
      </c>
      <c r="G516" s="1">
        <f t="shared" si="1175"/>
        <v>-0.72350350798940954</v>
      </c>
      <c r="H516" s="1">
        <f t="shared" si="1152"/>
        <v>31.17843753506034</v>
      </c>
      <c r="I516" s="1">
        <f t="shared" si="1158"/>
        <v>-39.551054800436269</v>
      </c>
      <c r="J516" s="1">
        <f t="shared" si="1159"/>
        <v>0</v>
      </c>
      <c r="K516" s="1">
        <f t="shared" si="1160"/>
        <v>0.91803941161448355</v>
      </c>
      <c r="L516" s="1">
        <f t="shared" ref="L516:N516" si="1178">E516/$H516</f>
        <v>0.99973072187848433</v>
      </c>
      <c r="M516" s="1">
        <f t="shared" si="1178"/>
        <v>0</v>
      </c>
      <c r="N516" s="1">
        <f t="shared" si="1178"/>
        <v>-2.3205252257295625E-2</v>
      </c>
      <c r="O516" s="1">
        <f t="shared" si="1154"/>
        <v>-2.3205252257295625E-2</v>
      </c>
      <c r="P516" s="1">
        <f t="shared" si="1162"/>
        <v>2.3199003590558483E-2</v>
      </c>
      <c r="Q516" s="1">
        <f t="shared" si="1163"/>
        <v>0</v>
      </c>
      <c r="R516" s="1">
        <f t="shared" si="1164"/>
        <v>0.99946151626767532</v>
      </c>
      <c r="S516" s="1">
        <f t="shared" si="1165"/>
        <v>3.1986061708666451</v>
      </c>
      <c r="T516" s="1">
        <f t="shared" ref="T516:V516" si="1179">$S516*P516</f>
        <v>7.4204476042717821E-2</v>
      </c>
      <c r="U516" s="1">
        <f t="shared" si="1179"/>
        <v>0</v>
      </c>
      <c r="V516" s="1">
        <f t="shared" si="1179"/>
        <v>3.19688377347752</v>
      </c>
      <c r="W516" s="1">
        <f t="shared" si="1167"/>
        <v>-39.476850324393553</v>
      </c>
      <c r="X516" s="1">
        <f t="shared" si="1168"/>
        <v>0</v>
      </c>
      <c r="Y516" s="1">
        <f t="shared" si="1169"/>
        <v>-5.6917268149079963</v>
      </c>
    </row>
    <row r="517" spans="1:25">
      <c r="A517" s="1">
        <v>0.51500000000000001</v>
      </c>
      <c r="B517" s="1">
        <f t="shared" si="1170"/>
        <v>25.98236612103916</v>
      </c>
      <c r="C517" s="1">
        <f t="shared" si="1171"/>
        <v>0</v>
      </c>
      <c r="D517" s="1">
        <f t="shared" si="1172"/>
        <v>0.16437440476608914</v>
      </c>
      <c r="E517" s="1">
        <f t="shared" si="1173"/>
        <v>31.130565013644709</v>
      </c>
      <c r="F517" s="1">
        <f t="shared" si="1174"/>
        <v>0</v>
      </c>
      <c r="G517" s="1">
        <f t="shared" si="1175"/>
        <v>-0.72919523480431758</v>
      </c>
      <c r="H517" s="1">
        <f t="shared" si="1152"/>
        <v>31.139104093715048</v>
      </c>
      <c r="I517" s="1">
        <f t="shared" si="1158"/>
        <v>-39.45113059977988</v>
      </c>
      <c r="J517" s="1">
        <f t="shared" si="1159"/>
        <v>0</v>
      </c>
      <c r="K517" s="1">
        <f t="shared" si="1160"/>
        <v>0.92409426004292861</v>
      </c>
      <c r="L517" s="1">
        <f t="shared" ref="L517:N517" si="1180">E517/$H517</f>
        <v>0.99972577630863624</v>
      </c>
      <c r="M517" s="1">
        <f t="shared" si="1180"/>
        <v>0</v>
      </c>
      <c r="N517" s="1">
        <f t="shared" si="1180"/>
        <v>-2.3417347930427275E-2</v>
      </c>
      <c r="O517" s="1">
        <f t="shared" si="1154"/>
        <v>-2.3417347930427275E-2</v>
      </c>
      <c r="P517" s="1">
        <f t="shared" si="1162"/>
        <v>2.3410926338835843E-2</v>
      </c>
      <c r="Q517" s="1">
        <f t="shared" si="1163"/>
        <v>0</v>
      </c>
      <c r="R517" s="1">
        <f t="shared" si="1164"/>
        <v>0.99945162781590535</v>
      </c>
      <c r="S517" s="1">
        <f t="shared" si="1165"/>
        <v>3.1905408001557407</v>
      </c>
      <c r="T517" s="1">
        <f t="shared" ref="T517:V517" si="1181">$S517*P517</f>
        <v>7.4693515653496412E-2</v>
      </c>
      <c r="U517" s="1">
        <f t="shared" si="1181"/>
        <v>0</v>
      </c>
      <c r="V517" s="1">
        <f t="shared" si="1181"/>
        <v>3.1887911963287161</v>
      </c>
      <c r="W517" s="1">
        <f t="shared" si="1167"/>
        <v>-39.376437084126387</v>
      </c>
      <c r="X517" s="1">
        <f t="shared" si="1168"/>
        <v>0</v>
      </c>
      <c r="Y517" s="1">
        <f t="shared" si="1169"/>
        <v>-5.6937645436283546</v>
      </c>
    </row>
    <row r="518" spans="1:25">
      <c r="A518" s="1">
        <v>0.51600000000000001</v>
      </c>
      <c r="B518" s="1">
        <f t="shared" si="1170"/>
        <v>26.01345730961572</v>
      </c>
      <c r="C518" s="1">
        <f t="shared" si="1171"/>
        <v>0</v>
      </c>
      <c r="D518" s="1">
        <f t="shared" si="1172"/>
        <v>0.16363951576674118</v>
      </c>
      <c r="E518" s="1">
        <f t="shared" si="1173"/>
        <v>31.091188576560583</v>
      </c>
      <c r="F518" s="1">
        <f t="shared" si="1174"/>
        <v>0</v>
      </c>
      <c r="G518" s="1">
        <f t="shared" si="1175"/>
        <v>-0.73488899934794594</v>
      </c>
      <c r="H518" s="1">
        <f t="shared" si="1152"/>
        <v>31.099872490809574</v>
      </c>
      <c r="I518" s="1">
        <f t="shared" si="1158"/>
        <v>-39.351588735754014</v>
      </c>
      <c r="J518" s="1">
        <f t="shared" si="1159"/>
        <v>0</v>
      </c>
      <c r="K518" s="1">
        <f t="shared" si="1160"/>
        <v>0.93013651110694506</v>
      </c>
      <c r="L518" s="1">
        <f t="shared" ref="L518:N518" si="1182">E518/$H518</f>
        <v>0.99972077331662512</v>
      </c>
      <c r="M518" s="1">
        <f t="shared" si="1182"/>
        <v>0</v>
      </c>
      <c r="N518" s="1">
        <f t="shared" si="1182"/>
        <v>-2.3629968243924968E-2</v>
      </c>
      <c r="O518" s="1">
        <f t="shared" si="1154"/>
        <v>-2.3629968243924968E-2</v>
      </c>
      <c r="P518" s="1">
        <f t="shared" si="1162"/>
        <v>2.3623370126263962E-2</v>
      </c>
      <c r="Q518" s="1">
        <f t="shared" si="1163"/>
        <v>0</v>
      </c>
      <c r="R518" s="1">
        <f t="shared" si="1164"/>
        <v>0.99944162460079111</v>
      </c>
      <c r="S518" s="1">
        <f t="shared" si="1165"/>
        <v>3.1825064533997858</v>
      </c>
      <c r="T518" s="1">
        <f t="shared" ref="T518:V518" si="1183">$S518*P518</f>
        <v>7.5181527877886775E-2</v>
      </c>
      <c r="U518" s="1">
        <f t="shared" si="1183"/>
        <v>0</v>
      </c>
      <c r="V518" s="1">
        <f t="shared" si="1183"/>
        <v>3.180729420088384</v>
      </c>
      <c r="W518" s="1">
        <f t="shared" si="1167"/>
        <v>-39.276407207876126</v>
      </c>
      <c r="X518" s="1">
        <f t="shared" si="1168"/>
        <v>0</v>
      </c>
      <c r="Y518" s="1">
        <f t="shared" si="1169"/>
        <v>-5.6957840688046701</v>
      </c>
    </row>
    <row r="519" spans="1:25">
      <c r="A519" s="1">
        <v>0.51700000000000002</v>
      </c>
      <c r="B519" s="1">
        <f t="shared" si="1170"/>
        <v>26.044509221785074</v>
      </c>
      <c r="C519" s="1">
        <f t="shared" si="1171"/>
        <v>0</v>
      </c>
      <c r="D519" s="1">
        <f t="shared" si="1172"/>
        <v>0.16289893098332442</v>
      </c>
      <c r="E519" s="1">
        <f t="shared" si="1173"/>
        <v>31.051912169352708</v>
      </c>
      <c r="F519" s="1">
        <f t="shared" si="1174"/>
        <v>0</v>
      </c>
      <c r="G519" s="1">
        <f t="shared" si="1175"/>
        <v>-0.7405847834167506</v>
      </c>
      <c r="H519" s="1">
        <f t="shared" si="1152"/>
        <v>31.060742347771136</v>
      </c>
      <c r="I519" s="1">
        <f t="shared" si="1158"/>
        <v>-39.25242727477773</v>
      </c>
      <c r="J519" s="1">
        <f t="shared" si="1159"/>
        <v>0</v>
      </c>
      <c r="K519" s="1">
        <f t="shared" si="1160"/>
        <v>0.93616619141941204</v>
      </c>
      <c r="L519" s="1">
        <f t="shared" ref="L519:N519" si="1184">E519/$H519</f>
        <v>0.99971571257635894</v>
      </c>
      <c r="M519" s="1">
        <f t="shared" si="1184"/>
        <v>0</v>
      </c>
      <c r="N519" s="1">
        <f t="shared" si="1184"/>
        <v>-2.3843112798940996E-2</v>
      </c>
      <c r="O519" s="1">
        <f t="shared" si="1154"/>
        <v>-2.3843112798940996E-2</v>
      </c>
      <c r="P519" s="1">
        <f t="shared" si="1162"/>
        <v>2.3836334501831802E-2</v>
      </c>
      <c r="Q519" s="1">
        <f t="shared" si="1163"/>
        <v>0</v>
      </c>
      <c r="R519" s="1">
        <f t="shared" si="1164"/>
        <v>0.99943150597205699</v>
      </c>
      <c r="S519" s="1">
        <f t="shared" si="1165"/>
        <v>3.1745029743390512</v>
      </c>
      <c r="T519" s="1">
        <f t="shared" ref="T519:V519" si="1185">$S519*P519</f>
        <v>7.5668514773405596E-2</v>
      </c>
      <c r="U519" s="1">
        <f t="shared" si="1185"/>
        <v>0</v>
      </c>
      <c r="V519" s="1">
        <f t="shared" si="1185"/>
        <v>3.1726982883564521</v>
      </c>
      <c r="W519" s="1">
        <f t="shared" si="1167"/>
        <v>-39.176758760004326</v>
      </c>
      <c r="X519" s="1">
        <f t="shared" si="1168"/>
        <v>0</v>
      </c>
      <c r="Y519" s="1">
        <f t="shared" si="1169"/>
        <v>-5.6977855202241354</v>
      </c>
    </row>
    <row r="520" spans="1:25">
      <c r="A520" s="1">
        <v>0.51800000000000002</v>
      </c>
      <c r="B520" s="1">
        <f t="shared" si="1170"/>
        <v>26.075521957195665</v>
      </c>
      <c r="C520" s="1">
        <f t="shared" si="1171"/>
        <v>0</v>
      </c>
      <c r="D520" s="1">
        <f t="shared" si="1172"/>
        <v>0.16215264841438745</v>
      </c>
      <c r="E520" s="1">
        <f t="shared" si="1173"/>
        <v>31.012735410592704</v>
      </c>
      <c r="F520" s="1">
        <f t="shared" si="1174"/>
        <v>0</v>
      </c>
      <c r="G520" s="1">
        <f t="shared" si="1175"/>
        <v>-0.74628256893697476</v>
      </c>
      <c r="H520" s="1">
        <f t="shared" si="1152"/>
        <v>31.021713287955741</v>
      </c>
      <c r="I520" s="1">
        <f t="shared" si="1158"/>
        <v>-39.153644295495276</v>
      </c>
      <c r="J520" s="1">
        <f t="shared" si="1159"/>
        <v>0</v>
      </c>
      <c r="K520" s="1">
        <f t="shared" si="1160"/>
        <v>0.94218332763083112</v>
      </c>
      <c r="L520" s="1">
        <f t="shared" ref="L520:N520" si="1186">E520/$H520</f>
        <v>0.99971059376122462</v>
      </c>
      <c r="M520" s="1">
        <f t="shared" si="1186"/>
        <v>0</v>
      </c>
      <c r="N520" s="1">
        <f t="shared" si="1186"/>
        <v>-2.4056781197404752E-2</v>
      </c>
      <c r="O520" s="1">
        <f t="shared" si="1154"/>
        <v>-2.4056781197404752E-2</v>
      </c>
      <c r="P520" s="1">
        <f t="shared" si="1162"/>
        <v>2.4049819014841368E-2</v>
      </c>
      <c r="Q520" s="1">
        <f t="shared" si="1163"/>
        <v>0</v>
      </c>
      <c r="R520" s="1">
        <f t="shared" si="1164"/>
        <v>0.99942127127842018</v>
      </c>
      <c r="S520" s="1">
        <f t="shared" si="1165"/>
        <v>3.1665302077012529</v>
      </c>
      <c r="T520" s="1">
        <f t="shared" ref="T520:V520" si="1187">$S520*P520</f>
        <v>7.6154478400243183E-2</v>
      </c>
      <c r="U520" s="1">
        <f t="shared" si="1187"/>
        <v>0</v>
      </c>
      <c r="V520" s="1">
        <f t="shared" si="1187"/>
        <v>3.1646976457223062</v>
      </c>
      <c r="W520" s="1">
        <f t="shared" si="1167"/>
        <v>-39.077489817095035</v>
      </c>
      <c r="X520" s="1">
        <f t="shared" si="1168"/>
        <v>0</v>
      </c>
      <c r="Y520" s="1">
        <f t="shared" si="1169"/>
        <v>-5.6997690266468624</v>
      </c>
    </row>
    <row r="521" spans="1:25">
      <c r="A521" s="1">
        <v>0.51900000000000002</v>
      </c>
      <c r="B521" s="1">
        <f t="shared" si="1170"/>
        <v>26.10649561511644</v>
      </c>
      <c r="C521" s="1">
        <f t="shared" si="1171"/>
        <v>0</v>
      </c>
      <c r="D521" s="1">
        <f t="shared" si="1172"/>
        <v>0.16140066607642384</v>
      </c>
      <c r="E521" s="1">
        <f t="shared" si="1173"/>
        <v>30.973657920775608</v>
      </c>
      <c r="F521" s="1">
        <f t="shared" si="1174"/>
        <v>0</v>
      </c>
      <c r="G521" s="1">
        <f t="shared" si="1175"/>
        <v>-0.75198233796362157</v>
      </c>
      <c r="H521" s="1">
        <f t="shared" si="1152"/>
        <v>30.982784936635937</v>
      </c>
      <c r="I521" s="1">
        <f t="shared" si="1158"/>
        <v>-39.055237888683358</v>
      </c>
      <c r="J521" s="1">
        <f t="shared" si="1159"/>
        <v>0</v>
      </c>
      <c r="K521" s="1">
        <f t="shared" si="1160"/>
        <v>0.94818794642780457</v>
      </c>
      <c r="L521" s="1">
        <f t="shared" ref="L521:N521" si="1188">E521/$H521</f>
        <v>0.99970541654409073</v>
      </c>
      <c r="M521" s="1">
        <f t="shared" si="1188"/>
        <v>0</v>
      </c>
      <c r="N521" s="1">
        <f t="shared" si="1188"/>
        <v>-2.4270973042014428E-2</v>
      </c>
      <c r="O521" s="1">
        <f t="shared" si="1154"/>
        <v>-2.4270973042014428E-2</v>
      </c>
      <c r="P521" s="1">
        <f t="shared" si="1162"/>
        <v>2.426382321489743E-2</v>
      </c>
      <c r="Q521" s="1">
        <f t="shared" si="1163"/>
        <v>0</v>
      </c>
      <c r="R521" s="1">
        <f t="shared" si="1164"/>
        <v>0.99941091986759378</v>
      </c>
      <c r="S521" s="1">
        <f t="shared" si="1165"/>
        <v>3.1585879991940593</v>
      </c>
      <c r="T521" s="1">
        <f t="shared" ref="T521:V521" si="1189">$S521*P521</f>
        <v>7.6639420821141238E-2</v>
      </c>
      <c r="U521" s="1">
        <f t="shared" si="1189"/>
        <v>0</v>
      </c>
      <c r="V521" s="1">
        <f t="shared" si="1189"/>
        <v>3.1567273377572773</v>
      </c>
      <c r="W521" s="1">
        <f t="shared" si="1167"/>
        <v>-38.97859846786222</v>
      </c>
      <c r="X521" s="1">
        <f t="shared" si="1168"/>
        <v>0</v>
      </c>
      <c r="Y521" s="1">
        <f t="shared" si="1169"/>
        <v>-5.7017347158149176</v>
      </c>
    </row>
    <row r="522" spans="1:25">
      <c r="A522" s="1">
        <v>0.52</v>
      </c>
      <c r="B522" s="1">
        <f t="shared" si="1170"/>
        <v>26.137430294438747</v>
      </c>
      <c r="C522" s="1">
        <f t="shared" si="1171"/>
        <v>0</v>
      </c>
      <c r="D522" s="1">
        <f t="shared" si="1172"/>
        <v>0.16064298200374441</v>
      </c>
      <c r="E522" s="1">
        <f t="shared" si="1173"/>
        <v>30.934679322307744</v>
      </c>
      <c r="F522" s="1">
        <f t="shared" si="1174"/>
        <v>0</v>
      </c>
      <c r="G522" s="1">
        <f t="shared" si="1175"/>
        <v>-0.75768407267943649</v>
      </c>
      <c r="H522" s="1">
        <f t="shared" si="1152"/>
        <v>30.943956920988732</v>
      </c>
      <c r="I522" s="1">
        <f t="shared" si="1158"/>
        <v>-38.957206157159348</v>
      </c>
      <c r="J522" s="1">
        <f t="shared" si="1159"/>
        <v>0</v>
      </c>
      <c r="K522" s="1">
        <f t="shared" si="1160"/>
        <v>0.95418007453154075</v>
      </c>
      <c r="L522" s="1">
        <f t="shared" ref="L522:N522" si="1190">E522/$H522</f>
        <v>0.9997001805973077</v>
      </c>
      <c r="M522" s="1">
        <f t="shared" si="1190"/>
        <v>0</v>
      </c>
      <c r="N522" s="1">
        <f t="shared" si="1190"/>
        <v>-2.4485687936228767E-2</v>
      </c>
      <c r="O522" s="1">
        <f t="shared" si="1154"/>
        <v>-2.4485687936228767E-2</v>
      </c>
      <c r="P522" s="1">
        <f t="shared" si="1162"/>
        <v>2.4478346651897218E-2</v>
      </c>
      <c r="Q522" s="1">
        <f t="shared" si="1163"/>
        <v>0</v>
      </c>
      <c r="R522" s="1">
        <f t="shared" si="1164"/>
        <v>0.99940045108628961</v>
      </c>
      <c r="S522" s="1">
        <f t="shared" si="1165"/>
        <v>3.1506761954976819</v>
      </c>
      <c r="T522" s="1">
        <f t="shared" ref="T522:V522" si="1191">$S522*P522</f>
        <v>7.7123344101272945E-2</v>
      </c>
      <c r="U522" s="1">
        <f t="shared" si="1191"/>
        <v>0</v>
      </c>
      <c r="V522" s="1">
        <f t="shared" si="1191"/>
        <v>3.1487872110072179</v>
      </c>
      <c r="W522" s="1">
        <f t="shared" si="1167"/>
        <v>-38.880082813058074</v>
      </c>
      <c r="X522" s="1">
        <f t="shared" si="1168"/>
        <v>0</v>
      </c>
      <c r="Y522" s="1">
        <f t="shared" si="1169"/>
        <v>-5.703682714461241</v>
      </c>
    </row>
    <row r="523" spans="1:25">
      <c r="A523" s="1">
        <v>0.52100000000000002</v>
      </c>
      <c r="B523" s="1">
        <f t="shared" si="1170"/>
        <v>26.168326093678242</v>
      </c>
      <c r="C523" s="1">
        <f t="shared" si="1171"/>
        <v>0</v>
      </c>
      <c r="D523" s="1">
        <f t="shared" si="1172"/>
        <v>0.15987959424835052</v>
      </c>
      <c r="E523" s="1">
        <f t="shared" si="1173"/>
        <v>30.895799239494686</v>
      </c>
      <c r="F523" s="1">
        <f t="shared" si="1174"/>
        <v>0</v>
      </c>
      <c r="G523" s="1">
        <f t="shared" si="1175"/>
        <v>-0.76338775539389769</v>
      </c>
      <c r="H523" s="1">
        <f t="shared" si="1152"/>
        <v>30.905228870083551</v>
      </c>
      <c r="I523" s="1">
        <f t="shared" si="1158"/>
        <v>-38.859547215690256</v>
      </c>
      <c r="J523" s="1">
        <f t="shared" si="1159"/>
        <v>0</v>
      </c>
      <c r="K523" s="1">
        <f t="shared" si="1160"/>
        <v>0.96015973869637794</v>
      </c>
      <c r="L523" s="1">
        <f t="shared" ref="L523:N523" si="1192">E523/$H523</f>
        <v>0.99969488559270969</v>
      </c>
      <c r="M523" s="1">
        <f t="shared" si="1192"/>
        <v>0</v>
      </c>
      <c r="N523" s="1">
        <f t="shared" si="1192"/>
        <v>-2.4700925484258802E-2</v>
      </c>
      <c r="O523" s="1">
        <f t="shared" si="1154"/>
        <v>-2.4700925484258802E-2</v>
      </c>
      <c r="P523" s="1">
        <f t="shared" si="1162"/>
        <v>2.4693388876020149E-2</v>
      </c>
      <c r="Q523" s="1">
        <f t="shared" si="1163"/>
        <v>0</v>
      </c>
      <c r="R523" s="1">
        <f t="shared" si="1164"/>
        <v>0.99938986428022114</v>
      </c>
      <c r="S523" s="1">
        <f t="shared" si="1165"/>
        <v>3.142794644257521</v>
      </c>
      <c r="T523" s="1">
        <f t="shared" ref="T523:V523" si="1193">$S523*P523</f>
        <v>7.7606250308124375E-2</v>
      </c>
      <c r="U523" s="1">
        <f t="shared" si="1193"/>
        <v>0</v>
      </c>
      <c r="V523" s="1">
        <f t="shared" si="1193"/>
        <v>3.1408771129851298</v>
      </c>
      <c r="W523" s="1">
        <f t="shared" si="1167"/>
        <v>-38.781940965382134</v>
      </c>
      <c r="X523" s="1">
        <f t="shared" si="1168"/>
        <v>0</v>
      </c>
      <c r="Y523" s="1">
        <f t="shared" si="1169"/>
        <v>-5.7056131483184913</v>
      </c>
    </row>
    <row r="524" spans="1:25">
      <c r="A524" s="1">
        <v>0.52200000000000002</v>
      </c>
      <c r="B524" s="1">
        <f t="shared" si="1170"/>
        <v>26.199183110976772</v>
      </c>
      <c r="C524" s="1">
        <f t="shared" si="1171"/>
        <v>0</v>
      </c>
      <c r="D524" s="1">
        <f t="shared" si="1172"/>
        <v>0.1591105008798083</v>
      </c>
      <c r="E524" s="1">
        <f t="shared" si="1173"/>
        <v>30.857017298529303</v>
      </c>
      <c r="F524" s="1">
        <f t="shared" si="1174"/>
        <v>0</v>
      </c>
      <c r="G524" s="1">
        <f t="shared" si="1175"/>
        <v>-0.76909336854221622</v>
      </c>
      <c r="H524" s="1">
        <f t="shared" si="1152"/>
        <v>30.866600414870316</v>
      </c>
      <c r="I524" s="1">
        <f t="shared" si="1158"/>
        <v>-38.762259190902476</v>
      </c>
      <c r="J524" s="1">
        <f t="shared" si="1159"/>
        <v>0</v>
      </c>
      <c r="K524" s="1">
        <f t="shared" si="1160"/>
        <v>0.96612696570833334</v>
      </c>
      <c r="L524" s="1">
        <f t="shared" ref="L524:N524" si="1194">E524/$H524</f>
        <v>0.99968953120161574</v>
      </c>
      <c r="M524" s="1">
        <f t="shared" si="1194"/>
        <v>0</v>
      </c>
      <c r="N524" s="1">
        <f t="shared" si="1194"/>
        <v>-2.4916685291059695E-2</v>
      </c>
      <c r="O524" s="1">
        <f t="shared" si="1154"/>
        <v>-2.4916685291059695E-2</v>
      </c>
      <c r="P524" s="1">
        <f t="shared" si="1162"/>
        <v>2.490894943771766E-2</v>
      </c>
      <c r="Q524" s="1">
        <f t="shared" si="1163"/>
        <v>0</v>
      </c>
      <c r="R524" s="1">
        <f t="shared" si="1164"/>
        <v>0.99937915879410633</v>
      </c>
      <c r="S524" s="1">
        <f t="shared" si="1165"/>
        <v>3.134943194076881</v>
      </c>
      <c r="T524" s="1">
        <f t="shared" ref="T524:V524" si="1195">$S524*P524</f>
        <v>7.8088141511378134E-2</v>
      </c>
      <c r="U524" s="1">
        <f t="shared" si="1195"/>
        <v>0</v>
      </c>
      <c r="V524" s="1">
        <f t="shared" si="1195"/>
        <v>3.1329968921638622</v>
      </c>
      <c r="W524" s="1">
        <f t="shared" si="1167"/>
        <v>-38.684171049391097</v>
      </c>
      <c r="X524" s="1">
        <f t="shared" si="1168"/>
        <v>0</v>
      </c>
      <c r="Y524" s="1">
        <f t="shared" si="1169"/>
        <v>-5.7075261421278043</v>
      </c>
    </row>
    <row r="525" spans="1:25">
      <c r="A525" s="1">
        <v>0.52300000000000002</v>
      </c>
      <c r="B525" s="1">
        <f t="shared" si="1170"/>
        <v>26.230001444104253</v>
      </c>
      <c r="C525" s="1">
        <f t="shared" si="1171"/>
        <v>0</v>
      </c>
      <c r="D525" s="1">
        <f t="shared" si="1172"/>
        <v>0.15833569998512395</v>
      </c>
      <c r="E525" s="1">
        <f t="shared" si="1173"/>
        <v>30.818333127479914</v>
      </c>
      <c r="F525" s="1">
        <f t="shared" si="1174"/>
        <v>0</v>
      </c>
      <c r="G525" s="1">
        <f t="shared" si="1175"/>
        <v>-0.77480089468434399</v>
      </c>
      <c r="H525" s="1">
        <f t="shared" si="1152"/>
        <v>30.828071188167602</v>
      </c>
      <c r="I525" s="1">
        <f t="shared" si="1158"/>
        <v>-38.665340221192444</v>
      </c>
      <c r="J525" s="1">
        <f t="shared" si="1159"/>
        <v>0</v>
      </c>
      <c r="K525" s="1">
        <f t="shared" si="1160"/>
        <v>0.9720817823836726</v>
      </c>
      <c r="L525" s="1">
        <f t="shared" ref="L525:N525" si="1196">E525/$H525</f>
        <v>0.99968411709483063</v>
      </c>
      <c r="M525" s="1">
        <f t="shared" si="1196"/>
        <v>0</v>
      </c>
      <c r="N525" s="1">
        <f t="shared" si="1196"/>
        <v>-2.5132966962322548E-2</v>
      </c>
      <c r="O525" s="1">
        <f t="shared" si="1154"/>
        <v>-2.5132966962322548E-2</v>
      </c>
      <c r="P525" s="1">
        <f t="shared" si="1162"/>
        <v>2.5125027887702964E-2</v>
      </c>
      <c r="Q525" s="1">
        <f t="shared" si="1163"/>
        <v>0</v>
      </c>
      <c r="R525" s="1">
        <f t="shared" si="1164"/>
        <v>0.9993683339716708</v>
      </c>
      <c r="S525" s="1">
        <f t="shared" si="1165"/>
        <v>3.12712169450975</v>
      </c>
      <c r="T525" s="1">
        <f t="shared" ref="T525:V525" si="1197">$S525*P525</f>
        <v>7.8569019782798413E-2</v>
      </c>
      <c r="U525" s="1">
        <f t="shared" si="1197"/>
        <v>0</v>
      </c>
      <c r="V525" s="1">
        <f t="shared" si="1197"/>
        <v>3.1251463979688769</v>
      </c>
      <c r="W525" s="1">
        <f t="shared" si="1167"/>
        <v>-38.586771201409647</v>
      </c>
      <c r="X525" s="1">
        <f t="shared" si="1168"/>
        <v>0</v>
      </c>
      <c r="Y525" s="1">
        <f t="shared" si="1169"/>
        <v>-5.7094218196474502</v>
      </c>
    </row>
    <row r="526" spans="1:25">
      <c r="A526" s="1">
        <v>0.52400000000000002</v>
      </c>
      <c r="B526" s="1">
        <f t="shared" si="1170"/>
        <v>26.260781190460531</v>
      </c>
      <c r="C526" s="1">
        <f t="shared" si="1171"/>
        <v>0</v>
      </c>
      <c r="D526" s="1">
        <f t="shared" si="1172"/>
        <v>0.15755518966861995</v>
      </c>
      <c r="E526" s="1">
        <f t="shared" si="1173"/>
        <v>30.779746356278505</v>
      </c>
      <c r="F526" s="1">
        <f t="shared" si="1174"/>
        <v>0</v>
      </c>
      <c r="G526" s="1">
        <f t="shared" si="1175"/>
        <v>-0.78051031650399139</v>
      </c>
      <c r="H526" s="1">
        <f t="shared" si="1152"/>
        <v>30.789640824650895</v>
      </c>
      <c r="I526" s="1">
        <f t="shared" si="1158"/>
        <v>-38.568788456637897</v>
      </c>
      <c r="J526" s="1">
        <f t="shared" si="1159"/>
        <v>0</v>
      </c>
      <c r="K526" s="1">
        <f t="shared" si="1160"/>
        <v>0.97802421556750108</v>
      </c>
      <c r="L526" s="1">
        <f t="shared" ref="L526:N526" si="1198">E526/$H526</f>
        <v>0.99967864294264619</v>
      </c>
      <c r="M526" s="1">
        <f t="shared" si="1198"/>
        <v>0</v>
      </c>
      <c r="N526" s="1">
        <f t="shared" si="1198"/>
        <v>-2.5349770104466332E-2</v>
      </c>
      <c r="O526" s="1">
        <f t="shared" si="1154"/>
        <v>-2.5349770104466332E-2</v>
      </c>
      <c r="P526" s="1">
        <f t="shared" si="1162"/>
        <v>2.5341623776940964E-2</v>
      </c>
      <c r="Q526" s="1">
        <f t="shared" si="1163"/>
        <v>0</v>
      </c>
      <c r="R526" s="1">
        <f t="shared" si="1164"/>
        <v>0.99935738915565075</v>
      </c>
      <c r="S526" s="1">
        <f t="shared" si="1165"/>
        <v>3.1193299960536391</v>
      </c>
      <c r="T526" s="1">
        <f t="shared" ref="T526:V526" si="1199">$S526*P526</f>
        <v>7.9048887196118064E-2</v>
      </c>
      <c r="U526" s="1">
        <f t="shared" si="1199"/>
        <v>0</v>
      </c>
      <c r="V526" s="1">
        <f t="shared" si="1199"/>
        <v>3.1173254807710711</v>
      </c>
      <c r="W526" s="1">
        <f t="shared" si="1167"/>
        <v>-38.489739569441781</v>
      </c>
      <c r="X526" s="1">
        <f t="shared" si="1168"/>
        <v>0</v>
      </c>
      <c r="Y526" s="1">
        <f t="shared" si="1169"/>
        <v>-5.7113003036614272</v>
      </c>
    </row>
    <row r="527" spans="1:25">
      <c r="A527" s="1">
        <v>0.52500000000000002</v>
      </c>
      <c r="B527" s="1">
        <f t="shared" si="1170"/>
        <v>26.291522447077238</v>
      </c>
      <c r="C527" s="1">
        <f t="shared" si="1171"/>
        <v>0</v>
      </c>
      <c r="D527" s="1">
        <f t="shared" si="1172"/>
        <v>0.15676896805181229</v>
      </c>
      <c r="E527" s="1">
        <f t="shared" si="1173"/>
        <v>30.741256616709062</v>
      </c>
      <c r="F527" s="1">
        <f t="shared" si="1174"/>
        <v>0</v>
      </c>
      <c r="G527" s="1">
        <f t="shared" si="1175"/>
        <v>-0.78622161680765279</v>
      </c>
      <c r="H527" s="1">
        <f t="shared" si="1152"/>
        <v>30.751308960840909</v>
      </c>
      <c r="I527" s="1">
        <f t="shared" si="1158"/>
        <v>-38.47260205891007</v>
      </c>
      <c r="J527" s="1">
        <f t="shared" si="1159"/>
        <v>0</v>
      </c>
      <c r="K527" s="1">
        <f t="shared" si="1160"/>
        <v>0.98395429213237673</v>
      </c>
      <c r="L527" s="1">
        <f t="shared" ref="L527:N527" si="1200">E527/$H527</f>
        <v>0.99967310841484347</v>
      </c>
      <c r="M527" s="1">
        <f t="shared" si="1200"/>
        <v>0</v>
      </c>
      <c r="N527" s="1">
        <f t="shared" si="1200"/>
        <v>-2.556709432462979E-2</v>
      </c>
      <c r="O527" s="1">
        <f t="shared" si="1154"/>
        <v>-2.556709432462979E-2</v>
      </c>
      <c r="P527" s="1">
        <f t="shared" si="1162"/>
        <v>2.5558736656638166E-2</v>
      </c>
      <c r="Q527" s="1">
        <f t="shared" si="1163"/>
        <v>0</v>
      </c>
      <c r="R527" s="1">
        <f t="shared" si="1164"/>
        <v>0.99934632368779552</v>
      </c>
      <c r="S527" s="1">
        <f t="shared" si="1165"/>
        <v>3.1115679501424864</v>
      </c>
      <c r="T527" s="1">
        <f t="shared" ref="T527:V527" si="1201">$S527*P527</f>
        <v>7.9527745826927246E-2</v>
      </c>
      <c r="U527" s="1">
        <f t="shared" si="1201"/>
        <v>0</v>
      </c>
      <c r="V527" s="1">
        <f t="shared" si="1201"/>
        <v>3.1095339918796636</v>
      </c>
      <c r="W527" s="1">
        <f t="shared" si="1167"/>
        <v>-38.39307431308314</v>
      </c>
      <c r="X527" s="1">
        <f t="shared" si="1168"/>
        <v>0</v>
      </c>
      <c r="Y527" s="1">
        <f t="shared" si="1169"/>
        <v>-5.7131617159879591</v>
      </c>
    </row>
    <row r="528" spans="1:25">
      <c r="A528" s="1">
        <v>0.52600000000000002</v>
      </c>
      <c r="B528" s="1">
        <f t="shared" si="1170"/>
        <v>26.322225310619633</v>
      </c>
      <c r="C528" s="1">
        <f t="shared" si="1171"/>
        <v>0</v>
      </c>
      <c r="D528" s="1">
        <f t="shared" si="1172"/>
        <v>0.15597703327328866</v>
      </c>
      <c r="E528" s="1">
        <f t="shared" si="1173"/>
        <v>30.702863542395978</v>
      </c>
      <c r="F528" s="1">
        <f t="shared" si="1174"/>
        <v>0</v>
      </c>
      <c r="G528" s="1">
        <f t="shared" si="1175"/>
        <v>-0.7919347785236408</v>
      </c>
      <c r="H528" s="1">
        <f t="shared" si="1152"/>
        <v>30.713075235092028</v>
      </c>
      <c r="I528" s="1">
        <f t="shared" si="1158"/>
        <v>-38.376779201186601</v>
      </c>
      <c r="J528" s="1">
        <f t="shared" si="1159"/>
        <v>0</v>
      </c>
      <c r="K528" s="1">
        <f t="shared" si="1160"/>
        <v>0.98987203897694376</v>
      </c>
      <c r="L528" s="1">
        <f t="shared" ref="L528:N528" si="1202">E528/$H528</f>
        <v>0.99966751318069313</v>
      </c>
      <c r="M528" s="1">
        <f t="shared" si="1202"/>
        <v>0</v>
      </c>
      <c r="N528" s="1">
        <f t="shared" si="1202"/>
        <v>-2.5784939230663394E-2</v>
      </c>
      <c r="O528" s="1">
        <f t="shared" si="1154"/>
        <v>-2.5784939230663394E-2</v>
      </c>
      <c r="P528" s="1">
        <f t="shared" si="1162"/>
        <v>2.5776366078232572E-2</v>
      </c>
      <c r="Q528" s="1">
        <f t="shared" si="1163"/>
        <v>0</v>
      </c>
      <c r="R528" s="1">
        <f t="shared" si="1164"/>
        <v>0.99933513690887099</v>
      </c>
      <c r="S528" s="1">
        <f t="shared" si="1165"/>
        <v>3.1038354091396259</v>
      </c>
      <c r="T528" s="1">
        <f t="shared" ref="T528:V528" si="1203">$S528*P528</f>
        <v>8.0005597752563773E-2</v>
      </c>
      <c r="U528" s="1">
        <f t="shared" si="1203"/>
        <v>0</v>
      </c>
      <c r="V528" s="1">
        <f t="shared" si="1203"/>
        <v>3.1017717835351495</v>
      </c>
      <c r="W528" s="1">
        <f t="shared" si="1167"/>
        <v>-38.296773603434033</v>
      </c>
      <c r="X528" s="1">
        <f t="shared" si="1168"/>
        <v>0</v>
      </c>
      <c r="Y528" s="1">
        <f t="shared" si="1169"/>
        <v>-5.715006177487906</v>
      </c>
    </row>
    <row r="529" spans="1:25">
      <c r="A529" s="1">
        <v>0.52700000000000002</v>
      </c>
      <c r="B529" s="1">
        <f t="shared" si="1170"/>
        <v>26.352889877388424</v>
      </c>
      <c r="C529" s="1">
        <f t="shared" si="1171"/>
        <v>0</v>
      </c>
      <c r="D529" s="1">
        <f t="shared" si="1172"/>
        <v>0.15517938348858754</v>
      </c>
      <c r="E529" s="1">
        <f t="shared" si="1173"/>
        <v>30.664566768792543</v>
      </c>
      <c r="F529" s="1">
        <f t="shared" si="1174"/>
        <v>0</v>
      </c>
      <c r="G529" s="1">
        <f t="shared" si="1175"/>
        <v>-0.79764978470112868</v>
      </c>
      <c r="H529" s="1">
        <f t="shared" si="1152"/>
        <v>30.674939287580827</v>
      </c>
      <c r="I529" s="1">
        <f t="shared" si="1158"/>
        <v>-38.281318068065197</v>
      </c>
      <c r="J529" s="1">
        <f t="shared" si="1159"/>
        <v>0</v>
      </c>
      <c r="K529" s="1">
        <f t="shared" si="1160"/>
        <v>0.99577748302458691</v>
      </c>
      <c r="L529" s="1">
        <f t="shared" ref="L529:N529" si="1204">E529/$H529</f>
        <v>0.99966185690895615</v>
      </c>
      <c r="M529" s="1">
        <f t="shared" si="1204"/>
        <v>0</v>
      </c>
      <c r="N529" s="1">
        <f t="shared" si="1204"/>
        <v>-2.6003304431121341E-2</v>
      </c>
      <c r="O529" s="1">
        <f t="shared" si="1154"/>
        <v>-2.6003304431121341E-2</v>
      </c>
      <c r="P529" s="1">
        <f t="shared" si="1162"/>
        <v>2.5994511593383649E-2</v>
      </c>
      <c r="Q529" s="1">
        <f t="shared" si="1163"/>
        <v>0</v>
      </c>
      <c r="R529" s="1">
        <f t="shared" si="1164"/>
        <v>0.99932382815866239</v>
      </c>
      <c r="S529" s="1">
        <f t="shared" si="1165"/>
        <v>3.096132226330818</v>
      </c>
      <c r="T529" s="1">
        <f t="shared" ref="T529:V529" si="1205">$S529*P529</f>
        <v>8.0482445052005178E-2</v>
      </c>
      <c r="U529" s="1">
        <f t="shared" si="1205"/>
        <v>0</v>
      </c>
      <c r="V529" s="1">
        <f t="shared" si="1205"/>
        <v>3.0940387089023149</v>
      </c>
      <c r="W529" s="1">
        <f t="shared" si="1167"/>
        <v>-38.200835623013191</v>
      </c>
      <c r="X529" s="1">
        <f t="shared" si="1168"/>
        <v>0</v>
      </c>
      <c r="Y529" s="1">
        <f t="shared" si="1169"/>
        <v>-5.7168338080730976</v>
      </c>
    </row>
    <row r="530" spans="1:25">
      <c r="A530" s="1">
        <v>0.52800000000000002</v>
      </c>
      <c r="B530" s="1">
        <f t="shared" si="1170"/>
        <v>26.383516243321594</v>
      </c>
      <c r="C530" s="1">
        <f t="shared" si="1171"/>
        <v>0</v>
      </c>
      <c r="D530" s="1">
        <f t="shared" si="1172"/>
        <v>0.15437601687007835</v>
      </c>
      <c r="E530" s="1">
        <f t="shared" si="1173"/>
        <v>30.626365933169531</v>
      </c>
      <c r="F530" s="1">
        <f t="shared" si="1174"/>
        <v>0</v>
      </c>
      <c r="G530" s="1">
        <f t="shared" si="1175"/>
        <v>-0.80336661850920177</v>
      </c>
      <c r="H530" s="1">
        <f t="shared" si="1152"/>
        <v>30.636900760294637</v>
      </c>
      <c r="I530" s="1">
        <f t="shared" si="1158"/>
        <v>-38.18621685547803</v>
      </c>
      <c r="J530" s="1">
        <f t="shared" si="1159"/>
        <v>0</v>
      </c>
      <c r="K530" s="1">
        <f t="shared" si="1160"/>
        <v>1.0016706512221067</v>
      </c>
      <c r="L530" s="1">
        <f t="shared" ref="L530:N530" si="1206">E530/$H530</f>
        <v>0.9996561392678871</v>
      </c>
      <c r="M530" s="1">
        <f t="shared" si="1206"/>
        <v>0</v>
      </c>
      <c r="N530" s="1">
        <f t="shared" si="1206"/>
        <v>-2.6222189535253623E-2</v>
      </c>
      <c r="O530" s="1">
        <f t="shared" si="1154"/>
        <v>-2.6222189535253623E-2</v>
      </c>
      <c r="P530" s="1">
        <f t="shared" si="1162"/>
        <v>2.6213172753962427E-2</v>
      </c>
      <c r="Q530" s="1">
        <f t="shared" si="1163"/>
        <v>0</v>
      </c>
      <c r="R530" s="1">
        <f t="shared" si="1164"/>
        <v>0.99931239677597727</v>
      </c>
      <c r="S530" s="1">
        <f t="shared" si="1165"/>
        <v>3.088458255917331</v>
      </c>
      <c r="T530" s="1">
        <f t="shared" ref="T530:V530" si="1207">$S530*P530</f>
        <v>8.0958289805762501E-2</v>
      </c>
      <c r="U530" s="1">
        <f t="shared" si="1207"/>
        <v>0</v>
      </c>
      <c r="V530" s="1">
        <f t="shared" si="1207"/>
        <v>3.0863346220633026</v>
      </c>
      <c r="W530" s="1">
        <f t="shared" si="1167"/>
        <v>-38.105258565672266</v>
      </c>
      <c r="X530" s="1">
        <f t="shared" si="1168"/>
        <v>0</v>
      </c>
      <c r="Y530" s="1">
        <f t="shared" si="1169"/>
        <v>-5.7186447267145901</v>
      </c>
    </row>
    <row r="531" spans="1:25">
      <c r="A531" s="1">
        <v>0.52900000000000003</v>
      </c>
      <c r="B531" s="1">
        <f t="shared" si="1170"/>
        <v>26.414104503996199</v>
      </c>
      <c r="C531" s="1">
        <f t="shared" si="1171"/>
        <v>0</v>
      </c>
      <c r="D531" s="1">
        <f t="shared" si="1172"/>
        <v>0.15356693160684243</v>
      </c>
      <c r="E531" s="1">
        <f t="shared" si="1173"/>
        <v>30.588260674603859</v>
      </c>
      <c r="F531" s="1">
        <f t="shared" si="1174"/>
        <v>0</v>
      </c>
      <c r="G531" s="1">
        <f t="shared" si="1175"/>
        <v>-0.80908526323591634</v>
      </c>
      <c r="H531" s="1">
        <f t="shared" si="1152"/>
        <v>30.598959297020258</v>
      </c>
      <c r="I531" s="1">
        <f t="shared" si="1158"/>
        <v>-38.091473770606946</v>
      </c>
      <c r="J531" s="1">
        <f t="shared" si="1159"/>
        <v>0</v>
      </c>
      <c r="K531" s="1">
        <f t="shared" si="1160"/>
        <v>1.0075515705384139</v>
      </c>
      <c r="L531" s="1">
        <f t="shared" ref="L531:N531" si="1208">E531/$H531</f>
        <v>0.9996503599252331</v>
      </c>
      <c r="M531" s="1">
        <f t="shared" si="1208"/>
        <v>0</v>
      </c>
      <c r="N531" s="1">
        <f t="shared" si="1208"/>
        <v>-2.6441594152998054E-2</v>
      </c>
      <c r="O531" s="1">
        <f t="shared" si="1154"/>
        <v>-2.6441594152998054E-2</v>
      </c>
      <c r="P531" s="1">
        <f t="shared" si="1162"/>
        <v>2.6432349112041443E-2</v>
      </c>
      <c r="Q531" s="1">
        <f t="shared" si="1163"/>
        <v>0</v>
      </c>
      <c r="R531" s="1">
        <f t="shared" si="1164"/>
        <v>0.99930084209864811</v>
      </c>
      <c r="S531" s="1">
        <f t="shared" si="1165"/>
        <v>3.0808133530090971</v>
      </c>
      <c r="T531" s="1">
        <f t="shared" ref="T531:V531" si="1209">$S531*P531</f>
        <v>8.1433134095775433E-2</v>
      </c>
      <c r="U531" s="1">
        <f t="shared" si="1209"/>
        <v>0</v>
      </c>
      <c r="V531" s="1">
        <f t="shared" si="1209"/>
        <v>3.0786593780107503</v>
      </c>
      <c r="W531" s="1">
        <f t="shared" si="1167"/>
        <v>-38.010040636511171</v>
      </c>
      <c r="X531" s="1">
        <f t="shared" si="1168"/>
        <v>0</v>
      </c>
      <c r="Y531" s="1">
        <f t="shared" si="1169"/>
        <v>-5.7204390514508354</v>
      </c>
    </row>
    <row r="532" spans="1:25">
      <c r="A532" s="1">
        <v>0.53</v>
      </c>
      <c r="B532" s="1">
        <f t="shared" si="1170"/>
        <v>26.444654754630168</v>
      </c>
      <c r="C532" s="1">
        <f t="shared" si="1171"/>
        <v>0</v>
      </c>
      <c r="D532" s="1">
        <f t="shared" si="1172"/>
        <v>0.15275212590455506</v>
      </c>
      <c r="E532" s="1">
        <f t="shared" si="1173"/>
        <v>30.550250633967348</v>
      </c>
      <c r="F532" s="1">
        <f t="shared" si="1174"/>
        <v>0</v>
      </c>
      <c r="G532" s="1">
        <f t="shared" si="1175"/>
        <v>-0.81480570228736715</v>
      </c>
      <c r="H532" s="1">
        <f t="shared" si="1152"/>
        <v>30.561114543332714</v>
      </c>
      <c r="I532" s="1">
        <f t="shared" si="1158"/>
        <v>-37.99708703179936</v>
      </c>
      <c r="J532" s="1">
        <f t="shared" si="1159"/>
        <v>0</v>
      </c>
      <c r="K532" s="1">
        <f t="shared" si="1160"/>
        <v>1.0134202679632451</v>
      </c>
      <c r="L532" s="1">
        <f t="shared" ref="L532:N532" si="1210">E532/$H532</f>
        <v>0.99964451854823677</v>
      </c>
      <c r="M532" s="1">
        <f t="shared" si="1210"/>
        <v>0</v>
      </c>
      <c r="N532" s="1">
        <f t="shared" si="1210"/>
        <v>-2.6661517894972425E-2</v>
      </c>
      <c r="O532" s="1">
        <f t="shared" si="1154"/>
        <v>-2.6661517894972425E-2</v>
      </c>
      <c r="P532" s="1">
        <f t="shared" si="1162"/>
        <v>2.6652040219884911E-2</v>
      </c>
      <c r="Q532" s="1">
        <f t="shared" si="1163"/>
        <v>0</v>
      </c>
      <c r="R532" s="1">
        <f t="shared" si="1164"/>
        <v>0.99928916346353602</v>
      </c>
      <c r="S532" s="1">
        <f t="shared" si="1165"/>
        <v>3.0731973736179192</v>
      </c>
      <c r="T532" s="1">
        <f t="shared" ref="T532:V532" si="1211">$S532*P532</f>
        <v>8.1906980005309452E-2</v>
      </c>
      <c r="U532" s="1">
        <f t="shared" si="1211"/>
        <v>0</v>
      </c>
      <c r="V532" s="1">
        <f t="shared" si="1211"/>
        <v>3.0710128326409865</v>
      </c>
      <c r="W532" s="1">
        <f t="shared" si="1167"/>
        <v>-37.915180051794053</v>
      </c>
      <c r="X532" s="1">
        <f t="shared" si="1168"/>
        <v>0</v>
      </c>
      <c r="Y532" s="1">
        <f t="shared" si="1169"/>
        <v>-5.7222168993957681</v>
      </c>
    </row>
    <row r="533" spans="1:25">
      <c r="A533" s="1">
        <v>0.53100000000000003</v>
      </c>
      <c r="B533" s="1">
        <f t="shared" si="1170"/>
        <v>26.475167090084085</v>
      </c>
      <c r="C533" s="1">
        <f t="shared" si="1171"/>
        <v>0</v>
      </c>
      <c r="D533" s="1">
        <f t="shared" si="1172"/>
        <v>0.15193159798536829</v>
      </c>
      <c r="E533" s="1">
        <f t="shared" si="1173"/>
        <v>30.512335453915554</v>
      </c>
      <c r="F533" s="1">
        <f t="shared" si="1174"/>
        <v>0</v>
      </c>
      <c r="G533" s="1">
        <f t="shared" si="1175"/>
        <v>-0.82052791918676293</v>
      </c>
      <c r="H533" s="1">
        <f t="shared" si="1152"/>
        <v>30.523366146584113</v>
      </c>
      <c r="I533" s="1">
        <f t="shared" si="1158"/>
        <v>-37.903054868484908</v>
      </c>
      <c r="J533" s="1">
        <f t="shared" si="1159"/>
        <v>0</v>
      </c>
      <c r="K533" s="1">
        <f t="shared" si="1160"/>
        <v>1.0192767705058969</v>
      </c>
      <c r="L533" s="1">
        <f t="shared" ref="L533:N533" si="1212">E533/$H533</f>
        <v>0.99963861480363647</v>
      </c>
      <c r="M533" s="1">
        <f t="shared" si="1212"/>
        <v>0</v>
      </c>
      <c r="N533" s="1">
        <f t="shared" si="1212"/>
        <v>-2.688196037246661E-2</v>
      </c>
      <c r="O533" s="1">
        <f t="shared" si="1154"/>
        <v>-2.688196037246661E-2</v>
      </c>
      <c r="P533" s="1">
        <f t="shared" si="1162"/>
        <v>2.6872245629938771E-2</v>
      </c>
      <c r="Q533" s="1">
        <f t="shared" si="1163"/>
        <v>0</v>
      </c>
      <c r="R533" s="1">
        <f t="shared" si="1164"/>
        <v>0.99927736020653313</v>
      </c>
      <c r="S533" s="1">
        <f t="shared" si="1165"/>
        <v>3.0656101746507409</v>
      </c>
      <c r="T533" s="1">
        <f t="shared" ref="T533:V533" si="1213">$S533*P533</f>
        <v>8.2379829618854206E-2</v>
      </c>
      <c r="U533" s="1">
        <f t="shared" si="1213"/>
        <v>0</v>
      </c>
      <c r="V533" s="1">
        <f t="shared" si="1213"/>
        <v>3.0633948427472815</v>
      </c>
      <c r="W533" s="1">
        <f t="shared" si="1167"/>
        <v>-37.820675038866057</v>
      </c>
      <c r="X533" s="1">
        <f t="shared" si="1168"/>
        <v>0</v>
      </c>
      <c r="Y533" s="1">
        <f t="shared" si="1169"/>
        <v>-5.723978386746821</v>
      </c>
    </row>
    <row r="534" spans="1:25">
      <c r="A534" s="1">
        <v>0.53200000000000003</v>
      </c>
      <c r="B534" s="1">
        <f t="shared" si="1170"/>
        <v>26.505641604862962</v>
      </c>
      <c r="C534" s="1">
        <f t="shared" si="1171"/>
        <v>0</v>
      </c>
      <c r="D534" s="1">
        <f t="shared" si="1172"/>
        <v>0.15110534608779477</v>
      </c>
      <c r="E534" s="1">
        <f t="shared" si="1173"/>
        <v>30.474514778876689</v>
      </c>
      <c r="F534" s="1">
        <f t="shared" si="1174"/>
        <v>0</v>
      </c>
      <c r="G534" s="1">
        <f t="shared" si="1175"/>
        <v>-0.82625189757350981</v>
      </c>
      <c r="H534" s="1">
        <f t="shared" si="1152"/>
        <v>30.485713755892569</v>
      </c>
      <c r="I534" s="1">
        <f t="shared" si="1158"/>
        <v>-37.80937552109279</v>
      </c>
      <c r="J534" s="1">
        <f t="shared" si="1159"/>
        <v>0</v>
      </c>
      <c r="K534" s="1">
        <f t="shared" si="1160"/>
        <v>1.0251211051939793</v>
      </c>
      <c r="L534" s="1">
        <f t="shared" ref="L534:N534" si="1214">E534/$H534</f>
        <v>0.9996326483576683</v>
      </c>
      <c r="M534" s="1">
        <f t="shared" si="1214"/>
        <v>0</v>
      </c>
      <c r="N534" s="1">
        <f t="shared" si="1214"/>
        <v>-2.7102921197434782E-2</v>
      </c>
      <c r="O534" s="1">
        <f t="shared" si="1154"/>
        <v>-2.7102921197434782E-2</v>
      </c>
      <c r="P534" s="1">
        <f t="shared" si="1162"/>
        <v>2.7092964894820919E-2</v>
      </c>
      <c r="Q534" s="1">
        <f t="shared" si="1163"/>
        <v>0</v>
      </c>
      <c r="R534" s="1">
        <f t="shared" si="1164"/>
        <v>0.99926543166256565</v>
      </c>
      <c r="S534" s="1">
        <f t="shared" si="1165"/>
        <v>3.0580516139029701</v>
      </c>
      <c r="T534" s="1">
        <f t="shared" ref="T534:V534" si="1215">$S534*P534</f>
        <v>8.2851685022023627E-2</v>
      </c>
      <c r="U534" s="1">
        <f t="shared" si="1215"/>
        <v>0</v>
      </c>
      <c r="V534" s="1">
        <f t="shared" si="1215"/>
        <v>3.0558052660131572</v>
      </c>
      <c r="W534" s="1">
        <f t="shared" si="1167"/>
        <v>-37.726523836070768</v>
      </c>
      <c r="X534" s="1">
        <f t="shared" si="1168"/>
        <v>0</v>
      </c>
      <c r="Y534" s="1">
        <f t="shared" si="1169"/>
        <v>-5.7257236287928635</v>
      </c>
    </row>
    <row r="535" spans="1:25">
      <c r="A535" s="1">
        <v>0.53300000000000003</v>
      </c>
      <c r="B535" s="1">
        <f t="shared" si="1170"/>
        <v>26.536078393118004</v>
      </c>
      <c r="C535" s="1">
        <f t="shared" si="1171"/>
        <v>0</v>
      </c>
      <c r="D535" s="1">
        <f t="shared" si="1172"/>
        <v>0.15027336846659248</v>
      </c>
      <c r="E535" s="1">
        <f t="shared" si="1173"/>
        <v>30.436788255040618</v>
      </c>
      <c r="F535" s="1">
        <f t="shared" si="1174"/>
        <v>0</v>
      </c>
      <c r="G535" s="1">
        <f t="shared" si="1175"/>
        <v>-0.83197762120230268</v>
      </c>
      <c r="H535" s="1">
        <f t="shared" si="1152"/>
        <v>30.448157022131241</v>
      </c>
      <c r="I535" s="1">
        <f t="shared" si="1158"/>
        <v>-37.716047240969914</v>
      </c>
      <c r="J535" s="1">
        <f t="shared" si="1159"/>
        <v>0</v>
      </c>
      <c r="K535" s="1">
        <f t="shared" si="1160"/>
        <v>1.0309532990721904</v>
      </c>
      <c r="L535" s="1">
        <f t="shared" ref="L535:N535" si="1216">E535/$H535</f>
        <v>0.99962661887606663</v>
      </c>
      <c r="M535" s="1">
        <f t="shared" si="1216"/>
        <v>0</v>
      </c>
      <c r="N535" s="1">
        <f t="shared" si="1216"/>
        <v>-2.7324399982487604E-2</v>
      </c>
      <c r="O535" s="1">
        <f t="shared" si="1154"/>
        <v>-2.7324399982487604E-2</v>
      </c>
      <c r="P535" s="1">
        <f t="shared" si="1162"/>
        <v>2.7314197567311339E-2</v>
      </c>
      <c r="Q535" s="1">
        <f t="shared" si="1163"/>
        <v>0</v>
      </c>
      <c r="R535" s="1">
        <f t="shared" si="1164"/>
        <v>0.99925337716559703</v>
      </c>
      <c r="S535" s="1">
        <f t="shared" si="1165"/>
        <v>3.0505215500518701</v>
      </c>
      <c r="T535" s="1">
        <f t="shared" ref="T535:V535" si="1217">$S535*P535</f>
        <v>8.3322548301457605E-2</v>
      </c>
      <c r="U535" s="1">
        <f t="shared" si="1217"/>
        <v>0</v>
      </c>
      <c r="V535" s="1">
        <f t="shared" si="1217"/>
        <v>3.0482439610057632</v>
      </c>
      <c r="W535" s="1">
        <f t="shared" si="1167"/>
        <v>-37.632724692668454</v>
      </c>
      <c r="X535" s="1">
        <f t="shared" si="1168"/>
        <v>0</v>
      </c>
      <c r="Y535" s="1">
        <f t="shared" si="1169"/>
        <v>-5.7274527399220458</v>
      </c>
    </row>
    <row r="536" spans="1:25">
      <c r="A536" s="1">
        <v>0.53400000000000003</v>
      </c>
      <c r="B536" s="1">
        <f t="shared" si="1170"/>
        <v>26.566477548648351</v>
      </c>
      <c r="C536" s="1">
        <f t="shared" si="1171"/>
        <v>0</v>
      </c>
      <c r="D536" s="1">
        <f t="shared" si="1172"/>
        <v>0.14943566339265024</v>
      </c>
      <c r="E536" s="1">
        <f t="shared" si="1173"/>
        <v>30.399155530347951</v>
      </c>
      <c r="F536" s="1">
        <f t="shared" si="1174"/>
        <v>0</v>
      </c>
      <c r="G536" s="1">
        <f t="shared" si="1175"/>
        <v>-0.83770507394222471</v>
      </c>
      <c r="H536" s="1">
        <f t="shared" si="1152"/>
        <v>30.410695597917403</v>
      </c>
      <c r="I536" s="1">
        <f t="shared" si="1158"/>
        <v>-37.623068290299607</v>
      </c>
      <c r="J536" s="1">
        <f t="shared" si="1159"/>
        <v>0</v>
      </c>
      <c r="K536" s="1">
        <f t="shared" si="1160"/>
        <v>1.0367733792011049</v>
      </c>
      <c r="L536" s="1">
        <f t="shared" ref="L536:N536" si="1218">E536/$H536</f>
        <v>0.99962052602406626</v>
      </c>
      <c r="M536" s="1">
        <f t="shared" si="1218"/>
        <v>0</v>
      </c>
      <c r="N536" s="1">
        <f t="shared" si="1218"/>
        <v>-2.7546396340884512E-2</v>
      </c>
      <c r="O536" s="1">
        <f t="shared" si="1154"/>
        <v>-2.7546396340884512E-2</v>
      </c>
      <c r="P536" s="1">
        <f t="shared" si="1162"/>
        <v>2.7535943200342389E-2</v>
      </c>
      <c r="Q536" s="1">
        <f t="shared" si="1163"/>
        <v>0</v>
      </c>
      <c r="R536" s="1">
        <f t="shared" si="1164"/>
        <v>0.99924119604863093</v>
      </c>
      <c r="S536" s="1">
        <f t="shared" si="1165"/>
        <v>3.043019842649993</v>
      </c>
      <c r="T536" s="1">
        <f t="shared" ref="T536:V536" si="1219">$S536*P536</f>
        <v>8.3792421544725035E-2</v>
      </c>
      <c r="U536" s="1">
        <f t="shared" si="1219"/>
        <v>0</v>
      </c>
      <c r="V536" s="1">
        <f t="shared" si="1219"/>
        <v>3.0407107871692958</v>
      </c>
      <c r="W536" s="1">
        <f t="shared" si="1167"/>
        <v>-37.539275868754885</v>
      </c>
      <c r="X536" s="1">
        <f t="shared" si="1168"/>
        <v>0</v>
      </c>
      <c r="Y536" s="1">
        <f t="shared" si="1169"/>
        <v>-5.7291658336295992</v>
      </c>
    </row>
    <row r="537" spans="1:25">
      <c r="A537" s="1">
        <v>0.53500000000000003</v>
      </c>
      <c r="B537" s="1">
        <f t="shared" si="1170"/>
        <v>26.596839164902828</v>
      </c>
      <c r="C537" s="1">
        <f t="shared" si="1171"/>
        <v>0</v>
      </c>
      <c r="D537" s="1">
        <f t="shared" si="1172"/>
        <v>0.1485922291528744</v>
      </c>
      <c r="E537" s="1">
        <f t="shared" si="1173"/>
        <v>30.361616254479195</v>
      </c>
      <c r="F537" s="1">
        <f t="shared" si="1174"/>
        <v>0</v>
      </c>
      <c r="G537" s="1">
        <f t="shared" si="1175"/>
        <v>-0.8434342397758543</v>
      </c>
      <c r="H537" s="1">
        <f t="shared" si="1152"/>
        <v>30.373329137601651</v>
      </c>
      <c r="I537" s="1">
        <f t="shared" si="1158"/>
        <v>-37.530436942021197</v>
      </c>
      <c r="J537" s="1">
        <f t="shared" si="1159"/>
        <v>0</v>
      </c>
      <c r="K537" s="1">
        <f t="shared" si="1160"/>
        <v>1.0425813726559883</v>
      </c>
      <c r="L537" s="1">
        <f t="shared" ref="L537:N537" si="1220">E537/$H537</f>
        <v>0.99961436946640281</v>
      </c>
      <c r="M537" s="1">
        <f t="shared" si="1220"/>
        <v>0</v>
      </c>
      <c r="N537" s="1">
        <f t="shared" si="1220"/>
        <v>-2.7768909886525986E-2</v>
      </c>
      <c r="O537" s="1">
        <f t="shared" si="1154"/>
        <v>-2.7768909886525986E-2</v>
      </c>
      <c r="P537" s="1">
        <f t="shared" si="1162"/>
        <v>2.7758201346989031E-2</v>
      </c>
      <c r="Q537" s="1">
        <f t="shared" si="1163"/>
        <v>0</v>
      </c>
      <c r="R537" s="1">
        <f t="shared" si="1164"/>
        <v>0.99922888764371398</v>
      </c>
      <c r="S537" s="1">
        <f t="shared" si="1165"/>
        <v>3.0355463521186867</v>
      </c>
      <c r="T537" s="1">
        <f t="shared" ref="T537:V537" si="1221">$S537*P537</f>
        <v>8.4261306840228575E-2</v>
      </c>
      <c r="U537" s="1">
        <f t="shared" si="1221"/>
        <v>0</v>
      </c>
      <c r="V537" s="1">
        <f t="shared" si="1221"/>
        <v>3.0332056048184892</v>
      </c>
      <c r="W537" s="1">
        <f t="shared" si="1167"/>
        <v>-37.446175635180971</v>
      </c>
      <c r="X537" s="1">
        <f t="shared" si="1168"/>
        <v>0</v>
      </c>
      <c r="Y537" s="1">
        <f t="shared" si="1169"/>
        <v>-5.7308630225255222</v>
      </c>
    </row>
    <row r="538" spans="1:25">
      <c r="A538" s="1">
        <v>0.53600000000000003</v>
      </c>
      <c r="B538" s="1">
        <f t="shared" si="1170"/>
        <v>26.627163334981674</v>
      </c>
      <c r="C538" s="1">
        <f t="shared" si="1171"/>
        <v>0</v>
      </c>
      <c r="D538" s="1">
        <f t="shared" si="1172"/>
        <v>0.14774306405007603</v>
      </c>
      <c r="E538" s="1">
        <f t="shared" si="1173"/>
        <v>30.324170078844013</v>
      </c>
      <c r="F538" s="1">
        <f t="shared" si="1174"/>
        <v>0</v>
      </c>
      <c r="G538" s="1">
        <f t="shared" si="1175"/>
        <v>-0.84916510279837987</v>
      </c>
      <c r="H538" s="1">
        <f t="shared" si="1152"/>
        <v>30.336057297257152</v>
      </c>
      <c r="I538" s="1">
        <f t="shared" si="1158"/>
        <v>-37.438151479750161</v>
      </c>
      <c r="J538" s="1">
        <f t="shared" si="1159"/>
        <v>0</v>
      </c>
      <c r="K538" s="1">
        <f t="shared" si="1160"/>
        <v>1.0483773065256226</v>
      </c>
      <c r="L538" s="1">
        <f t="shared" ref="L538:N538" si="1222">E538/$H538</f>
        <v>0.99960814886731464</v>
      </c>
      <c r="M538" s="1">
        <f t="shared" si="1222"/>
        <v>0</v>
      </c>
      <c r="N538" s="1">
        <f t="shared" si="1222"/>
        <v>-2.7991940233945876E-2</v>
      </c>
      <c r="O538" s="1">
        <f t="shared" si="1154"/>
        <v>-2.7991940233945876E-2</v>
      </c>
      <c r="P538" s="1">
        <f t="shared" si="1162"/>
        <v>2.7980971560459145E-2</v>
      </c>
      <c r="Q538" s="1">
        <f t="shared" si="1163"/>
        <v>0</v>
      </c>
      <c r="R538" s="1">
        <f t="shared" si="1164"/>
        <v>0.99921645128193926</v>
      </c>
      <c r="S538" s="1">
        <f t="shared" si="1165"/>
        <v>3.0281009397416474</v>
      </c>
      <c r="T538" s="1">
        <f t="shared" ref="T538:V538" si="1223">$S538*P538</f>
        <v>8.4729206277110641E-2</v>
      </c>
      <c r="U538" s="1">
        <f t="shared" si="1223"/>
        <v>0</v>
      </c>
      <c r="V538" s="1">
        <f t="shared" si="1223"/>
        <v>3.0257282751321544</v>
      </c>
      <c r="W538" s="1">
        <f t="shared" si="1167"/>
        <v>-37.353422273473051</v>
      </c>
      <c r="X538" s="1">
        <f t="shared" si="1168"/>
        <v>0</v>
      </c>
      <c r="Y538" s="1">
        <f t="shared" si="1169"/>
        <v>-5.7325444183422221</v>
      </c>
    </row>
    <row r="539" spans="1:25">
      <c r="A539" s="1">
        <v>0.53700000000000003</v>
      </c>
      <c r="B539" s="1">
        <f t="shared" si="1170"/>
        <v>26.657450151638244</v>
      </c>
      <c r="C539" s="1">
        <f t="shared" si="1171"/>
        <v>0</v>
      </c>
      <c r="D539" s="1">
        <f t="shared" si="1172"/>
        <v>0.14688816640285932</v>
      </c>
      <c r="E539" s="1">
        <f t="shared" si="1173"/>
        <v>30.28681665657054</v>
      </c>
      <c r="F539" s="1">
        <f t="shared" si="1174"/>
        <v>0</v>
      </c>
      <c r="G539" s="1">
        <f t="shared" si="1175"/>
        <v>-0.85489764721672212</v>
      </c>
      <c r="H539" s="1">
        <f t="shared" si="1152"/>
        <v>30.298879734668994</v>
      </c>
      <c r="I539" s="1">
        <f t="shared" si="1158"/>
        <v>-37.346210197699065</v>
      </c>
      <c r="J539" s="1">
        <f t="shared" si="1159"/>
        <v>0</v>
      </c>
      <c r="K539" s="1">
        <f t="shared" si="1160"/>
        <v>1.0541612079111549</v>
      </c>
      <c r="L539" s="1">
        <f t="shared" ref="L539:N539" si="1224">E539/$H539</f>
        <v>0.9996018638905434</v>
      </c>
      <c r="M539" s="1">
        <f t="shared" si="1224"/>
        <v>0</v>
      </c>
      <c r="N539" s="1">
        <f t="shared" si="1224"/>
        <v>-2.8215486998303757E-2</v>
      </c>
      <c r="O539" s="1">
        <f t="shared" si="1154"/>
        <v>-2.8215486998303757E-2</v>
      </c>
      <c r="P539" s="1">
        <f t="shared" si="1162"/>
        <v>2.820425339408383E-2</v>
      </c>
      <c r="Q539" s="1">
        <f t="shared" si="1163"/>
        <v>0</v>
      </c>
      <c r="R539" s="1">
        <f t="shared" si="1164"/>
        <v>0.99920388629344858</v>
      </c>
      <c r="S539" s="1">
        <f t="shared" si="1165"/>
        <v>3.0206834676585315</v>
      </c>
      <c r="T539" s="1">
        <f t="shared" ref="T539:V539" si="1225">$S539*P539</f>
        <v>8.5196121945161046E-2</v>
      </c>
      <c r="U539" s="1">
        <f t="shared" si="1225"/>
        <v>0</v>
      </c>
      <c r="V539" s="1">
        <f t="shared" si="1225"/>
        <v>3.018278660146775</v>
      </c>
      <c r="W539" s="1">
        <f t="shared" si="1167"/>
        <v>-37.261014075753906</v>
      </c>
      <c r="X539" s="1">
        <f t="shared" si="1168"/>
        <v>0</v>
      </c>
      <c r="Y539" s="1">
        <f t="shared" si="1169"/>
        <v>-5.7342101319420697</v>
      </c>
    </row>
    <row r="540" spans="1:25">
      <c r="A540" s="1">
        <v>0.53800000000000003</v>
      </c>
      <c r="B540" s="1">
        <f t="shared" si="1170"/>
        <v>26.687699707280739</v>
      </c>
      <c r="C540" s="1">
        <f t="shared" si="1171"/>
        <v>0</v>
      </c>
      <c r="D540" s="1">
        <f t="shared" si="1172"/>
        <v>0.14602753454551065</v>
      </c>
      <c r="E540" s="1">
        <f t="shared" si="1173"/>
        <v>30.249555642494787</v>
      </c>
      <c r="F540" s="1">
        <f t="shared" si="1174"/>
        <v>0</v>
      </c>
      <c r="G540" s="1">
        <f t="shared" si="1175"/>
        <v>-0.86063185734866421</v>
      </c>
      <c r="H540" s="1">
        <f t="shared" si="1152"/>
        <v>30.26179610932358</v>
      </c>
      <c r="I540" s="1">
        <f t="shared" si="1158"/>
        <v>-37.25461140059906</v>
      </c>
      <c r="J540" s="1">
        <f t="shared" si="1159"/>
        <v>0</v>
      </c>
      <c r="K540" s="1">
        <f t="shared" si="1160"/>
        <v>1.05993310392496</v>
      </c>
      <c r="L540" s="1">
        <f t="shared" ref="L540:N540" si="1226">E540/$H540</f>
        <v>0.99959551419933657</v>
      </c>
      <c r="M540" s="1">
        <f t="shared" si="1226"/>
        <v>0</v>
      </c>
      <c r="N540" s="1">
        <f t="shared" si="1226"/>
        <v>-2.8439549795377342E-2</v>
      </c>
      <c r="O540" s="1">
        <f t="shared" si="1154"/>
        <v>-2.8439549795377342E-2</v>
      </c>
      <c r="P540" s="1">
        <f t="shared" si="1162"/>
        <v>2.842804640130785E-2</v>
      </c>
      <c r="Q540" s="1">
        <f t="shared" si="1163"/>
        <v>0</v>
      </c>
      <c r="R540" s="1">
        <f t="shared" si="1164"/>
        <v>0.99919119200743622</v>
      </c>
      <c r="S540" s="1">
        <f t="shared" si="1165"/>
        <v>3.0132937988586193</v>
      </c>
      <c r="T540" s="1">
        <f t="shared" ref="T540:V540" si="1227">$S540*P540</f>
        <v>8.5662055934726034E-2</v>
      </c>
      <c r="U540" s="1">
        <f t="shared" si="1227"/>
        <v>0</v>
      </c>
      <c r="V540" s="1">
        <f t="shared" si="1227"/>
        <v>3.0108566227501594</v>
      </c>
      <c r="W540" s="1">
        <f t="shared" si="1167"/>
        <v>-37.168949344664334</v>
      </c>
      <c r="X540" s="1">
        <f t="shared" si="1168"/>
        <v>0</v>
      </c>
      <c r="Y540" s="1">
        <f t="shared" si="1169"/>
        <v>-5.7358602733248798</v>
      </c>
    </row>
    <row r="541" spans="1:25">
      <c r="A541" s="1">
        <v>0.53900000000000003</v>
      </c>
      <c r="B541" s="1">
        <f t="shared" si="1170"/>
        <v>26.71791209397389</v>
      </c>
      <c r="C541" s="1">
        <f t="shared" si="1171"/>
        <v>0</v>
      </c>
      <c r="D541" s="1">
        <f t="shared" si="1172"/>
        <v>0.14516116682788865</v>
      </c>
      <c r="E541" s="1">
        <f t="shared" si="1173"/>
        <v>30.212386693150123</v>
      </c>
      <c r="F541" s="1">
        <f t="shared" si="1174"/>
        <v>0</v>
      </c>
      <c r="G541" s="1">
        <f t="shared" si="1175"/>
        <v>-0.86636771762198905</v>
      </c>
      <c r="H541" s="1">
        <f t="shared" si="1152"/>
        <v>30.22480608239815</v>
      </c>
      <c r="I541" s="1">
        <f t="shared" si="1158"/>
        <v>-37.163353403622175</v>
      </c>
      <c r="J541" s="1">
        <f t="shared" si="1159"/>
        <v>0</v>
      </c>
      <c r="K541" s="1">
        <f t="shared" si="1160"/>
        <v>1.0656930216895242</v>
      </c>
      <c r="L541" s="1">
        <f t="shared" ref="L541:N541" si="1228">E541/$H541</f>
        <v>0.99958909945644747</v>
      </c>
      <c r="M541" s="1">
        <f t="shared" si="1228"/>
        <v>0</v>
      </c>
      <c r="N541" s="1">
        <f t="shared" si="1228"/>
        <v>-2.8664128241554898E-2</v>
      </c>
      <c r="O541" s="1">
        <f t="shared" si="1154"/>
        <v>-2.8664128241554898E-2</v>
      </c>
      <c r="P541" s="1">
        <f t="shared" si="1162"/>
        <v>2.8652350135679985E-2</v>
      </c>
      <c r="Q541" s="1">
        <f t="shared" si="1163"/>
        <v>0</v>
      </c>
      <c r="R541" s="1">
        <f t="shared" si="1164"/>
        <v>0.99917836775215174</v>
      </c>
      <c r="S541" s="1">
        <f t="shared" si="1165"/>
        <v>3.0059317971745378</v>
      </c>
      <c r="T541" s="1">
        <f t="shared" ref="T541:V541" si="1229">$S541*P541</f>
        <v>8.6127010336618653E-2</v>
      </c>
      <c r="U541" s="1">
        <f t="shared" si="1229"/>
        <v>0</v>
      </c>
      <c r="V541" s="1">
        <f t="shared" si="1229"/>
        <v>3.0034620266751468</v>
      </c>
      <c r="W541" s="1">
        <f t="shared" si="1167"/>
        <v>-37.077226393285557</v>
      </c>
      <c r="X541" s="1">
        <f t="shared" si="1168"/>
        <v>0</v>
      </c>
      <c r="Y541" s="1">
        <f t="shared" si="1169"/>
        <v>-5.7374949516353286</v>
      </c>
    </row>
    <row r="542" spans="1:25">
      <c r="A542" s="1">
        <v>0.54</v>
      </c>
      <c r="B542" s="1">
        <f t="shared" si="1170"/>
        <v>26.748087403440646</v>
      </c>
      <c r="C542" s="1">
        <f t="shared" si="1171"/>
        <v>0</v>
      </c>
      <c r="D542" s="1">
        <f t="shared" si="1172"/>
        <v>0.14428906161531502</v>
      </c>
      <c r="E542" s="1">
        <f t="shared" si="1173"/>
        <v>30.175309466756836</v>
      </c>
      <c r="F542" s="1">
        <f t="shared" si="1174"/>
        <v>0</v>
      </c>
      <c r="G542" s="1">
        <f t="shared" si="1175"/>
        <v>-0.87210521257362439</v>
      </c>
      <c r="H542" s="1">
        <f t="shared" si="1152"/>
        <v>30.187909316750353</v>
      </c>
      <c r="I542" s="1">
        <f t="shared" si="1158"/>
        <v>-37.072434532304236</v>
      </c>
      <c r="J542" s="1">
        <f t="shared" si="1159"/>
        <v>0</v>
      </c>
      <c r="K542" s="1">
        <f t="shared" si="1160"/>
        <v>1.0714409883363434</v>
      </c>
      <c r="L542" s="1">
        <f t="shared" ref="L542:N542" si="1230">E542/$H542</f>
        <v>0.99958261932413695</v>
      </c>
      <c r="M542" s="1">
        <f t="shared" si="1230"/>
        <v>0</v>
      </c>
      <c r="N542" s="1">
        <f t="shared" si="1230"/>
        <v>-2.8889221953827711E-2</v>
      </c>
      <c r="O542" s="1">
        <f t="shared" si="1154"/>
        <v>-2.8889221953827711E-2</v>
      </c>
      <c r="P542" s="1">
        <f t="shared" si="1162"/>
        <v>2.8877164150843463E-2</v>
      </c>
      <c r="Q542" s="1">
        <f t="shared" si="1163"/>
        <v>0</v>
      </c>
      <c r="R542" s="1">
        <f t="shared" si="1164"/>
        <v>0.99916541285490246</v>
      </c>
      <c r="S542" s="1">
        <f t="shared" si="1165"/>
        <v>2.9985973272760376</v>
      </c>
      <c r="T542" s="1">
        <f t="shared" ref="T542:V542" si="1231">$S542*P542</f>
        <v>8.6590987242030612E-2</v>
      </c>
      <c r="U542" s="1">
        <f t="shared" si="1231"/>
        <v>0</v>
      </c>
      <c r="V542" s="1">
        <f t="shared" si="1231"/>
        <v>2.9960947364933692</v>
      </c>
      <c r="W542" s="1">
        <f t="shared" si="1167"/>
        <v>-36.985843545062203</v>
      </c>
      <c r="X542" s="1">
        <f t="shared" si="1168"/>
        <v>0</v>
      </c>
      <c r="Y542" s="1">
        <f t="shared" si="1169"/>
        <v>-5.7391142751702873</v>
      </c>
    </row>
    <row r="543" spans="1:25">
      <c r="A543" s="1">
        <v>0.54100000000000004</v>
      </c>
      <c r="B543" s="1">
        <f t="shared" si="1170"/>
        <v>26.778225727063859</v>
      </c>
      <c r="C543" s="1">
        <f t="shared" si="1171"/>
        <v>0</v>
      </c>
      <c r="D543" s="1">
        <f t="shared" si="1172"/>
        <v>0.14341121728846623</v>
      </c>
      <c r="E543" s="1">
        <f t="shared" si="1173"/>
        <v>30.138323623211775</v>
      </c>
      <c r="F543" s="1">
        <f t="shared" si="1174"/>
        <v>0</v>
      </c>
      <c r="G543" s="1">
        <f t="shared" si="1175"/>
        <v>-0.87784432684879465</v>
      </c>
      <c r="H543" s="1">
        <f t="shared" si="1152"/>
        <v>30.151105476907901</v>
      </c>
      <c r="I543" s="1">
        <f t="shared" si="1158"/>
        <v>-36.981853122468451</v>
      </c>
      <c r="J543" s="1">
        <f t="shared" si="1159"/>
        <v>0</v>
      </c>
      <c r="K543" s="1">
        <f t="shared" si="1160"/>
        <v>1.0771770310048405</v>
      </c>
      <c r="L543" s="1">
        <f t="shared" ref="L543:N543" si="1232">E543/$H543</f>
        <v>0.99957607346417476</v>
      </c>
      <c r="M543" s="1">
        <f t="shared" si="1232"/>
        <v>0</v>
      </c>
      <c r="N543" s="1">
        <f t="shared" si="1232"/>
        <v>-2.9114830549782568E-2</v>
      </c>
      <c r="O543" s="1">
        <f t="shared" si="1154"/>
        <v>-2.9114830549782568E-2</v>
      </c>
      <c r="P543" s="1">
        <f t="shared" si="1162"/>
        <v>2.910248800052646E-2</v>
      </c>
      <c r="Q543" s="1">
        <f t="shared" si="1163"/>
        <v>0</v>
      </c>
      <c r="R543" s="1">
        <f t="shared" si="1164"/>
        <v>0.99915232664205744</v>
      </c>
      <c r="S543" s="1">
        <f t="shared" si="1165"/>
        <v>2.9912902546638205</v>
      </c>
      <c r="T543" s="1">
        <f t="shared" ref="T543:V543" si="1233">$S543*P543</f>
        <v>8.7053988742445576E-2</v>
      </c>
      <c r="U543" s="1">
        <f t="shared" si="1233"/>
        <v>0</v>
      </c>
      <c r="V543" s="1">
        <f t="shared" si="1233"/>
        <v>2.9887546176090689</v>
      </c>
      <c r="W543" s="1">
        <f t="shared" si="1167"/>
        <v>-36.894799133726004</v>
      </c>
      <c r="X543" s="1">
        <f t="shared" si="1168"/>
        <v>0</v>
      </c>
      <c r="Y543" s="1">
        <f t="shared" si="1169"/>
        <v>-5.7407183513860902</v>
      </c>
    </row>
    <row r="544" spans="1:25">
      <c r="A544" s="1">
        <v>0.54200000000000004</v>
      </c>
      <c r="B544" s="1">
        <f t="shared" si="1170"/>
        <v>26.808327155887937</v>
      </c>
      <c r="C544" s="1">
        <f t="shared" si="1171"/>
        <v>0</v>
      </c>
      <c r="D544" s="1">
        <f t="shared" si="1172"/>
        <v>0.14252763224326606</v>
      </c>
      <c r="E544" s="1">
        <f t="shared" si="1173"/>
        <v>30.101428824078049</v>
      </c>
      <c r="F544" s="1">
        <f t="shared" si="1174"/>
        <v>0</v>
      </c>
      <c r="G544" s="1">
        <f t="shared" si="1175"/>
        <v>-0.88358504520018077</v>
      </c>
      <c r="H544" s="1">
        <f t="shared" si="1152"/>
        <v>30.114394229058274</v>
      </c>
      <c r="I544" s="1">
        <f t="shared" si="1158"/>
        <v>-36.891607520149599</v>
      </c>
      <c r="J544" s="1">
        <f t="shared" si="1159"/>
        <v>0</v>
      </c>
      <c r="K544" s="1">
        <f t="shared" si="1160"/>
        <v>1.0829011768412988</v>
      </c>
      <c r="L544" s="1">
        <f t="shared" ref="L544:N544" si="1234">E544/$H544</f>
        <v>0.9995694615378411</v>
      </c>
      <c r="M544" s="1">
        <f t="shared" si="1234"/>
        <v>0</v>
      </c>
      <c r="N544" s="1">
        <f t="shared" si="1234"/>
        <v>-2.9340953647594321E-2</v>
      </c>
      <c r="O544" s="1">
        <f t="shared" si="1154"/>
        <v>-2.9340953647594321E-2</v>
      </c>
      <c r="P544" s="1">
        <f t="shared" si="1162"/>
        <v>2.9328321238532611E-2</v>
      </c>
      <c r="Q544" s="1">
        <f t="shared" si="1163"/>
        <v>0</v>
      </c>
      <c r="R544" s="1">
        <f t="shared" si="1164"/>
        <v>0.99913910843904974</v>
      </c>
      <c r="S544" s="1">
        <f t="shared" si="1165"/>
        <v>2.984010445663416</v>
      </c>
      <c r="T544" s="1">
        <f t="shared" ref="T544:V544" si="1235">$S544*P544</f>
        <v>8.751601692955352E-2</v>
      </c>
      <c r="U544" s="1">
        <f t="shared" si="1235"/>
        <v>0</v>
      </c>
      <c r="V544" s="1">
        <f t="shared" si="1235"/>
        <v>2.9814415362529569</v>
      </c>
      <c r="W544" s="1">
        <f t="shared" si="1167"/>
        <v>-36.804091503220043</v>
      </c>
      <c r="X544" s="1">
        <f t="shared" si="1168"/>
        <v>0</v>
      </c>
      <c r="Y544" s="1">
        <f t="shared" si="1169"/>
        <v>-5.7423072869057439</v>
      </c>
    </row>
    <row r="545" spans="1:25">
      <c r="A545" s="1">
        <v>0.54300000000000004</v>
      </c>
      <c r="B545" s="1">
        <f t="shared" si="1170"/>
        <v>26.838391780620512</v>
      </c>
      <c r="C545" s="1">
        <f t="shared" si="1171"/>
        <v>0</v>
      </c>
      <c r="D545" s="1">
        <f t="shared" si="1172"/>
        <v>0.14163830489077897</v>
      </c>
      <c r="E545" s="1">
        <f t="shared" si="1173"/>
        <v>30.064624732574828</v>
      </c>
      <c r="F545" s="1">
        <f t="shared" si="1174"/>
        <v>0</v>
      </c>
      <c r="G545" s="1">
        <f t="shared" si="1175"/>
        <v>-0.8893273524870865</v>
      </c>
      <c r="H545" s="1">
        <f t="shared" si="1152"/>
        <v>30.077775241038552</v>
      </c>
      <c r="I545" s="1">
        <f t="shared" si="1158"/>
        <v>-36.801696081518976</v>
      </c>
      <c r="J545" s="1">
        <f t="shared" si="1159"/>
        <v>0</v>
      </c>
      <c r="K545" s="1">
        <f t="shared" si="1160"/>
        <v>1.0886134529978104</v>
      </c>
      <c r="L545" s="1">
        <f t="shared" ref="L545:N545" si="1236">E545/$H545</f>
        <v>0.9995627832059274</v>
      </c>
      <c r="M545" s="1">
        <f t="shared" si="1236"/>
        <v>0</v>
      </c>
      <c r="N545" s="1">
        <f t="shared" si="1236"/>
        <v>-2.9567590866018421E-2</v>
      </c>
      <c r="O545" s="1">
        <f t="shared" si="1154"/>
        <v>-2.9567590866018421E-2</v>
      </c>
      <c r="P545" s="1">
        <f t="shared" si="1162"/>
        <v>2.955466341873153E-2</v>
      </c>
      <c r="Q545" s="1">
        <f t="shared" si="1163"/>
        <v>0</v>
      </c>
      <c r="R545" s="1">
        <f t="shared" si="1164"/>
        <v>0.99912575757037969</v>
      </c>
      <c r="S545" s="1">
        <f t="shared" si="1165"/>
        <v>2.9767577674191226</v>
      </c>
      <c r="T545" s="1">
        <f t="shared" ref="T545:V545" si="1237">$S545*P545</f>
        <v>8.7977073895166888E-2</v>
      </c>
      <c r="U545" s="1">
        <f t="shared" si="1237"/>
        <v>0</v>
      </c>
      <c r="V545" s="1">
        <f t="shared" si="1237"/>
        <v>2.9741553594761427</v>
      </c>
      <c r="W545" s="1">
        <f t="shared" si="1167"/>
        <v>-36.713719007623808</v>
      </c>
      <c r="X545" s="1">
        <f t="shared" si="1168"/>
        <v>0</v>
      </c>
      <c r="Y545" s="1">
        <f t="shared" si="1169"/>
        <v>-5.7438811875260463</v>
      </c>
    </row>
    <row r="546" spans="1:25">
      <c r="A546" s="1">
        <v>0.54400000000000004</v>
      </c>
      <c r="B546" s="1">
        <f t="shared" si="1170"/>
        <v>26.868419691634077</v>
      </c>
      <c r="C546" s="1">
        <f t="shared" si="1171"/>
        <v>0</v>
      </c>
      <c r="D546" s="1">
        <f t="shared" si="1172"/>
        <v>0.14074323365710437</v>
      </c>
      <c r="E546" s="1">
        <f t="shared" si="1173"/>
        <v>30.027911013567206</v>
      </c>
      <c r="F546" s="1">
        <f t="shared" si="1174"/>
        <v>0</v>
      </c>
      <c r="G546" s="1">
        <f t="shared" si="1175"/>
        <v>-0.8950712336746125</v>
      </c>
      <c r="H546" s="1">
        <f t="shared" si="1152"/>
        <v>30.041248182325287</v>
      </c>
      <c r="I546" s="1">
        <f t="shared" si="1158"/>
        <v>-36.71211717280989</v>
      </c>
      <c r="J546" s="1">
        <f t="shared" si="1159"/>
        <v>0</v>
      </c>
      <c r="K546" s="1">
        <f t="shared" si="1160"/>
        <v>1.0943138866312443</v>
      </c>
      <c r="L546" s="1">
        <f t="shared" ref="L546:N546" si="1238">E546/$H546</f>
        <v>0.99955603812873772</v>
      </c>
      <c r="M546" s="1">
        <f t="shared" si="1238"/>
        <v>0</v>
      </c>
      <c r="N546" s="1">
        <f t="shared" si="1238"/>
        <v>-2.9794741824383516E-2</v>
      </c>
      <c r="O546" s="1">
        <f t="shared" si="1154"/>
        <v>-2.9794741824383516E-2</v>
      </c>
      <c r="P546" s="1">
        <f t="shared" si="1162"/>
        <v>2.9781514095049387E-2</v>
      </c>
      <c r="Q546" s="1">
        <f t="shared" si="1163"/>
        <v>0</v>
      </c>
      <c r="R546" s="1">
        <f t="shared" si="1164"/>
        <v>0.99911227335961839</v>
      </c>
      <c r="S546" s="1">
        <f t="shared" si="1165"/>
        <v>2.9695320878879925</v>
      </c>
      <c r="T546" s="1">
        <f t="shared" ref="T546:V546" si="1239">$S546*P546</f>
        <v>8.8437161731137678E-2</v>
      </c>
      <c r="U546" s="1">
        <f t="shared" si="1239"/>
        <v>0</v>
      </c>
      <c r="V546" s="1">
        <f t="shared" si="1239"/>
        <v>2.9668959551441061</v>
      </c>
      <c r="W546" s="1">
        <f t="shared" si="1167"/>
        <v>-36.623680011078754</v>
      </c>
      <c r="X546" s="1">
        <f t="shared" si="1168"/>
        <v>0</v>
      </c>
      <c r="Y546" s="1">
        <f t="shared" si="1169"/>
        <v>-5.7454401582246488</v>
      </c>
    </row>
    <row r="547" spans="1:25">
      <c r="A547" s="1">
        <v>0.54500000000000004</v>
      </c>
      <c r="B547" s="1">
        <f t="shared" si="1170"/>
        <v>26.898410978967632</v>
      </c>
      <c r="C547" s="1">
        <f t="shared" si="1171"/>
        <v>0</v>
      </c>
      <c r="D547" s="1">
        <f t="shared" si="1172"/>
        <v>0.13984241698327152</v>
      </c>
      <c r="E547" s="1">
        <f t="shared" si="1173"/>
        <v>29.991287333556127</v>
      </c>
      <c r="F547" s="1">
        <f t="shared" si="1174"/>
        <v>0</v>
      </c>
      <c r="G547" s="1">
        <f t="shared" si="1175"/>
        <v>-0.90081667383283714</v>
      </c>
      <c r="H547" s="1">
        <f t="shared" si="1152"/>
        <v>30.004812724024447</v>
      </c>
      <c r="I547" s="1">
        <f t="shared" si="1158"/>
        <v>-36.622869170243838</v>
      </c>
      <c r="J547" s="1">
        <f t="shared" si="1159"/>
        <v>0</v>
      </c>
      <c r="K547" s="1">
        <f t="shared" si="1160"/>
        <v>1.1000025049022284</v>
      </c>
      <c r="L547" s="1">
        <f t="shared" ref="L547:N547" si="1240">E547/$H547</f>
        <v>0.99954922596609008</v>
      </c>
      <c r="M547" s="1">
        <f t="shared" si="1240"/>
        <v>0</v>
      </c>
      <c r="N547" s="1">
        <f t="shared" si="1240"/>
        <v>-3.0022406142584102E-2</v>
      </c>
      <c r="O547" s="1">
        <f t="shared" si="1154"/>
        <v>-3.0022406142584102E-2</v>
      </c>
      <c r="P547" s="1">
        <f t="shared" si="1162"/>
        <v>3.0008872821459528E-2</v>
      </c>
      <c r="Q547" s="1">
        <f t="shared" si="1163"/>
        <v>0</v>
      </c>
      <c r="R547" s="1">
        <f t="shared" si="1164"/>
        <v>0.99909865512940976</v>
      </c>
      <c r="S547" s="1">
        <f t="shared" si="1165"/>
        <v>2.9623332758338652</v>
      </c>
      <c r="T547" s="1">
        <f t="shared" ref="T547:V547" si="1241">$S547*P547</f>
        <v>8.8896282529276047E-2</v>
      </c>
      <c r="U547" s="1">
        <f t="shared" si="1241"/>
        <v>0</v>
      </c>
      <c r="V547" s="1">
        <f t="shared" si="1241"/>
        <v>2.9596631919307135</v>
      </c>
      <c r="W547" s="1">
        <f t="shared" si="1167"/>
        <v>-36.533972887714562</v>
      </c>
      <c r="X547" s="1">
        <f t="shared" si="1168"/>
        <v>0</v>
      </c>
      <c r="Y547" s="1">
        <f t="shared" si="1169"/>
        <v>-5.7469843031670571</v>
      </c>
    </row>
    <row r="548" spans="1:25">
      <c r="A548" s="1">
        <v>0.54600000000000004</v>
      </c>
      <c r="B548" s="1">
        <f t="shared" si="1170"/>
        <v>26.928365732328302</v>
      </c>
      <c r="C548" s="1">
        <f t="shared" si="1171"/>
        <v>0</v>
      </c>
      <c r="D548" s="1">
        <f t="shared" si="1172"/>
        <v>0.1389358533251355</v>
      </c>
      <c r="E548" s="1">
        <f t="shared" si="1173"/>
        <v>29.954753360668413</v>
      </c>
      <c r="F548" s="1">
        <f t="shared" si="1174"/>
        <v>0</v>
      </c>
      <c r="G548" s="1">
        <f t="shared" si="1175"/>
        <v>-0.90656365813600415</v>
      </c>
      <c r="H548" s="1">
        <f t="shared" si="1152"/>
        <v>29.968468538861451</v>
      </c>
      <c r="I548" s="1">
        <f t="shared" si="1158"/>
        <v>-36.53395045995731</v>
      </c>
      <c r="J548" s="1">
        <f t="shared" si="1159"/>
        <v>0</v>
      </c>
      <c r="K548" s="1">
        <f t="shared" si="1160"/>
        <v>1.1056793349741472</v>
      </c>
      <c r="L548" s="1">
        <f t="shared" ref="L548:N548" si="1242">E548/$H548</f>
        <v>0.99954234637731809</v>
      </c>
      <c r="M548" s="1">
        <f t="shared" si="1242"/>
        <v>0</v>
      </c>
      <c r="N548" s="1">
        <f t="shared" si="1242"/>
        <v>-3.0250583441073158E-2</v>
      </c>
      <c r="O548" s="1">
        <f t="shared" si="1154"/>
        <v>-3.0250583441073158E-2</v>
      </c>
      <c r="P548" s="1">
        <f t="shared" si="1162"/>
        <v>3.023673915197311E-2</v>
      </c>
      <c r="Q548" s="1">
        <f t="shared" si="1163"/>
        <v>0</v>
      </c>
      <c r="R548" s="1">
        <f t="shared" si="1164"/>
        <v>0.99908490220147472</v>
      </c>
      <c r="S548" s="1">
        <f t="shared" si="1165"/>
        <v>2.9551612008214581</v>
      </c>
      <c r="T548" s="1">
        <f t="shared" ref="T548:V548" si="1243">$S548*P548</f>
        <v>8.9354438381270052E-2</v>
      </c>
      <c r="U548" s="1">
        <f t="shared" si="1243"/>
        <v>0</v>
      </c>
      <c r="V548" s="1">
        <f t="shared" si="1243"/>
        <v>2.9524569393122992</v>
      </c>
      <c r="W548" s="1">
        <f t="shared" si="1167"/>
        <v>-36.444596021576039</v>
      </c>
      <c r="X548" s="1">
        <f t="shared" si="1168"/>
        <v>0</v>
      </c>
      <c r="Y548" s="1">
        <f t="shared" si="1169"/>
        <v>-5.7485137257135532</v>
      </c>
    </row>
    <row r="549" spans="1:25">
      <c r="A549" s="1">
        <v>0.54700000000000004</v>
      </c>
      <c r="B549" s="1">
        <f t="shared" si="1170"/>
        <v>26.958284041092949</v>
      </c>
      <c r="C549" s="1">
        <f t="shared" si="1171"/>
        <v>0</v>
      </c>
      <c r="D549" s="1">
        <f t="shared" si="1172"/>
        <v>0.13802354115327378</v>
      </c>
      <c r="E549" s="1">
        <f t="shared" si="1173"/>
        <v>29.918308764646838</v>
      </c>
      <c r="F549" s="1">
        <f t="shared" si="1174"/>
        <v>0</v>
      </c>
      <c r="G549" s="1">
        <f t="shared" si="1175"/>
        <v>-0.91231217186171765</v>
      </c>
      <c r="H549" s="1">
        <f t="shared" si="1152"/>
        <v>29.932215301171258</v>
      </c>
      <c r="I549" s="1">
        <f t="shared" si="1158"/>
        <v>-36.445359437929191</v>
      </c>
      <c r="J549" s="1">
        <f t="shared" si="1159"/>
        <v>0</v>
      </c>
      <c r="K549" s="1">
        <f t="shared" si="1160"/>
        <v>1.111344404012157</v>
      </c>
      <c r="L549" s="1">
        <f t="shared" ref="L549:N549" si="1244">E549/$H549</f>
        <v>0.99953539902127209</v>
      </c>
      <c r="M549" s="1">
        <f t="shared" si="1244"/>
        <v>0</v>
      </c>
      <c r="N549" s="1">
        <f t="shared" si="1244"/>
        <v>-3.047927334085488E-2</v>
      </c>
      <c r="O549" s="1">
        <f t="shared" si="1154"/>
        <v>-3.047927334085488E-2</v>
      </c>
      <c r="P549" s="1">
        <f t="shared" si="1162"/>
        <v>3.0465112640629802E-2</v>
      </c>
      <c r="Q549" s="1">
        <f t="shared" si="1163"/>
        <v>0</v>
      </c>
      <c r="R549" s="1">
        <f t="shared" si="1164"/>
        <v>0.99907101389661346</v>
      </c>
      <c r="S549" s="1">
        <f t="shared" si="1165"/>
        <v>2.9480157332105068</v>
      </c>
      <c r="T549" s="1">
        <f t="shared" ref="T549:V549" si="1245">$S549*P549</f>
        <v>8.981163137860694E-2</v>
      </c>
      <c r="U549" s="1">
        <f t="shared" si="1245"/>
        <v>0</v>
      </c>
      <c r="V549" s="1">
        <f t="shared" si="1245"/>
        <v>2.9452770675617894</v>
      </c>
      <c r="W549" s="1">
        <f t="shared" si="1167"/>
        <v>-36.355547806550582</v>
      </c>
      <c r="X549" s="1">
        <f t="shared" si="1168"/>
        <v>0</v>
      </c>
      <c r="Y549" s="1">
        <f t="shared" si="1169"/>
        <v>-5.7500285284260535</v>
      </c>
    </row>
    <row r="550" spans="1:25">
      <c r="A550" s="1">
        <v>0.54800000000000004</v>
      </c>
      <c r="B550" s="1">
        <f t="shared" si="1170"/>
        <v>26.988165994309789</v>
      </c>
      <c r="C550" s="1">
        <f t="shared" si="1171"/>
        <v>0</v>
      </c>
      <c r="D550" s="1">
        <f t="shared" si="1172"/>
        <v>0.13710547895288364</v>
      </c>
      <c r="E550" s="1">
        <f t="shared" si="1173"/>
        <v>29.881953216840287</v>
      </c>
      <c r="F550" s="1">
        <f t="shared" si="1174"/>
        <v>0</v>
      </c>
      <c r="G550" s="1">
        <f t="shared" si="1175"/>
        <v>-0.91806220039014375</v>
      </c>
      <c r="H550" s="1">
        <f t="shared" si="1152"/>
        <v>29.896052686888563</v>
      </c>
      <c r="I550" s="1">
        <f t="shared" si="1158"/>
        <v>-36.357094509908841</v>
      </c>
      <c r="J550" s="1">
        <f t="shared" si="1159"/>
        <v>0</v>
      </c>
      <c r="K550" s="1">
        <f t="shared" si="1160"/>
        <v>1.1169977391822152</v>
      </c>
      <c r="L550" s="1">
        <f t="shared" ref="L550:N550" si="1246">E550/$H550</f>
        <v>0.99952838355631946</v>
      </c>
      <c r="M550" s="1">
        <f t="shared" si="1246"/>
        <v>0</v>
      </c>
      <c r="N550" s="1">
        <f t="shared" si="1246"/>
        <v>-3.0708475463477356E-2</v>
      </c>
      <c r="O550" s="1">
        <f t="shared" si="1154"/>
        <v>-3.0708475463477356E-2</v>
      </c>
      <c r="P550" s="1">
        <f t="shared" si="1162"/>
        <v>3.069399284148842E-2</v>
      </c>
      <c r="Q550" s="1">
        <f t="shared" si="1163"/>
        <v>0</v>
      </c>
      <c r="R550" s="1">
        <f t="shared" si="1164"/>
        <v>0.99905698953470901</v>
      </c>
      <c r="S550" s="1">
        <f t="shared" si="1165"/>
        <v>2.9408967441499541</v>
      </c>
      <c r="T550" s="1">
        <f t="shared" ref="T550:V550" si="1247">$S550*P550</f>
        <v>9.0267863612495294E-2</v>
      </c>
      <c r="U550" s="1">
        <f t="shared" si="1247"/>
        <v>0</v>
      </c>
      <c r="V550" s="1">
        <f t="shared" si="1247"/>
        <v>2.9381234477428806</v>
      </c>
      <c r="W550" s="1">
        <f t="shared" si="1167"/>
        <v>-36.266826646296344</v>
      </c>
      <c r="X550" s="1">
        <f t="shared" si="1168"/>
        <v>0</v>
      </c>
      <c r="Y550" s="1">
        <f t="shared" si="1169"/>
        <v>-5.7515288130749038</v>
      </c>
    </row>
    <row r="551" spans="1:25">
      <c r="A551" s="1">
        <v>0.54900000000000004</v>
      </c>
      <c r="B551" s="1">
        <f t="shared" si="1170"/>
        <v>27.018011680699981</v>
      </c>
      <c r="C551" s="1">
        <f t="shared" si="1171"/>
        <v>0</v>
      </c>
      <c r="D551" s="1">
        <f t="shared" si="1172"/>
        <v>0.13618166522368041</v>
      </c>
      <c r="E551" s="1">
        <f t="shared" si="1173"/>
        <v>29.84568639019399</v>
      </c>
      <c r="F551" s="1">
        <f t="shared" si="1174"/>
        <v>0</v>
      </c>
      <c r="G551" s="1">
        <f t="shared" si="1175"/>
        <v>-0.92381372920321869</v>
      </c>
      <c r="H551" s="1">
        <f t="shared" si="1152"/>
        <v>29.859980373538008</v>
      </c>
      <c r="I551" s="1">
        <f t="shared" si="1158"/>
        <v>-36.269154091344696</v>
      </c>
      <c r="J551" s="1">
        <f t="shared" si="1159"/>
        <v>0</v>
      </c>
      <c r="K551" s="1">
        <f t="shared" si="1160"/>
        <v>1.122639367650125</v>
      </c>
      <c r="L551" s="1">
        <f t="shared" ref="L551:N551" si="1248">E551/$H551</f>
        <v>0.99952129964034786</v>
      </c>
      <c r="M551" s="1">
        <f t="shared" si="1248"/>
        <v>0</v>
      </c>
      <c r="N551" s="1">
        <f t="shared" si="1248"/>
        <v>-3.0938189431025373E-2</v>
      </c>
      <c r="O551" s="1">
        <f t="shared" si="1154"/>
        <v>-3.0938189431025373E-2</v>
      </c>
      <c r="P551" s="1">
        <f t="shared" si="1162"/>
        <v>3.0923379308617754E-2</v>
      </c>
      <c r="Q551" s="1">
        <f t="shared" si="1163"/>
        <v>0</v>
      </c>
      <c r="R551" s="1">
        <f t="shared" si="1164"/>
        <v>0.99904282843473002</v>
      </c>
      <c r="S551" s="1">
        <f t="shared" si="1165"/>
        <v>2.9338041055721851</v>
      </c>
      <c r="T551" s="1">
        <f t="shared" ref="T551:V551" si="1249">$S551*P551</f>
        <v>9.0723137173788729E-2</v>
      </c>
      <c r="U551" s="1">
        <f t="shared" si="1249"/>
        <v>0</v>
      </c>
      <c r="V551" s="1">
        <f t="shared" si="1249"/>
        <v>2.9309959517042592</v>
      </c>
      <c r="W551" s="1">
        <f t="shared" si="1167"/>
        <v>-36.178430954170906</v>
      </c>
      <c r="X551" s="1">
        <f t="shared" si="1168"/>
        <v>0</v>
      </c>
      <c r="Y551" s="1">
        <f t="shared" si="1169"/>
        <v>-5.7530146806456148</v>
      </c>
    </row>
    <row r="552" spans="1:25">
      <c r="A552" s="1">
        <v>0.55000000000000004</v>
      </c>
      <c r="B552" s="1">
        <f t="shared" si="1170"/>
        <v>27.047821188659221</v>
      </c>
      <c r="C552" s="1">
        <f t="shared" si="1171"/>
        <v>0</v>
      </c>
      <c r="D552" s="1">
        <f t="shared" si="1172"/>
        <v>0.13525209847979655</v>
      </c>
      <c r="E552" s="1">
        <f t="shared" si="1173"/>
        <v>29.80950795923982</v>
      </c>
      <c r="F552" s="1">
        <f t="shared" si="1174"/>
        <v>0</v>
      </c>
      <c r="G552" s="1">
        <f t="shared" si="1175"/>
        <v>-0.92956674388386429</v>
      </c>
      <c r="H552" s="1">
        <f t="shared" si="1152"/>
        <v>29.823998040224538</v>
      </c>
      <c r="I552" s="1">
        <f t="shared" si="1158"/>
        <v>-36.181536607313618</v>
      </c>
      <c r="J552" s="1">
        <f t="shared" si="1159"/>
        <v>0</v>
      </c>
      <c r="K552" s="1">
        <f t="shared" si="1160"/>
        <v>1.1282693165805964</v>
      </c>
      <c r="L552" s="1">
        <f t="shared" ref="L552:N552" si="1250">E552/$H552</f>
        <v>0.99951414693076446</v>
      </c>
      <c r="M552" s="1">
        <f t="shared" si="1250"/>
        <v>0</v>
      </c>
      <c r="N552" s="1">
        <f t="shared" si="1250"/>
        <v>-3.1168414866113162E-2</v>
      </c>
      <c r="O552" s="1">
        <f t="shared" si="1154"/>
        <v>-3.1168414866113162E-2</v>
      </c>
      <c r="P552" s="1">
        <f t="shared" si="1162"/>
        <v>3.1153271596087256E-2</v>
      </c>
      <c r="Q552" s="1">
        <f t="shared" si="1163"/>
        <v>0</v>
      </c>
      <c r="R552" s="1">
        <f t="shared" si="1164"/>
        <v>0.9990285299147339</v>
      </c>
      <c r="S552" s="1">
        <f t="shared" si="1165"/>
        <v>2.9267376901873212</v>
      </c>
      <c r="T552" s="1">
        <f t="shared" ref="T552:V552" si="1251">$S552*P552</f>
        <v>9.1177454152910703E-2</v>
      </c>
      <c r="U552" s="1">
        <f t="shared" si="1251"/>
        <v>0</v>
      </c>
      <c r="V552" s="1">
        <f t="shared" si="1251"/>
        <v>2.9238944520738834</v>
      </c>
      <c r="W552" s="1">
        <f t="shared" si="1167"/>
        <v>-36.090359153160705</v>
      </c>
      <c r="X552" s="1">
        <f t="shared" si="1168"/>
        <v>0</v>
      </c>
      <c r="Y552" s="1">
        <f t="shared" si="1169"/>
        <v>-5.7544862313455196</v>
      </c>
    </row>
    <row r="553" spans="1:25">
      <c r="A553" s="1">
        <v>0.55100000000000005</v>
      </c>
      <c r="B553" s="1">
        <f t="shared" si="1170"/>
        <v>27.077594606259307</v>
      </c>
      <c r="C553" s="1">
        <f t="shared" si="1171"/>
        <v>0</v>
      </c>
      <c r="D553" s="1">
        <f t="shared" si="1172"/>
        <v>0.13431677724968133</v>
      </c>
      <c r="E553" s="1">
        <f t="shared" si="1173"/>
        <v>29.77341760008666</v>
      </c>
      <c r="F553" s="1">
        <f t="shared" si="1174"/>
        <v>0</v>
      </c>
      <c r="G553" s="1">
        <f t="shared" si="1175"/>
        <v>-0.93532123011520985</v>
      </c>
      <c r="H553" s="1">
        <f t="shared" si="1152"/>
        <v>29.788105367623739</v>
      </c>
      <c r="I553" s="1">
        <f t="shared" si="1158"/>
        <v>-36.094240492450645</v>
      </c>
      <c r="J553" s="1">
        <f t="shared" si="1159"/>
        <v>0</v>
      </c>
      <c r="K553" s="1">
        <f t="shared" si="1160"/>
        <v>1.1338876131363196</v>
      </c>
      <c r="L553" s="1">
        <f t="shared" ref="L553:N553" si="1252">E553/$H553</f>
        <v>0.9995069250844989</v>
      </c>
      <c r="M553" s="1">
        <f t="shared" si="1252"/>
        <v>0</v>
      </c>
      <c r="N553" s="1">
        <f t="shared" si="1252"/>
        <v>-3.1399151391877274E-2</v>
      </c>
      <c r="O553" s="1">
        <f t="shared" si="1154"/>
        <v>-3.1399151391877274E-2</v>
      </c>
      <c r="P553" s="1">
        <f t="shared" si="1162"/>
        <v>3.1383669257957915E-2</v>
      </c>
      <c r="Q553" s="1">
        <f t="shared" si="1163"/>
        <v>0</v>
      </c>
      <c r="R553" s="1">
        <f t="shared" si="1164"/>
        <v>0.99901409329186996</v>
      </c>
      <c r="S553" s="1">
        <f t="shared" si="1165"/>
        <v>2.919697371477548</v>
      </c>
      <c r="T553" s="1">
        <f t="shared" ref="T553:V553" si="1253">$S553*P553</f>
        <v>9.1630816639780455E-2</v>
      </c>
      <c r="U553" s="1">
        <f t="shared" si="1253"/>
        <v>0</v>
      </c>
      <c r="V553" s="1">
        <f t="shared" si="1253"/>
        <v>2.9168188222532989</v>
      </c>
      <c r="W553" s="1">
        <f t="shared" si="1167"/>
        <v>-36.002609675810866</v>
      </c>
      <c r="X553" s="1">
        <f t="shared" si="1168"/>
        <v>0</v>
      </c>
      <c r="Y553" s="1">
        <f t="shared" si="1169"/>
        <v>-5.7559435646103809</v>
      </c>
    </row>
    <row r="554" spans="1:25">
      <c r="A554" s="1">
        <v>0.55200000000000005</v>
      </c>
      <c r="B554" s="1">
        <f t="shared" si="1170"/>
        <v>27.107332021249718</v>
      </c>
      <c r="C554" s="1">
        <f t="shared" si="1171"/>
        <v>0</v>
      </c>
      <c r="D554" s="1">
        <f t="shared" si="1172"/>
        <v>0.1333757000760015</v>
      </c>
      <c r="E554" s="1">
        <f t="shared" si="1173"/>
        <v>29.737414990410848</v>
      </c>
      <c r="F554" s="1">
        <f t="shared" si="1174"/>
        <v>0</v>
      </c>
      <c r="G554" s="1">
        <f t="shared" si="1175"/>
        <v>-0.94107717367982024</v>
      </c>
      <c r="H554" s="1">
        <f t="shared" si="1152"/>
        <v>29.752302037972338</v>
      </c>
      <c r="I554" s="1">
        <f t="shared" si="1158"/>
        <v>-36.007264190879553</v>
      </c>
      <c r="J554" s="1">
        <f t="shared" si="1159"/>
        <v>0</v>
      </c>
      <c r="K554" s="1">
        <f t="shared" si="1160"/>
        <v>1.1394942844770573</v>
      </c>
      <c r="L554" s="1">
        <f t="shared" ref="L554:N554" si="1254">E554/$H554</f>
        <v>0.99949963375800333</v>
      </c>
      <c r="M554" s="1">
        <f t="shared" si="1254"/>
        <v>0</v>
      </c>
      <c r="N554" s="1">
        <f t="shared" si="1254"/>
        <v>-3.1630398631969384E-2</v>
      </c>
      <c r="O554" s="1">
        <f t="shared" si="1154"/>
        <v>-3.1630398631969384E-2</v>
      </c>
      <c r="P554" s="1">
        <f t="shared" si="1162"/>
        <v>3.161457184827305E-2</v>
      </c>
      <c r="Q554" s="1">
        <f t="shared" si="1163"/>
        <v>0</v>
      </c>
      <c r="R554" s="1">
        <f t="shared" si="1164"/>
        <v>0.99899951788238273</v>
      </c>
      <c r="S554" s="1">
        <f t="shared" si="1165"/>
        <v>2.9126830236915069</v>
      </c>
      <c r="T554" s="1">
        <f t="shared" ref="T554:V554" si="1255">$S554*P554</f>
        <v>9.2083226723740336E-2</v>
      </c>
      <c r="U554" s="1">
        <f t="shared" si="1255"/>
        <v>0</v>
      </c>
      <c r="V554" s="1">
        <f t="shared" si="1255"/>
        <v>2.9097689364120161</v>
      </c>
      <c r="W554" s="1">
        <f t="shared" si="1167"/>
        <v>-35.915180964155816</v>
      </c>
      <c r="X554" s="1">
        <f t="shared" si="1168"/>
        <v>0</v>
      </c>
      <c r="Y554" s="1">
        <f t="shared" si="1169"/>
        <v>-5.7573867791109263</v>
      </c>
    </row>
    <row r="555" spans="1:25">
      <c r="A555" s="1">
        <v>0.55300000000000005</v>
      </c>
      <c r="B555" s="1">
        <f t="shared" si="1170"/>
        <v>27.137033521059166</v>
      </c>
      <c r="C555" s="1">
        <f t="shared" si="1171"/>
        <v>0</v>
      </c>
      <c r="D555" s="1">
        <f t="shared" si="1172"/>
        <v>0.13242886551554256</v>
      </c>
      <c r="E555" s="1">
        <f t="shared" si="1173"/>
        <v>29.701499809446691</v>
      </c>
      <c r="F555" s="1">
        <f t="shared" si="1174"/>
        <v>0</v>
      </c>
      <c r="G555" s="1">
        <f t="shared" si="1175"/>
        <v>-0.94683456045893122</v>
      </c>
      <c r="H555" s="1">
        <f t="shared" si="1152"/>
        <v>29.716587735058702</v>
      </c>
      <c r="I555" s="1">
        <f t="shared" si="1158"/>
        <v>-35.920606156143855</v>
      </c>
      <c r="J555" s="1">
        <f t="shared" si="1159"/>
        <v>0</v>
      </c>
      <c r="K555" s="1">
        <f t="shared" si="1160"/>
        <v>1.1450893577587464</v>
      </c>
      <c r="L555" s="1">
        <f t="shared" ref="L555:N555" si="1256">E555/$H555</f>
        <v>0.99949227260725459</v>
      </c>
      <c r="M555" s="1">
        <f t="shared" si="1256"/>
        <v>0</v>
      </c>
      <c r="N555" s="1">
        <f t="shared" si="1256"/>
        <v>-3.1862156210549213E-2</v>
      </c>
      <c r="O555" s="1">
        <f t="shared" si="1154"/>
        <v>-3.1862156210549213E-2</v>
      </c>
      <c r="P555" s="1">
        <f t="shared" si="1162"/>
        <v>3.1845978921049185E-2</v>
      </c>
      <c r="Q555" s="1">
        <f t="shared" si="1163"/>
        <v>0</v>
      </c>
      <c r="R555" s="1">
        <f t="shared" si="1164"/>
        <v>0.99898480300161452</v>
      </c>
      <c r="S555" s="1">
        <f t="shared" si="1165"/>
        <v>2.9056945218387225</v>
      </c>
      <c r="T555" s="1">
        <f t="shared" ref="T555:V555" si="1257">$S555*P555</f>
        <v>9.253468649348405E-2</v>
      </c>
      <c r="U555" s="1">
        <f t="shared" si="1257"/>
        <v>0</v>
      </c>
      <c r="V555" s="1">
        <f t="shared" si="1257"/>
        <v>2.9027446694819266</v>
      </c>
      <c r="W555" s="1">
        <f t="shared" si="1167"/>
        <v>-35.828071469650368</v>
      </c>
      <c r="X555" s="1">
        <f t="shared" si="1168"/>
        <v>0</v>
      </c>
      <c r="Y555" s="1">
        <f t="shared" si="1169"/>
        <v>-5.7588159727593267</v>
      </c>
    </row>
    <row r="556" spans="1:25">
      <c r="A556" s="1">
        <v>0.55400000000000005</v>
      </c>
      <c r="B556" s="1">
        <f t="shared" si="1170"/>
        <v>27.166699192797143</v>
      </c>
      <c r="C556" s="1">
        <f t="shared" si="1171"/>
        <v>0</v>
      </c>
      <c r="D556" s="1">
        <f t="shared" si="1172"/>
        <v>0.13147627213911087</v>
      </c>
      <c r="E556" s="1">
        <f t="shared" si="1173"/>
        <v>29.665671737977039</v>
      </c>
      <c r="F556" s="1">
        <f t="shared" si="1174"/>
        <v>0</v>
      </c>
      <c r="G556" s="1">
        <f t="shared" si="1175"/>
        <v>-0.95259337643169051</v>
      </c>
      <c r="H556" s="1">
        <f t="shared" si="1152"/>
        <v>29.680962144213439</v>
      </c>
      <c r="I556" s="1">
        <f t="shared" si="1158"/>
        <v>-35.834264851138407</v>
      </c>
      <c r="J556" s="1">
        <f t="shared" si="1159"/>
        <v>0</v>
      </c>
      <c r="K556" s="1">
        <f t="shared" si="1160"/>
        <v>1.1506728601326173</v>
      </c>
      <c r="L556" s="1">
        <f t="shared" ref="L556:N556" si="1258">E556/$H556</f>
        <v>0.99948484128775517</v>
      </c>
      <c r="M556" s="1">
        <f t="shared" si="1258"/>
        <v>0</v>
      </c>
      <c r="N556" s="1">
        <f t="shared" si="1258"/>
        <v>-3.2094423752277411E-2</v>
      </c>
      <c r="O556" s="1">
        <f t="shared" si="1154"/>
        <v>-3.2094423752277411E-2</v>
      </c>
      <c r="P556" s="1">
        <f t="shared" si="1162"/>
        <v>3.2077890030266946E-2</v>
      </c>
      <c r="Q556" s="1">
        <f t="shared" si="1163"/>
        <v>0</v>
      </c>
      <c r="R556" s="1">
        <f t="shared" si="1164"/>
        <v>0.99896994796400929</v>
      </c>
      <c r="S556" s="1">
        <f t="shared" si="1165"/>
        <v>2.8987317416840819</v>
      </c>
      <c r="T556" s="1">
        <f t="shared" ref="T556:V556" si="1259">$S556*P556</f>
        <v>9.2985198036986155E-2</v>
      </c>
      <c r="U556" s="1">
        <f t="shared" si="1259"/>
        <v>0</v>
      </c>
      <c r="V556" s="1">
        <f t="shared" si="1259"/>
        <v>2.8957458971517691</v>
      </c>
      <c r="W556" s="1">
        <f t="shared" si="1167"/>
        <v>-35.741279653101422</v>
      </c>
      <c r="X556" s="1">
        <f t="shared" si="1168"/>
        <v>0</v>
      </c>
      <c r="Y556" s="1">
        <f t="shared" si="1169"/>
        <v>-5.760231242715613</v>
      </c>
    </row>
    <row r="557" spans="1:25">
      <c r="A557" s="1">
        <v>0.55500000000000005</v>
      </c>
      <c r="B557" s="1">
        <f t="shared" si="1170"/>
        <v>27.196329123255467</v>
      </c>
      <c r="C557" s="1">
        <f t="shared" si="1171"/>
        <v>0</v>
      </c>
      <c r="D557" s="1">
        <f t="shared" si="1172"/>
        <v>0.13051791853143646</v>
      </c>
      <c r="E557" s="1">
        <f t="shared" si="1173"/>
        <v>29.629930458323937</v>
      </c>
      <c r="F557" s="1">
        <f t="shared" si="1174"/>
        <v>0</v>
      </c>
      <c r="G557" s="1">
        <f t="shared" si="1175"/>
        <v>-0.95835360767440614</v>
      </c>
      <c r="H557" s="1">
        <f t="shared" si="1152"/>
        <v>29.645424952300061</v>
      </c>
      <c r="I557" s="1">
        <f t="shared" si="1158"/>
        <v>-35.748238748041707</v>
      </c>
      <c r="J557" s="1">
        <f t="shared" si="1159"/>
        <v>0</v>
      </c>
      <c r="K557" s="1">
        <f t="shared" si="1160"/>
        <v>1.1562448187443266</v>
      </c>
      <c r="L557" s="1">
        <f t="shared" ref="L557:N557" si="1260">E557/$H557</f>
        <v>0.99947733945453454</v>
      </c>
      <c r="M557" s="1">
        <f t="shared" si="1260"/>
        <v>0</v>
      </c>
      <c r="N557" s="1">
        <f t="shared" si="1260"/>
        <v>-3.2327200882308539E-2</v>
      </c>
      <c r="O557" s="1">
        <f t="shared" si="1154"/>
        <v>-3.2327200882308539E-2</v>
      </c>
      <c r="P557" s="1">
        <f t="shared" si="1162"/>
        <v>3.2310304729862023E-2</v>
      </c>
      <c r="Q557" s="1">
        <f t="shared" si="1163"/>
        <v>0</v>
      </c>
      <c r="R557" s="1">
        <f t="shared" si="1164"/>
        <v>0.99895495208311491</v>
      </c>
      <c r="S557" s="1">
        <f t="shared" si="1165"/>
        <v>2.8917945597423622</v>
      </c>
      <c r="T557" s="1">
        <f t="shared" ref="T557:V557" si="1261">$S557*P557</f>
        <v>9.3434763441432908E-2</v>
      </c>
      <c r="U557" s="1">
        <f t="shared" si="1261"/>
        <v>0</v>
      </c>
      <c r="V557" s="1">
        <f t="shared" si="1261"/>
        <v>2.8887724958616436</v>
      </c>
      <c r="W557" s="1">
        <f t="shared" si="1167"/>
        <v>-35.654803984600278</v>
      </c>
      <c r="X557" s="1">
        <f t="shared" si="1168"/>
        <v>0</v>
      </c>
      <c r="Y557" s="1">
        <f t="shared" si="1169"/>
        <v>-5.7616326853940292</v>
      </c>
    </row>
    <row r="558" spans="1:25">
      <c r="A558" s="1">
        <v>0.55600000000000005</v>
      </c>
      <c r="B558" s="1">
        <f t="shared" si="1170"/>
        <v>27.225923398909806</v>
      </c>
      <c r="C558" s="1">
        <f t="shared" si="1171"/>
        <v>0</v>
      </c>
      <c r="D558" s="1">
        <f t="shared" si="1172"/>
        <v>0.12955380329107666</v>
      </c>
      <c r="E558" s="1">
        <f t="shared" si="1173"/>
        <v>29.594275654339338</v>
      </c>
      <c r="F558" s="1">
        <f t="shared" si="1174"/>
        <v>0</v>
      </c>
      <c r="G558" s="1">
        <f t="shared" si="1175"/>
        <v>-0.96411524035980012</v>
      </c>
      <c r="H558" s="1">
        <f t="shared" si="1152"/>
        <v>29.609975847705719</v>
      </c>
      <c r="I558" s="1">
        <f t="shared" si="1158"/>
        <v>-35.662526328248582</v>
      </c>
      <c r="J558" s="1">
        <f t="shared" si="1159"/>
        <v>0</v>
      </c>
      <c r="K558" s="1">
        <f t="shared" si="1160"/>
        <v>1.1618052607331044</v>
      </c>
      <c r="L558" s="1">
        <f t="shared" ref="L558:N558" si="1262">E558/$H558</f>
        <v>0.99946976676215027</v>
      </c>
      <c r="M558" s="1">
        <f t="shared" si="1262"/>
        <v>0</v>
      </c>
      <c r="N558" s="1">
        <f t="shared" si="1262"/>
        <v>-3.2560487226284011E-2</v>
      </c>
      <c r="O558" s="1">
        <f t="shared" si="1154"/>
        <v>-3.2560487226284011E-2</v>
      </c>
      <c r="P558" s="1">
        <f t="shared" si="1162"/>
        <v>3.2543222573716057E-2</v>
      </c>
      <c r="Q558" s="1">
        <f t="shared" si="1163"/>
        <v>0</v>
      </c>
      <c r="R558" s="1">
        <f t="shared" si="1164"/>
        <v>0.99893981467158699</v>
      </c>
      <c r="S558" s="1">
        <f t="shared" si="1165"/>
        <v>2.8848828532728015</v>
      </c>
      <c r="T558" s="1">
        <f t="shared" ref="T558:V558" si="1263">$S558*P558</f>
        <v>9.3883384793153821E-2</v>
      </c>
      <c r="U558" s="1">
        <f t="shared" si="1263"/>
        <v>0</v>
      </c>
      <c r="V558" s="1">
        <f t="shared" si="1263"/>
        <v>2.8818243427975716</v>
      </c>
      <c r="W558" s="1">
        <f t="shared" si="1167"/>
        <v>-35.56864294345543</v>
      </c>
      <c r="X558" s="1">
        <f t="shared" si="1168"/>
        <v>0</v>
      </c>
      <c r="Y558" s="1">
        <f t="shared" si="1169"/>
        <v>-5.7630203964693232</v>
      </c>
    </row>
    <row r="559" spans="1:25">
      <c r="A559" s="1">
        <v>0.55700000000000005</v>
      </c>
      <c r="B559" s="1">
        <f t="shared" si="1170"/>
        <v>27.255482105921203</v>
      </c>
      <c r="C559" s="1">
        <f t="shared" si="1171"/>
        <v>0</v>
      </c>
      <c r="D559" s="1">
        <f t="shared" si="1172"/>
        <v>0.1285839250303204</v>
      </c>
      <c r="E559" s="1">
        <f t="shared" si="1173"/>
        <v>29.558707011395882</v>
      </c>
      <c r="F559" s="1">
        <f t="shared" si="1174"/>
        <v>0</v>
      </c>
      <c r="G559" s="1">
        <f t="shared" si="1175"/>
        <v>-0.96987826075626948</v>
      </c>
      <c r="H559" s="1">
        <f t="shared" si="1152"/>
        <v>29.574614520331988</v>
      </c>
      <c r="I559" s="1">
        <f t="shared" si="1158"/>
        <v>-35.577126082303579</v>
      </c>
      <c r="J559" s="1">
        <f t="shared" si="1159"/>
        <v>0</v>
      </c>
      <c r="K559" s="1">
        <f t="shared" si="1160"/>
        <v>1.1673542132309129</v>
      </c>
      <c r="L559" s="1">
        <f t="shared" ref="L559:N559" si="1264">E559/$H559</f>
        <v>0.99946212286468961</v>
      </c>
      <c r="M559" s="1">
        <f t="shared" si="1264"/>
        <v>0</v>
      </c>
      <c r="N559" s="1">
        <f t="shared" si="1264"/>
        <v>-3.2794282410325129E-2</v>
      </c>
      <c r="O559" s="1">
        <f t="shared" si="1154"/>
        <v>-3.2794282410325129E-2</v>
      </c>
      <c r="P559" s="1">
        <f t="shared" si="1162"/>
        <v>3.2776643115647701E-2</v>
      </c>
      <c r="Q559" s="1">
        <f t="shared" si="1163"/>
        <v>0</v>
      </c>
      <c r="R559" s="1">
        <f t="shared" si="1164"/>
        <v>0.99892453504119183</v>
      </c>
      <c r="S559" s="1">
        <f t="shared" si="1165"/>
        <v>2.8779965002737158</v>
      </c>
      <c r="T559" s="1">
        <f t="shared" ref="T559:V559" si="1265">$S559*P559</f>
        <v>9.4331064177554658E-2</v>
      </c>
      <c r="U559" s="1">
        <f t="shared" si="1265"/>
        <v>0</v>
      </c>
      <c r="V559" s="1">
        <f t="shared" si="1265"/>
        <v>2.874901315886099</v>
      </c>
      <c r="W559" s="1">
        <f t="shared" si="1167"/>
        <v>-35.482795018126026</v>
      </c>
      <c r="X559" s="1">
        <f t="shared" si="1168"/>
        <v>0</v>
      </c>
      <c r="Y559" s="1">
        <f t="shared" si="1169"/>
        <v>-5.7643944708829871</v>
      </c>
    </row>
    <row r="560" spans="1:25">
      <c r="A560" s="1">
        <v>0.55800000000000005</v>
      </c>
      <c r="B560" s="1">
        <f t="shared" si="1170"/>
        <v>27.285005330137579</v>
      </c>
      <c r="C560" s="1">
        <f t="shared" si="1171"/>
        <v>0</v>
      </c>
      <c r="D560" s="1">
        <f t="shared" si="1172"/>
        <v>0.12760828237509325</v>
      </c>
      <c r="E560" s="1">
        <f t="shared" si="1173"/>
        <v>29.523224216377756</v>
      </c>
      <c r="F560" s="1">
        <f t="shared" si="1174"/>
        <v>0</v>
      </c>
      <c r="G560" s="1">
        <f t="shared" si="1175"/>
        <v>-0.97564265522715243</v>
      </c>
      <c r="H560" s="1">
        <f t="shared" si="1152"/>
        <v>29.53934066158574</v>
      </c>
      <c r="I560" s="1">
        <f t="shared" si="1158"/>
        <v>-35.492036509834904</v>
      </c>
      <c r="J560" s="1">
        <f t="shared" si="1159"/>
        <v>0</v>
      </c>
      <c r="K560" s="1">
        <f t="shared" si="1160"/>
        <v>1.1728917033616209</v>
      </c>
      <c r="L560" s="1">
        <f t="shared" ref="L560:N560" si="1266">E560/$H560</f>
        <v>0.99945440741577074</v>
      </c>
      <c r="M560" s="1">
        <f t="shared" si="1266"/>
        <v>0</v>
      </c>
      <c r="N560" s="1">
        <f t="shared" si="1266"/>
        <v>-3.3028586061026106E-2</v>
      </c>
      <c r="O560" s="1">
        <f t="shared" si="1154"/>
        <v>-3.3028586061026106E-2</v>
      </c>
      <c r="P560" s="1">
        <f t="shared" si="1162"/>
        <v>3.3010565909403634E-2</v>
      </c>
      <c r="Q560" s="1">
        <f t="shared" si="1163"/>
        <v>0</v>
      </c>
      <c r="R560" s="1">
        <f t="shared" si="1164"/>
        <v>0.99890911250280934</v>
      </c>
      <c r="S560" s="1">
        <f t="shared" si="1165"/>
        <v>2.8711353794771619</v>
      </c>
      <c r="T560" s="1">
        <f t="shared" ref="T560:V560" si="1267">$S560*P560</f>
        <v>9.4777803679051462E-2</v>
      </c>
      <c r="U560" s="1">
        <f t="shared" si="1267"/>
        <v>0</v>
      </c>
      <c r="V560" s="1">
        <f t="shared" si="1267"/>
        <v>2.8680032937889486</v>
      </c>
      <c r="W560" s="1">
        <f t="shared" si="1167"/>
        <v>-35.397258706155853</v>
      </c>
      <c r="X560" s="1">
        <f t="shared" si="1168"/>
        <v>0</v>
      </c>
      <c r="Y560" s="1">
        <f t="shared" si="1169"/>
        <v>-5.7657550028494295</v>
      </c>
    </row>
    <row r="561" spans="1:25">
      <c r="A561" s="1">
        <v>0.55900000000000005</v>
      </c>
      <c r="B561" s="1">
        <f t="shared" si="1170"/>
        <v>27.314493157095249</v>
      </c>
      <c r="C561" s="1">
        <f t="shared" si="1171"/>
        <v>0</v>
      </c>
      <c r="D561" s="1">
        <f t="shared" si="1172"/>
        <v>0.12662687396486325</v>
      </c>
      <c r="E561" s="1">
        <f t="shared" si="1173"/>
        <v>29.487826957671601</v>
      </c>
      <c r="F561" s="1">
        <f t="shared" si="1174"/>
        <v>0</v>
      </c>
      <c r="G561" s="1">
        <f t="shared" si="1175"/>
        <v>-0.98140841023000192</v>
      </c>
      <c r="H561" s="1">
        <f t="shared" si="1152"/>
        <v>29.504153964370072</v>
      </c>
      <c r="I561" s="1">
        <f t="shared" si="1158"/>
        <v>-35.407256119488835</v>
      </c>
      <c r="J561" s="1">
        <f t="shared" si="1159"/>
        <v>0</v>
      </c>
      <c r="K561" s="1">
        <f t="shared" si="1160"/>
        <v>1.1784177582401913</v>
      </c>
      <c r="L561" s="1">
        <f t="shared" ref="L561:N561" si="1268">E561/$H561</f>
        <v>0.99944662006854401</v>
      </c>
      <c r="M561" s="1">
        <f t="shared" si="1268"/>
        <v>0</v>
      </c>
      <c r="N561" s="1">
        <f t="shared" si="1268"/>
        <v>-3.326339780544714E-2</v>
      </c>
      <c r="O561" s="1">
        <f t="shared" si="1154"/>
        <v>-3.326339780544714E-2</v>
      </c>
      <c r="P561" s="1">
        <f t="shared" si="1162"/>
        <v>3.3244990508649569E-2</v>
      </c>
      <c r="Q561" s="1">
        <f t="shared" si="1163"/>
        <v>0</v>
      </c>
      <c r="R561" s="1">
        <f t="shared" si="1164"/>
        <v>0.99889354636643657</v>
      </c>
      <c r="S561" s="1">
        <f t="shared" si="1165"/>
        <v>2.8642993703436472</v>
      </c>
      <c r="T561" s="1">
        <f t="shared" ref="T561:V561" si="1269">$S561*P561</f>
        <v>9.5223605381005494E-2</v>
      </c>
      <c r="U561" s="1">
        <f t="shared" si="1269"/>
        <v>0</v>
      </c>
      <c r="V561" s="1">
        <f t="shared" si="1269"/>
        <v>2.8611301558977171</v>
      </c>
      <c r="W561" s="1">
        <f t="shared" si="1167"/>
        <v>-35.312032514107827</v>
      </c>
      <c r="X561" s="1">
        <f t="shared" si="1168"/>
        <v>0</v>
      </c>
      <c r="Y561" s="1">
        <f t="shared" si="1169"/>
        <v>-5.7671020858620912</v>
      </c>
    </row>
    <row r="562" spans="1:25">
      <c r="A562" s="1">
        <v>0.56000000000000005</v>
      </c>
      <c r="B562" s="1">
        <f t="shared" si="1170"/>
        <v>27.343945672020407</v>
      </c>
      <c r="C562" s="1">
        <f t="shared" si="1171"/>
        <v>0</v>
      </c>
      <c r="D562" s="1">
        <f t="shared" si="1172"/>
        <v>0.12563969845254738</v>
      </c>
      <c r="E562" s="1">
        <f t="shared" si="1173"/>
        <v>29.452514925157494</v>
      </c>
      <c r="F562" s="1">
        <f t="shared" si="1174"/>
        <v>0</v>
      </c>
      <c r="G562" s="1">
        <f t="shared" si="1175"/>
        <v>-0.98717551231586398</v>
      </c>
      <c r="H562" s="1">
        <f t="shared" si="1152"/>
        <v>29.469054123075296</v>
      </c>
      <c r="I562" s="1">
        <f t="shared" si="1158"/>
        <v>-35.322783428864788</v>
      </c>
      <c r="J562" s="1">
        <f t="shared" si="1159"/>
        <v>0</v>
      </c>
      <c r="K562" s="1">
        <f t="shared" si="1160"/>
        <v>1.1839324049718802</v>
      </c>
      <c r="L562" s="1">
        <f t="shared" ref="L562:N562" si="1270">E562/$H562</f>
        <v>0.99943876047569336</v>
      </c>
      <c r="M562" s="1">
        <f t="shared" si="1270"/>
        <v>0</v>
      </c>
      <c r="N562" s="1">
        <f t="shared" si="1270"/>
        <v>-3.3498717271107495E-2</v>
      </c>
      <c r="O562" s="1">
        <f t="shared" si="1154"/>
        <v>-3.3498717271107495E-2</v>
      </c>
      <c r="P562" s="1">
        <f t="shared" si="1162"/>
        <v>3.3479916466961378E-2</v>
      </c>
      <c r="Q562" s="1">
        <f t="shared" si="1163"/>
        <v>0</v>
      </c>
      <c r="R562" s="1">
        <f t="shared" si="1164"/>
        <v>0.9988778359411904</v>
      </c>
      <c r="S562" s="1">
        <f t="shared" si="1165"/>
        <v>2.8574883530568793</v>
      </c>
      <c r="T562" s="1">
        <f t="shared" ref="T562:V562" si="1271">$S562*P562</f>
        <v>9.5668471365659355E-2</v>
      </c>
      <c r="U562" s="1">
        <f t="shared" si="1271"/>
        <v>0</v>
      </c>
      <c r="V562" s="1">
        <f t="shared" si="1271"/>
        <v>2.854281782328612</v>
      </c>
      <c r="W562" s="1">
        <f t="shared" si="1167"/>
        <v>-35.227114957499126</v>
      </c>
      <c r="X562" s="1">
        <f t="shared" si="1168"/>
        <v>0</v>
      </c>
      <c r="Y562" s="1">
        <f t="shared" si="1169"/>
        <v>-5.768435812699507</v>
      </c>
    </row>
    <row r="563" spans="1:25">
      <c r="A563" s="1">
        <v>0.56100000000000005</v>
      </c>
      <c r="B563" s="1">
        <f t="shared" si="1170"/>
        <v>27.373362959830608</v>
      </c>
      <c r="C563" s="1">
        <f t="shared" si="1171"/>
        <v>0</v>
      </c>
      <c r="D563" s="1">
        <f t="shared" si="1172"/>
        <v>0.12464675450441882</v>
      </c>
      <c r="E563" s="1">
        <f t="shared" si="1173"/>
        <v>29.417287810199994</v>
      </c>
      <c r="F563" s="1">
        <f t="shared" si="1174"/>
        <v>0</v>
      </c>
      <c r="G563" s="1">
        <f t="shared" si="1175"/>
        <v>-0.99294394812856346</v>
      </c>
      <c r="H563" s="1">
        <f t="shared" si="1152"/>
        <v>29.434040833570002</v>
      </c>
      <c r="I563" s="1">
        <f t="shared" si="1158"/>
        <v>-35.238616964450827</v>
      </c>
      <c r="J563" s="1">
        <f t="shared" si="1159"/>
        <v>0</v>
      </c>
      <c r="K563" s="1">
        <f t="shared" si="1160"/>
        <v>1.1894356706514508</v>
      </c>
      <c r="L563" s="1">
        <f t="shared" ref="L563:N563" si="1272">E563/$H563</f>
        <v>0.99943082828943752</v>
      </c>
      <c r="M563" s="1">
        <f t="shared" si="1272"/>
        <v>0</v>
      </c>
      <c r="N563" s="1">
        <f t="shared" si="1272"/>
        <v>-3.3734544085978667E-2</v>
      </c>
      <c r="O563" s="1">
        <f t="shared" si="1154"/>
        <v>-3.3734544085978667E-2</v>
      </c>
      <c r="P563" s="1">
        <f t="shared" si="1162"/>
        <v>3.3715343337816207E-2</v>
      </c>
      <c r="Q563" s="1">
        <f t="shared" si="1163"/>
        <v>0</v>
      </c>
      <c r="R563" s="1">
        <f t="shared" si="1164"/>
        <v>0.99886198053531117</v>
      </c>
      <c r="S563" s="1">
        <f t="shared" si="1165"/>
        <v>2.8507022085185643</v>
      </c>
      <c r="T563" s="1">
        <f t="shared" ref="T563:V563" si="1273">$S563*P563</f>
        <v>9.6112403714074326E-2</v>
      </c>
      <c r="U563" s="1">
        <f t="shared" si="1273"/>
        <v>0</v>
      </c>
      <c r="V563" s="1">
        <f t="shared" si="1273"/>
        <v>2.8474580539172387</v>
      </c>
      <c r="W563" s="1">
        <f t="shared" si="1167"/>
        <v>-35.142504560736754</v>
      </c>
      <c r="X563" s="1">
        <f t="shared" si="1168"/>
        <v>0</v>
      </c>
      <c r="Y563" s="1">
        <f t="shared" si="1169"/>
        <v>-5.7697562754313099</v>
      </c>
    </row>
    <row r="564" spans="1:25">
      <c r="A564" s="1">
        <v>0.56200000000000006</v>
      </c>
      <c r="B564" s="1">
        <f t="shared" si="1170"/>
        <v>27.402745105136248</v>
      </c>
      <c r="C564" s="1">
        <f t="shared" si="1171"/>
        <v>0</v>
      </c>
      <c r="D564" s="1">
        <f t="shared" si="1172"/>
        <v>0.12364804080001483</v>
      </c>
      <c r="E564" s="1">
        <f t="shared" si="1173"/>
        <v>29.382145305639256</v>
      </c>
      <c r="F564" s="1">
        <f t="shared" si="1174"/>
        <v>0</v>
      </c>
      <c r="G564" s="1">
        <f t="shared" si="1175"/>
        <v>-0.99871370440399476</v>
      </c>
      <c r="H564" s="1">
        <f t="shared" si="1152"/>
        <v>29.399113793192193</v>
      </c>
      <c r="I564" s="1">
        <f t="shared" si="1158"/>
        <v>-35.154755261559856</v>
      </c>
      <c r="J564" s="1">
        <f t="shared" si="1159"/>
        <v>0</v>
      </c>
      <c r="K564" s="1">
        <f t="shared" si="1160"/>
        <v>1.1949275823624004</v>
      </c>
      <c r="L564" s="1">
        <f t="shared" ref="L564:N564" si="1274">E564/$H564</f>
        <v>0.9994228231615313</v>
      </c>
      <c r="M564" s="1">
        <f t="shared" si="1274"/>
        <v>0</v>
      </c>
      <c r="N564" s="1">
        <f t="shared" si="1274"/>
        <v>-3.3970877878477475E-2</v>
      </c>
      <c r="O564" s="1">
        <f t="shared" si="1154"/>
        <v>-3.3970877878477475E-2</v>
      </c>
      <c r="P564" s="1">
        <f t="shared" si="1162"/>
        <v>3.3951270674583568E-2</v>
      </c>
      <c r="Q564" s="1">
        <f t="shared" si="1163"/>
        <v>0</v>
      </c>
      <c r="R564" s="1">
        <f t="shared" si="1164"/>
        <v>0.9988459794561656</v>
      </c>
      <c r="S564" s="1">
        <f t="shared" si="1165"/>
        <v>2.8439408183432477</v>
      </c>
      <c r="T564" s="1">
        <f t="shared" ref="T564:V564" si="1275">$S564*P564</f>
        <v>9.6555404506068296E-2</v>
      </c>
      <c r="U564" s="1">
        <f t="shared" si="1275"/>
        <v>0</v>
      </c>
      <c r="V564" s="1">
        <f t="shared" si="1275"/>
        <v>2.8406588522134304</v>
      </c>
      <c r="W564" s="1">
        <f t="shared" si="1167"/>
        <v>-35.058199857053786</v>
      </c>
      <c r="X564" s="1">
        <f t="shared" si="1168"/>
        <v>0</v>
      </c>
      <c r="Y564" s="1">
        <f t="shared" si="1169"/>
        <v>-5.7710635654241687</v>
      </c>
    </row>
    <row r="565" spans="1:25">
      <c r="A565" s="1">
        <v>0.56299999999999994</v>
      </c>
      <c r="B565" s="1">
        <f t="shared" si="1170"/>
        <v>27.432092192242031</v>
      </c>
      <c r="C565" s="1">
        <f t="shared" si="1171"/>
        <v>0</v>
      </c>
      <c r="D565" s="1">
        <f t="shared" si="1172"/>
        <v>0.12264355603204541</v>
      </c>
      <c r="E565" s="1">
        <f t="shared" si="1173"/>
        <v>29.347087105782201</v>
      </c>
      <c r="F565" s="1">
        <f t="shared" si="1174"/>
        <v>0</v>
      </c>
      <c r="G565" s="1">
        <f t="shared" si="1175"/>
        <v>-1.0044847679694189</v>
      </c>
      <c r="H565" s="1">
        <f t="shared" si="1152"/>
        <v>29.364272700740443</v>
      </c>
      <c r="I565" s="1">
        <f t="shared" si="1158"/>
        <v>-35.071196864266149</v>
      </c>
      <c r="J565" s="1">
        <f t="shared" si="1159"/>
        <v>0</v>
      </c>
      <c r="K565" s="1">
        <f t="shared" si="1160"/>
        <v>1.2004081671761964</v>
      </c>
      <c r="L565" s="1">
        <f t="shared" ref="L565:N565" si="1276">E565/$H565</f>
        <v>0.9994147447432673</v>
      </c>
      <c r="M565" s="1">
        <f t="shared" si="1276"/>
        <v>0</v>
      </c>
      <c r="N565" s="1">
        <f t="shared" si="1276"/>
        <v>-3.4207718277459331E-2</v>
      </c>
      <c r="O565" s="1">
        <f t="shared" si="1154"/>
        <v>-3.4207718277459331E-2</v>
      </c>
      <c r="P565" s="1">
        <f t="shared" si="1162"/>
        <v>3.4187698030516619E-2</v>
      </c>
      <c r="Q565" s="1">
        <f t="shared" si="1163"/>
        <v>0</v>
      </c>
      <c r="R565" s="1">
        <f t="shared" si="1164"/>
        <v>0.99882983201025</v>
      </c>
      <c r="S565" s="1">
        <f t="shared" si="1165"/>
        <v>2.8372040648531951</v>
      </c>
      <c r="T565" s="1">
        <f t="shared" ref="T565:V565" si="1277">$S565*P565</f>
        <v>9.6997475820155318E-2</v>
      </c>
      <c r="U565" s="1">
        <f t="shared" si="1277"/>
        <v>0</v>
      </c>
      <c r="V565" s="1">
        <f t="shared" si="1277"/>
        <v>2.8338840594761154</v>
      </c>
      <c r="W565" s="1">
        <f t="shared" si="1167"/>
        <v>-34.974199388445996</v>
      </c>
      <c r="X565" s="1">
        <f t="shared" si="1168"/>
        <v>0</v>
      </c>
      <c r="Y565" s="1">
        <f t="shared" si="1169"/>
        <v>-5.7723577733476876</v>
      </c>
    </row>
    <row r="566" spans="1:25">
      <c r="A566" s="1">
        <v>0.56399999999999995</v>
      </c>
      <c r="B566" s="1">
        <f t="shared" si="1170"/>
        <v>27.461404305148424</v>
      </c>
      <c r="C566" s="1">
        <f t="shared" si="1171"/>
        <v>0</v>
      </c>
      <c r="D566" s="1">
        <f t="shared" si="1172"/>
        <v>0.12163329890630264</v>
      </c>
      <c r="E566" s="1">
        <f t="shared" si="1173"/>
        <v>29.312112906393754</v>
      </c>
      <c r="F566" s="1">
        <f t="shared" si="1174"/>
        <v>0</v>
      </c>
      <c r="G566" s="1">
        <f t="shared" si="1175"/>
        <v>-1.0102571257427666</v>
      </c>
      <c r="H566" s="1">
        <f t="shared" si="1152"/>
        <v>29.329517256465191</v>
      </c>
      <c r="I566" s="1">
        <f t="shared" si="1158"/>
        <v>-34.987940325342628</v>
      </c>
      <c r="J566" s="1">
        <f t="shared" si="1159"/>
        <v>0</v>
      </c>
      <c r="K566" s="1">
        <f t="shared" si="1160"/>
        <v>1.2058774521515301</v>
      </c>
      <c r="L566" s="1">
        <f t="shared" ref="L566:N566" si="1278">E566/$H566</f>
        <v>0.99940659268547627</v>
      </c>
      <c r="M566" s="1">
        <f t="shared" si="1278"/>
        <v>0</v>
      </c>
      <c r="N566" s="1">
        <f t="shared" si="1278"/>
        <v>-3.4445064912211353E-2</v>
      </c>
      <c r="O566" s="1">
        <f t="shared" si="1154"/>
        <v>-3.4445064912211353E-2</v>
      </c>
      <c r="P566" s="1">
        <f t="shared" si="1162"/>
        <v>3.4424624958743204E-2</v>
      </c>
      <c r="Q566" s="1">
        <f t="shared" si="1163"/>
        <v>0</v>
      </c>
      <c r="R566" s="1">
        <f t="shared" si="1164"/>
        <v>0.99881353750319357</v>
      </c>
      <c r="S566" s="1">
        <f t="shared" si="1165"/>
        <v>2.8304918310733225</v>
      </c>
      <c r="T566" s="1">
        <f t="shared" ref="T566:V566" si="1279">$S566*P566</f>
        <v>9.7438619733485443E-2</v>
      </c>
      <c r="U566" s="1">
        <f t="shared" si="1279"/>
        <v>0</v>
      </c>
      <c r="V566" s="1">
        <f t="shared" si="1279"/>
        <v>2.8271335586682369</v>
      </c>
      <c r="W566" s="1">
        <f t="shared" si="1167"/>
        <v>-34.89050170560914</v>
      </c>
      <c r="X566" s="1">
        <f t="shared" si="1168"/>
        <v>0</v>
      </c>
      <c r="Y566" s="1">
        <f t="shared" si="1169"/>
        <v>-5.7736389891802329</v>
      </c>
    </row>
    <row r="567" spans="1:25">
      <c r="A567" s="1">
        <v>0.56499999999999995</v>
      </c>
      <c r="B567" s="1">
        <f t="shared" si="1170"/>
        <v>27.490681527553111</v>
      </c>
      <c r="C567" s="1">
        <f t="shared" si="1171"/>
        <v>0</v>
      </c>
      <c r="D567" s="1">
        <f t="shared" si="1172"/>
        <v>0.1206172681415707</v>
      </c>
      <c r="E567" s="1">
        <f t="shared" si="1173"/>
        <v>29.277222404688146</v>
      </c>
      <c r="F567" s="1">
        <f t="shared" si="1174"/>
        <v>0</v>
      </c>
      <c r="G567" s="1">
        <f t="shared" si="1175"/>
        <v>-1.0160307647319469</v>
      </c>
      <c r="H567" s="1">
        <f t="shared" si="1152"/>
        <v>29.294847162060009</v>
      </c>
      <c r="I567" s="1">
        <f t="shared" si="1158"/>
        <v>-34.904984206198471</v>
      </c>
      <c r="J567" s="1">
        <f t="shared" si="1159"/>
        <v>0</v>
      </c>
      <c r="K567" s="1">
        <f t="shared" si="1160"/>
        <v>1.2113354643335785</v>
      </c>
      <c r="L567" s="1">
        <f t="shared" ref="L567:N567" si="1280">E567/$H567</f>
        <v>0.99939836663852988</v>
      </c>
      <c r="M567" s="1">
        <f t="shared" si="1280"/>
        <v>0</v>
      </c>
      <c r="N567" s="1">
        <f t="shared" si="1280"/>
        <v>-3.468291741244571E-2</v>
      </c>
      <c r="O567" s="1">
        <f t="shared" si="1154"/>
        <v>-3.468291741244571E-2</v>
      </c>
      <c r="P567" s="1">
        <f t="shared" si="1162"/>
        <v>3.4662051012257271E-2</v>
      </c>
      <c r="Q567" s="1">
        <f t="shared" si="1163"/>
        <v>0</v>
      </c>
      <c r="R567" s="1">
        <f t="shared" si="1164"/>
        <v>0.99879709523976146</v>
      </c>
      <c r="S567" s="1">
        <f t="shared" si="1165"/>
        <v>2.8238040007261573</v>
      </c>
      <c r="T567" s="1">
        <f t="shared" ref="T567:V567" si="1281">$S567*P567</f>
        <v>9.7878838321786232E-2</v>
      </c>
      <c r="U567" s="1">
        <f t="shared" si="1281"/>
        <v>0</v>
      </c>
      <c r="V567" s="1">
        <f t="shared" si="1281"/>
        <v>2.8204072334517032</v>
      </c>
      <c r="W567" s="1">
        <f t="shared" si="1167"/>
        <v>-34.807105367876687</v>
      </c>
      <c r="X567" s="1">
        <f t="shared" si="1168"/>
        <v>0</v>
      </c>
      <c r="Y567" s="1">
        <f t="shared" si="1169"/>
        <v>-5.7749073022147179</v>
      </c>
    </row>
    <row r="568" spans="1:25">
      <c r="A568" s="1">
        <v>0.56599999999999995</v>
      </c>
      <c r="B568" s="1">
        <f t="shared" si="1170"/>
        <v>27.519923942852433</v>
      </c>
      <c r="C568" s="1">
        <f t="shared" si="1171"/>
        <v>0</v>
      </c>
      <c r="D568" s="1">
        <f t="shared" si="1172"/>
        <v>0.11959546246953653</v>
      </c>
      <c r="E568" s="1">
        <f t="shared" si="1173"/>
        <v>29.242415299320271</v>
      </c>
      <c r="F568" s="1">
        <f t="shared" si="1174"/>
        <v>0</v>
      </c>
      <c r="G568" s="1">
        <f t="shared" si="1175"/>
        <v>-1.0218056720341615</v>
      </c>
      <c r="H568" s="1">
        <f t="shared" si="1152"/>
        <v>29.26026212065301</v>
      </c>
      <c r="I568" s="1">
        <f t="shared" si="1158"/>
        <v>-34.822327076817366</v>
      </c>
      <c r="J568" s="1">
        <f t="shared" si="1159"/>
        <v>0</v>
      </c>
      <c r="K568" s="1">
        <f t="shared" si="1160"/>
        <v>1.2167822307532794</v>
      </c>
      <c r="L568" s="1">
        <f t="shared" ref="L568:N568" si="1282">E568/$H568</f>
        <v>0.99939006625234084</v>
      </c>
      <c r="M568" s="1">
        <f t="shared" si="1282"/>
        <v>0</v>
      </c>
      <c r="N568" s="1">
        <f t="shared" si="1282"/>
        <v>-3.4921275408292804E-2</v>
      </c>
      <c r="O568" s="1">
        <f t="shared" si="1154"/>
        <v>-3.4921275408292804E-2</v>
      </c>
      <c r="P568" s="1">
        <f t="shared" si="1162"/>
        <v>3.4899975743909989E-2</v>
      </c>
      <c r="Q568" s="1">
        <f t="shared" si="1163"/>
        <v>0</v>
      </c>
      <c r="R568" s="1">
        <f t="shared" si="1164"/>
        <v>0.99878050452385814</v>
      </c>
      <c r="S568" s="1">
        <f t="shared" si="1165"/>
        <v>2.8171404582268575</v>
      </c>
      <c r="T568" s="1">
        <f t="shared" ref="T568:V568" si="1283">$S568*P568</f>
        <v>9.8318133659304793E-2</v>
      </c>
      <c r="U568" s="1">
        <f t="shared" si="1283"/>
        <v>0</v>
      </c>
      <c r="V568" s="1">
        <f t="shared" si="1283"/>
        <v>2.8137049681823938</v>
      </c>
      <c r="W568" s="1">
        <f t="shared" si="1167"/>
        <v>-34.724008943158061</v>
      </c>
      <c r="X568" s="1">
        <f t="shared" si="1168"/>
        <v>0</v>
      </c>
      <c r="Y568" s="1">
        <f t="shared" si="1169"/>
        <v>-5.7761628010643262</v>
      </c>
    </row>
    <row r="569" spans="1:25">
      <c r="A569" s="1">
        <v>0.56699999999999995</v>
      </c>
      <c r="B569" s="1">
        <f t="shared" si="1170"/>
        <v>27.54913163414281</v>
      </c>
      <c r="C569" s="1">
        <f t="shared" si="1171"/>
        <v>0</v>
      </c>
      <c r="D569" s="1">
        <f t="shared" si="1172"/>
        <v>0.11856788063470131</v>
      </c>
      <c r="E569" s="1">
        <f t="shared" si="1173"/>
        <v>29.207691290377113</v>
      </c>
      <c r="F569" s="1">
        <f t="shared" si="1174"/>
        <v>0</v>
      </c>
      <c r="G569" s="1">
        <f t="shared" si="1175"/>
        <v>-1.0275818348352259</v>
      </c>
      <c r="H569" s="1">
        <f t="shared" si="1152"/>
        <v>29.225761836798274</v>
      </c>
      <c r="I569" s="1">
        <f t="shared" si="1158"/>
        <v>-34.739967515696243</v>
      </c>
      <c r="J569" s="1">
        <f t="shared" si="1159"/>
        <v>0</v>
      </c>
      <c r="K569" s="1">
        <f t="shared" si="1160"/>
        <v>1.2222177784266213</v>
      </c>
      <c r="L569" s="1">
        <f t="shared" ref="L569:N569" si="1284">E569/$H569</f>
        <v>0.99938169117636455</v>
      </c>
      <c r="M569" s="1">
        <f t="shared" si="1284"/>
        <v>0</v>
      </c>
      <c r="N569" s="1">
        <f t="shared" si="1284"/>
        <v>-3.5160138530294649E-2</v>
      </c>
      <c r="O569" s="1">
        <f t="shared" si="1154"/>
        <v>-3.5160138530294649E-2</v>
      </c>
      <c r="P569" s="1">
        <f t="shared" si="1162"/>
        <v>3.5138398706401126E-2</v>
      </c>
      <c r="Q569" s="1">
        <f t="shared" si="1163"/>
        <v>0</v>
      </c>
      <c r="R569" s="1">
        <f t="shared" si="1164"/>
        <v>0.99876376465853045</v>
      </c>
      <c r="S569" s="1">
        <f t="shared" si="1165"/>
        <v>2.8105010886782584</v>
      </c>
      <c r="T569" s="1">
        <f t="shared" ref="T569:V569" si="1285">$S569*P569</f>
        <v>9.8756507818751074E-2</v>
      </c>
      <c r="U569" s="1">
        <f t="shared" si="1285"/>
        <v>0</v>
      </c>
      <c r="V569" s="1">
        <f t="shared" si="1285"/>
        <v>2.8070266479051957</v>
      </c>
      <c r="W569" s="1">
        <f t="shared" si="1167"/>
        <v>-34.641211007877494</v>
      </c>
      <c r="X569" s="1">
        <f t="shared" si="1168"/>
        <v>0</v>
      </c>
      <c r="Y569" s="1">
        <f t="shared" si="1169"/>
        <v>-5.7774055736681822</v>
      </c>
    </row>
    <row r="570" spans="1:25">
      <c r="A570" s="1">
        <v>0.56799999999999995</v>
      </c>
      <c r="B570" s="1">
        <f t="shared" si="1170"/>
        <v>27.578304684222179</v>
      </c>
      <c r="C570" s="1">
        <f t="shared" si="1171"/>
        <v>0</v>
      </c>
      <c r="D570" s="1">
        <f t="shared" si="1172"/>
        <v>0.11753452139429241</v>
      </c>
      <c r="E570" s="1">
        <f t="shared" si="1173"/>
        <v>29.173050079369236</v>
      </c>
      <c r="F570" s="1">
        <f t="shared" si="1174"/>
        <v>0</v>
      </c>
      <c r="G570" s="1">
        <f t="shared" si="1175"/>
        <v>-1.033359240408894</v>
      </c>
      <c r="H570" s="1">
        <f t="shared" si="1152"/>
        <v>29.191346016467346</v>
      </c>
      <c r="I570" s="1">
        <f t="shared" si="1158"/>
        <v>-34.657904109784504</v>
      </c>
      <c r="J570" s="1">
        <f t="shared" si="1159"/>
        <v>0</v>
      </c>
      <c r="K570" s="1">
        <f t="shared" si="1160"/>
        <v>1.2276421343539392</v>
      </c>
      <c r="L570" s="1">
        <f t="shared" ref="L570:N570" si="1286">E570/$H570</f>
        <v>0.99937324105960068</v>
      </c>
      <c r="M570" s="1">
        <f t="shared" si="1286"/>
        <v>0</v>
      </c>
      <c r="N570" s="1">
        <f t="shared" si="1286"/>
        <v>-3.5399506409398117E-2</v>
      </c>
      <c r="O570" s="1">
        <f t="shared" si="1154"/>
        <v>-3.5399506409398117E-2</v>
      </c>
      <c r="P570" s="1">
        <f t="shared" si="1162"/>
        <v>3.5377319452270302E-2</v>
      </c>
      <c r="Q570" s="1">
        <f t="shared" si="1163"/>
        <v>0</v>
      </c>
      <c r="R570" s="1">
        <f t="shared" si="1164"/>
        <v>0.99874687494597103</v>
      </c>
      <c r="S570" s="1">
        <f t="shared" si="1165"/>
        <v>2.8038857778659678</v>
      </c>
      <c r="T570" s="1">
        <f t="shared" ref="T570:V570" si="1287">$S570*P570</f>
        <v>9.9193962871241756E-2</v>
      </c>
      <c r="U570" s="1">
        <f t="shared" si="1287"/>
        <v>0</v>
      </c>
      <c r="V570" s="1">
        <f t="shared" si="1287"/>
        <v>2.8003721583490884</v>
      </c>
      <c r="W570" s="1">
        <f t="shared" si="1167"/>
        <v>-34.558710146913263</v>
      </c>
      <c r="X570" s="1">
        <f t="shared" si="1168"/>
        <v>0</v>
      </c>
      <c r="Y570" s="1">
        <f t="shared" si="1169"/>
        <v>-5.7786357072969716</v>
      </c>
    </row>
    <row r="571" spans="1:25">
      <c r="A571" s="1">
        <v>0.56899999999999995</v>
      </c>
      <c r="B571" s="1">
        <f t="shared" si="1170"/>
        <v>27.607443175591403</v>
      </c>
      <c r="C571" s="1">
        <f t="shared" si="1171"/>
        <v>0</v>
      </c>
      <c r="D571" s="1">
        <f t="shared" si="1172"/>
        <v>0.11649538351817622</v>
      </c>
      <c r="E571" s="1">
        <f t="shared" si="1173"/>
        <v>29.138491369222322</v>
      </c>
      <c r="F571" s="1">
        <f t="shared" si="1174"/>
        <v>0</v>
      </c>
      <c r="G571" s="1">
        <f t="shared" si="1175"/>
        <v>-1.0391378761161909</v>
      </c>
      <c r="H571" s="1">
        <f t="shared" si="1152"/>
        <v>29.157014367040787</v>
      </c>
      <c r="I571" s="1">
        <f t="shared" si="1158"/>
        <v>-34.576135454423763</v>
      </c>
      <c r="J571" s="1">
        <f t="shared" si="1159"/>
        <v>0</v>
      </c>
      <c r="K571" s="1">
        <f t="shared" si="1160"/>
        <v>1.2330553255192278</v>
      </c>
      <c r="L571" s="1">
        <f t="shared" ref="L571:N571" si="1288">E571/$H571</f>
        <v>0.99936471555059481</v>
      </c>
      <c r="M571" s="1">
        <f t="shared" si="1288"/>
        <v>0</v>
      </c>
      <c r="N571" s="1">
        <f t="shared" si="1288"/>
        <v>-3.5639378676948379E-2</v>
      </c>
      <c r="O571" s="1">
        <f t="shared" si="1154"/>
        <v>-3.5639378676948379E-2</v>
      </c>
      <c r="P571" s="1">
        <f t="shared" si="1162"/>
        <v>3.561673753388845E-2</v>
      </c>
      <c r="Q571" s="1">
        <f t="shared" si="1163"/>
        <v>0</v>
      </c>
      <c r="R571" s="1">
        <f t="shared" si="1164"/>
        <v>0.99872983468752108</v>
      </c>
      <c r="S571" s="1">
        <f t="shared" si="1165"/>
        <v>2.797294412253498</v>
      </c>
      <c r="T571" s="1">
        <f t="shared" ref="T571:V571" si="1289">$S571*P571</f>
        <v>9.9630500886245588E-2</v>
      </c>
      <c r="U571" s="1">
        <f t="shared" si="1289"/>
        <v>0</v>
      </c>
      <c r="V571" s="1">
        <f t="shared" si="1289"/>
        <v>2.7937413859222624</v>
      </c>
      <c r="W571" s="1">
        <f t="shared" si="1167"/>
        <v>-34.476504953537521</v>
      </c>
      <c r="X571" s="1">
        <f t="shared" si="1168"/>
        <v>0</v>
      </c>
      <c r="Y571" s="1">
        <f t="shared" si="1169"/>
        <v>-5.7798532885585097</v>
      </c>
    </row>
    <row r="572" spans="1:25">
      <c r="A572" s="1">
        <v>0.56999999999999995</v>
      </c>
      <c r="B572" s="1">
        <f t="shared" si="1170"/>
        <v>27.636547190455673</v>
      </c>
      <c r="C572" s="1">
        <f t="shared" si="1171"/>
        <v>0</v>
      </c>
      <c r="D572" s="1">
        <f t="shared" si="1172"/>
        <v>0.11545046578877147</v>
      </c>
      <c r="E572" s="1">
        <f t="shared" si="1173"/>
        <v>29.104014864268784</v>
      </c>
      <c r="F572" s="1">
        <f t="shared" si="1174"/>
        <v>0</v>
      </c>
      <c r="G572" s="1">
        <f t="shared" si="1175"/>
        <v>-1.0449177294047494</v>
      </c>
      <c r="H572" s="1">
        <f t="shared" si="1152"/>
        <v>29.12276659729983</v>
      </c>
      <c r="I572" s="1">
        <f t="shared" si="1158"/>
        <v>-34.494660153288116</v>
      </c>
      <c r="J572" s="1">
        <f t="shared" si="1159"/>
        <v>0</v>
      </c>
      <c r="K572" s="1">
        <f t="shared" si="1160"/>
        <v>1.2384573788894635</v>
      </c>
      <c r="L572" s="1">
        <f t="shared" ref="L572:N572" si="1290">E572/$H572</f>
        <v>0.9993561142974382</v>
      </c>
      <c r="M572" s="1">
        <f t="shared" si="1290"/>
        <v>0</v>
      </c>
      <c r="N572" s="1">
        <f t="shared" si="1290"/>
        <v>-3.5879754964682195E-2</v>
      </c>
      <c r="O572" s="1">
        <f t="shared" si="1154"/>
        <v>-3.5879754964682195E-2</v>
      </c>
      <c r="P572" s="1">
        <f t="shared" si="1162"/>
        <v>3.5856652503449014E-2</v>
      </c>
      <c r="Q572" s="1">
        <f t="shared" si="1163"/>
        <v>0</v>
      </c>
      <c r="R572" s="1">
        <f t="shared" si="1164"/>
        <v>0.99871264318367436</v>
      </c>
      <c r="S572" s="1">
        <f t="shared" si="1165"/>
        <v>2.7907268789774444</v>
      </c>
      <c r="T572" s="1">
        <f t="shared" ref="T572:V572" si="1291">$S572*P572</f>
        <v>0.10006612393152904</v>
      </c>
      <c r="U572" s="1">
        <f t="shared" si="1291"/>
        <v>0</v>
      </c>
      <c r="V572" s="1">
        <f t="shared" si="1291"/>
        <v>2.7871342177072895</v>
      </c>
      <c r="W572" s="1">
        <f t="shared" si="1167"/>
        <v>-34.39459402935659</v>
      </c>
      <c r="X572" s="1">
        <f t="shared" si="1168"/>
        <v>0</v>
      </c>
      <c r="Y572" s="1">
        <f t="shared" si="1169"/>
        <v>-5.7810584034032466</v>
      </c>
    </row>
    <row r="573" spans="1:25">
      <c r="A573" s="1">
        <v>0.57099999999999995</v>
      </c>
      <c r="B573" s="1">
        <f t="shared" si="1170"/>
        <v>27.665616810725911</v>
      </c>
      <c r="C573" s="1">
        <f t="shared" si="1171"/>
        <v>0</v>
      </c>
      <c r="D573" s="1">
        <f t="shared" si="1172"/>
        <v>0.11439976700096331</v>
      </c>
      <c r="E573" s="1">
        <f t="shared" si="1173"/>
        <v>29.069620270239426</v>
      </c>
      <c r="F573" s="1">
        <f t="shared" si="1174"/>
        <v>0</v>
      </c>
      <c r="G573" s="1">
        <f t="shared" si="1175"/>
        <v>-1.0506987878081526</v>
      </c>
      <c r="H573" s="1">
        <f t="shared" si="1152"/>
        <v>29.088602417418002</v>
      </c>
      <c r="I573" s="1">
        <f t="shared" si="1158"/>
        <v>-34.41347681832486</v>
      </c>
      <c r="J573" s="1">
        <f t="shared" si="1159"/>
        <v>0</v>
      </c>
      <c r="K573" s="1">
        <f t="shared" si="1160"/>
        <v>1.2438483214139378</v>
      </c>
      <c r="L573" s="1">
        <f t="shared" ref="L573:N573" si="1292">E573/$H573</f>
        <v>0.99934743694777139</v>
      </c>
      <c r="M573" s="1">
        <f t="shared" si="1292"/>
        <v>0</v>
      </c>
      <c r="N573" s="1">
        <f t="shared" si="1292"/>
        <v>-3.6120634904721421E-2</v>
      </c>
      <c r="O573" s="1">
        <f t="shared" si="1154"/>
        <v>-3.6120634904721421E-2</v>
      </c>
      <c r="P573" s="1">
        <f t="shared" si="1162"/>
        <v>3.6097063912959561E-2</v>
      </c>
      <c r="Q573" s="1">
        <f t="shared" si="1163"/>
        <v>0</v>
      </c>
      <c r="R573" s="1">
        <f t="shared" si="1164"/>
        <v>0.99869529973407978</v>
      </c>
      <c r="S573" s="1">
        <f t="shared" si="1165"/>
        <v>2.7841830658426958</v>
      </c>
      <c r="T573" s="1">
        <f t="shared" ref="T573:V573" si="1293">$S573*P573</f>
        <v>0.10050083407310349</v>
      </c>
      <c r="U573" s="1">
        <f t="shared" si="1293"/>
        <v>0</v>
      </c>
      <c r="V573" s="1">
        <f t="shared" si="1293"/>
        <v>2.7805505414563201</v>
      </c>
      <c r="W573" s="1">
        <f t="shared" si="1167"/>
        <v>-34.312975984251757</v>
      </c>
      <c r="X573" s="1">
        <f t="shared" si="1168"/>
        <v>0</v>
      </c>
      <c r="Y573" s="1">
        <f t="shared" si="1169"/>
        <v>-5.7822511371297418</v>
      </c>
    </row>
    <row r="574" spans="1:25">
      <c r="A574" s="1">
        <v>0.57199999999999995</v>
      </c>
      <c r="B574" s="1">
        <f t="shared" si="1170"/>
        <v>27.694652118020166</v>
      </c>
      <c r="C574" s="1">
        <f t="shared" si="1171"/>
        <v>0</v>
      </c>
      <c r="D574" s="1">
        <f t="shared" si="1172"/>
        <v>0.11334328596201804</v>
      </c>
      <c r="E574" s="1">
        <f t="shared" si="1173"/>
        <v>29.035307294255173</v>
      </c>
      <c r="F574" s="1">
        <f t="shared" si="1174"/>
        <v>0</v>
      </c>
      <c r="G574" s="1">
        <f t="shared" si="1175"/>
        <v>-1.0564810389452823</v>
      </c>
      <c r="H574" s="1">
        <f t="shared" si="1152"/>
        <v>29.054521538952908</v>
      </c>
      <c r="I574" s="1">
        <f t="shared" si="1158"/>
        <v>-34.332584069695706</v>
      </c>
      <c r="J574" s="1">
        <f t="shared" si="1159"/>
        <v>0</v>
      </c>
      <c r="K574" s="1">
        <f t="shared" si="1160"/>
        <v>1.2492281800236007</v>
      </c>
      <c r="L574" s="1">
        <f t="shared" ref="L574:N574" si="1294">E574/$H574</f>
        <v>0.99933868314878371</v>
      </c>
      <c r="M574" s="1">
        <f t="shared" si="1294"/>
        <v>0</v>
      </c>
      <c r="N574" s="1">
        <f t="shared" si="1294"/>
        <v>-3.6362018129566374E-2</v>
      </c>
      <c r="O574" s="1">
        <f t="shared" si="1154"/>
        <v>-3.6362018129566374E-2</v>
      </c>
      <c r="P574" s="1">
        <f t="shared" si="1162"/>
        <v>3.633797131423306E-2</v>
      </c>
      <c r="Q574" s="1">
        <f t="shared" si="1163"/>
        <v>0</v>
      </c>
      <c r="R574" s="1">
        <f t="shared" si="1164"/>
        <v>0.9986778036375451</v>
      </c>
      <c r="S574" s="1">
        <f t="shared" si="1165"/>
        <v>2.7776628613176908</v>
      </c>
      <c r="T574" s="1">
        <f t="shared" ref="T574:V574" si="1295">$S574*P574</f>
        <v>0.10093463337517276</v>
      </c>
      <c r="U574" s="1">
        <f t="shared" si="1295"/>
        <v>0</v>
      </c>
      <c r="V574" s="1">
        <f t="shared" si="1295"/>
        <v>2.7739902455863303</v>
      </c>
      <c r="W574" s="1">
        <f t="shared" si="1167"/>
        <v>-34.231649436320531</v>
      </c>
      <c r="X574" s="1">
        <f t="shared" si="1168"/>
        <v>0</v>
      </c>
      <c r="Y574" s="1">
        <f t="shared" si="1169"/>
        <v>-5.7834315743900682</v>
      </c>
    </row>
    <row r="575" spans="1:25">
      <c r="A575" s="1">
        <v>0.57299999999999995</v>
      </c>
      <c r="B575" s="1">
        <f t="shared" si="1170"/>
        <v>27.723653193664983</v>
      </c>
      <c r="C575" s="1">
        <f t="shared" si="1171"/>
        <v>0</v>
      </c>
      <c r="D575" s="1">
        <f t="shared" si="1172"/>
        <v>0.11228102149149836</v>
      </c>
      <c r="E575" s="1">
        <f t="shared" si="1173"/>
        <v>29.001075644818851</v>
      </c>
      <c r="F575" s="1">
        <f t="shared" si="1174"/>
        <v>0</v>
      </c>
      <c r="G575" s="1">
        <f t="shared" si="1175"/>
        <v>-1.0622644705196724</v>
      </c>
      <c r="H575" s="1">
        <f t="shared" si="1152"/>
        <v>29.02052367483801</v>
      </c>
      <c r="I575" s="1">
        <f t="shared" si="1158"/>
        <v>-34.251980535718559</v>
      </c>
      <c r="J575" s="1">
        <f t="shared" si="1159"/>
        <v>0</v>
      </c>
      <c r="K575" s="1">
        <f t="shared" si="1160"/>
        <v>1.2545969816304194</v>
      </c>
      <c r="L575" s="1">
        <f t="shared" ref="L575:N575" si="1296">E575/$H575</f>
        <v>0.99932985254721574</v>
      </c>
      <c r="M575" s="1">
        <f t="shared" si="1296"/>
        <v>0</v>
      </c>
      <c r="N575" s="1">
        <f t="shared" si="1296"/>
        <v>-3.6603904272089323E-2</v>
      </c>
      <c r="O575" s="1">
        <f t="shared" si="1154"/>
        <v>-3.6603904272089323E-2</v>
      </c>
      <c r="P575" s="1">
        <f t="shared" si="1162"/>
        <v>3.6579374258879423E-2</v>
      </c>
      <c r="Q575" s="1">
        <f t="shared" si="1163"/>
        <v>0</v>
      </c>
      <c r="R575" s="1">
        <f t="shared" si="1164"/>
        <v>0.99866015419203968</v>
      </c>
      <c r="S575" s="1">
        <f t="shared" si="1165"/>
        <v>2.7711661545297113</v>
      </c>
      <c r="T575" s="1">
        <f t="shared" ref="T575:V575" si="1297">$S575*P575</f>
        <v>0.101367523900082</v>
      </c>
      <c r="U575" s="1">
        <f t="shared" si="1297"/>
        <v>0</v>
      </c>
      <c r="V575" s="1">
        <f t="shared" si="1297"/>
        <v>2.7674532191744032</v>
      </c>
      <c r="W575" s="1">
        <f t="shared" si="1167"/>
        <v>-34.150613011818479</v>
      </c>
      <c r="X575" s="1">
        <f t="shared" si="1168"/>
        <v>0</v>
      </c>
      <c r="Y575" s="1">
        <f t="shared" si="1169"/>
        <v>-5.7845997991951768</v>
      </c>
    </row>
    <row r="576" spans="1:25">
      <c r="A576" s="1">
        <v>0.57399999999999995</v>
      </c>
      <c r="B576" s="1">
        <f t="shared" si="1170"/>
        <v>27.75262011869679</v>
      </c>
      <c r="C576" s="1">
        <f t="shared" si="1171"/>
        <v>0</v>
      </c>
      <c r="D576" s="1">
        <f t="shared" si="1172"/>
        <v>0.1112129724211795</v>
      </c>
      <c r="E576" s="1">
        <f t="shared" si="1173"/>
        <v>28.966925031807033</v>
      </c>
      <c r="F576" s="1">
        <f t="shared" si="1174"/>
        <v>0</v>
      </c>
      <c r="G576" s="1">
        <f t="shared" si="1175"/>
        <v>-1.0680490703188676</v>
      </c>
      <c r="H576" s="1">
        <f t="shared" si="1152"/>
        <v>28.986608539374487</v>
      </c>
      <c r="I576" s="1">
        <f t="shared" si="1158"/>
        <v>-34.17166485280967</v>
      </c>
      <c r="J576" s="1">
        <f t="shared" si="1159"/>
        <v>0</v>
      </c>
      <c r="K576" s="1">
        <f t="shared" si="1160"/>
        <v>1.2599547531267428</v>
      </c>
      <c r="L576" s="1">
        <f t="shared" ref="L576:N576" si="1298">E576/$H576</f>
        <v>0.99932094478935962</v>
      </c>
      <c r="M576" s="1">
        <f t="shared" si="1298"/>
        <v>0</v>
      </c>
      <c r="N576" s="1">
        <f t="shared" si="1298"/>
        <v>-3.6846292965527987E-2</v>
      </c>
      <c r="O576" s="1">
        <f t="shared" si="1154"/>
        <v>-3.6846292965527987E-2</v>
      </c>
      <c r="P576" s="1">
        <f t="shared" si="1162"/>
        <v>3.6821272298296966E-2</v>
      </c>
      <c r="Q576" s="1">
        <f t="shared" si="1163"/>
        <v>0</v>
      </c>
      <c r="R576" s="1">
        <f t="shared" si="1164"/>
        <v>0.99864235069469853</v>
      </c>
      <c r="S576" s="1">
        <f t="shared" si="1165"/>
        <v>2.7646928352602149</v>
      </c>
      <c r="T576" s="1">
        <f t="shared" ref="T576:V576" si="1299">$S576*P576</f>
        <v>0.10179950770826705</v>
      </c>
      <c r="U576" s="1">
        <f t="shared" si="1299"/>
        <v>0</v>
      </c>
      <c r="V576" s="1">
        <f t="shared" si="1299"/>
        <v>2.7609393519530521</v>
      </c>
      <c r="W576" s="1">
        <f t="shared" si="1167"/>
        <v>-34.069865345101405</v>
      </c>
      <c r="X576" s="1">
        <f t="shared" si="1168"/>
        <v>0</v>
      </c>
      <c r="Y576" s="1">
        <f t="shared" si="1169"/>
        <v>-5.7857558949202046</v>
      </c>
    </row>
    <row r="577" spans="1:25">
      <c r="A577" s="1">
        <v>0.57499999999999996</v>
      </c>
      <c r="B577" s="1">
        <f t="shared" si="1170"/>
        <v>27.781552973863253</v>
      </c>
      <c r="C577" s="1">
        <f t="shared" si="1171"/>
        <v>0</v>
      </c>
      <c r="D577" s="1">
        <f t="shared" si="1172"/>
        <v>0.11013913759496571</v>
      </c>
      <c r="E577" s="1">
        <f t="shared" si="1173"/>
        <v>28.93285516646193</v>
      </c>
      <c r="F577" s="1">
        <f t="shared" si="1174"/>
        <v>0</v>
      </c>
      <c r="G577" s="1">
        <f t="shared" si="1175"/>
        <v>-1.0738348262137878</v>
      </c>
      <c r="H577" s="1">
        <f t="shared" si="1152"/>
        <v>28.952775848223126</v>
      </c>
      <c r="I577" s="1">
        <f t="shared" si="1158"/>
        <v>-34.091635665426296</v>
      </c>
      <c r="J577" s="1">
        <f t="shared" si="1159"/>
        <v>0</v>
      </c>
      <c r="K577" s="1">
        <f t="shared" si="1160"/>
        <v>1.2653015213846779</v>
      </c>
      <c r="L577" s="1">
        <f t="shared" ref="L577:N577" si="1300">E577/$H577</f>
        <v>0.999311959521062</v>
      </c>
      <c r="M577" s="1">
        <f t="shared" si="1300"/>
        <v>0</v>
      </c>
      <c r="N577" s="1">
        <f t="shared" si="1300"/>
        <v>-3.7089183843479055E-2</v>
      </c>
      <c r="O577" s="1">
        <f t="shared" si="1154"/>
        <v>-3.7089183843479055E-2</v>
      </c>
      <c r="P577" s="1">
        <f t="shared" si="1162"/>
        <v>3.7063664983663966E-2</v>
      </c>
      <c r="Q577" s="1">
        <f t="shared" si="1163"/>
        <v>0</v>
      </c>
      <c r="R577" s="1">
        <f t="shared" si="1164"/>
        <v>0.99862439244182466</v>
      </c>
      <c r="S577" s="1">
        <f t="shared" si="1165"/>
        <v>2.7582427939402021</v>
      </c>
      <c r="T577" s="1">
        <f t="shared" ref="T577:V577" si="1301">$S577*P577</f>
        <v>0.10223058685820494</v>
      </c>
      <c r="U577" s="1">
        <f t="shared" si="1301"/>
        <v>0</v>
      </c>
      <c r="V577" s="1">
        <f t="shared" si="1301"/>
        <v>2.7544485343055753</v>
      </c>
      <c r="W577" s="1">
        <f t="shared" si="1167"/>
        <v>-33.98940507856809</v>
      </c>
      <c r="X577" s="1">
        <f t="shared" si="1168"/>
        <v>0</v>
      </c>
      <c r="Y577" s="1">
        <f t="shared" si="1169"/>
        <v>-5.786899944309746</v>
      </c>
    </row>
    <row r="578" spans="1:25">
      <c r="A578" s="1">
        <v>0.57599999999999996</v>
      </c>
      <c r="B578" s="1">
        <f t="shared" si="1170"/>
        <v>27.810451839624637</v>
      </c>
      <c r="C578" s="1">
        <f t="shared" si="1171"/>
        <v>0</v>
      </c>
      <c r="D578" s="1">
        <f t="shared" si="1172"/>
        <v>0.10905951586880762</v>
      </c>
      <c r="E578" s="1">
        <f t="shared" si="1173"/>
        <v>28.898865761383362</v>
      </c>
      <c r="F578" s="1">
        <f t="shared" si="1174"/>
        <v>0</v>
      </c>
      <c r="G578" s="1">
        <f t="shared" si="1175"/>
        <v>-1.0796217261580976</v>
      </c>
      <c r="H578" s="1">
        <f t="shared" si="1152"/>
        <v>28.919025318396333</v>
      </c>
      <c r="I578" s="1">
        <f t="shared" ref="I578:I641" si="1302">-K_drag*$H578*E578</f>
        <v>-34.01189162600992</v>
      </c>
      <c r="J578" s="1">
        <f t="shared" ref="J578:J641" si="1303">-K_drag*$H578*F578</f>
        <v>0</v>
      </c>
      <c r="K578" s="1">
        <f t="shared" ref="K578:K641" si="1304">-K_drag*$H578*G578</f>
        <v>1.2706373132554813</v>
      </c>
      <c r="L578" s="1">
        <f t="shared" ref="L578:N578" si="1305">E578/$H578</f>
        <v>0.99930289638772352</v>
      </c>
      <c r="M578" s="1">
        <f t="shared" si="1305"/>
        <v>0</v>
      </c>
      <c r="N578" s="1">
        <f t="shared" si="1305"/>
        <v>-3.7332576539891721E-2</v>
      </c>
      <c r="O578" s="1">
        <f t="shared" si="1154"/>
        <v>-3.7332576539891721E-2</v>
      </c>
      <c r="P578" s="1">
        <f t="shared" ref="P578:P641" si="1306">u_axis_f-$O578*L578</f>
        <v>3.7306551865930175E-2</v>
      </c>
      <c r="Q578" s="1">
        <f t="shared" ref="Q578:Q641" si="1307">u_axis_r-$O578*M578</f>
        <v>0</v>
      </c>
      <c r="R578" s="1">
        <f t="shared" ref="R578:R641" si="1308">u_axis_u-$O578*N578</f>
        <v>0.99860627872889318</v>
      </c>
      <c r="S578" s="1">
        <f t="shared" ref="S578:S641" si="1309">K_lift*H578^2</f>
        <v>2.7518159216456333</v>
      </c>
      <c r="T578" s="1">
        <f t="shared" ref="T578:V578" si="1310">$S578*P578</f>
        <v>0.10266076340636526</v>
      </c>
      <c r="U578" s="1">
        <f t="shared" si="1310"/>
        <v>0</v>
      </c>
      <c r="V578" s="1">
        <f t="shared" si="1310"/>
        <v>2.7479806572614653</v>
      </c>
      <c r="W578" s="1">
        <f t="shared" ref="W578:W641" si="1311">I578+T578+g_f</f>
        <v>-33.909230862603557</v>
      </c>
      <c r="X578" s="1">
        <f t="shared" ref="X578:X641" si="1312">J578+U578+g_r</f>
        <v>0</v>
      </c>
      <c r="Y578" s="1">
        <f t="shared" ref="Y578:Y641" si="1313">K578+V578+g_u</f>
        <v>-5.7880320294830527</v>
      </c>
    </row>
    <row r="579" spans="1:25">
      <c r="A579" s="1">
        <v>0.57699999999999996</v>
      </c>
      <c r="B579" s="1">
        <f t="shared" ref="B579:B642" si="1314">B578+E579*dt</f>
        <v>27.839316796155156</v>
      </c>
      <c r="C579" s="1">
        <f t="shared" ref="C579:C642" si="1315">C578+F579*dt</f>
        <v>0</v>
      </c>
      <c r="D579" s="1">
        <f t="shared" ref="D579:D642" si="1316">D578+G579*dt</f>
        <v>0.10797410611062004</v>
      </c>
      <c r="E579" s="1">
        <f t="shared" ref="E579:E642" si="1317">E578+W578*dt</f>
        <v>28.864956530520757</v>
      </c>
      <c r="F579" s="1">
        <f t="shared" ref="F579:F642" si="1318">F578+X578*dt</f>
        <v>0</v>
      </c>
      <c r="G579" s="1">
        <f t="shared" ref="G579:G642" si="1319">G578+Y578*dt</f>
        <v>-1.0854097581875806</v>
      </c>
      <c r="H579" s="1">
        <f t="shared" si="1152"/>
        <v>28.885356668250122</v>
      </c>
      <c r="I579" s="1">
        <f t="shared" si="1302"/>
        <v>-33.932431394929807</v>
      </c>
      <c r="J579" s="1">
        <f t="shared" si="1303"/>
        <v>0</v>
      </c>
      <c r="K579" s="1">
        <f t="shared" si="1304"/>
        <v>1.2759621555689544</v>
      </c>
      <c r="L579" s="1">
        <f t="shared" ref="L579:N579" si="1320">E579/$H579</f>
        <v>0.99929375503430129</v>
      </c>
      <c r="M579" s="1">
        <f t="shared" si="1320"/>
        <v>0</v>
      </c>
      <c r="N579" s="1">
        <f t="shared" si="1320"/>
        <v>-3.7576470689061246E-2</v>
      </c>
      <c r="O579" s="1">
        <f t="shared" si="1154"/>
        <v>-3.7576470689061246E-2</v>
      </c>
      <c r="P579" s="1">
        <f t="shared" si="1306"/>
        <v>3.7549932495808375E-2</v>
      </c>
      <c r="Q579" s="1">
        <f t="shared" si="1307"/>
        <v>0</v>
      </c>
      <c r="R579" s="1">
        <f t="shared" si="1308"/>
        <v>0.9985880088505541</v>
      </c>
      <c r="S579" s="1">
        <f t="shared" si="1309"/>
        <v>2.7454121100928677</v>
      </c>
      <c r="T579" s="1">
        <f t="shared" ref="T579:V579" si="1321">$S579*P579</f>
        <v>0.10309003940716201</v>
      </c>
      <c r="U579" s="1">
        <f t="shared" si="1321"/>
        <v>0</v>
      </c>
      <c r="V579" s="1">
        <f t="shared" si="1321"/>
        <v>2.7415356124918349</v>
      </c>
      <c r="W579" s="1">
        <f t="shared" si="1311"/>
        <v>-33.829341355522644</v>
      </c>
      <c r="X579" s="1">
        <f t="shared" si="1312"/>
        <v>0</v>
      </c>
      <c r="Y579" s="1">
        <f t="shared" si="1313"/>
        <v>-5.7891522319392106</v>
      </c>
    </row>
    <row r="580" spans="1:25">
      <c r="A580" s="1">
        <v>0.57799999999999996</v>
      </c>
      <c r="B580" s="1">
        <f t="shared" si="1314"/>
        <v>27.868147923344321</v>
      </c>
      <c r="C580" s="1">
        <f t="shared" si="1315"/>
        <v>0</v>
      </c>
      <c r="D580" s="1">
        <f t="shared" si="1316"/>
        <v>0.10688290720020052</v>
      </c>
      <c r="E580" s="1">
        <f t="shared" si="1317"/>
        <v>28.831127189165233</v>
      </c>
      <c r="F580" s="1">
        <f t="shared" si="1318"/>
        <v>0</v>
      </c>
      <c r="G580" s="1">
        <f t="shared" si="1319"/>
        <v>-1.0911989104195199</v>
      </c>
      <c r="H580" s="1">
        <f t="shared" si="1152"/>
        <v>28.851769617476211</v>
      </c>
      <c r="I580" s="1">
        <f t="shared" si="1302"/>
        <v>-33.853253640427099</v>
      </c>
      <c r="J580" s="1">
        <f t="shared" si="1303"/>
        <v>0</v>
      </c>
      <c r="K580" s="1">
        <f t="shared" si="1304"/>
        <v>1.2812760751328525</v>
      </c>
      <c r="L580" s="1">
        <f t="shared" ref="L580:N580" si="1322">E580/$H580</f>
        <v>0.99928453510531035</v>
      </c>
      <c r="M580" s="1">
        <f t="shared" si="1322"/>
        <v>0</v>
      </c>
      <c r="N580" s="1">
        <f t="shared" si="1322"/>
        <v>-3.7820865925622615E-2</v>
      </c>
      <c r="O580" s="1">
        <f t="shared" si="1154"/>
        <v>-3.7820865925622615E-2</v>
      </c>
      <c r="P580" s="1">
        <f t="shared" si="1306"/>
        <v>3.779380642376607E-2</v>
      </c>
      <c r="Q580" s="1">
        <f t="shared" si="1307"/>
        <v>0</v>
      </c>
      <c r="R580" s="1">
        <f t="shared" si="1308"/>
        <v>0.99856958210063607</v>
      </c>
      <c r="S580" s="1">
        <f t="shared" si="1309"/>
        <v>2.7390312516341511</v>
      </c>
      <c r="T580" s="1">
        <f t="shared" ref="T580:V580" si="1323">$S580*P580</f>
        <v>0.10351841691290679</v>
      </c>
      <c r="U580" s="1">
        <f t="shared" si="1323"/>
        <v>0</v>
      </c>
      <c r="V580" s="1">
        <f t="shared" si="1323"/>
        <v>2.7351132923048964</v>
      </c>
      <c r="W580" s="1">
        <f t="shared" si="1311"/>
        <v>-33.749735223514193</v>
      </c>
      <c r="X580" s="1">
        <f t="shared" si="1312"/>
        <v>0</v>
      </c>
      <c r="Y580" s="1">
        <f t="shared" si="1313"/>
        <v>-5.7902606325622505</v>
      </c>
    </row>
    <row r="581" spans="1:25">
      <c r="A581" s="1">
        <v>0.57899999999999996</v>
      </c>
      <c r="B581" s="1">
        <f t="shared" si="1314"/>
        <v>27.896945300798262</v>
      </c>
      <c r="C581" s="1">
        <f t="shared" si="1315"/>
        <v>0</v>
      </c>
      <c r="D581" s="1">
        <f t="shared" si="1316"/>
        <v>0.10578591802914844</v>
      </c>
      <c r="E581" s="1">
        <f t="shared" si="1317"/>
        <v>28.797377453941721</v>
      </c>
      <c r="F581" s="1">
        <f t="shared" si="1318"/>
        <v>0</v>
      </c>
      <c r="G581" s="1">
        <f t="shared" si="1319"/>
        <v>-1.096989171052082</v>
      </c>
      <c r="H581" s="1">
        <f t="shared" si="1152"/>
        <v>28.818263887094179</v>
      </c>
      <c r="I581" s="1">
        <f t="shared" si="1302"/>
        <v>-33.774357038559408</v>
      </c>
      <c r="J581" s="1">
        <f t="shared" si="1303"/>
        <v>0</v>
      </c>
      <c r="K581" s="1">
        <f t="shared" si="1304"/>
        <v>1.2865790987323049</v>
      </c>
      <c r="L581" s="1">
        <f t="shared" ref="L581:N581" si="1324">E581/$H581</f>
        <v>0.99927523624482417</v>
      </c>
      <c r="M581" s="1">
        <f t="shared" si="1324"/>
        <v>0</v>
      </c>
      <c r="N581" s="1">
        <f t="shared" si="1324"/>
        <v>-3.8065761884544053E-2</v>
      </c>
      <c r="O581" s="1">
        <f t="shared" si="1154"/>
        <v>-3.8065761884544053E-2</v>
      </c>
      <c r="P581" s="1">
        <f t="shared" si="1306"/>
        <v>3.8038173200016984E-2</v>
      </c>
      <c r="Q581" s="1">
        <f t="shared" si="1307"/>
        <v>0</v>
      </c>
      <c r="R581" s="1">
        <f t="shared" si="1308"/>
        <v>0.99855099777214917</v>
      </c>
      <c r="S581" s="1">
        <f t="shared" si="1309"/>
        <v>2.7326732392531401</v>
      </c>
      <c r="T581" s="1">
        <f t="shared" ref="T581:V581" si="1325">$S581*P581</f>
        <v>0.10394589797376239</v>
      </c>
      <c r="U581" s="1">
        <f t="shared" si="1325"/>
        <v>0</v>
      </c>
      <c r="V581" s="1">
        <f t="shared" si="1325"/>
        <v>2.7287135896414738</v>
      </c>
      <c r="W581" s="1">
        <f t="shared" si="1311"/>
        <v>-33.670411140585649</v>
      </c>
      <c r="X581" s="1">
        <f t="shared" si="1312"/>
        <v>0</v>
      </c>
      <c r="Y581" s="1">
        <f t="shared" si="1313"/>
        <v>-5.7913573116262205</v>
      </c>
    </row>
    <row r="582" spans="1:25">
      <c r="A582" s="1">
        <v>0.57999999999999996</v>
      </c>
      <c r="B582" s="1">
        <f t="shared" si="1314"/>
        <v>27.925709007841064</v>
      </c>
      <c r="C582" s="1">
        <f t="shared" si="1315"/>
        <v>0</v>
      </c>
      <c r="D582" s="1">
        <f t="shared" si="1316"/>
        <v>0.10468313750078473</v>
      </c>
      <c r="E582" s="1">
        <f t="shared" si="1317"/>
        <v>28.763707042801133</v>
      </c>
      <c r="F582" s="1">
        <f t="shared" si="1318"/>
        <v>0</v>
      </c>
      <c r="G582" s="1">
        <f t="shared" si="1319"/>
        <v>-1.1027805283637082</v>
      </c>
      <c r="H582" s="1">
        <f t="shared" si="1152"/>
        <v>28.784839199443613</v>
      </c>
      <c r="I582" s="1">
        <f t="shared" si="1302"/>
        <v>-33.695740273145702</v>
      </c>
      <c r="J582" s="1">
        <f t="shared" si="1303"/>
        <v>0</v>
      </c>
      <c r="K582" s="1">
        <f t="shared" si="1304"/>
        <v>1.291871253129242</v>
      </c>
      <c r="L582" s="1">
        <f t="shared" ref="L582:N582" si="1326">E582/$H582</f>
        <v>0.99926585809647706</v>
      </c>
      <c r="M582" s="1">
        <f t="shared" si="1326"/>
        <v>0</v>
      </c>
      <c r="N582" s="1">
        <f t="shared" si="1326"/>
        <v>-3.8311158201120819E-2</v>
      </c>
      <c r="O582" s="1">
        <f t="shared" si="1154"/>
        <v>-3.8311158201120819E-2</v>
      </c>
      <c r="P582" s="1">
        <f t="shared" si="1306"/>
        <v>3.8283032374512881E-2</v>
      </c>
      <c r="Q582" s="1">
        <f t="shared" si="1307"/>
        <v>0</v>
      </c>
      <c r="R582" s="1">
        <f t="shared" si="1308"/>
        <v>0.99853225515728872</v>
      </c>
      <c r="S582" s="1">
        <f t="shared" si="1309"/>
        <v>2.726337966560453</v>
      </c>
      <c r="T582" s="1">
        <f t="shared" ref="T582:V582" si="1327">$S582*P582</f>
        <v>0.10437248463769744</v>
      </c>
      <c r="U582" s="1">
        <f t="shared" si="1327"/>
        <v>0</v>
      </c>
      <c r="V582" s="1">
        <f t="shared" si="1327"/>
        <v>2.7223363980705457</v>
      </c>
      <c r="W582" s="1">
        <f t="shared" si="1311"/>
        <v>-33.591367788508002</v>
      </c>
      <c r="X582" s="1">
        <f t="shared" si="1312"/>
        <v>0</v>
      </c>
      <c r="Y582" s="1">
        <f t="shared" si="1313"/>
        <v>-5.7924423488002112</v>
      </c>
    </row>
    <row r="583" spans="1:25">
      <c r="A583" s="1">
        <v>0.58099999999999996</v>
      </c>
      <c r="B583" s="1">
        <f t="shared" si="1314"/>
        <v>27.954439123516078</v>
      </c>
      <c r="C583" s="1">
        <f t="shared" si="1315"/>
        <v>0</v>
      </c>
      <c r="D583" s="1">
        <f t="shared" si="1316"/>
        <v>0.10357456453007222</v>
      </c>
      <c r="E583" s="1">
        <f t="shared" si="1317"/>
        <v>28.730115675012627</v>
      </c>
      <c r="F583" s="1">
        <f t="shared" si="1318"/>
        <v>0</v>
      </c>
      <c r="G583" s="1">
        <f t="shared" si="1319"/>
        <v>-1.1085729707125085</v>
      </c>
      <c r="H583" s="1">
        <f t="shared" si="1152"/>
        <v>28.751495278176414</v>
      </c>
      <c r="I583" s="1">
        <f t="shared" si="1302"/>
        <v>-33.617402035711891</v>
      </c>
      <c r="J583" s="1">
        <f t="shared" si="1303"/>
        <v>0</v>
      </c>
      <c r="K583" s="1">
        <f t="shared" si="1304"/>
        <v>1.297152565061835</v>
      </c>
      <c r="L583" s="1">
        <f t="shared" ref="L583:N583" si="1328">E583/$H583</f>
        <v>0.99925640030346474</v>
      </c>
      <c r="M583" s="1">
        <f t="shared" si="1328"/>
        <v>0</v>
      </c>
      <c r="N583" s="1">
        <f t="shared" si="1328"/>
        <v>-3.8557054510968747E-2</v>
      </c>
      <c r="O583" s="1">
        <f t="shared" si="1154"/>
        <v>-3.8557054510968747E-2</v>
      </c>
      <c r="P583" s="1">
        <f t="shared" si="1306"/>
        <v>3.8528383496935097E-2</v>
      </c>
      <c r="Q583" s="1">
        <f t="shared" si="1307"/>
        <v>0</v>
      </c>
      <c r="R583" s="1">
        <f t="shared" si="1308"/>
        <v>0.9985133535474382</v>
      </c>
      <c r="S583" s="1">
        <f t="shared" si="1309"/>
        <v>2.7200253277892741</v>
      </c>
      <c r="T583" s="1">
        <f t="shared" ref="T583:V583" si="1329">$S583*P583</f>
        <v>0.10479817895044174</v>
      </c>
      <c r="U583" s="1">
        <f t="shared" si="1329"/>
        <v>0</v>
      </c>
      <c r="V583" s="1">
        <f t="shared" si="1329"/>
        <v>2.7159816117848381</v>
      </c>
      <c r="W583" s="1">
        <f t="shared" si="1311"/>
        <v>-33.512603856761451</v>
      </c>
      <c r="X583" s="1">
        <f t="shared" si="1312"/>
        <v>0</v>
      </c>
      <c r="Y583" s="1">
        <f t="shared" si="1313"/>
        <v>-5.7935158231533261</v>
      </c>
    </row>
    <row r="584" spans="1:25">
      <c r="A584" s="1">
        <v>0.58199999999999996</v>
      </c>
      <c r="B584" s="1">
        <f t="shared" si="1314"/>
        <v>27.983135726587236</v>
      </c>
      <c r="C584" s="1">
        <f t="shared" si="1315"/>
        <v>0</v>
      </c>
      <c r="D584" s="1">
        <f t="shared" si="1316"/>
        <v>0.10246019804353655</v>
      </c>
      <c r="E584" s="1">
        <f t="shared" si="1317"/>
        <v>28.696603071155867</v>
      </c>
      <c r="F584" s="1">
        <f t="shared" si="1318"/>
        <v>0</v>
      </c>
      <c r="G584" s="1">
        <f t="shared" si="1319"/>
        <v>-1.1143664865356617</v>
      </c>
      <c r="H584" s="1">
        <f t="shared" si="1152"/>
        <v>28.718231848249054</v>
      </c>
      <c r="I584" s="1">
        <f t="shared" si="1302"/>
        <v>-33.53934102543662</v>
      </c>
      <c r="J584" s="1">
        <f t="shared" si="1303"/>
        <v>0</v>
      </c>
      <c r="K584" s="1">
        <f t="shared" si="1304"/>
        <v>1.302423061243944</v>
      </c>
      <c r="L584" s="1">
        <f t="shared" ref="L584:N584" si="1330">E584/$H584</f>
        <v>0.99924686250854589</v>
      </c>
      <c r="M584" s="1">
        <f t="shared" si="1330"/>
        <v>0</v>
      </c>
      <c r="N584" s="1">
        <f t="shared" si="1330"/>
        <v>-3.8803450450018026E-2</v>
      </c>
      <c r="O584" s="1">
        <f t="shared" si="1154"/>
        <v>-3.8803450450018026E-2</v>
      </c>
      <c r="P584" s="1">
        <f t="shared" si="1306"/>
        <v>3.8774226116686336E-2</v>
      </c>
      <c r="Q584" s="1">
        <f t="shared" si="1307"/>
        <v>0</v>
      </c>
      <c r="R584" s="1">
        <f t="shared" si="1308"/>
        <v>0.99849429223317299</v>
      </c>
      <c r="S584" s="1">
        <f t="shared" si="1309"/>
        <v>2.7137352177909757</v>
      </c>
      <c r="T584" s="1">
        <f t="shared" ref="T584:V584" si="1331">$S584*P584</f>
        <v>0.10522298295544233</v>
      </c>
      <c r="U584" s="1">
        <f t="shared" si="1331"/>
        <v>0</v>
      </c>
      <c r="V584" s="1">
        <f t="shared" si="1331"/>
        <v>2.7096491255964357</v>
      </c>
      <c r="W584" s="1">
        <f t="shared" si="1311"/>
        <v>-33.434118042481181</v>
      </c>
      <c r="X584" s="1">
        <f t="shared" si="1312"/>
        <v>0</v>
      </c>
      <c r="Y584" s="1">
        <f t="shared" si="1313"/>
        <v>-5.79457781315962</v>
      </c>
    </row>
    <row r="585" spans="1:25">
      <c r="A585" s="1">
        <v>0.58299999999999996</v>
      </c>
      <c r="B585" s="1">
        <f t="shared" si="1314"/>
        <v>28.011798895540348</v>
      </c>
      <c r="C585" s="1">
        <f t="shared" si="1315"/>
        <v>0</v>
      </c>
      <c r="D585" s="1">
        <f t="shared" si="1316"/>
        <v>0.10134003697918773</v>
      </c>
      <c r="E585" s="1">
        <f t="shared" si="1317"/>
        <v>28.663168953113384</v>
      </c>
      <c r="F585" s="1">
        <f t="shared" si="1318"/>
        <v>0</v>
      </c>
      <c r="G585" s="1">
        <f t="shared" si="1319"/>
        <v>-1.1201610643488213</v>
      </c>
      <c r="H585" s="1">
        <f t="shared" si="1152"/>
        <v>28.685048635914949</v>
      </c>
      <c r="I585" s="1">
        <f t="shared" si="1302"/>
        <v>-33.46155594909763</v>
      </c>
      <c r="J585" s="1">
        <f t="shared" si="1303"/>
        <v>0</v>
      </c>
      <c r="K585" s="1">
        <f t="shared" si="1304"/>
        <v>1.3076827683645744</v>
      </c>
      <c r="L585" s="1">
        <f t="shared" ref="L585:N585" si="1332">E585/$H585</f>
        <v>0.99923724435404404</v>
      </c>
      <c r="M585" s="1">
        <f t="shared" si="1332"/>
        <v>0</v>
      </c>
      <c r="N585" s="1">
        <f t="shared" si="1332"/>
        <v>-3.9050345654506935E-2</v>
      </c>
      <c r="O585" s="1">
        <f t="shared" si="1154"/>
        <v>-3.9050345654506935E-2</v>
      </c>
      <c r="P585" s="1">
        <f t="shared" si="1306"/>
        <v>3.9020559782882429E-2</v>
      </c>
      <c r="Q585" s="1">
        <f t="shared" si="1307"/>
        <v>0</v>
      </c>
      <c r="R585" s="1">
        <f t="shared" si="1308"/>
        <v>0.99847507050426354</v>
      </c>
      <c r="S585" s="1">
        <f t="shared" si="1309"/>
        <v>2.7074675320307882</v>
      </c>
      <c r="T585" s="1">
        <f t="shared" ref="T585:V585" si="1333">$S585*P585</f>
        <v>0.10564689869382052</v>
      </c>
      <c r="U585" s="1">
        <f t="shared" si="1333"/>
        <v>0</v>
      </c>
      <c r="V585" s="1">
        <f t="shared" si="1333"/>
        <v>2.7033388349324454</v>
      </c>
      <c r="W585" s="1">
        <f t="shared" si="1311"/>
        <v>-33.35590905040381</v>
      </c>
      <c r="X585" s="1">
        <f t="shared" si="1312"/>
        <v>0</v>
      </c>
      <c r="Y585" s="1">
        <f t="shared" si="1313"/>
        <v>-5.7956283967029796</v>
      </c>
    </row>
    <row r="586" spans="1:25">
      <c r="A586" s="1">
        <v>0.58399999999999996</v>
      </c>
      <c r="B586" s="1">
        <f t="shared" si="1314"/>
        <v>28.040428708584411</v>
      </c>
      <c r="C586" s="1">
        <f t="shared" si="1315"/>
        <v>0</v>
      </c>
      <c r="D586" s="1">
        <f t="shared" si="1316"/>
        <v>0.1002140802864422</v>
      </c>
      <c r="E586" s="1">
        <f t="shared" si="1317"/>
        <v>28.629813044062981</v>
      </c>
      <c r="F586" s="1">
        <f t="shared" si="1318"/>
        <v>0</v>
      </c>
      <c r="G586" s="1">
        <f t="shared" si="1319"/>
        <v>-1.1259566927455242</v>
      </c>
      <c r="H586" s="1">
        <f t="shared" si="1152"/>
        <v>28.651945368716891</v>
      </c>
      <c r="I586" s="1">
        <f t="shared" si="1302"/>
        <v>-33.384045521018564</v>
      </c>
      <c r="J586" s="1">
        <f t="shared" si="1303"/>
        <v>0</v>
      </c>
      <c r="K586" s="1">
        <f t="shared" si="1304"/>
        <v>1.3129317130873475</v>
      </c>
      <c r="L586" s="1">
        <f t="shared" ref="L586:N586" si="1334">E586/$H586</f>
        <v>0.999227545481848</v>
      </c>
      <c r="M586" s="1">
        <f t="shared" si="1334"/>
        <v>0</v>
      </c>
      <c r="N586" s="1">
        <f t="shared" si="1334"/>
        <v>-3.9297739760975524E-2</v>
      </c>
      <c r="O586" s="1">
        <f t="shared" si="1154"/>
        <v>-3.9297739760975524E-2</v>
      </c>
      <c r="P586" s="1">
        <f t="shared" si="1306"/>
        <v>3.9267384044343996E-2</v>
      </c>
      <c r="Q586" s="1">
        <f t="shared" si="1307"/>
        <v>0</v>
      </c>
      <c r="R586" s="1">
        <f t="shared" si="1308"/>
        <v>0.99845568764967862</v>
      </c>
      <c r="S586" s="1">
        <f t="shared" si="1309"/>
        <v>2.7012221665835048</v>
      </c>
      <c r="T586" s="1">
        <f t="shared" ref="T586:V586" si="1335">$S586*P586</f>
        <v>0.10606992820432944</v>
      </c>
      <c r="U586" s="1">
        <f t="shared" si="1335"/>
        <v>0</v>
      </c>
      <c r="V586" s="1">
        <f t="shared" si="1335"/>
        <v>2.697050635830688</v>
      </c>
      <c r="W586" s="1">
        <f t="shared" si="1311"/>
        <v>-33.277975592814236</v>
      </c>
      <c r="X586" s="1">
        <f t="shared" si="1312"/>
        <v>0</v>
      </c>
      <c r="Y586" s="1">
        <f t="shared" si="1313"/>
        <v>-5.7966676510819637</v>
      </c>
    </row>
    <row r="587" spans="1:25">
      <c r="A587" s="1">
        <v>0.58499999999999996</v>
      </c>
      <c r="B587" s="1">
        <f t="shared" si="1314"/>
        <v>28.069025243652881</v>
      </c>
      <c r="C587" s="1">
        <f t="shared" si="1315"/>
        <v>0</v>
      </c>
      <c r="D587" s="1">
        <f t="shared" si="1316"/>
        <v>9.90823269260456E-2</v>
      </c>
      <c r="E587" s="1">
        <f t="shared" si="1317"/>
        <v>28.596535068470168</v>
      </c>
      <c r="F587" s="1">
        <f t="shared" si="1318"/>
        <v>0</v>
      </c>
      <c r="G587" s="1">
        <f t="shared" si="1319"/>
        <v>-1.1317533603966061</v>
      </c>
      <c r="H587" s="1">
        <f t="shared" si="1152"/>
        <v>28.618921775479471</v>
      </c>
      <c r="I587" s="1">
        <f t="shared" si="1302"/>
        <v>-33.306808463016154</v>
      </c>
      <c r="J587" s="1">
        <f t="shared" si="1303"/>
        <v>0</v>
      </c>
      <c r="K587" s="1">
        <f t="shared" si="1304"/>
        <v>1.3181699220499734</v>
      </c>
      <c r="L587" s="1">
        <f t="shared" ref="L587:N587" si="1336">E587/$H587</f>
        <v>0.99921776553341413</v>
      </c>
      <c r="M587" s="1">
        <f t="shared" si="1336"/>
        <v>0</v>
      </c>
      <c r="N587" s="1">
        <f t="shared" si="1336"/>
        <v>-3.9545632406259482E-2</v>
      </c>
      <c r="O587" s="1">
        <f t="shared" si="1154"/>
        <v>-3.9545632406259482E-2</v>
      </c>
      <c r="P587" s="1">
        <f t="shared" si="1306"/>
        <v>3.9514698449588367E-2</v>
      </c>
      <c r="Q587" s="1">
        <f t="shared" si="1307"/>
        <v>0</v>
      </c>
      <c r="R587" s="1">
        <f t="shared" si="1308"/>
        <v>0.99843614295758898</v>
      </c>
      <c r="S587" s="1">
        <f t="shared" si="1309"/>
        <v>2.6949990181292125</v>
      </c>
      <c r="T587" s="1">
        <f t="shared" ref="T587:V587" si="1337">$S587*P587</f>
        <v>0.10649207352331257</v>
      </c>
      <c r="U587" s="1">
        <f t="shared" si="1337"/>
        <v>0</v>
      </c>
      <c r="V587" s="1">
        <f t="shared" si="1337"/>
        <v>2.6907844249354205</v>
      </c>
      <c r="W587" s="1">
        <f t="shared" si="1311"/>
        <v>-33.200316389492841</v>
      </c>
      <c r="X587" s="1">
        <f t="shared" si="1312"/>
        <v>0</v>
      </c>
      <c r="Y587" s="1">
        <f t="shared" si="1313"/>
        <v>-5.7976956530146051</v>
      </c>
    </row>
    <row r="588" spans="1:25">
      <c r="A588" s="1">
        <v>0.58599999999999997</v>
      </c>
      <c r="B588" s="1">
        <f t="shared" si="1314"/>
        <v>28.097588578404963</v>
      </c>
      <c r="C588" s="1">
        <f t="shared" si="1315"/>
        <v>0</v>
      </c>
      <c r="D588" s="1">
        <f t="shared" si="1316"/>
        <v>9.7944775869995976E-2</v>
      </c>
      <c r="E588" s="1">
        <f t="shared" si="1317"/>
        <v>28.563334752080674</v>
      </c>
      <c r="F588" s="1">
        <f t="shared" si="1318"/>
        <v>0</v>
      </c>
      <c r="G588" s="1">
        <f t="shared" si="1319"/>
        <v>-1.1375510560496207</v>
      </c>
      <c r="H588" s="1">
        <f t="shared" si="1152"/>
        <v>28.585977586301627</v>
      </c>
      <c r="I588" s="1">
        <f t="shared" si="1302"/>
        <v>-33.229843504347855</v>
      </c>
      <c r="J588" s="1">
        <f t="shared" si="1303"/>
        <v>0</v>
      </c>
      <c r="K588" s="1">
        <f t="shared" si="1304"/>
        <v>1.3233974218637399</v>
      </c>
      <c r="L588" s="1">
        <f t="shared" ref="L588:N588" si="1338">E588/$H588</f>
        <v>0.99920790414976735</v>
      </c>
      <c r="M588" s="1">
        <f t="shared" si="1338"/>
        <v>0</v>
      </c>
      <c r="N588" s="1">
        <f t="shared" si="1338"/>
        <v>-3.9794023227483884E-2</v>
      </c>
      <c r="O588" s="1">
        <f t="shared" si="1154"/>
        <v>-3.9794023227483884E-2</v>
      </c>
      <c r="P588" s="1">
        <f t="shared" si="1306"/>
        <v>3.9762502546821329E-2</v>
      </c>
      <c r="Q588" s="1">
        <f t="shared" si="1307"/>
        <v>0</v>
      </c>
      <c r="R588" s="1">
        <f t="shared" si="1308"/>
        <v>0.99841643571537042</v>
      </c>
      <c r="S588" s="1">
        <f t="shared" si="1309"/>
        <v>2.688797983949069</v>
      </c>
      <c r="T588" s="1">
        <f t="shared" ref="T588:V588" si="1339">$S588*P588</f>
        <v>0.10691333668466291</v>
      </c>
      <c r="U588" s="1">
        <f t="shared" si="1339"/>
        <v>0</v>
      </c>
      <c r="V588" s="1">
        <f t="shared" si="1339"/>
        <v>2.6845400994931032</v>
      </c>
      <c r="W588" s="1">
        <f t="shared" si="1311"/>
        <v>-33.122930167663192</v>
      </c>
      <c r="X588" s="1">
        <f t="shared" si="1312"/>
        <v>0</v>
      </c>
      <c r="Y588" s="1">
        <f t="shared" si="1313"/>
        <v>-5.7987124786431563</v>
      </c>
    </row>
    <row r="589" spans="1:25">
      <c r="A589" s="1">
        <v>0.58699999999999997</v>
      </c>
      <c r="B589" s="1">
        <f t="shared" si="1314"/>
        <v>28.126118790226876</v>
      </c>
      <c r="C589" s="1">
        <f t="shared" si="1315"/>
        <v>0</v>
      </c>
      <c r="D589" s="1">
        <f t="shared" si="1316"/>
        <v>9.6801426101467705E-2</v>
      </c>
      <c r="E589" s="1">
        <f t="shared" si="1317"/>
        <v>28.53021182191301</v>
      </c>
      <c r="F589" s="1">
        <f t="shared" si="1318"/>
        <v>0</v>
      </c>
      <c r="G589" s="1">
        <f t="shared" si="1319"/>
        <v>-1.1433497685282639</v>
      </c>
      <c r="H589" s="1">
        <f t="shared" si="1152"/>
        <v>28.553112532549203</v>
      </c>
      <c r="I589" s="1">
        <f t="shared" si="1302"/>
        <v>-33.153149381659922</v>
      </c>
      <c r="J589" s="1">
        <f t="shared" si="1303"/>
        <v>0</v>
      </c>
      <c r="K589" s="1">
        <f t="shared" si="1304"/>
        <v>1.3286142391130056</v>
      </c>
      <c r="L589" s="1">
        <f t="shared" ref="L589:N589" si="1340">E589/$H589</f>
        <v>0.99919796097150226</v>
      </c>
      <c r="M589" s="1">
        <f t="shared" si="1340"/>
        <v>0</v>
      </c>
      <c r="N589" s="1">
        <f t="shared" si="1340"/>
        <v>-4.0042911862057037E-2</v>
      </c>
      <c r="O589" s="1">
        <f t="shared" si="1154"/>
        <v>-4.0042911862057037E-2</v>
      </c>
      <c r="P589" s="1">
        <f t="shared" si="1306"/>
        <v>4.0010795883928973E-2</v>
      </c>
      <c r="Q589" s="1">
        <f t="shared" si="1307"/>
        <v>0</v>
      </c>
      <c r="R589" s="1">
        <f t="shared" si="1308"/>
        <v>0.99839656520960751</v>
      </c>
      <c r="S589" s="1">
        <f t="shared" si="1309"/>
        <v>2.6826189619211065</v>
      </c>
      <c r="T589" s="1">
        <f t="shared" ref="T589:V589" si="1341">$S589*P589</f>
        <v>0.10733371971978282</v>
      </c>
      <c r="U589" s="1">
        <f t="shared" si="1341"/>
        <v>0</v>
      </c>
      <c r="V589" s="1">
        <f t="shared" si="1341"/>
        <v>2.6783175573481954</v>
      </c>
      <c r="W589" s="1">
        <f t="shared" si="1311"/>
        <v>-33.045815661940139</v>
      </c>
      <c r="X589" s="1">
        <f t="shared" si="1312"/>
        <v>0</v>
      </c>
      <c r="Y589" s="1">
        <f t="shared" si="1313"/>
        <v>-5.7997182035387986</v>
      </c>
    </row>
    <row r="590" spans="1:25">
      <c r="A590" s="1">
        <v>0.58799999999999997</v>
      </c>
      <c r="B590" s="1">
        <f t="shared" si="1314"/>
        <v>28.154615956233126</v>
      </c>
      <c r="C590" s="1">
        <f t="shared" si="1315"/>
        <v>0</v>
      </c>
      <c r="D590" s="1">
        <f t="shared" si="1316"/>
        <v>9.5652276614735909E-2</v>
      </c>
      <c r="E590" s="1">
        <f t="shared" si="1317"/>
        <v>28.497166006251071</v>
      </c>
      <c r="F590" s="1">
        <f t="shared" si="1318"/>
        <v>0</v>
      </c>
      <c r="G590" s="1">
        <f t="shared" si="1319"/>
        <v>-1.1491494867318026</v>
      </c>
      <c r="H590" s="1">
        <f t="shared" si="1152"/>
        <v>28.520326346847568</v>
      </c>
      <c r="I590" s="1">
        <f t="shared" si="1302"/>
        <v>-33.076724838935924</v>
      </c>
      <c r="J590" s="1">
        <f t="shared" si="1303"/>
        <v>0</v>
      </c>
      <c r="K590" s="1">
        <f t="shared" si="1304"/>
        <v>1.3338204003547045</v>
      </c>
      <c r="L590" s="1">
        <f t="shared" ref="L590:N590" si="1342">E590/$H590</f>
        <v>0.99918793563878494</v>
      </c>
      <c r="M590" s="1">
        <f t="shared" si="1342"/>
        <v>0</v>
      </c>
      <c r="N590" s="1">
        <f t="shared" si="1342"/>
        <v>-4.0292297947664313E-2</v>
      </c>
      <c r="O590" s="1">
        <f t="shared" si="1154"/>
        <v>-4.0292297947664313E-2</v>
      </c>
      <c r="P590" s="1">
        <f t="shared" si="1306"/>
        <v>4.0259578008469556E-2</v>
      </c>
      <c r="Q590" s="1">
        <f t="shared" si="1307"/>
        <v>0</v>
      </c>
      <c r="R590" s="1">
        <f t="shared" si="1308"/>
        <v>0.99837653072609667</v>
      </c>
      <c r="S590" s="1">
        <f t="shared" si="1309"/>
        <v>2.6764618505160729</v>
      </c>
      <c r="T590" s="1">
        <f t="shared" ref="T590:V590" si="1343">$S590*P590</f>
        <v>0.10775322465754462</v>
      </c>
      <c r="U590" s="1">
        <f t="shared" si="1343"/>
        <v>0</v>
      </c>
      <c r="V590" s="1">
        <f t="shared" si="1343"/>
        <v>2.6721166969389856</v>
      </c>
      <c r="W590" s="1">
        <f t="shared" si="1311"/>
        <v>-32.968971614278381</v>
      </c>
      <c r="X590" s="1">
        <f t="shared" si="1312"/>
        <v>0</v>
      </c>
      <c r="Y590" s="1">
        <f t="shared" si="1313"/>
        <v>-5.8007129027063096</v>
      </c>
    </row>
    <row r="591" spans="1:25">
      <c r="A591" s="1">
        <v>0.58899999999999997</v>
      </c>
      <c r="B591" s="1">
        <f t="shared" si="1314"/>
        <v>28.183080153267763</v>
      </c>
      <c r="C591" s="1">
        <f t="shared" si="1315"/>
        <v>0</v>
      </c>
      <c r="D591" s="1">
        <f t="shared" si="1316"/>
        <v>9.4497326415101404E-2</v>
      </c>
      <c r="E591" s="1">
        <f t="shared" si="1317"/>
        <v>28.464197034636793</v>
      </c>
      <c r="F591" s="1">
        <f t="shared" si="1318"/>
        <v>0</v>
      </c>
      <c r="G591" s="1">
        <f t="shared" si="1319"/>
        <v>-1.1549501996345088</v>
      </c>
      <c r="H591" s="1">
        <f t="shared" si="1152"/>
        <v>28.487618763074281</v>
      </c>
      <c r="I591" s="1">
        <f t="shared" si="1302"/>
        <v>-33.000568627445567</v>
      </c>
      <c r="J591" s="1">
        <f t="shared" si="1303"/>
        <v>0</v>
      </c>
      <c r="K591" s="1">
        <f t="shared" si="1304"/>
        <v>1.3390159321178585</v>
      </c>
      <c r="L591" s="1">
        <f t="shared" ref="L591:N591" si="1344">E591/$H591</f>
        <v>0.99917782779135456</v>
      </c>
      <c r="M591" s="1">
        <f t="shared" si="1344"/>
        <v>0</v>
      </c>
      <c r="N591" s="1">
        <f t="shared" si="1344"/>
        <v>-4.0542181122262072E-2</v>
      </c>
      <c r="O591" s="1">
        <f t="shared" si="1154"/>
        <v>-4.0542181122262072E-2</v>
      </c>
      <c r="P591" s="1">
        <f t="shared" si="1306"/>
        <v>4.0508848467665476E-2</v>
      </c>
      <c r="Q591" s="1">
        <f t="shared" si="1307"/>
        <v>0</v>
      </c>
      <c r="R591" s="1">
        <f t="shared" si="1308"/>
        <v>0.99835633154984971</v>
      </c>
      <c r="S591" s="1">
        <f t="shared" si="1309"/>
        <v>2.6703265487933017</v>
      </c>
      <c r="T591" s="1">
        <f t="shared" ref="T591:V591" si="1345">$S591*P591</f>
        <v>0.10817185352425197</v>
      </c>
      <c r="U591" s="1">
        <f t="shared" si="1345"/>
        <v>0</v>
      </c>
      <c r="V591" s="1">
        <f t="shared" si="1345"/>
        <v>2.6659374172934514</v>
      </c>
      <c r="W591" s="1">
        <f t="shared" si="1311"/>
        <v>-32.892396773921313</v>
      </c>
      <c r="X591" s="1">
        <f t="shared" si="1312"/>
        <v>0</v>
      </c>
      <c r="Y591" s="1">
        <f t="shared" si="1313"/>
        <v>-5.8016966505886893</v>
      </c>
    </row>
    <row r="592" spans="1:25">
      <c r="A592" s="1">
        <v>0.59</v>
      </c>
      <c r="B592" s="1">
        <f t="shared" si="1314"/>
        <v>28.211511457905626</v>
      </c>
      <c r="C592" s="1">
        <f t="shared" si="1315"/>
        <v>0</v>
      </c>
      <c r="D592" s="1">
        <f t="shared" si="1316"/>
        <v>9.3336574518816301E-2</v>
      </c>
      <c r="E592" s="1">
        <f t="shared" si="1317"/>
        <v>28.431304637862873</v>
      </c>
      <c r="F592" s="1">
        <f t="shared" si="1318"/>
        <v>0</v>
      </c>
      <c r="G592" s="1">
        <f t="shared" si="1319"/>
        <v>-1.1607518962850976</v>
      </c>
      <c r="H592" s="1">
        <f t="shared" si="1152"/>
        <v>28.454989516351826</v>
      </c>
      <c r="I592" s="1">
        <f t="shared" si="1302"/>
        <v>-32.924679505694129</v>
      </c>
      <c r="J592" s="1">
        <f t="shared" si="1303"/>
        <v>0</v>
      </c>
      <c r="K592" s="1">
        <f t="shared" si="1304"/>
        <v>1.3442008609030993</v>
      </c>
      <c r="L592" s="1">
        <f t="shared" ref="L592:N592" si="1346">E592/$H592</f>
        <v>0.99916763706852385</v>
      </c>
      <c r="M592" s="1">
        <f t="shared" si="1346"/>
        <v>0</v>
      </c>
      <c r="N592" s="1">
        <f t="shared" si="1346"/>
        <v>-4.0792561024071534E-2</v>
      </c>
      <c r="O592" s="1">
        <f t="shared" si="1154"/>
        <v>-4.0792561024071534E-2</v>
      </c>
      <c r="P592" s="1">
        <f t="shared" si="1306"/>
        <v>4.0758606808395118E-2</v>
      </c>
      <c r="Q592" s="1">
        <f t="shared" si="1307"/>
        <v>0</v>
      </c>
      <c r="R592" s="1">
        <f t="shared" si="1308"/>
        <v>0.99833596696509741</v>
      </c>
      <c r="S592" s="1">
        <f t="shared" si="1309"/>
        <v>2.6642129563966268</v>
      </c>
      <c r="T592" s="1">
        <f t="shared" ref="T592:V592" si="1347">$S592*P592</f>
        <v>0.10858960834360204</v>
      </c>
      <c r="U592" s="1">
        <f t="shared" si="1347"/>
        <v>0</v>
      </c>
      <c r="V592" s="1">
        <f t="shared" si="1347"/>
        <v>2.6597796180251674</v>
      </c>
      <c r="W592" s="1">
        <f t="shared" si="1311"/>
        <v>-32.81608989735053</v>
      </c>
      <c r="X592" s="1">
        <f t="shared" si="1312"/>
        <v>0</v>
      </c>
      <c r="Y592" s="1">
        <f t="shared" si="1313"/>
        <v>-5.8026695210717332</v>
      </c>
    </row>
    <row r="593" spans="1:25">
      <c r="A593" s="1">
        <v>0.59099999999999997</v>
      </c>
      <c r="B593" s="1">
        <f t="shared" si="1314"/>
        <v>28.23990994645359</v>
      </c>
      <c r="C593" s="1">
        <f t="shared" si="1315"/>
        <v>0</v>
      </c>
      <c r="D593" s="1">
        <f t="shared" si="1316"/>
        <v>9.2170019953010135E-2</v>
      </c>
      <c r="E593" s="1">
        <f t="shared" si="1317"/>
        <v>28.39848854796552</v>
      </c>
      <c r="F593" s="1">
        <f t="shared" si="1318"/>
        <v>0</v>
      </c>
      <c r="G593" s="1">
        <f t="shared" si="1319"/>
        <v>-1.1665545658061693</v>
      </c>
      <c r="H593" s="1">
        <f t="shared" si="1152"/>
        <v>28.42243834304038</v>
      </c>
      <c r="I593" s="1">
        <f t="shared" si="1302"/>
        <v>-32.849056239372111</v>
      </c>
      <c r="J593" s="1">
        <f t="shared" si="1303"/>
        <v>0</v>
      </c>
      <c r="K593" s="1">
        <f t="shared" si="1304"/>
        <v>1.3493752131821977</v>
      </c>
      <c r="L593" s="1">
        <f t="shared" ref="L593:N593" si="1348">E593/$H593</f>
        <v>0.99915736310918157</v>
      </c>
      <c r="M593" s="1">
        <f t="shared" si="1348"/>
        <v>0</v>
      </c>
      <c r="N593" s="1">
        <f t="shared" si="1348"/>
        <v>-4.1043437291572699E-2</v>
      </c>
      <c r="O593" s="1">
        <f t="shared" si="1154"/>
        <v>-4.1043437291572699E-2</v>
      </c>
      <c r="P593" s="1">
        <f t="shared" si="1306"/>
        <v>4.1008852577184826E-2</v>
      </c>
      <c r="Q593" s="1">
        <f t="shared" si="1307"/>
        <v>0</v>
      </c>
      <c r="R593" s="1">
        <f t="shared" si="1308"/>
        <v>0.99831543625529273</v>
      </c>
      <c r="S593" s="1">
        <f t="shared" si="1309"/>
        <v>2.6581209735503166</v>
      </c>
      <c r="T593" s="1">
        <f t="shared" ref="T593:V593" si="1349">$S593*P593</f>
        <v>0.10900649113664794</v>
      </c>
      <c r="U593" s="1">
        <f t="shared" si="1349"/>
        <v>0</v>
      </c>
      <c r="V593" s="1">
        <f t="shared" si="1349"/>
        <v>2.653643199329228</v>
      </c>
      <c r="W593" s="1">
        <f t="shared" si="1311"/>
        <v>-32.740049748235464</v>
      </c>
      <c r="X593" s="1">
        <f t="shared" si="1312"/>
        <v>0</v>
      </c>
      <c r="Y593" s="1">
        <f t="shared" si="1313"/>
        <v>-5.8036315874885736</v>
      </c>
    </row>
    <row r="594" spans="1:25">
      <c r="A594" s="1">
        <v>0.59199999999999997</v>
      </c>
      <c r="B594" s="1">
        <f t="shared" si="1314"/>
        <v>28.268275694951807</v>
      </c>
      <c r="C594" s="1">
        <f t="shared" si="1315"/>
        <v>0</v>
      </c>
      <c r="D594" s="1">
        <f t="shared" si="1316"/>
        <v>9.099766175561648E-2</v>
      </c>
      <c r="E594" s="1">
        <f t="shared" si="1317"/>
        <v>28.365748498217286</v>
      </c>
      <c r="F594" s="1">
        <f t="shared" si="1318"/>
        <v>0</v>
      </c>
      <c r="G594" s="1">
        <f t="shared" si="1319"/>
        <v>-1.1723581973936579</v>
      </c>
      <c r="H594" s="1">
        <f t="shared" si="1152"/>
        <v>28.389964980730646</v>
      </c>
      <c r="I594" s="1">
        <f t="shared" si="1302"/>
        <v>-32.773697601305415</v>
      </c>
      <c r="J594" s="1">
        <f t="shared" si="1303"/>
        <v>0</v>
      </c>
      <c r="K594" s="1">
        <f t="shared" si="1304"/>
        <v>1.3545390153976027</v>
      </c>
      <c r="L594" s="1">
        <f t="shared" ref="L594:N594" si="1350">E594/$H594</f>
        <v>0.99914700555179281</v>
      </c>
      <c r="M594" s="1">
        <f t="shared" si="1350"/>
        <v>0</v>
      </c>
      <c r="N594" s="1">
        <f t="shared" si="1350"/>
        <v>-4.1294809563498305E-2</v>
      </c>
      <c r="O594" s="1">
        <f t="shared" si="1154"/>
        <v>-4.1294809563498305E-2</v>
      </c>
      <c r="P594" s="1">
        <f t="shared" si="1306"/>
        <v>4.1259585320200867E-2</v>
      </c>
      <c r="Q594" s="1">
        <f t="shared" si="1307"/>
        <v>0</v>
      </c>
      <c r="R594" s="1">
        <f t="shared" si="1308"/>
        <v>0.99829473870311436</v>
      </c>
      <c r="S594" s="1">
        <f t="shared" si="1309"/>
        <v>2.6520505010550544</v>
      </c>
      <c r="T594" s="1">
        <f t="shared" ref="T594:V594" si="1351">$S594*P594</f>
        <v>0.10942250392176248</v>
      </c>
      <c r="U594" s="1">
        <f t="shared" si="1351"/>
        <v>0</v>
      </c>
      <c r="V594" s="1">
        <f t="shared" si="1351"/>
        <v>2.6475280619782189</v>
      </c>
      <c r="W594" s="1">
        <f t="shared" si="1311"/>
        <v>-32.664275097383651</v>
      </c>
      <c r="X594" s="1">
        <f t="shared" si="1312"/>
        <v>0</v>
      </c>
      <c r="Y594" s="1">
        <f t="shared" si="1313"/>
        <v>-5.8045829226241779</v>
      </c>
    </row>
    <row r="595" spans="1:25">
      <c r="A595" s="1">
        <v>0.59299999999999997</v>
      </c>
      <c r="B595" s="1">
        <f t="shared" si="1314"/>
        <v>28.296608779174928</v>
      </c>
      <c r="C595" s="1">
        <f t="shared" si="1315"/>
        <v>0</v>
      </c>
      <c r="D595" s="1">
        <f t="shared" si="1316"/>
        <v>8.9819498975300199E-2</v>
      </c>
      <c r="E595" s="1">
        <f t="shared" si="1317"/>
        <v>28.333084223119901</v>
      </c>
      <c r="F595" s="1">
        <f t="shared" si="1318"/>
        <v>0</v>
      </c>
      <c r="G595" s="1">
        <f t="shared" si="1319"/>
        <v>-1.178162780316282</v>
      </c>
      <c r="H595" s="1">
        <f t="shared" si="1152"/>
        <v>28.357569168236694</v>
      </c>
      <c r="I595" s="1">
        <f t="shared" si="1302"/>
        <v>-32.698602371405862</v>
      </c>
      <c r="J595" s="1">
        <f t="shared" si="1303"/>
        <v>0</v>
      </c>
      <c r="K595" s="1">
        <f t="shared" si="1304"/>
        <v>1.3596922939619875</v>
      </c>
      <c r="L595" s="1">
        <f t="shared" ref="L595:N595" si="1352">E595/$H595</f>
        <v>0.99913656403440188</v>
      </c>
      <c r="M595" s="1">
        <f t="shared" si="1352"/>
        <v>0</v>
      </c>
      <c r="N595" s="1">
        <f t="shared" si="1352"/>
        <v>-4.1546677478827836E-2</v>
      </c>
      <c r="O595" s="1">
        <f t="shared" si="1154"/>
        <v>-4.1546677478827836E-2</v>
      </c>
      <c r="P595" s="1">
        <f t="shared" si="1306"/>
        <v>4.1510804583241509E-2</v>
      </c>
      <c r="Q595" s="1">
        <f t="shared" si="1307"/>
        <v>0</v>
      </c>
      <c r="R595" s="1">
        <f t="shared" si="1308"/>
        <v>0.99827387359047026</v>
      </c>
      <c r="S595" s="1">
        <f t="shared" si="1309"/>
        <v>2.6460014402839334</v>
      </c>
      <c r="T595" s="1">
        <f t="shared" ref="T595:V595" si="1353">$S595*P595</f>
        <v>0.10983764871460193</v>
      </c>
      <c r="U595" s="1">
        <f t="shared" si="1353"/>
        <v>0</v>
      </c>
      <c r="V595" s="1">
        <f t="shared" si="1353"/>
        <v>2.6414341073182057</v>
      </c>
      <c r="W595" s="1">
        <f t="shared" si="1311"/>
        <v>-32.588764722691259</v>
      </c>
      <c r="X595" s="1">
        <f t="shared" si="1312"/>
        <v>0</v>
      </c>
      <c r="Y595" s="1">
        <f t="shared" si="1313"/>
        <v>-5.8055235987198062</v>
      </c>
    </row>
    <row r="596" spans="1:25">
      <c r="A596" s="1">
        <v>0.59399999999999997</v>
      </c>
      <c r="B596" s="1">
        <f t="shared" si="1314"/>
        <v>28.324909274633324</v>
      </c>
      <c r="C596" s="1">
        <f t="shared" si="1315"/>
        <v>0</v>
      </c>
      <c r="D596" s="1">
        <f t="shared" si="1316"/>
        <v>8.8635530671385201E-2</v>
      </c>
      <c r="E596" s="1">
        <f t="shared" si="1317"/>
        <v>28.300495458397208</v>
      </c>
      <c r="F596" s="1">
        <f t="shared" si="1318"/>
        <v>0</v>
      </c>
      <c r="G596" s="1">
        <f t="shared" si="1319"/>
        <v>-1.1839683039150017</v>
      </c>
      <c r="H596" s="1">
        <f t="shared" si="1152"/>
        <v>28.325250645588934</v>
      </c>
      <c r="I596" s="1">
        <f t="shared" si="1302"/>
        <v>-32.623769336622154</v>
      </c>
      <c r="J596" s="1">
        <f t="shared" si="1303"/>
        <v>0</v>
      </c>
      <c r="K596" s="1">
        <f t="shared" si="1304"/>
        <v>1.3648350752578069</v>
      </c>
      <c r="L596" s="1">
        <f t="shared" ref="L596:N596" si="1354">E596/$H596</f>
        <v>0.99912603819463175</v>
      </c>
      <c r="M596" s="1">
        <f t="shared" si="1354"/>
        <v>0</v>
      </c>
      <c r="N596" s="1">
        <f t="shared" si="1354"/>
        <v>-4.1799040676781446E-2</v>
      </c>
      <c r="O596" s="1">
        <f t="shared" si="1154"/>
        <v>-4.1799040676781446E-2</v>
      </c>
      <c r="P596" s="1">
        <f t="shared" si="1306"/>
        <v>4.1762509911728904E-2</v>
      </c>
      <c r="Q596" s="1">
        <f t="shared" si="1307"/>
        <v>0</v>
      </c>
      <c r="R596" s="1">
        <f t="shared" si="1308"/>
        <v>0.9982528401985008</v>
      </c>
      <c r="S596" s="1">
        <f t="shared" si="1309"/>
        <v>2.6399736931785083</v>
      </c>
      <c r="T596" s="1">
        <f t="shared" ref="T596:V596" si="1355">$S596*P596</f>
        <v>0.11025192752807102</v>
      </c>
      <c r="U596" s="1">
        <f t="shared" si="1355"/>
        <v>0</v>
      </c>
      <c r="V596" s="1">
        <f t="shared" si="1355"/>
        <v>2.6353612372647715</v>
      </c>
      <c r="W596" s="1">
        <f t="shared" si="1311"/>
        <v>-32.513517409094085</v>
      </c>
      <c r="X596" s="1">
        <f t="shared" si="1312"/>
        <v>0</v>
      </c>
      <c r="Y596" s="1">
        <f t="shared" si="1313"/>
        <v>-5.8064536874774211</v>
      </c>
    </row>
    <row r="597" spans="1:25">
      <c r="A597" s="1">
        <v>0.59499999999999997</v>
      </c>
      <c r="B597" s="1">
        <f t="shared" si="1314"/>
        <v>28.353177256574313</v>
      </c>
      <c r="C597" s="1">
        <f t="shared" si="1315"/>
        <v>0</v>
      </c>
      <c r="D597" s="1">
        <f t="shared" si="1316"/>
        <v>8.7445755913782716E-2</v>
      </c>
      <c r="E597" s="1">
        <f t="shared" si="1317"/>
        <v>28.267981940988115</v>
      </c>
      <c r="F597" s="1">
        <f t="shared" si="1318"/>
        <v>0</v>
      </c>
      <c r="G597" s="1">
        <f t="shared" si="1319"/>
        <v>-1.1897747576024791</v>
      </c>
      <c r="H597" s="1">
        <f t="shared" si="1152"/>
        <v>28.293009154027047</v>
      </c>
      <c r="I597" s="1">
        <f t="shared" si="1302"/>
        <v>-32.549197290891222</v>
      </c>
      <c r="J597" s="1">
        <f t="shared" si="1303"/>
        <v>0</v>
      </c>
      <c r="K597" s="1">
        <f t="shared" si="1304"/>
        <v>1.369967385636857</v>
      </c>
      <c r="L597" s="1">
        <f t="shared" ref="L597:N597" si="1356">E597/$H597</f>
        <v>0.99911542766968742</v>
      </c>
      <c r="M597" s="1">
        <f t="shared" si="1356"/>
        <v>0</v>
      </c>
      <c r="N597" s="1">
        <f t="shared" si="1356"/>
        <v>-4.2051898796814056E-2</v>
      </c>
      <c r="O597" s="1">
        <f t="shared" si="1154"/>
        <v>-4.2051898796814056E-2</v>
      </c>
      <c r="P597" s="1">
        <f t="shared" si="1306"/>
        <v>4.2014700850701289E-2</v>
      </c>
      <c r="Q597" s="1">
        <f t="shared" si="1307"/>
        <v>0</v>
      </c>
      <c r="R597" s="1">
        <f t="shared" si="1308"/>
        <v>0.99823163780758251</v>
      </c>
      <c r="S597" s="1">
        <f t="shared" si="1309"/>
        <v>2.6339671622448577</v>
      </c>
      <c r="T597" s="1">
        <f t="shared" ref="T597:V597" si="1357">$S597*P597</f>
        <v>0.11066534237228828</v>
      </c>
      <c r="U597" s="1">
        <f t="shared" si="1357"/>
        <v>0</v>
      </c>
      <c r="V597" s="1">
        <f t="shared" si="1357"/>
        <v>2.6293093542990746</v>
      </c>
      <c r="W597" s="1">
        <f t="shared" si="1311"/>
        <v>-32.438531948518936</v>
      </c>
      <c r="X597" s="1">
        <f t="shared" si="1312"/>
        <v>0</v>
      </c>
      <c r="Y597" s="1">
        <f t="shared" si="1313"/>
        <v>-5.8073732600640682</v>
      </c>
    </row>
    <row r="598" spans="1:25">
      <c r="A598" s="1">
        <v>0.59599999999999997</v>
      </c>
      <c r="B598" s="1">
        <f t="shared" si="1314"/>
        <v>28.381412799983352</v>
      </c>
      <c r="C598" s="1">
        <f t="shared" si="1315"/>
        <v>0</v>
      </c>
      <c r="D598" s="1">
        <f t="shared" si="1316"/>
        <v>8.6250173782920173E-2</v>
      </c>
      <c r="E598" s="1">
        <f t="shared" si="1317"/>
        <v>28.235543409039597</v>
      </c>
      <c r="F598" s="1">
        <f t="shared" si="1318"/>
        <v>0</v>
      </c>
      <c r="G598" s="1">
        <f t="shared" si="1319"/>
        <v>-1.1955821308625432</v>
      </c>
      <c r="H598" s="1">
        <f t="shared" si="1152"/>
        <v>28.260844435993011</v>
      </c>
      <c r="I598" s="1">
        <f t="shared" si="1302"/>
        <v>-32.474885035089905</v>
      </c>
      <c r="J598" s="1">
        <f t="shared" si="1303"/>
        <v>0</v>
      </c>
      <c r="K598" s="1">
        <f t="shared" si="1304"/>
        <v>1.3750892514198487</v>
      </c>
      <c r="L598" s="1">
        <f t="shared" ref="L598:N598" si="1358">E598/$H598</f>
        <v>0.9991047320963562</v>
      </c>
      <c r="M598" s="1">
        <f t="shared" si="1358"/>
        <v>0</v>
      </c>
      <c r="N598" s="1">
        <f t="shared" si="1358"/>
        <v>-4.2305251478609383E-2</v>
      </c>
      <c r="O598" s="1">
        <f t="shared" si="1154"/>
        <v>-4.2305251478609383E-2</v>
      </c>
      <c r="P598" s="1">
        <f t="shared" si="1306"/>
        <v>4.2267376944805007E-2</v>
      </c>
      <c r="Q598" s="1">
        <f t="shared" si="1307"/>
        <v>0</v>
      </c>
      <c r="R598" s="1">
        <f t="shared" si="1308"/>
        <v>0.99821026569733162</v>
      </c>
      <c r="S598" s="1">
        <f t="shared" si="1309"/>
        <v>2.6279817505496843</v>
      </c>
      <c r="T598" s="1">
        <f t="shared" ref="T598:V598" si="1359">$S598*P598</f>
        <v>0.11107789525455203</v>
      </c>
      <c r="U598" s="1">
        <f t="shared" si="1359"/>
        <v>0</v>
      </c>
      <c r="V598" s="1">
        <f t="shared" si="1359"/>
        <v>2.6232783614639392</v>
      </c>
      <c r="W598" s="1">
        <f t="shared" si="1311"/>
        <v>-32.363807139835352</v>
      </c>
      <c r="X598" s="1">
        <f t="shared" si="1312"/>
        <v>0</v>
      </c>
      <c r="Y598" s="1">
        <f t="shared" si="1313"/>
        <v>-5.8082823871162113</v>
      </c>
    </row>
    <row r="599" spans="1:25">
      <c r="A599" s="1">
        <v>0.59699999999999998</v>
      </c>
      <c r="B599" s="1">
        <f t="shared" si="1314"/>
        <v>28.409615979585251</v>
      </c>
      <c r="C599" s="1">
        <f t="shared" si="1315"/>
        <v>0</v>
      </c>
      <c r="D599" s="1">
        <f t="shared" si="1316"/>
        <v>8.5048783369670519E-2</v>
      </c>
      <c r="E599" s="1">
        <f t="shared" si="1317"/>
        <v>28.203179601899762</v>
      </c>
      <c r="F599" s="1">
        <f t="shared" si="1318"/>
        <v>0</v>
      </c>
      <c r="G599" s="1">
        <f t="shared" si="1319"/>
        <v>-1.2013904132496593</v>
      </c>
      <c r="H599" s="1">
        <f t="shared" si="1152"/>
        <v>28.228756235124195</v>
      </c>
      <c r="I599" s="1">
        <f t="shared" si="1302"/>
        <v>-32.400831376987107</v>
      </c>
      <c r="J599" s="1">
        <f t="shared" si="1303"/>
        <v>0</v>
      </c>
      <c r="K599" s="1">
        <f t="shared" si="1304"/>
        <v>1.3802006988959861</v>
      </c>
      <c r="L599" s="1">
        <f t="shared" ref="L599:N599" si="1360">E599/$H599</f>
        <v>0.99909395111100896</v>
      </c>
      <c r="M599" s="1">
        <f t="shared" si="1360"/>
        <v>0</v>
      </c>
      <c r="N599" s="1">
        <f t="shared" si="1360"/>
        <v>-4.2559098362073965E-2</v>
      </c>
      <c r="O599" s="1">
        <f t="shared" si="1154"/>
        <v>-4.2559098362073965E-2</v>
      </c>
      <c r="P599" s="1">
        <f t="shared" si="1306"/>
        <v>4.2520537738286547E-2</v>
      </c>
      <c r="Q599" s="1">
        <f t="shared" si="1307"/>
        <v>0</v>
      </c>
      <c r="R599" s="1">
        <f t="shared" si="1308"/>
        <v>0.99818872314660734</v>
      </c>
      <c r="S599" s="1">
        <f t="shared" si="1309"/>
        <v>2.6220173617164559</v>
      </c>
      <c r="T599" s="1">
        <f t="shared" ref="T599:V599" si="1361">$S599*P599</f>
        <v>0.1114895881793071</v>
      </c>
      <c r="U599" s="1">
        <f t="shared" si="1361"/>
        <v>0</v>
      </c>
      <c r="V599" s="1">
        <f t="shared" si="1361"/>
        <v>2.6172681623599852</v>
      </c>
      <c r="W599" s="1">
        <f t="shared" si="1311"/>
        <v>-32.289341788807796</v>
      </c>
      <c r="X599" s="1">
        <f t="shared" si="1312"/>
        <v>0</v>
      </c>
      <c r="Y599" s="1">
        <f t="shared" si="1313"/>
        <v>-5.8091811387440284</v>
      </c>
    </row>
    <row r="600" spans="1:25">
      <c r="A600" s="1">
        <v>0.59799999999999998</v>
      </c>
      <c r="B600" s="1">
        <f t="shared" si="1314"/>
        <v>28.437786869845361</v>
      </c>
      <c r="C600" s="1">
        <f t="shared" si="1315"/>
        <v>0</v>
      </c>
      <c r="D600" s="1">
        <f t="shared" si="1316"/>
        <v>8.3841583775282114E-2</v>
      </c>
      <c r="E600" s="1">
        <f t="shared" si="1317"/>
        <v>28.170890260110955</v>
      </c>
      <c r="F600" s="1">
        <f t="shared" si="1318"/>
        <v>0</v>
      </c>
      <c r="G600" s="1">
        <f t="shared" si="1319"/>
        <v>-1.2071995943884033</v>
      </c>
      <c r="H600" s="1">
        <f t="shared" si="1152"/>
        <v>28.196744296246433</v>
      </c>
      <c r="I600" s="1">
        <f t="shared" si="1302"/>
        <v>-32.327035131196318</v>
      </c>
      <c r="J600" s="1">
        <f t="shared" si="1303"/>
        <v>0</v>
      </c>
      <c r="K600" s="1">
        <f t="shared" si="1304"/>
        <v>1.3853017543225543</v>
      </c>
      <c r="L600" s="1">
        <f t="shared" ref="L600:N600" si="1362">E600/$H600</f>
        <v>0.9990830843496028</v>
      </c>
      <c r="M600" s="1">
        <f t="shared" si="1362"/>
        <v>0</v>
      </c>
      <c r="N600" s="1">
        <f t="shared" si="1362"/>
        <v>-4.2813439087331311E-2</v>
      </c>
      <c r="O600" s="1">
        <f t="shared" si="1154"/>
        <v>-4.2813439087331311E-2</v>
      </c>
      <c r="P600" s="1">
        <f t="shared" si="1306"/>
        <v>4.2774182774984806E-2</v>
      </c>
      <c r="Q600" s="1">
        <f t="shared" si="1307"/>
        <v>0</v>
      </c>
      <c r="R600" s="1">
        <f t="shared" si="1308"/>
        <v>0.99816700943351533</v>
      </c>
      <c r="S600" s="1">
        <f t="shared" si="1309"/>
        <v>2.6160738999215614</v>
      </c>
      <c r="T600" s="1">
        <f t="shared" ref="T600:V600" si="1363">$S600*P600</f>
        <v>0.11190042314811217</v>
      </c>
      <c r="U600" s="1">
        <f t="shared" si="1363"/>
        <v>0</v>
      </c>
      <c r="V600" s="1">
        <f t="shared" si="1363"/>
        <v>2.6112786611417782</v>
      </c>
      <c r="W600" s="1">
        <f t="shared" si="1311"/>
        <v>-32.215134708048204</v>
      </c>
      <c r="X600" s="1">
        <f t="shared" si="1312"/>
        <v>0</v>
      </c>
      <c r="Y600" s="1">
        <f t="shared" si="1313"/>
        <v>-5.8100695845356665</v>
      </c>
    </row>
    <row r="601" spans="1:25">
      <c r="A601" s="1">
        <v>0.59899999999999998</v>
      </c>
      <c r="B601" s="1">
        <f t="shared" si="1314"/>
        <v>28.465925544970762</v>
      </c>
      <c r="C601" s="1">
        <f t="shared" si="1315"/>
        <v>0</v>
      </c>
      <c r="D601" s="1">
        <f t="shared" si="1316"/>
        <v>8.262857411130918E-2</v>
      </c>
      <c r="E601" s="1">
        <f t="shared" si="1317"/>
        <v>28.138675125402905</v>
      </c>
      <c r="F601" s="1">
        <f t="shared" si="1318"/>
        <v>0</v>
      </c>
      <c r="G601" s="1">
        <f t="shared" si="1319"/>
        <v>-1.2130096639729389</v>
      </c>
      <c r="H601" s="1">
        <f t="shared" si="1152"/>
        <v>28.164808365367232</v>
      </c>
      <c r="I601" s="1">
        <f t="shared" si="1302"/>
        <v>-32.253495119128452</v>
      </c>
      <c r="J601" s="1">
        <f t="shared" si="1303"/>
        <v>0</v>
      </c>
      <c r="K601" s="1">
        <f t="shared" si="1304"/>
        <v>1.3903924439245123</v>
      </c>
      <c r="L601" s="1">
        <f t="shared" ref="L601:N601" si="1364">E601/$H601</f>
        <v>0.99907213144768059</v>
      </c>
      <c r="M601" s="1">
        <f t="shared" si="1364"/>
        <v>0</v>
      </c>
      <c r="N601" s="1">
        <f t="shared" si="1364"/>
        <v>-4.3068273294715985E-2</v>
      </c>
      <c r="O601" s="1">
        <f t="shared" si="1154"/>
        <v>-4.3068273294715985E-2</v>
      </c>
      <c r="P601" s="1">
        <f t="shared" si="1306"/>
        <v>4.302831159832312E-2</v>
      </c>
      <c r="Q601" s="1">
        <f t="shared" si="1307"/>
        <v>0</v>
      </c>
      <c r="R601" s="1">
        <f t="shared" si="1308"/>
        <v>0.99814512383541165</v>
      </c>
      <c r="S601" s="1">
        <f t="shared" si="1309"/>
        <v>2.6101512698905136</v>
      </c>
      <c r="T601" s="1">
        <f t="shared" ref="T601:V601" si="1365">$S601*P601</f>
        <v>0.1123104021596078</v>
      </c>
      <c r="U601" s="1">
        <f t="shared" si="1365"/>
        <v>0</v>
      </c>
      <c r="V601" s="1">
        <f t="shared" si="1365"/>
        <v>2.6053097625140236</v>
      </c>
      <c r="W601" s="1">
        <f t="shared" si="1311"/>
        <v>-32.141184716968844</v>
      </c>
      <c r="X601" s="1">
        <f t="shared" si="1312"/>
        <v>0</v>
      </c>
      <c r="Y601" s="1">
        <f t="shared" si="1313"/>
        <v>-5.8109477935614633</v>
      </c>
    </row>
    <row r="602" spans="1:25">
      <c r="A602" s="1">
        <v>0.6</v>
      </c>
      <c r="B602" s="1">
        <f t="shared" si="1314"/>
        <v>28.494032078911449</v>
      </c>
      <c r="C602" s="1">
        <f t="shared" si="1315"/>
        <v>0</v>
      </c>
      <c r="D602" s="1">
        <f t="shared" si="1316"/>
        <v>8.1409753499542686E-2</v>
      </c>
      <c r="E602" s="1">
        <f t="shared" si="1317"/>
        <v>28.106533940685935</v>
      </c>
      <c r="F602" s="1">
        <f t="shared" si="1318"/>
        <v>0</v>
      </c>
      <c r="G602" s="1">
        <f t="shared" si="1319"/>
        <v>-1.2188206117665004</v>
      </c>
      <c r="H602" s="1">
        <f t="shared" si="1152"/>
        <v>28.132948189668948</v>
      </c>
      <c r="I602" s="1">
        <f t="shared" si="1302"/>
        <v>-32.180210168945145</v>
      </c>
      <c r="J602" s="1">
        <f t="shared" si="1303"/>
        <v>0</v>
      </c>
      <c r="K602" s="1">
        <f t="shared" si="1304"/>
        <v>1.3954727938940972</v>
      </c>
      <c r="L602" s="1">
        <f t="shared" ref="L602:N602" si="1366">E602/$H602</f>
        <v>0.99906109204037452</v>
      </c>
      <c r="M602" s="1">
        <f t="shared" si="1366"/>
        <v>0</v>
      </c>
      <c r="N602" s="1">
        <f t="shared" si="1366"/>
        <v>-4.3323600624767748E-2</v>
      </c>
      <c r="O602" s="1">
        <f t="shared" si="1154"/>
        <v>-4.3323600624767748E-2</v>
      </c>
      <c r="P602" s="1">
        <f t="shared" si="1306"/>
        <v>4.3282923751301515E-2</v>
      </c>
      <c r="Q602" s="1">
        <f t="shared" si="1307"/>
        <v>0</v>
      </c>
      <c r="R602" s="1">
        <f t="shared" si="1308"/>
        <v>0.99812306562890563</v>
      </c>
      <c r="S602" s="1">
        <f t="shared" si="1309"/>
        <v>2.6042493768941677</v>
      </c>
      <c r="T602" s="1">
        <f t="shared" ref="T602:V602" si="1367">$S602*P602</f>
        <v>0.11271952720948474</v>
      </c>
      <c r="U602" s="1">
        <f t="shared" si="1367"/>
        <v>0</v>
      </c>
      <c r="V602" s="1">
        <f t="shared" si="1367"/>
        <v>2.5993613717277739</v>
      </c>
      <c r="W602" s="1">
        <f t="shared" si="1311"/>
        <v>-32.06749064173566</v>
      </c>
      <c r="X602" s="1">
        <f t="shared" si="1312"/>
        <v>0</v>
      </c>
      <c r="Y602" s="1">
        <f t="shared" si="1313"/>
        <v>-5.8118158343781285</v>
      </c>
    </row>
    <row r="603" spans="1:25">
      <c r="A603" s="1">
        <v>0.60099999999999998</v>
      </c>
      <c r="B603" s="1">
        <f t="shared" si="1314"/>
        <v>28.522106545361492</v>
      </c>
      <c r="C603" s="1">
        <f t="shared" si="1315"/>
        <v>0</v>
      </c>
      <c r="D603" s="1">
        <f t="shared" si="1316"/>
        <v>8.0185121071941812E-2</v>
      </c>
      <c r="E603" s="1">
        <f t="shared" si="1317"/>
        <v>28.074466450044198</v>
      </c>
      <c r="F603" s="1">
        <f t="shared" si="1318"/>
        <v>0</v>
      </c>
      <c r="G603" s="1">
        <f t="shared" si="1319"/>
        <v>-1.2246324276008784</v>
      </c>
      <c r="H603" s="1">
        <f t="shared" si="1152"/>
        <v>28.101163517502062</v>
      </c>
      <c r="I603" s="1">
        <f t="shared" si="1302"/>
        <v>-32.107179115512373</v>
      </c>
      <c r="J603" s="1">
        <f t="shared" si="1303"/>
        <v>0</v>
      </c>
      <c r="K603" s="1">
        <f t="shared" si="1304"/>
        <v>1.4005428303904324</v>
      </c>
      <c r="L603" s="1">
        <f t="shared" ref="L603:N603" si="1368">E603/$H603</f>
        <v>0.99904996576240568</v>
      </c>
      <c r="M603" s="1">
        <f t="shared" si="1368"/>
        <v>0</v>
      </c>
      <c r="N603" s="1">
        <f t="shared" si="1368"/>
        <v>-4.357942071822573E-2</v>
      </c>
      <c r="O603" s="1">
        <f t="shared" si="1154"/>
        <v>-4.357942071822573E-2</v>
      </c>
      <c r="P603" s="1">
        <f t="shared" si="1306"/>
        <v>4.3538018776488885E-2</v>
      </c>
      <c r="Q603" s="1">
        <f t="shared" si="1307"/>
        <v>0</v>
      </c>
      <c r="R603" s="1">
        <f t="shared" si="1308"/>
        <v>0.99810083408986383</v>
      </c>
      <c r="S603" s="1">
        <f t="shared" si="1309"/>
        <v>2.5983681267449836</v>
      </c>
      <c r="T603" s="1">
        <f t="shared" ref="T603:V603" si="1369">$S603*P603</f>
        <v>0.11312780029045334</v>
      </c>
      <c r="U603" s="1">
        <f t="shared" si="1369"/>
        <v>0</v>
      </c>
      <c r="V603" s="1">
        <f t="shared" si="1369"/>
        <v>2.5934333945766852</v>
      </c>
      <c r="W603" s="1">
        <f t="shared" si="1311"/>
        <v>-31.99405131522192</v>
      </c>
      <c r="X603" s="1">
        <f t="shared" si="1312"/>
        <v>0</v>
      </c>
      <c r="Y603" s="1">
        <f t="shared" si="1313"/>
        <v>-5.8126737750328816</v>
      </c>
    </row>
    <row r="604" spans="1:25">
      <c r="A604" s="1">
        <v>0.60199999999999998</v>
      </c>
      <c r="B604" s="1">
        <f t="shared" si="1314"/>
        <v>28.550149017760219</v>
      </c>
      <c r="C604" s="1">
        <f t="shared" si="1315"/>
        <v>0</v>
      </c>
      <c r="D604" s="1">
        <f t="shared" si="1316"/>
        <v>7.8954675970565907E-2</v>
      </c>
      <c r="E604" s="1">
        <f t="shared" si="1317"/>
        <v>28.042472398728975</v>
      </c>
      <c r="F604" s="1">
        <f t="shared" si="1318"/>
        <v>0</v>
      </c>
      <c r="G604" s="1">
        <f t="shared" si="1319"/>
        <v>-1.2304451013759112</v>
      </c>
      <c r="H604" s="1">
        <f t="shared" si="1152"/>
        <v>28.069454098378479</v>
      </c>
      <c r="I604" s="1">
        <f t="shared" si="1302"/>
        <v>-32.034400800354462</v>
      </c>
      <c r="J604" s="1">
        <f t="shared" si="1303"/>
        <v>0</v>
      </c>
      <c r="K604" s="1">
        <f t="shared" si="1304"/>
        <v>1.4056025795391447</v>
      </c>
      <c r="L604" s="1">
        <f t="shared" ref="L604:N604" si="1370">E604/$H604</f>
        <v>0.99903875224808658</v>
      </c>
      <c r="M604" s="1">
        <f t="shared" si="1370"/>
        <v>0</v>
      </c>
      <c r="N604" s="1">
        <f t="shared" si="1370"/>
        <v>-4.3835733216022604E-2</v>
      </c>
      <c r="O604" s="1">
        <f t="shared" si="1154"/>
        <v>-4.3835733216022604E-2</v>
      </c>
      <c r="P604" s="1">
        <f t="shared" si="1306"/>
        <v>4.3793596216015224E-2</v>
      </c>
      <c r="Q604" s="1">
        <f t="shared" si="1307"/>
        <v>0</v>
      </c>
      <c r="R604" s="1">
        <f t="shared" si="1308"/>
        <v>0.99807842849341366</v>
      </c>
      <c r="S604" s="1">
        <f t="shared" si="1309"/>
        <v>2.5925074257933081</v>
      </c>
      <c r="T604" s="1">
        <f t="shared" ref="T604:V604" si="1371">$S604*P604</f>
        <v>0.11353522339221318</v>
      </c>
      <c r="U604" s="1">
        <f t="shared" si="1371"/>
        <v>0</v>
      </c>
      <c r="V604" s="1">
        <f t="shared" si="1371"/>
        <v>2.5875257373932903</v>
      </c>
      <c r="W604" s="1">
        <f t="shared" si="1311"/>
        <v>-31.92086557696225</v>
      </c>
      <c r="X604" s="1">
        <f t="shared" si="1312"/>
        <v>0</v>
      </c>
      <c r="Y604" s="1">
        <f t="shared" si="1313"/>
        <v>-5.8135216830675649</v>
      </c>
    </row>
    <row r="605" spans="1:25">
      <c r="A605" s="1">
        <v>0.60299999999999998</v>
      </c>
      <c r="B605" s="1">
        <f t="shared" si="1314"/>
        <v>28.578159569293373</v>
      </c>
      <c r="C605" s="1">
        <f t="shared" si="1315"/>
        <v>0</v>
      </c>
      <c r="D605" s="1">
        <f t="shared" si="1316"/>
        <v>7.7718417347506924E-2</v>
      </c>
      <c r="E605" s="1">
        <f t="shared" si="1317"/>
        <v>28.010551533152015</v>
      </c>
      <c r="F605" s="1">
        <f t="shared" si="1318"/>
        <v>0</v>
      </c>
      <c r="G605" s="1">
        <f t="shared" si="1319"/>
        <v>-1.2362586230589787</v>
      </c>
      <c r="H605" s="1">
        <f t="shared" si="1152"/>
        <v>28.037819682964869</v>
      </c>
      <c r="I605" s="1">
        <f t="shared" si="1302"/>
        <v>-31.961874071608477</v>
      </c>
      <c r="J605" s="1">
        <f t="shared" si="1303"/>
        <v>0</v>
      </c>
      <c r="K605" s="1">
        <f t="shared" si="1304"/>
        <v>1.4106520674319893</v>
      </c>
      <c r="L605" s="1">
        <f t="shared" ref="L605:N605" si="1372">E605/$H605</f>
        <v>0.99902745113132241</v>
      </c>
      <c r="M605" s="1">
        <f t="shared" si="1372"/>
        <v>0</v>
      </c>
      <c r="N605" s="1">
        <f t="shared" si="1372"/>
        <v>-4.4092537759278794E-2</v>
      </c>
      <c r="O605" s="1">
        <f t="shared" si="1154"/>
        <v>-4.4092537759278794E-2</v>
      </c>
      <c r="P605" s="1">
        <f t="shared" si="1306"/>
        <v>4.4049655611563883E-2</v>
      </c>
      <c r="Q605" s="1">
        <f t="shared" si="1307"/>
        <v>0</v>
      </c>
      <c r="R605" s="1">
        <f t="shared" si="1308"/>
        <v>0.99805584811394654</v>
      </c>
      <c r="S605" s="1">
        <f t="shared" si="1309"/>
        <v>2.5866671809236914</v>
      </c>
      <c r="T605" s="1">
        <f t="shared" ref="T605:V605" si="1373">$S605*P605</f>
        <v>0.11394179850142341</v>
      </c>
      <c r="U605" s="1">
        <f t="shared" si="1373"/>
        <v>0</v>
      </c>
      <c r="V605" s="1">
        <f t="shared" si="1373"/>
        <v>2.5816383070453059</v>
      </c>
      <c r="W605" s="1">
        <f t="shared" si="1311"/>
        <v>-31.847932273107055</v>
      </c>
      <c r="X605" s="1">
        <f t="shared" si="1312"/>
        <v>0</v>
      </c>
      <c r="Y605" s="1">
        <f t="shared" si="1313"/>
        <v>-5.8143596255227044</v>
      </c>
    </row>
    <row r="606" spans="1:25">
      <c r="A606" s="1">
        <v>0.60399999999999998</v>
      </c>
      <c r="B606" s="1">
        <f t="shared" si="1314"/>
        <v>28.606138272894253</v>
      </c>
      <c r="C606" s="1">
        <f t="shared" si="1315"/>
        <v>0</v>
      </c>
      <c r="D606" s="1">
        <f t="shared" si="1316"/>
        <v>7.6476344364822424E-2</v>
      </c>
      <c r="E606" s="1">
        <f t="shared" si="1317"/>
        <v>27.978703600878909</v>
      </c>
      <c r="F606" s="1">
        <f t="shared" si="1318"/>
        <v>0</v>
      </c>
      <c r="G606" s="1">
        <f t="shared" si="1319"/>
        <v>-1.2420729826845014</v>
      </c>
      <c r="H606" s="1">
        <f t="shared" si="1152"/>
        <v>28.006260023076077</v>
      </c>
      <c r="I606" s="1">
        <f t="shared" si="1302"/>
        <v>-31.889597783978953</v>
      </c>
      <c r="J606" s="1">
        <f t="shared" si="1303"/>
        <v>0</v>
      </c>
      <c r="K606" s="1">
        <f t="shared" si="1304"/>
        <v>1.4156913201264814</v>
      </c>
      <c r="L606" s="1">
        <f t="shared" ref="L606:N606" si="1374">E606/$H606</f>
        <v>0.99901606204561189</v>
      </c>
      <c r="M606" s="1">
        <f t="shared" si="1374"/>
        <v>0</v>
      </c>
      <c r="N606" s="1">
        <f t="shared" si="1374"/>
        <v>-4.4349833989296719E-2</v>
      </c>
      <c r="O606" s="1">
        <f t="shared" si="1154"/>
        <v>-4.4349833989296719E-2</v>
      </c>
      <c r="P606" s="1">
        <f t="shared" si="1306"/>
        <v>4.4306196504363841E-2</v>
      </c>
      <c r="Q606" s="1">
        <f t="shared" si="1307"/>
        <v>0</v>
      </c>
      <c r="R606" s="1">
        <f t="shared" si="1308"/>
        <v>0.99803309222512182</v>
      </c>
      <c r="S606" s="1">
        <f t="shared" si="1309"/>
        <v>2.5808472995512322</v>
      </c>
      <c r="T606" s="1">
        <f t="shared" ref="T606:V606" si="1375">$S606*P606</f>
        <v>0.11434752760167366</v>
      </c>
      <c r="U606" s="1">
        <f t="shared" si="1375"/>
        <v>0</v>
      </c>
      <c r="V606" s="1">
        <f t="shared" si="1375"/>
        <v>2.5757710109319714</v>
      </c>
      <c r="W606" s="1">
        <f t="shared" si="1311"/>
        <v>-31.77525025637728</v>
      </c>
      <c r="X606" s="1">
        <f t="shared" si="1312"/>
        <v>0</v>
      </c>
      <c r="Y606" s="1">
        <f t="shared" si="1313"/>
        <v>-5.8151876689415465</v>
      </c>
    </row>
    <row r="607" spans="1:25">
      <c r="A607" s="1">
        <v>0.60499999999999998</v>
      </c>
      <c r="B607" s="1">
        <f t="shared" si="1314"/>
        <v>28.634085201244876</v>
      </c>
      <c r="C607" s="1">
        <f t="shared" si="1315"/>
        <v>0</v>
      </c>
      <c r="D607" s="1">
        <f t="shared" si="1316"/>
        <v>7.5228456194468982E-2</v>
      </c>
      <c r="E607" s="1">
        <f t="shared" si="1317"/>
        <v>27.946928350622532</v>
      </c>
      <c r="F607" s="1">
        <f t="shared" si="1318"/>
        <v>0</v>
      </c>
      <c r="G607" s="1">
        <f t="shared" si="1319"/>
        <v>-1.247888170353443</v>
      </c>
      <c r="H607" s="1">
        <f t="shared" si="1152"/>
        <v>27.97477487166854</v>
      </c>
      <c r="I607" s="1">
        <f t="shared" si="1302"/>
        <v>-31.817570798692969</v>
      </c>
      <c r="J607" s="1">
        <f t="shared" si="1303"/>
        <v>0</v>
      </c>
      <c r="K607" s="1">
        <f t="shared" si="1304"/>
        <v>1.4207203636455332</v>
      </c>
      <c r="L607" s="1">
        <f t="shared" ref="L607:N607" si="1376">E607/$H607</f>
        <v>0.99900458462404962</v>
      </c>
      <c r="M607" s="1">
        <f t="shared" si="1376"/>
        <v>0</v>
      </c>
      <c r="N607" s="1">
        <f t="shared" si="1376"/>
        <v>-4.4607621547555043E-2</v>
      </c>
      <c r="O607" s="1">
        <f t="shared" si="1154"/>
        <v>-4.4607621547555043E-2</v>
      </c>
      <c r="P607" s="1">
        <f t="shared" si="1306"/>
        <v>4.4563218435182031E-2</v>
      </c>
      <c r="Q607" s="1">
        <f t="shared" si="1307"/>
        <v>0</v>
      </c>
      <c r="R607" s="1">
        <f t="shared" si="1308"/>
        <v>0.99801016009987009</v>
      </c>
      <c r="S607" s="1">
        <f t="shared" si="1309"/>
        <v>2.5750476896179508</v>
      </c>
      <c r="T607" s="1">
        <f t="shared" ref="T607:V607" si="1377">$S607*P607</f>
        <v>0.11475241267345557</v>
      </c>
      <c r="U607" s="1">
        <f t="shared" si="1377"/>
        <v>0</v>
      </c>
      <c r="V607" s="1">
        <f t="shared" si="1377"/>
        <v>2.5699237569804119</v>
      </c>
      <c r="W607" s="1">
        <f t="shared" si="1311"/>
        <v>-31.702818386019516</v>
      </c>
      <c r="X607" s="1">
        <f t="shared" si="1312"/>
        <v>0</v>
      </c>
      <c r="Y607" s="1">
        <f t="shared" si="1313"/>
        <v>-5.8160058793740541</v>
      </c>
    </row>
    <row r="608" spans="1:25">
      <c r="A608" s="1">
        <v>0.60599999999999998</v>
      </c>
      <c r="B608" s="1">
        <f t="shared" si="1314"/>
        <v>28.662000426777112</v>
      </c>
      <c r="C608" s="1">
        <f t="shared" si="1315"/>
        <v>0</v>
      </c>
      <c r="D608" s="1">
        <f t="shared" si="1316"/>
        <v>7.3974752018236167E-2</v>
      </c>
      <c r="E608" s="1">
        <f t="shared" si="1317"/>
        <v>27.915225532236512</v>
      </c>
      <c r="F608" s="1">
        <f t="shared" si="1318"/>
        <v>0</v>
      </c>
      <c r="G608" s="1">
        <f t="shared" si="1319"/>
        <v>-1.2537041762328172</v>
      </c>
      <c r="H608" s="1">
        <f t="shared" si="1152"/>
        <v>27.943363982833795</v>
      </c>
      <c r="I608" s="1">
        <f t="shared" si="1302"/>
        <v>-31.745791983455653</v>
      </c>
      <c r="J608" s="1">
        <f t="shared" si="1303"/>
        <v>0</v>
      </c>
      <c r="K608" s="1">
        <f t="shared" si="1304"/>
        <v>1.425739223977101</v>
      </c>
      <c r="L608" s="1">
        <f t="shared" ref="L608:N608" si="1378">E608/$H608</f>
        <v>0.99899301849932709</v>
      </c>
      <c r="M608" s="1">
        <f t="shared" si="1378"/>
        <v>0</v>
      </c>
      <c r="N608" s="1">
        <f t="shared" si="1378"/>
        <v>-4.4865900075702923E-2</v>
      </c>
      <c r="O608" s="1">
        <f t="shared" si="1154"/>
        <v>-4.4865900075702923E-2</v>
      </c>
      <c r="P608" s="1">
        <f t="shared" si="1306"/>
        <v>4.4820720944315648E-2</v>
      </c>
      <c r="Q608" s="1">
        <f t="shared" si="1307"/>
        <v>0</v>
      </c>
      <c r="R608" s="1">
        <f t="shared" si="1308"/>
        <v>0.99798705101039709</v>
      </c>
      <c r="S608" s="1">
        <f t="shared" si="1309"/>
        <v>2.5692682595891934</v>
      </c>
      <c r="T608" s="1">
        <f t="shared" ref="T608:V608" si="1379">$S608*P608</f>
        <v>0.11515645569413477</v>
      </c>
      <c r="U608" s="1">
        <f t="shared" si="1379"/>
        <v>0</v>
      </c>
      <c r="V608" s="1">
        <f t="shared" si="1379"/>
        <v>2.5640964536420343</v>
      </c>
      <c r="W608" s="1">
        <f t="shared" si="1311"/>
        <v>-31.63063552776152</v>
      </c>
      <c r="X608" s="1">
        <f t="shared" si="1312"/>
        <v>0</v>
      </c>
      <c r="Y608" s="1">
        <f t="shared" si="1313"/>
        <v>-5.8168143223808642</v>
      </c>
    </row>
    <row r="609" spans="1:25">
      <c r="A609" s="1">
        <v>0.60699999999999998</v>
      </c>
      <c r="B609" s="1">
        <f t="shared" si="1314"/>
        <v>28.689884021673819</v>
      </c>
      <c r="C609" s="1">
        <f t="shared" si="1315"/>
        <v>0</v>
      </c>
      <c r="D609" s="1">
        <f t="shared" si="1316"/>
        <v>7.2715231027680974E-2</v>
      </c>
      <c r="E609" s="1">
        <f t="shared" si="1317"/>
        <v>27.88359489670875</v>
      </c>
      <c r="F609" s="1">
        <f t="shared" si="1318"/>
        <v>0</v>
      </c>
      <c r="G609" s="1">
        <f t="shared" si="1319"/>
        <v>-1.2595209905551981</v>
      </c>
      <c r="H609" s="1">
        <f t="shared" si="1152"/>
        <v>27.912027111791996</v>
      </c>
      <c r="I609" s="1">
        <f t="shared" si="1302"/>
        <v>-31.674260212405976</v>
      </c>
      <c r="J609" s="1">
        <f t="shared" si="1303"/>
        <v>0</v>
      </c>
      <c r="K609" s="1">
        <f t="shared" si="1304"/>
        <v>1.4307479270738372</v>
      </c>
      <c r="L609" s="1">
        <f t="shared" ref="L609:N609" si="1380">E609/$H609</f>
        <v>0.99898136330373388</v>
      </c>
      <c r="M609" s="1">
        <f t="shared" si="1380"/>
        <v>0</v>
      </c>
      <c r="N609" s="1">
        <f t="shared" si="1380"/>
        <v>-4.5124669215554331E-2</v>
      </c>
      <c r="O609" s="1">
        <f t="shared" si="1154"/>
        <v>-4.5124669215554331E-2</v>
      </c>
      <c r="P609" s="1">
        <f t="shared" si="1306"/>
        <v>4.50787035715845E-2</v>
      </c>
      <c r="Q609" s="1">
        <f t="shared" si="1307"/>
        <v>0</v>
      </c>
      <c r="R609" s="1">
        <f t="shared" si="1308"/>
        <v>0.99796376422818678</v>
      </c>
      <c r="S609" s="1">
        <f t="shared" si="1309"/>
        <v>2.5635089184500641</v>
      </c>
      <c r="T609" s="1">
        <f t="shared" ref="T609:V609" si="1381">$S609*P609</f>
        <v>0.11555965863792363</v>
      </c>
      <c r="U609" s="1">
        <f t="shared" si="1381"/>
        <v>0</v>
      </c>
      <c r="V609" s="1">
        <f t="shared" si="1381"/>
        <v>2.5582890098889539</v>
      </c>
      <c r="W609" s="1">
        <f t="shared" si="1311"/>
        <v>-31.558700553768052</v>
      </c>
      <c r="X609" s="1">
        <f t="shared" si="1312"/>
        <v>0</v>
      </c>
      <c r="Y609" s="1">
        <f t="shared" si="1313"/>
        <v>-5.817613063037208</v>
      </c>
    </row>
    <row r="610" spans="1:25">
      <c r="A610" s="1">
        <v>0.60799999999999998</v>
      </c>
      <c r="B610" s="1">
        <f t="shared" si="1314"/>
        <v>28.717736057869974</v>
      </c>
      <c r="C610" s="1">
        <f t="shared" si="1315"/>
        <v>0</v>
      </c>
      <c r="D610" s="1">
        <f t="shared" si="1316"/>
        <v>7.1449892424062744E-2</v>
      </c>
      <c r="E610" s="1">
        <f t="shared" si="1317"/>
        <v>27.852036196154984</v>
      </c>
      <c r="F610" s="1">
        <f t="shared" si="1318"/>
        <v>0</v>
      </c>
      <c r="G610" s="1">
        <f t="shared" si="1319"/>
        <v>-1.2653386036182352</v>
      </c>
      <c r="H610" s="1">
        <f t="shared" si="1152"/>
        <v>27.880764014885496</v>
      </c>
      <c r="I610" s="1">
        <f t="shared" si="1302"/>
        <v>-31.6029743660729</v>
      </c>
      <c r="J610" s="1">
        <f t="shared" si="1303"/>
        <v>0</v>
      </c>
      <c r="K610" s="1">
        <f t="shared" si="1304"/>
        <v>1.4357464988527493</v>
      </c>
      <c r="L610" s="1">
        <f t="shared" ref="L610:N610" si="1382">E610/$H610</f>
        <v>0.99896961866915934</v>
      </c>
      <c r="M610" s="1">
        <f t="shared" si="1382"/>
        <v>0</v>
      </c>
      <c r="N610" s="1">
        <f t="shared" si="1382"/>
        <v>-4.5383928609082337E-2</v>
      </c>
      <c r="O610" s="1">
        <f t="shared" si="1154"/>
        <v>-4.5383928609082337E-2</v>
      </c>
      <c r="P610" s="1">
        <f t="shared" si="1306"/>
        <v>4.533716585632333E-2</v>
      </c>
      <c r="Q610" s="1">
        <f t="shared" si="1307"/>
        <v>0</v>
      </c>
      <c r="R610" s="1">
        <f t="shared" si="1308"/>
        <v>0.99794029902400572</v>
      </c>
      <c r="S610" s="1">
        <f t="shared" si="1309"/>
        <v>2.5577695757018852</v>
      </c>
      <c r="T610" s="1">
        <f t="shared" ref="T610:V610" si="1383">$S610*P610</f>
        <v>0.11596202347585412</v>
      </c>
      <c r="U610" s="1">
        <f t="shared" si="1383"/>
        <v>0</v>
      </c>
      <c r="V610" s="1">
        <f t="shared" si="1383"/>
        <v>2.5525013352104438</v>
      </c>
      <c r="W610" s="1">
        <f t="shared" si="1311"/>
        <v>-31.487012342597044</v>
      </c>
      <c r="X610" s="1">
        <f t="shared" si="1312"/>
        <v>0</v>
      </c>
      <c r="Y610" s="1">
        <f t="shared" si="1313"/>
        <v>-5.8184021659368064</v>
      </c>
    </row>
    <row r="611" spans="1:25">
      <c r="A611" s="1">
        <v>0.60899999999999999</v>
      </c>
      <c r="B611" s="1">
        <f t="shared" si="1314"/>
        <v>28.745556607053786</v>
      </c>
      <c r="C611" s="1">
        <f t="shared" si="1315"/>
        <v>0</v>
      </c>
      <c r="D611" s="1">
        <f t="shared" si="1316"/>
        <v>7.0178735418278571E-2</v>
      </c>
      <c r="E611" s="1">
        <f t="shared" si="1317"/>
        <v>27.820549183812386</v>
      </c>
      <c r="F611" s="1">
        <f t="shared" si="1318"/>
        <v>0</v>
      </c>
      <c r="G611" s="1">
        <f t="shared" si="1319"/>
        <v>-1.2711570057841721</v>
      </c>
      <c r="H611" s="1">
        <f t="shared" si="1152"/>
        <v>27.84957444957244</v>
      </c>
      <c r="I611" s="1">
        <f t="shared" si="1302"/>
        <v>-31.531933331331892</v>
      </c>
      <c r="J611" s="1">
        <f t="shared" si="1303"/>
        <v>0</v>
      </c>
      <c r="K611" s="1">
        <f t="shared" si="1304"/>
        <v>1.4407349651948655</v>
      </c>
      <c r="L611" s="1">
        <f t="shared" ref="L611:N611" si="1384">E611/$H611</f>
        <v>0.99895778422709436</v>
      </c>
      <c r="M611" s="1">
        <f t="shared" si="1384"/>
        <v>0</v>
      </c>
      <c r="N611" s="1">
        <f t="shared" si="1384"/>
        <v>-4.5643677898413546E-2</v>
      </c>
      <c r="O611" s="1">
        <f t="shared" si="1154"/>
        <v>-4.5643677898413546E-2</v>
      </c>
      <c r="P611" s="1">
        <f t="shared" si="1306"/>
        <v>4.5596107337374396E-2</v>
      </c>
      <c r="Q611" s="1">
        <f t="shared" si="1307"/>
        <v>0</v>
      </c>
      <c r="R611" s="1">
        <f t="shared" si="1308"/>
        <v>0.99791665466790591</v>
      </c>
      <c r="S611" s="1">
        <f t="shared" si="1309"/>
        <v>2.5520501413586802</v>
      </c>
      <c r="T611" s="1">
        <f t="shared" ref="T611:V611" si="1385">$S611*P611</f>
        <v>0.11636355217575188</v>
      </c>
      <c r="U611" s="1">
        <f t="shared" si="1385"/>
        <v>0</v>
      </c>
      <c r="V611" s="1">
        <f t="shared" si="1385"/>
        <v>2.5467333396094105</v>
      </c>
      <c r="W611" s="1">
        <f t="shared" si="1311"/>
        <v>-31.41556977915614</v>
      </c>
      <c r="X611" s="1">
        <f t="shared" si="1312"/>
        <v>0</v>
      </c>
      <c r="Y611" s="1">
        <f t="shared" si="1313"/>
        <v>-5.8191816951957236</v>
      </c>
    </row>
    <row r="612" spans="1:25">
      <c r="A612" s="1">
        <v>0.61</v>
      </c>
      <c r="B612" s="1">
        <f t="shared" si="1314"/>
        <v>28.773345740667818</v>
      </c>
      <c r="C612" s="1">
        <f t="shared" si="1315"/>
        <v>0</v>
      </c>
      <c r="D612" s="1">
        <f t="shared" si="1316"/>
        <v>6.8901759230799206E-2</v>
      </c>
      <c r="E612" s="1">
        <f t="shared" si="1317"/>
        <v>27.789133614033229</v>
      </c>
      <c r="F612" s="1">
        <f t="shared" si="1318"/>
        <v>0</v>
      </c>
      <c r="G612" s="1">
        <f t="shared" si="1319"/>
        <v>-1.2769761874793679</v>
      </c>
      <c r="H612" s="1">
        <f t="shared" si="1152"/>
        <v>27.818458174420467</v>
      </c>
      <c r="I612" s="1">
        <f t="shared" si="1302"/>
        <v>-31.461136001361819</v>
      </c>
      <c r="J612" s="1">
        <f t="shared" si="1303"/>
        <v>0</v>
      </c>
      <c r="K612" s="1">
        <f t="shared" si="1304"/>
        <v>1.4457133519449084</v>
      </c>
      <c r="L612" s="1">
        <f t="shared" ref="L612:N612" si="1386">E612/$H612</f>
        <v>0.99894585960863203</v>
      </c>
      <c r="M612" s="1">
        <f t="shared" si="1386"/>
        <v>0</v>
      </c>
      <c r="N612" s="1">
        <f t="shared" si="1386"/>
        <v>-4.5903916725822308E-2</v>
      </c>
      <c r="O612" s="1">
        <f t="shared" si="1154"/>
        <v>-4.5903916725822308E-2</v>
      </c>
      <c r="P612" s="1">
        <f t="shared" si="1306"/>
        <v>4.5855527553079624E-2</v>
      </c>
      <c r="Q612" s="1">
        <f t="shared" si="1307"/>
        <v>0</v>
      </c>
      <c r="R612" s="1">
        <f t="shared" si="1308"/>
        <v>0.99789283042922872</v>
      </c>
      <c r="S612" s="1">
        <f t="shared" si="1309"/>
        <v>2.5463505259437</v>
      </c>
      <c r="T612" s="1">
        <f t="shared" ref="T612:V612" si="1387">$S612*P612</f>
        <v>0.11676424670221013</v>
      </c>
      <c r="U612" s="1">
        <f t="shared" si="1387"/>
        <v>0</v>
      </c>
      <c r="V612" s="1">
        <f t="shared" si="1387"/>
        <v>2.5409849335989141</v>
      </c>
      <c r="W612" s="1">
        <f t="shared" si="1311"/>
        <v>-31.344371754659608</v>
      </c>
      <c r="X612" s="1">
        <f t="shared" si="1312"/>
        <v>0</v>
      </c>
      <c r="Y612" s="1">
        <f t="shared" si="1313"/>
        <v>-5.8199517144561774</v>
      </c>
    </row>
    <row r="613" spans="1:25">
      <c r="A613" s="1">
        <v>0.61099999999999999</v>
      </c>
      <c r="B613" s="1">
        <f t="shared" si="1314"/>
        <v>28.801103529910097</v>
      </c>
      <c r="C613" s="1">
        <f t="shared" si="1315"/>
        <v>0</v>
      </c>
      <c r="D613" s="1">
        <f t="shared" si="1316"/>
        <v>6.761896309160538E-2</v>
      </c>
      <c r="E613" s="1">
        <f t="shared" si="1317"/>
        <v>27.757789242278569</v>
      </c>
      <c r="F613" s="1">
        <f t="shared" si="1318"/>
        <v>0</v>
      </c>
      <c r="G613" s="1">
        <f t="shared" si="1319"/>
        <v>-1.2827961391938241</v>
      </c>
      <c r="H613" s="1">
        <f t="shared" si="1152"/>
        <v>27.787414949100366</v>
      </c>
      <c r="I613" s="1">
        <f t="shared" si="1302"/>
        <v>-31.390581275602102</v>
      </c>
      <c r="J613" s="1">
        <f t="shared" si="1303"/>
        <v>0</v>
      </c>
      <c r="K613" s="1">
        <f t="shared" si="1304"/>
        <v>1.4506816849109718</v>
      </c>
      <c r="L613" s="1">
        <f t="shared" ref="L613:N613" si="1388">E613/$H613</f>
        <v>0.99893384444447009</v>
      </c>
      <c r="M613" s="1">
        <f t="shared" si="1388"/>
        <v>0</v>
      </c>
      <c r="N613" s="1">
        <f t="shared" si="1388"/>
        <v>-4.6164644733725231E-2</v>
      </c>
      <c r="O613" s="1">
        <f t="shared" si="1154"/>
        <v>-4.6164644733725231E-2</v>
      </c>
      <c r="P613" s="1">
        <f t="shared" si="1306"/>
        <v>4.6115426041273305E-2</v>
      </c>
      <c r="Q613" s="1">
        <f t="shared" si="1307"/>
        <v>0</v>
      </c>
      <c r="R613" s="1">
        <f t="shared" si="1308"/>
        <v>0.99786882557660894</v>
      </c>
      <c r="S613" s="1">
        <f t="shared" si="1309"/>
        <v>2.5406706404859554</v>
      </c>
      <c r="T613" s="1">
        <f t="shared" ref="T613:V613" si="1389">$S613*P613</f>
        <v>0.11716410901656456</v>
      </c>
      <c r="U613" s="1">
        <f t="shared" si="1389"/>
        <v>0</v>
      </c>
      <c r="V613" s="1">
        <f t="shared" si="1389"/>
        <v>2.5352560281986913</v>
      </c>
      <c r="W613" s="1">
        <f t="shared" si="1311"/>
        <v>-31.273417166585538</v>
      </c>
      <c r="X613" s="1">
        <f t="shared" si="1312"/>
        <v>0</v>
      </c>
      <c r="Y613" s="1">
        <f t="shared" si="1313"/>
        <v>-5.8207122868903358</v>
      </c>
    </row>
    <row r="614" spans="1:25">
      <c r="A614" s="1">
        <v>0.61199999999999999</v>
      </c>
      <c r="B614" s="1">
        <f t="shared" si="1314"/>
        <v>28.828830045735209</v>
      </c>
      <c r="C614" s="1">
        <f t="shared" si="1315"/>
        <v>0</v>
      </c>
      <c r="D614" s="1">
        <f t="shared" si="1316"/>
        <v>6.6330346240124669E-2</v>
      </c>
      <c r="E614" s="1">
        <f t="shared" si="1317"/>
        <v>27.726515825111985</v>
      </c>
      <c r="F614" s="1">
        <f t="shared" si="1318"/>
        <v>0</v>
      </c>
      <c r="G614" s="1">
        <f t="shared" si="1319"/>
        <v>-1.2886168514807144</v>
      </c>
      <c r="H614" s="1">
        <f t="shared" si="1152"/>
        <v>27.756444534379856</v>
      </c>
      <c r="I614" s="1">
        <f t="shared" si="1302"/>
        <v>-31.320268059710255</v>
      </c>
      <c r="J614" s="1">
        <f t="shared" si="1303"/>
        <v>0</v>
      </c>
      <c r="K614" s="1">
        <f t="shared" si="1304"/>
        <v>1.4556399898642078</v>
      </c>
      <c r="L614" s="1">
        <f t="shared" ref="L614:N614" si="1390">E614/$H614</f>
        <v>0.99892173836491194</v>
      </c>
      <c r="M614" s="1">
        <f t="shared" si="1390"/>
        <v>0</v>
      </c>
      <c r="N614" s="1">
        <f t="shared" si="1390"/>
        <v>-4.6425861564675548E-2</v>
      </c>
      <c r="O614" s="1">
        <f t="shared" si="1154"/>
        <v>-4.6425861564675548E-2</v>
      </c>
      <c r="P614" s="1">
        <f t="shared" si="1306"/>
        <v>4.637580233927445E-2</v>
      </c>
      <c r="Q614" s="1">
        <f t="shared" si="1307"/>
        <v>0</v>
      </c>
      <c r="R614" s="1">
        <f t="shared" si="1308"/>
        <v>0.99784463937797763</v>
      </c>
      <c r="S614" s="1">
        <f t="shared" si="1309"/>
        <v>2.5350103965167934</v>
      </c>
      <c r="T614" s="1">
        <f t="shared" ref="T614:V614" si="1391">$S614*P614</f>
        <v>0.11756314107686856</v>
      </c>
      <c r="U614" s="1">
        <f t="shared" si="1391"/>
        <v>0</v>
      </c>
      <c r="V614" s="1">
        <f t="shared" si="1391"/>
        <v>2.5295465349317237</v>
      </c>
      <c r="W614" s="1">
        <f t="shared" si="1311"/>
        <v>-31.202704918633387</v>
      </c>
      <c r="X614" s="1">
        <f t="shared" si="1312"/>
        <v>0</v>
      </c>
      <c r="Y614" s="1">
        <f t="shared" si="1313"/>
        <v>-5.8214634752040677</v>
      </c>
    </row>
    <row r="615" spans="1:25">
      <c r="A615" s="1">
        <v>0.61299999999999999</v>
      </c>
      <c r="B615" s="1">
        <f t="shared" si="1314"/>
        <v>28.856525358855404</v>
      </c>
      <c r="C615" s="1">
        <f t="shared" si="1315"/>
        <v>0</v>
      </c>
      <c r="D615" s="1">
        <f t="shared" si="1316"/>
        <v>6.5035907925168751E-2</v>
      </c>
      <c r="E615" s="1">
        <f t="shared" si="1317"/>
        <v>27.695313120193351</v>
      </c>
      <c r="F615" s="1">
        <f t="shared" si="1318"/>
        <v>0</v>
      </c>
      <c r="G615" s="1">
        <f t="shared" si="1319"/>
        <v>-1.2944383149559184</v>
      </c>
      <c r="H615" s="1">
        <f t="shared" si="1152"/>
        <v>27.725546692117362</v>
      </c>
      <c r="I615" s="1">
        <f t="shared" si="1302"/>
        <v>-31.250195265519785</v>
      </c>
      <c r="J615" s="1">
        <f t="shared" si="1303"/>
        <v>0</v>
      </c>
      <c r="K615" s="1">
        <f t="shared" si="1304"/>
        <v>1.460588292538519</v>
      </c>
      <c r="L615" s="1">
        <f t="shared" ref="L615:N615" si="1392">E615/$H615</f>
        <v>0.99890954099986762</v>
      </c>
      <c r="M615" s="1">
        <f t="shared" si="1392"/>
        <v>0</v>
      </c>
      <c r="N615" s="1">
        <f t="shared" si="1392"/>
        <v>-4.6687566861357492E-2</v>
      </c>
      <c r="O615" s="1">
        <f t="shared" si="1154"/>
        <v>-4.6687566861357492E-2</v>
      </c>
      <c r="P615" s="1">
        <f t="shared" si="1306"/>
        <v>4.6636655983879241E-2</v>
      </c>
      <c r="Q615" s="1">
        <f t="shared" si="1307"/>
        <v>0</v>
      </c>
      <c r="R615" s="1">
        <f t="shared" si="1308"/>
        <v>0.99782027110056626</v>
      </c>
      <c r="S615" s="1">
        <f t="shared" si="1309"/>
        <v>2.5293697060664972</v>
      </c>
      <c r="T615" s="1">
        <f t="shared" ref="T615:V615" si="1393">$S615*P615</f>
        <v>0.11796134483786899</v>
      </c>
      <c r="U615" s="1">
        <f t="shared" si="1393"/>
        <v>0</v>
      </c>
      <c r="V615" s="1">
        <f t="shared" si="1393"/>
        <v>2.5238563658208317</v>
      </c>
      <c r="W615" s="1">
        <f t="shared" si="1311"/>
        <v>-31.132233920681916</v>
      </c>
      <c r="X615" s="1">
        <f t="shared" si="1312"/>
        <v>0</v>
      </c>
      <c r="Y615" s="1">
        <f t="shared" si="1313"/>
        <v>-5.8222053416406485</v>
      </c>
    </row>
    <row r="616" spans="1:25">
      <c r="A616" s="1">
        <v>0.61399999999999999</v>
      </c>
      <c r="B616" s="1">
        <f t="shared" si="1314"/>
        <v>28.884189539741676</v>
      </c>
      <c r="C616" s="1">
        <f t="shared" si="1315"/>
        <v>0</v>
      </c>
      <c r="D616" s="1">
        <f t="shared" si="1316"/>
        <v>6.3735647404871199E-2</v>
      </c>
      <c r="E616" s="1">
        <f t="shared" si="1317"/>
        <v>27.664180886272668</v>
      </c>
      <c r="F616" s="1">
        <f t="shared" si="1318"/>
        <v>0</v>
      </c>
      <c r="G616" s="1">
        <f t="shared" si="1319"/>
        <v>-1.300260520297559</v>
      </c>
      <c r="H616" s="1">
        <f t="shared" si="1152"/>
        <v>27.694721185255837</v>
      </c>
      <c r="I616" s="1">
        <f t="shared" si="1302"/>
        <v>-31.180361810998377</v>
      </c>
      <c r="J616" s="1">
        <f t="shared" si="1303"/>
        <v>0</v>
      </c>
      <c r="K616" s="1">
        <f t="shared" si="1304"/>
        <v>1.465526618630254</v>
      </c>
      <c r="L616" s="1">
        <f t="shared" ref="L616:N616" si="1394">E616/$H616</f>
        <v>0.99889725197885626</v>
      </c>
      <c r="M616" s="1">
        <f t="shared" si="1394"/>
        <v>0</v>
      </c>
      <c r="N616" s="1">
        <f t="shared" si="1394"/>
        <v>-4.6949760266580834E-2</v>
      </c>
      <c r="O616" s="1">
        <f t="shared" si="1154"/>
        <v>-4.6949760266580834E-2</v>
      </c>
      <c r="P616" s="1">
        <f t="shared" si="1306"/>
        <v>4.6897986511353691E-2</v>
      </c>
      <c r="Q616" s="1">
        <f t="shared" si="1307"/>
        <v>0</v>
      </c>
      <c r="R616" s="1">
        <f t="shared" si="1308"/>
        <v>0.99779572001091055</v>
      </c>
      <c r="S616" s="1">
        <f t="shared" si="1309"/>
        <v>2.5237484816609062</v>
      </c>
      <c r="T616" s="1">
        <f t="shared" ref="T616:V616" si="1395">$S616*P616</f>
        <v>0.11835872225098254</v>
      </c>
      <c r="U616" s="1">
        <f t="shared" si="1395"/>
        <v>0</v>
      </c>
      <c r="V616" s="1">
        <f t="shared" si="1395"/>
        <v>2.5181854333852862</v>
      </c>
      <c r="W616" s="1">
        <f t="shared" si="1311"/>
        <v>-31.062003088747396</v>
      </c>
      <c r="X616" s="1">
        <f t="shared" si="1312"/>
        <v>0</v>
      </c>
      <c r="Y616" s="1">
        <f t="shared" si="1313"/>
        <v>-5.8229379479844594</v>
      </c>
    </row>
    <row r="617" spans="1:25">
      <c r="A617" s="1">
        <v>0.61499999999999999</v>
      </c>
      <c r="B617" s="1">
        <f t="shared" si="1314"/>
        <v>28.91182265862486</v>
      </c>
      <c r="C617" s="1">
        <f t="shared" si="1315"/>
        <v>0</v>
      </c>
      <c r="D617" s="1">
        <f t="shared" si="1316"/>
        <v>6.2429563946625653E-2</v>
      </c>
      <c r="E617" s="1">
        <f t="shared" si="1317"/>
        <v>27.633118883183922</v>
      </c>
      <c r="F617" s="1">
        <f t="shared" si="1318"/>
        <v>0</v>
      </c>
      <c r="G617" s="1">
        <f t="shared" si="1319"/>
        <v>-1.3060834582455434</v>
      </c>
      <c r="H617" s="1">
        <f t="shared" si="1152"/>
        <v>27.663967777816662</v>
      </c>
      <c r="I617" s="1">
        <f t="shared" si="1302"/>
        <v>-31.110766620206448</v>
      </c>
      <c r="J617" s="1">
        <f t="shared" si="1303"/>
        <v>0</v>
      </c>
      <c r="K617" s="1">
        <f t="shared" si="1304"/>
        <v>1.4704549937979146</v>
      </c>
      <c r="L617" s="1">
        <f t="shared" ref="L617:N617" si="1396">E617/$H617</f>
        <v>0.99888487093100664</v>
      </c>
      <c r="M617" s="1">
        <f t="shared" si="1396"/>
        <v>0</v>
      </c>
      <c r="N617" s="1">
        <f t="shared" si="1396"/>
        <v>-4.7212441423275256E-2</v>
      </c>
      <c r="O617" s="1">
        <f t="shared" si="1154"/>
        <v>-4.7212441423275256E-2</v>
      </c>
      <c r="P617" s="1">
        <f t="shared" si="1306"/>
        <v>4.7159793457426012E-2</v>
      </c>
      <c r="Q617" s="1">
        <f t="shared" si="1307"/>
        <v>0</v>
      </c>
      <c r="R617" s="1">
        <f t="shared" si="1308"/>
        <v>0.99777098537485376</v>
      </c>
      <c r="S617" s="1">
        <f t="shared" si="1309"/>
        <v>2.5181466363180718</v>
      </c>
      <c r="T617" s="1">
        <f t="shared" ref="T617:V617" si="1397">$S617*P617</f>
        <v>0.11875527526427232</v>
      </c>
      <c r="U617" s="1">
        <f t="shared" si="1397"/>
        <v>0</v>
      </c>
      <c r="V617" s="1">
        <f t="shared" si="1397"/>
        <v>2.5125336506374558</v>
      </c>
      <c r="W617" s="1">
        <f t="shared" si="1311"/>
        <v>-30.992011344942174</v>
      </c>
      <c r="X617" s="1">
        <f t="shared" si="1312"/>
        <v>0</v>
      </c>
      <c r="Y617" s="1">
        <f t="shared" si="1313"/>
        <v>-5.8236613555646288</v>
      </c>
    </row>
    <row r="618" spans="1:25">
      <c r="A618" s="1">
        <v>0.61599999999999999</v>
      </c>
      <c r="B618" s="1">
        <f t="shared" si="1314"/>
        <v>28.939424785496698</v>
      </c>
      <c r="C618" s="1">
        <f t="shared" si="1315"/>
        <v>0</v>
      </c>
      <c r="D618" s="1">
        <f t="shared" si="1316"/>
        <v>6.1117656827024545E-2</v>
      </c>
      <c r="E618" s="1">
        <f t="shared" si="1317"/>
        <v>27.60212687183898</v>
      </c>
      <c r="F618" s="1">
        <f t="shared" si="1318"/>
        <v>0</v>
      </c>
      <c r="G618" s="1">
        <f t="shared" si="1319"/>
        <v>-1.3119071196011081</v>
      </c>
      <c r="H618" s="1">
        <f t="shared" si="1152"/>
        <v>27.633286234893518</v>
      </c>
      <c r="I618" s="1">
        <f t="shared" si="1302"/>
        <v>-31.041408623255961</v>
      </c>
      <c r="J618" s="1">
        <f t="shared" si="1303"/>
        <v>0</v>
      </c>
      <c r="K618" s="1">
        <f t="shared" si="1304"/>
        <v>1.4753734436618631</v>
      </c>
      <c r="L618" s="1">
        <f t="shared" ref="L618:N618" si="1398">E618/$H618</f>
        <v>0.9988723974850594</v>
      </c>
      <c r="M618" s="1">
        <f t="shared" si="1398"/>
        <v>0</v>
      </c>
      <c r="N618" s="1">
        <f t="shared" si="1398"/>
        <v>-4.7475609974484939E-2</v>
      </c>
      <c r="O618" s="1">
        <f t="shared" si="1154"/>
        <v>-4.7475609974484939E-2</v>
      </c>
      <c r="P618" s="1">
        <f t="shared" si="1306"/>
        <v>4.7422076357279373E-2</v>
      </c>
      <c r="Q618" s="1">
        <f t="shared" si="1307"/>
        <v>0</v>
      </c>
      <c r="R618" s="1">
        <f t="shared" si="1308"/>
        <v>0.9977460664575506</v>
      </c>
      <c r="S618" s="1">
        <f t="shared" si="1309"/>
        <v>2.5125640835449303</v>
      </c>
      <c r="T618" s="1">
        <f t="shared" ref="T618:V618" si="1399">$S618*P618</f>
        <v>0.11915100582242535</v>
      </c>
      <c r="U618" s="1">
        <f t="shared" si="1399"/>
        <v>0</v>
      </c>
      <c r="V618" s="1">
        <f t="shared" si="1399"/>
        <v>2.5069009310794748</v>
      </c>
      <c r="W618" s="1">
        <f t="shared" si="1311"/>
        <v>-30.922257617433537</v>
      </c>
      <c r="X618" s="1">
        <f t="shared" si="1312"/>
        <v>0</v>
      </c>
      <c r="Y618" s="1">
        <f t="shared" si="1313"/>
        <v>-5.8243756252586616</v>
      </c>
    </row>
    <row r="619" spans="1:25">
      <c r="A619" s="1">
        <v>0.61699999999999999</v>
      </c>
      <c r="B619" s="1">
        <f t="shared" si="1314"/>
        <v>28.96699599011092</v>
      </c>
      <c r="C619" s="1">
        <f t="shared" si="1315"/>
        <v>0</v>
      </c>
      <c r="D619" s="1">
        <f t="shared" si="1316"/>
        <v>5.9799925331798176E-2</v>
      </c>
      <c r="E619" s="1">
        <f t="shared" si="1317"/>
        <v>27.571204614221546</v>
      </c>
      <c r="F619" s="1">
        <f t="shared" si="1318"/>
        <v>0</v>
      </c>
      <c r="G619" s="1">
        <f t="shared" si="1319"/>
        <v>-1.3177314952263668</v>
      </c>
      <c r="H619" s="1">
        <f t="shared" si="1152"/>
        <v>27.602676322646381</v>
      </c>
      <c r="I619" s="1">
        <f t="shared" si="1302"/>
        <v>-30.972286756269671</v>
      </c>
      <c r="J619" s="1">
        <f t="shared" si="1303"/>
        <v>0</v>
      </c>
      <c r="K619" s="1">
        <f t="shared" si="1304"/>
        <v>1.4802819938040404</v>
      </c>
      <c r="L619" s="1">
        <f t="shared" ref="L619:N619" si="1400">E619/$H619</f>
        <v>0.99885983126936806</v>
      </c>
      <c r="M619" s="1">
        <f t="shared" si="1400"/>
        <v>0</v>
      </c>
      <c r="N619" s="1">
        <f t="shared" si="1400"/>
        <v>-4.773926556336297E-2</v>
      </c>
      <c r="O619" s="1">
        <f t="shared" si="1154"/>
        <v>-4.773926556336297E-2</v>
      </c>
      <c r="P619" s="1">
        <f t="shared" si="1306"/>
        <v>4.7684834745544288E-2</v>
      </c>
      <c r="Q619" s="1">
        <f t="shared" si="1307"/>
        <v>0</v>
      </c>
      <c r="R619" s="1">
        <f t="shared" si="1308"/>
        <v>0.99772096252347076</v>
      </c>
      <c r="S619" s="1">
        <f t="shared" si="1309"/>
        <v>2.5070007373340122</v>
      </c>
      <c r="T619" s="1">
        <f t="shared" ref="T619:V619" si="1401">$S619*P619</f>
        <v>0.11954591586673005</v>
      </c>
      <c r="U619" s="1">
        <f t="shared" si="1401"/>
        <v>0</v>
      </c>
      <c r="V619" s="1">
        <f t="shared" si="1401"/>
        <v>2.5012871886999415</v>
      </c>
      <c r="W619" s="1">
        <f t="shared" si="1311"/>
        <v>-30.852740840402941</v>
      </c>
      <c r="X619" s="1">
        <f t="shared" si="1312"/>
        <v>0</v>
      </c>
      <c r="Y619" s="1">
        <f t="shared" si="1313"/>
        <v>-5.8250808174960174</v>
      </c>
    </row>
    <row r="620" spans="1:25">
      <c r="A620" s="1">
        <v>0.61799999999999999</v>
      </c>
      <c r="B620" s="1">
        <f t="shared" si="1314"/>
        <v>28.994536341984301</v>
      </c>
      <c r="C620" s="1">
        <f t="shared" si="1315"/>
        <v>0</v>
      </c>
      <c r="D620" s="1">
        <f t="shared" si="1316"/>
        <v>5.8476368755754314E-2</v>
      </c>
      <c r="E620" s="1">
        <f t="shared" si="1317"/>
        <v>27.540351873381145</v>
      </c>
      <c r="F620" s="1">
        <f t="shared" si="1318"/>
        <v>0</v>
      </c>
      <c r="G620" s="1">
        <f t="shared" si="1319"/>
        <v>-1.3235565760438628</v>
      </c>
      <c r="H620" s="1">
        <f t="shared" si="1152"/>
        <v>27.572137808295484</v>
      </c>
      <c r="I620" s="1">
        <f t="shared" si="1302"/>
        <v>-30.903399961340579</v>
      </c>
      <c r="J620" s="1">
        <f t="shared" si="1303"/>
        <v>0</v>
      </c>
      <c r="K620" s="1">
        <f t="shared" si="1304"/>
        <v>1.4851806697676868</v>
      </c>
      <c r="L620" s="1">
        <f t="shared" ref="L620:N620" si="1402">E620/$H620</f>
        <v>0.99884717191190098</v>
      </c>
      <c r="M620" s="1">
        <f t="shared" si="1402"/>
        <v>0</v>
      </c>
      <c r="N620" s="1">
        <f t="shared" si="1402"/>
        <v>-4.8003407833165965E-2</v>
      </c>
      <c r="O620" s="1">
        <f t="shared" si="1154"/>
        <v>-4.8003407833165965E-2</v>
      </c>
      <c r="P620" s="1">
        <f t="shared" si="1306"/>
        <v>4.7948068156291421E-2</v>
      </c>
      <c r="Q620" s="1">
        <f t="shared" si="1307"/>
        <v>0</v>
      </c>
      <c r="R620" s="1">
        <f t="shared" si="1308"/>
        <v>0.9976956728364027</v>
      </c>
      <c r="S620" s="1">
        <f t="shared" si="1309"/>
        <v>2.5014565121601682</v>
      </c>
      <c r="T620" s="1">
        <f t="shared" ref="T620:V620" si="1403">$S620*P620</f>
        <v>0.11994000733505476</v>
      </c>
      <c r="U620" s="1">
        <f t="shared" si="1403"/>
        <v>0</v>
      </c>
      <c r="V620" s="1">
        <f t="shared" si="1403"/>
        <v>2.4956923379706399</v>
      </c>
      <c r="W620" s="1">
        <f t="shared" si="1311"/>
        <v>-30.783459954005526</v>
      </c>
      <c r="X620" s="1">
        <f t="shared" si="1312"/>
        <v>0</v>
      </c>
      <c r="Y620" s="1">
        <f t="shared" si="1313"/>
        <v>-5.8257769922616731</v>
      </c>
    </row>
    <row r="621" spans="1:25">
      <c r="A621" s="1">
        <v>0.61899999999999999</v>
      </c>
      <c r="B621" s="1">
        <f t="shared" si="1314"/>
        <v>29.022045910397729</v>
      </c>
      <c r="C621" s="1">
        <f t="shared" si="1315"/>
        <v>0</v>
      </c>
      <c r="D621" s="1">
        <f t="shared" si="1316"/>
        <v>5.7146986402718189E-2</v>
      </c>
      <c r="E621" s="1">
        <f t="shared" si="1317"/>
        <v>27.509568413427139</v>
      </c>
      <c r="F621" s="1">
        <f t="shared" si="1318"/>
        <v>0</v>
      </c>
      <c r="G621" s="1">
        <f t="shared" si="1319"/>
        <v>-1.3293823530361244</v>
      </c>
      <c r="H621" s="1">
        <f t="shared" si="1152"/>
        <v>27.541670460115377</v>
      </c>
      <c r="I621" s="1">
        <f t="shared" si="1302"/>
        <v>-30.8347471864918</v>
      </c>
      <c r="J621" s="1">
        <f t="shared" si="1303"/>
        <v>0</v>
      </c>
      <c r="K621" s="1">
        <f t="shared" si="1304"/>
        <v>1.4900694970570718</v>
      </c>
      <c r="L621" s="1">
        <f t="shared" ref="L621:N621" si="1404">E621/$H621</f>
        <v>0.99883441904024206</v>
      </c>
      <c r="M621" s="1">
        <f t="shared" si="1404"/>
        <v>0</v>
      </c>
      <c r="N621" s="1">
        <f t="shared" si="1404"/>
        <v>-4.8268036427248549E-2</v>
      </c>
      <c r="O621" s="1">
        <f t="shared" si="1154"/>
        <v>-4.8268036427248549E-2</v>
      </c>
      <c r="P621" s="1">
        <f t="shared" si="1306"/>
        <v>4.8211776123024047E-2</v>
      </c>
      <c r="Q621" s="1">
        <f t="shared" si="1307"/>
        <v>0</v>
      </c>
      <c r="R621" s="1">
        <f t="shared" si="1308"/>
        <v>0.99767019665945778</v>
      </c>
      <c r="S621" s="1">
        <f t="shared" si="1309"/>
        <v>2.4959313229773263</v>
      </c>
      <c r="T621" s="1">
        <f t="shared" ref="T621:V621" si="1405">$S621*P621</f>
        <v>0.12033328216182608</v>
      </c>
      <c r="U621" s="1">
        <f t="shared" si="1405"/>
        <v>0</v>
      </c>
      <c r="V621" s="1">
        <f t="shared" si="1405"/>
        <v>2.4901162938432897</v>
      </c>
      <c r="W621" s="1">
        <f t="shared" si="1311"/>
        <v>-30.714413904329973</v>
      </c>
      <c r="X621" s="1">
        <f t="shared" si="1312"/>
        <v>0</v>
      </c>
      <c r="Y621" s="1">
        <f t="shared" si="1313"/>
        <v>-5.8264642090996377</v>
      </c>
    </row>
    <row r="622" spans="1:25">
      <c r="A622" s="1">
        <v>0.62</v>
      </c>
      <c r="B622" s="1">
        <f t="shared" si="1314"/>
        <v>29.049524764397251</v>
      </c>
      <c r="C622" s="1">
        <f t="shared" si="1315"/>
        <v>0</v>
      </c>
      <c r="D622" s="1">
        <f t="shared" si="1316"/>
        <v>5.5811777585472962E-2</v>
      </c>
      <c r="E622" s="1">
        <f t="shared" si="1317"/>
        <v>27.478853999522808</v>
      </c>
      <c r="F622" s="1">
        <f t="shared" si="1318"/>
        <v>0</v>
      </c>
      <c r="G622" s="1">
        <f t="shared" si="1319"/>
        <v>-1.3352088172452241</v>
      </c>
      <c r="H622" s="1">
        <f t="shared" si="1152"/>
        <v>27.511274047428994</v>
      </c>
      <c r="I622" s="1">
        <f t="shared" si="1302"/>
        <v>-30.766327385636654</v>
      </c>
      <c r="J622" s="1">
        <f t="shared" si="1303"/>
        <v>0</v>
      </c>
      <c r="K622" s="1">
        <f t="shared" si="1304"/>
        <v>1.4949485011372252</v>
      </c>
      <c r="L622" s="1">
        <f t="shared" ref="L622:N622" si="1406">E622/$H622</f>
        <v>0.99882157228159285</v>
      </c>
      <c r="M622" s="1">
        <f t="shared" si="1406"/>
        <v>0</v>
      </c>
      <c r="N622" s="1">
        <f t="shared" si="1406"/>
        <v>-4.8533150989057999E-2</v>
      </c>
      <c r="O622" s="1">
        <f t="shared" si="1154"/>
        <v>-4.8533150989057999E-2</v>
      </c>
      <c r="P622" s="1">
        <f t="shared" si="1306"/>
        <v>4.8475958178670855E-2</v>
      </c>
      <c r="Q622" s="1">
        <f t="shared" si="1307"/>
        <v>0</v>
      </c>
      <c r="R622" s="1">
        <f t="shared" si="1308"/>
        <v>0.9976445332550733</v>
      </c>
      <c r="S622" s="1">
        <f t="shared" si="1309"/>
        <v>2.4904250852152745</v>
      </c>
      <c r="T622" s="1">
        <f t="shared" ref="T622:V622" si="1407">$S622*P622</f>
        <v>0.12072574227800845</v>
      </c>
      <c r="U622" s="1">
        <f t="shared" si="1407"/>
        <v>0</v>
      </c>
      <c r="V622" s="1">
        <f t="shared" si="1407"/>
        <v>2.4845589717463188</v>
      </c>
      <c r="W622" s="1">
        <f t="shared" si="1311"/>
        <v>-30.645601643358646</v>
      </c>
      <c r="X622" s="1">
        <f t="shared" si="1312"/>
        <v>0</v>
      </c>
      <c r="Y622" s="1">
        <f t="shared" si="1313"/>
        <v>-5.8271425271164556</v>
      </c>
    </row>
    <row r="623" spans="1:25">
      <c r="A623" s="1">
        <v>0.621</v>
      </c>
      <c r="B623" s="1">
        <f t="shared" si="1314"/>
        <v>29.076972972795129</v>
      </c>
      <c r="C623" s="1">
        <f t="shared" si="1315"/>
        <v>0</v>
      </c>
      <c r="D623" s="1">
        <f t="shared" si="1316"/>
        <v>5.4470741625700619E-2</v>
      </c>
      <c r="E623" s="1">
        <f t="shared" si="1317"/>
        <v>27.448208397879451</v>
      </c>
      <c r="F623" s="1">
        <f t="shared" si="1318"/>
        <v>0</v>
      </c>
      <c r="G623" s="1">
        <f t="shared" si="1319"/>
        <v>-1.3410359597723405</v>
      </c>
      <c r="H623" s="1">
        <f t="shared" si="1152"/>
        <v>27.480948340601756</v>
      </c>
      <c r="I623" s="1">
        <f t="shared" si="1302"/>
        <v>-30.698139518539154</v>
      </c>
      <c r="J623" s="1">
        <f t="shared" si="1303"/>
        <v>0</v>
      </c>
      <c r="K623" s="1">
        <f t="shared" si="1304"/>
        <v>1.4998177074336774</v>
      </c>
      <c r="L623" s="1">
        <f t="shared" ref="L623:N623" si="1408">E623/$H623</f>
        <v>0.99880863126277442</v>
      </c>
      <c r="M623" s="1">
        <f t="shared" si="1408"/>
        <v>0</v>
      </c>
      <c r="N623" s="1">
        <f t="shared" si="1408"/>
        <v>-4.8798751162128763E-2</v>
      </c>
      <c r="O623" s="1">
        <f t="shared" si="1154"/>
        <v>-4.8798751162128763E-2</v>
      </c>
      <c r="P623" s="1">
        <f t="shared" si="1306"/>
        <v>4.8740613855578555E-2</v>
      </c>
      <c r="Q623" s="1">
        <f t="shared" si="1307"/>
        <v>0</v>
      </c>
      <c r="R623" s="1">
        <f t="shared" si="1308"/>
        <v>0.99761868188501668</v>
      </c>
      <c r="S623" s="1">
        <f t="shared" si="1309"/>
        <v>2.4849377147764606</v>
      </c>
      <c r="T623" s="1">
        <f t="shared" ref="T623:V623" si="1409">$S623*P623</f>
        <v>0.12111738961108327</v>
      </c>
      <c r="U623" s="1">
        <f t="shared" si="1409"/>
        <v>0</v>
      </c>
      <c r="V623" s="1">
        <f t="shared" si="1409"/>
        <v>2.4790202875816583</v>
      </c>
      <c r="W623" s="1">
        <f t="shared" si="1311"/>
        <v>-30.577022128928071</v>
      </c>
      <c r="X623" s="1">
        <f t="shared" si="1312"/>
        <v>0</v>
      </c>
      <c r="Y623" s="1">
        <f t="shared" si="1313"/>
        <v>-5.827812004984664</v>
      </c>
    </row>
    <row r="624" spans="1:25">
      <c r="A624" s="1">
        <v>0.622</v>
      </c>
      <c r="B624" s="1">
        <f t="shared" si="1314"/>
        <v>29.104390604170881</v>
      </c>
      <c r="C624" s="1">
        <f t="shared" si="1315"/>
        <v>0</v>
      </c>
      <c r="D624" s="1">
        <f t="shared" si="1316"/>
        <v>5.3123877853923293E-2</v>
      </c>
      <c r="E624" s="1">
        <f t="shared" si="1317"/>
        <v>27.417631375750524</v>
      </c>
      <c r="F624" s="1">
        <f t="shared" si="1318"/>
        <v>0</v>
      </c>
      <c r="G624" s="1">
        <f t="shared" si="1319"/>
        <v>-1.3468637717773251</v>
      </c>
      <c r="H624" s="1">
        <f t="shared" si="1152"/>
        <v>27.450693111035754</v>
      </c>
      <c r="I624" s="1">
        <f t="shared" si="1302"/>
        <v>-30.630182550774759</v>
      </c>
      <c r="J624" s="1">
        <f t="shared" si="1303"/>
        <v>0</v>
      </c>
      <c r="K624" s="1">
        <f t="shared" si="1304"/>
        <v>1.504677141332206</v>
      </c>
      <c r="L624" s="1">
        <f t="shared" ref="L624:N624" si="1410">E624/$H624</f>
        <v>0.99879559561022746</v>
      </c>
      <c r="M624" s="1">
        <f t="shared" si="1410"/>
        <v>0</v>
      </c>
      <c r="N624" s="1">
        <f t="shared" si="1410"/>
        <v>-4.906483659007712E-2</v>
      </c>
      <c r="O624" s="1">
        <f t="shared" si="1154"/>
        <v>-4.906483659007712E-2</v>
      </c>
      <c r="P624" s="1">
        <f t="shared" si="1306"/>
        <v>4.9005742685504561E-2</v>
      </c>
      <c r="Q624" s="1">
        <f t="shared" si="1307"/>
        <v>0</v>
      </c>
      <c r="R624" s="1">
        <f t="shared" si="1308"/>
        <v>0.99759264181038898</v>
      </c>
      <c r="S624" s="1">
        <f t="shared" si="1309"/>
        <v>2.4794691280328331</v>
      </c>
      <c r="T624" s="1">
        <f t="shared" ref="T624:V624" si="1411">$S624*P624</f>
        <v>0.12150822608502938</v>
      </c>
      <c r="U624" s="1">
        <f t="shared" si="1411"/>
        <v>0</v>
      </c>
      <c r="V624" s="1">
        <f t="shared" si="1411"/>
        <v>2.4735001577215758</v>
      </c>
      <c r="W624" s="1">
        <f t="shared" si="1311"/>
        <v>-30.508674324689729</v>
      </c>
      <c r="X624" s="1">
        <f t="shared" si="1312"/>
        <v>0</v>
      </c>
      <c r="Y624" s="1">
        <f t="shared" si="1313"/>
        <v>-5.8284727009462181</v>
      </c>
    </row>
    <row r="625" spans="1:25">
      <c r="A625" s="1">
        <v>0.623</v>
      </c>
      <c r="B625" s="1">
        <f t="shared" si="1314"/>
        <v>29.131777726872308</v>
      </c>
      <c r="C625" s="1">
        <f t="shared" si="1315"/>
        <v>0</v>
      </c>
      <c r="D625" s="1">
        <f t="shared" si="1316"/>
        <v>5.177118560944502E-2</v>
      </c>
      <c r="E625" s="1">
        <f t="shared" si="1317"/>
        <v>27.387122701425834</v>
      </c>
      <c r="F625" s="1">
        <f t="shared" si="1318"/>
        <v>0</v>
      </c>
      <c r="G625" s="1">
        <f t="shared" si="1319"/>
        <v>-1.3526922444782712</v>
      </c>
      <c r="H625" s="1">
        <f t="shared" si="1152"/>
        <v>27.420508131163906</v>
      </c>
      <c r="I625" s="1">
        <f t="shared" si="1302"/>
        <v>-30.562455453691403</v>
      </c>
      <c r="J625" s="1">
        <f t="shared" si="1303"/>
        <v>0</v>
      </c>
      <c r="K625" s="1">
        <f t="shared" si="1304"/>
        <v>1.509526828178583</v>
      </c>
      <c r="L625" s="1">
        <f t="shared" ref="L625:N625" si="1412">E625/$H625</f>
        <v>0.99878246495001566</v>
      </c>
      <c r="M625" s="1">
        <f t="shared" si="1412"/>
        <v>0</v>
      </c>
      <c r="N625" s="1">
        <f t="shared" si="1412"/>
        <v>-4.9331406916595828E-2</v>
      </c>
      <c r="O625" s="1">
        <f t="shared" si="1154"/>
        <v>-4.9331406916595828E-2</v>
      </c>
      <c r="P625" s="1">
        <f t="shared" si="1306"/>
        <v>4.927134419960983E-2</v>
      </c>
      <c r="Q625" s="1">
        <f t="shared" si="1307"/>
        <v>0</v>
      </c>
      <c r="R625" s="1">
        <f t="shared" si="1308"/>
        <v>0.99756641229162923</v>
      </c>
      <c r="S625" s="1">
        <f t="shared" si="1309"/>
        <v>2.4740192418226874</v>
      </c>
      <c r="T625" s="1">
        <f t="shared" ref="T625:V625" si="1413">$S625*P625</f>
        <v>0.12189825362030338</v>
      </c>
      <c r="U625" s="1">
        <f t="shared" si="1413"/>
        <v>0</v>
      </c>
      <c r="V625" s="1">
        <f t="shared" si="1413"/>
        <v>2.4679984990055148</v>
      </c>
      <c r="W625" s="1">
        <f t="shared" si="1311"/>
        <v>-30.440557200071098</v>
      </c>
      <c r="X625" s="1">
        <f t="shared" si="1312"/>
        <v>0</v>
      </c>
      <c r="Y625" s="1">
        <f t="shared" si="1313"/>
        <v>-5.8291246728159019</v>
      </c>
    </row>
    <row r="626" spans="1:25">
      <c r="A626" s="1">
        <v>0.624</v>
      </c>
      <c r="B626" s="1">
        <f t="shared" si="1314"/>
        <v>29.159134409016534</v>
      </c>
      <c r="C626" s="1">
        <f t="shared" si="1315"/>
        <v>0</v>
      </c>
      <c r="D626" s="1">
        <f t="shared" si="1316"/>
        <v>5.0412664240293933E-2</v>
      </c>
      <c r="E626" s="1">
        <f t="shared" si="1317"/>
        <v>27.356682144225765</v>
      </c>
      <c r="F626" s="1">
        <f t="shared" si="1318"/>
        <v>0</v>
      </c>
      <c r="G626" s="1">
        <f t="shared" si="1319"/>
        <v>-1.3585213691510871</v>
      </c>
      <c r="H626" s="1">
        <f t="shared" si="1152"/>
        <v>27.390393174444227</v>
      </c>
      <c r="I626" s="1">
        <f t="shared" si="1302"/>
        <v>-30.49495720437093</v>
      </c>
      <c r="J626" s="1">
        <f t="shared" si="1303"/>
        <v>0</v>
      </c>
      <c r="K626" s="1">
        <f t="shared" si="1304"/>
        <v>1.5143667932783331</v>
      </c>
      <c r="L626" s="1">
        <f t="shared" ref="L626:N626" si="1414">E626/$H626</f>
        <v>0.99876923890782565</v>
      </c>
      <c r="M626" s="1">
        <f t="shared" si="1414"/>
        <v>0</v>
      </c>
      <c r="N626" s="1">
        <f t="shared" si="1414"/>
        <v>-4.9598461785448709E-2</v>
      </c>
      <c r="O626" s="1">
        <f t="shared" si="1154"/>
        <v>-4.9598461785448709E-2</v>
      </c>
      <c r="P626" s="1">
        <f t="shared" si="1306"/>
        <v>4.9537417928451483E-2</v>
      </c>
      <c r="Q626" s="1">
        <f t="shared" si="1307"/>
        <v>0</v>
      </c>
      <c r="R626" s="1">
        <f t="shared" si="1308"/>
        <v>0.99753999258851733</v>
      </c>
      <c r="S626" s="1">
        <f t="shared" si="1309"/>
        <v>2.4685879734475531</v>
      </c>
      <c r="T626" s="1">
        <f t="shared" ref="T626:V626" si="1415">$S626*P626</f>
        <v>0.12228747413382053</v>
      </c>
      <c r="U626" s="1">
        <f t="shared" si="1415"/>
        <v>0</v>
      </c>
      <c r="V626" s="1">
        <f t="shared" si="1415"/>
        <v>2.4625152287369749</v>
      </c>
      <c r="W626" s="1">
        <f t="shared" si="1311"/>
        <v>-30.37266973023711</v>
      </c>
      <c r="X626" s="1">
        <f t="shared" si="1312"/>
        <v>0</v>
      </c>
      <c r="Y626" s="1">
        <f t="shared" si="1313"/>
        <v>-5.8297679779846909</v>
      </c>
    </row>
    <row r="627" spans="1:25">
      <c r="A627" s="1">
        <v>0.625</v>
      </c>
      <c r="B627" s="1">
        <f t="shared" si="1314"/>
        <v>29.186460718491031</v>
      </c>
      <c r="C627" s="1">
        <f t="shared" si="1315"/>
        <v>0</v>
      </c>
      <c r="D627" s="1">
        <f t="shared" si="1316"/>
        <v>4.9048313103164862E-2</v>
      </c>
      <c r="E627" s="1">
        <f t="shared" si="1317"/>
        <v>27.326309474495527</v>
      </c>
      <c r="F627" s="1">
        <f t="shared" si="1318"/>
        <v>0</v>
      </c>
      <c r="G627" s="1">
        <f t="shared" si="1319"/>
        <v>-1.3643511371290717</v>
      </c>
      <c r="H627" s="1">
        <f t="shared" si="1152"/>
        <v>27.36034801535407</v>
      </c>
      <c r="I627" s="1">
        <f t="shared" si="1302"/>
        <v>-30.427686785590705</v>
      </c>
      <c r="J627" s="1">
        <f t="shared" si="1303"/>
        <v>0</v>
      </c>
      <c r="K627" s="1">
        <f t="shared" si="1304"/>
        <v>1.519197061896493</v>
      </c>
      <c r="L627" s="1">
        <f t="shared" ref="L627:N627" si="1416">E627/$H627</f>
        <v>0.99875591710896949</v>
      </c>
      <c r="M627" s="1">
        <f t="shared" si="1416"/>
        <v>0</v>
      </c>
      <c r="N627" s="1">
        <f t="shared" si="1416"/>
        <v>-4.9866000840465392E-2</v>
      </c>
      <c r="O627" s="1">
        <f t="shared" si="1154"/>
        <v>-4.9866000840465392E-2</v>
      </c>
      <c r="P627" s="1">
        <f t="shared" si="1306"/>
        <v>4.9803963401975654E-2</v>
      </c>
      <c r="Q627" s="1">
        <f t="shared" si="1307"/>
        <v>0</v>
      </c>
      <c r="R627" s="1">
        <f t="shared" si="1308"/>
        <v>0.99751338196017869</v>
      </c>
      <c r="S627" s="1">
        <f t="shared" si="1309"/>
        <v>2.4631752406690941</v>
      </c>
      <c r="T627" s="1">
        <f t="shared" ref="T627:V627" si="1417">$S627*P627</f>
        <v>0.12267588953893614</v>
      </c>
      <c r="U627" s="1">
        <f t="shared" si="1417"/>
        <v>0</v>
      </c>
      <c r="V627" s="1">
        <f t="shared" si="1417"/>
        <v>2.4570502646804053</v>
      </c>
      <c r="W627" s="1">
        <f t="shared" si="1311"/>
        <v>-30.305010896051769</v>
      </c>
      <c r="X627" s="1">
        <f t="shared" si="1312"/>
        <v>0</v>
      </c>
      <c r="Y627" s="1">
        <f t="shared" si="1313"/>
        <v>-5.8304026734231016</v>
      </c>
    </row>
    <row r="628" spans="1:25">
      <c r="A628" s="1">
        <v>0.626</v>
      </c>
      <c r="B628" s="1">
        <f t="shared" si="1314"/>
        <v>29.213756722954631</v>
      </c>
      <c r="C628" s="1">
        <f t="shared" si="1315"/>
        <v>0</v>
      </c>
      <c r="D628" s="1">
        <f t="shared" si="1316"/>
        <v>4.7678131563362369E-2</v>
      </c>
      <c r="E628" s="1">
        <f t="shared" si="1317"/>
        <v>27.296004463599477</v>
      </c>
      <c r="F628" s="1">
        <f t="shared" si="1318"/>
        <v>0</v>
      </c>
      <c r="G628" s="1">
        <f t="shared" si="1319"/>
        <v>-1.3701815398024948</v>
      </c>
      <c r="H628" s="1">
        <f t="shared" si="1152"/>
        <v>27.330372429384457</v>
      </c>
      <c r="I628" s="1">
        <f t="shared" si="1302"/>
        <v>-30.360643185785619</v>
      </c>
      <c r="J628" s="1">
        <f t="shared" si="1303"/>
        <v>0</v>
      </c>
      <c r="K628" s="1">
        <f t="shared" si="1304"/>
        <v>1.5240176592573795</v>
      </c>
      <c r="L628" s="1">
        <f t="shared" ref="L628:N628" si="1418">E628/$H628</f>
        <v>0.99874249917838553</v>
      </c>
      <c r="M628" s="1">
        <f t="shared" si="1418"/>
        <v>0</v>
      </c>
      <c r="N628" s="1">
        <f t="shared" si="1418"/>
        <v>-5.0134023725535978E-2</v>
      </c>
      <c r="O628" s="1">
        <f t="shared" si="1154"/>
        <v>-5.0134023725535978E-2</v>
      </c>
      <c r="P628" s="1">
        <f t="shared" si="1306"/>
        <v>5.007098014951028E-2</v>
      </c>
      <c r="Q628" s="1">
        <f t="shared" si="1307"/>
        <v>0</v>
      </c>
      <c r="R628" s="1">
        <f t="shared" si="1308"/>
        <v>0.99748657966508736</v>
      </c>
      <c r="S628" s="1">
        <f t="shared" si="1309"/>
        <v>2.4577809617060415</v>
      </c>
      <c r="T628" s="1">
        <f t="shared" ref="T628:V628" si="1419">$S628*P628</f>
        <v>0.12306350174542749</v>
      </c>
      <c r="U628" s="1">
        <f t="shared" si="1419"/>
        <v>0</v>
      </c>
      <c r="V628" s="1">
        <f t="shared" si="1419"/>
        <v>2.4516035250581285</v>
      </c>
      <c r="W628" s="1">
        <f t="shared" si="1311"/>
        <v>-30.237579684040192</v>
      </c>
      <c r="X628" s="1">
        <f t="shared" si="1312"/>
        <v>0</v>
      </c>
      <c r="Y628" s="1">
        <f t="shared" si="1313"/>
        <v>-5.8310288156844914</v>
      </c>
    </row>
    <row r="629" spans="1:25">
      <c r="A629" s="1">
        <v>0.627</v>
      </c>
      <c r="B629" s="1">
        <f t="shared" si="1314"/>
        <v>29.241022489838546</v>
      </c>
      <c r="C629" s="1">
        <f t="shared" si="1315"/>
        <v>0</v>
      </c>
      <c r="D629" s="1">
        <f t="shared" si="1316"/>
        <v>4.6302118994744193E-2</v>
      </c>
      <c r="E629" s="1">
        <f t="shared" si="1317"/>
        <v>27.265766883915436</v>
      </c>
      <c r="F629" s="1">
        <f t="shared" si="1318"/>
        <v>0</v>
      </c>
      <c r="G629" s="1">
        <f t="shared" si="1319"/>
        <v>-1.3760125686181792</v>
      </c>
      <c r="H629" s="1">
        <f t="shared" si="1152"/>
        <v>27.30046619303441</v>
      </c>
      <c r="I629" s="1">
        <f t="shared" si="1302"/>
        <v>-30.293825399010338</v>
      </c>
      <c r="J629" s="1">
        <f t="shared" si="1303"/>
        <v>0</v>
      </c>
      <c r="K629" s="1">
        <f t="shared" si="1304"/>
        <v>1.5288286105443598</v>
      </c>
      <c r="L629" s="1">
        <f t="shared" ref="L629:N629" si="1420">E629/$H629</f>
        <v>0.99872898474064054</v>
      </c>
      <c r="M629" s="1">
        <f t="shared" si="1420"/>
        <v>0</v>
      </c>
      <c r="N629" s="1">
        <f t="shared" si="1420"/>
        <v>-5.0402530084605754E-2</v>
      </c>
      <c r="O629" s="1">
        <f t="shared" si="1154"/>
        <v>-5.0402530084605754E-2</v>
      </c>
      <c r="P629" s="1">
        <f t="shared" si="1306"/>
        <v>5.0338467699757895E-2</v>
      </c>
      <c r="Q629" s="1">
        <f t="shared" si="1307"/>
        <v>0</v>
      </c>
      <c r="R629" s="1">
        <f t="shared" si="1308"/>
        <v>0.99745958496107046</v>
      </c>
      <c r="S629" s="1">
        <f t="shared" si="1309"/>
        <v>2.4524050552311438</v>
      </c>
      <c r="T629" s="1">
        <f t="shared" ref="T629:V629" si="1421">$S629*P629</f>
        <v>0.12345031265947591</v>
      </c>
      <c r="U629" s="1">
        <f t="shared" si="1421"/>
        <v>0</v>
      </c>
      <c r="V629" s="1">
        <f t="shared" si="1421"/>
        <v>2.4461749285472876</v>
      </c>
      <c r="W629" s="1">
        <f t="shared" si="1311"/>
        <v>-30.170375086350862</v>
      </c>
      <c r="X629" s="1">
        <f t="shared" si="1312"/>
        <v>0</v>
      </c>
      <c r="Y629" s="1">
        <f t="shared" si="1313"/>
        <v>-5.8316464609083525</v>
      </c>
    </row>
    <row r="630" spans="1:25">
      <c r="A630" s="1">
        <v>0.628</v>
      </c>
      <c r="B630" s="1">
        <f t="shared" si="1314"/>
        <v>29.268258086347373</v>
      </c>
      <c r="C630" s="1">
        <f t="shared" si="1315"/>
        <v>0</v>
      </c>
      <c r="D630" s="1">
        <f t="shared" si="1316"/>
        <v>4.4920274779665106E-2</v>
      </c>
      <c r="E630" s="1">
        <f t="shared" si="1317"/>
        <v>27.235596508829087</v>
      </c>
      <c r="F630" s="1">
        <f t="shared" si="1318"/>
        <v>0</v>
      </c>
      <c r="G630" s="1">
        <f t="shared" si="1319"/>
        <v>-1.3818442150790875</v>
      </c>
      <c r="H630" s="1">
        <f t="shared" si="1152"/>
        <v>27.27062908380536</v>
      </c>
      <c r="I630" s="1">
        <f t="shared" si="1302"/>
        <v>-30.227232424901899</v>
      </c>
      <c r="J630" s="1">
        <f t="shared" si="1303"/>
        <v>0</v>
      </c>
      <c r="K630" s="1">
        <f t="shared" si="1304"/>
        <v>1.5336299408996295</v>
      </c>
      <c r="L630" s="1">
        <f t="shared" ref="L630:N630" si="1422">E630/$H630</f>
        <v>0.99871537341993044</v>
      </c>
      <c r="M630" s="1">
        <f t="shared" si="1422"/>
        <v>0</v>
      </c>
      <c r="N630" s="1">
        <f t="shared" si="1422"/>
        <v>-5.0671519561669903E-2</v>
      </c>
      <c r="O630" s="1">
        <f t="shared" si="1154"/>
        <v>-5.0671519561669903E-2</v>
      </c>
      <c r="P630" s="1">
        <f t="shared" si="1306"/>
        <v>5.0606425580788469E-2</v>
      </c>
      <c r="Q630" s="1">
        <f t="shared" si="1307"/>
        <v>0</v>
      </c>
      <c r="R630" s="1">
        <f t="shared" si="1308"/>
        <v>0.99743239710531129</v>
      </c>
      <c r="S630" s="1">
        <f t="shared" si="1309"/>
        <v>2.4470474403681459</v>
      </c>
      <c r="T630" s="1">
        <f t="shared" ref="T630:V630" si="1423">$S630*P630</f>
        <v>0.12383632418364948</v>
      </c>
      <c r="U630" s="1">
        <f t="shared" si="1423"/>
        <v>0</v>
      </c>
      <c r="V630" s="1">
        <f t="shared" si="1423"/>
        <v>2.4407643942768162</v>
      </c>
      <c r="W630" s="1">
        <f t="shared" si="1311"/>
        <v>-30.10339610071825</v>
      </c>
      <c r="X630" s="1">
        <f t="shared" si="1312"/>
        <v>0</v>
      </c>
      <c r="Y630" s="1">
        <f t="shared" si="1313"/>
        <v>-5.8322556648235535</v>
      </c>
    </row>
    <row r="631" spans="1:25">
      <c r="A631" s="1">
        <v>0.629</v>
      </c>
      <c r="B631" s="1">
        <f t="shared" si="1314"/>
        <v>29.295463579460101</v>
      </c>
      <c r="C631" s="1">
        <f t="shared" si="1315"/>
        <v>0</v>
      </c>
      <c r="D631" s="1">
        <f t="shared" si="1316"/>
        <v>4.3532598308921193E-2</v>
      </c>
      <c r="E631" s="1">
        <f t="shared" si="1317"/>
        <v>27.205493112728369</v>
      </c>
      <c r="F631" s="1">
        <f t="shared" si="1318"/>
        <v>0</v>
      </c>
      <c r="G631" s="1">
        <f t="shared" si="1319"/>
        <v>-1.3876764707439111</v>
      </c>
      <c r="H631" s="1">
        <f t="shared" si="1152"/>
        <v>27.240860880195527</v>
      </c>
      <c r="I631" s="1">
        <f t="shared" si="1302"/>
        <v>-30.160863268642469</v>
      </c>
      <c r="J631" s="1">
        <f t="shared" si="1303"/>
        <v>0</v>
      </c>
      <c r="K631" s="1">
        <f t="shared" si="1304"/>
        <v>1.5384216754239917</v>
      </c>
      <c r="L631" s="1">
        <f t="shared" ref="L631:N631" si="1424">E631/$H631</f>
        <v>0.99870166484008327</v>
      </c>
      <c r="M631" s="1">
        <f t="shared" si="1424"/>
        <v>0</v>
      </c>
      <c r="N631" s="1">
        <f t="shared" si="1424"/>
        <v>-5.0940991800768332E-2</v>
      </c>
      <c r="O631" s="1">
        <f t="shared" si="1154"/>
        <v>-5.0940991800768332E-2</v>
      </c>
      <c r="P631" s="1">
        <f t="shared" si="1306"/>
        <v>5.0874853320032366E-2</v>
      </c>
      <c r="Q631" s="1">
        <f t="shared" si="1307"/>
        <v>0</v>
      </c>
      <c r="R631" s="1">
        <f t="shared" si="1308"/>
        <v>0.99740501535435411</v>
      </c>
      <c r="S631" s="1">
        <f t="shared" si="1309"/>
        <v>2.4417080366887816</v>
      </c>
      <c r="T631" s="1">
        <f t="shared" ref="T631:V631" si="1425">$S631*P631</f>
        <v>0.12422153821688597</v>
      </c>
      <c r="U631" s="1">
        <f t="shared" si="1425"/>
        <v>0</v>
      </c>
      <c r="V631" s="1">
        <f t="shared" si="1425"/>
        <v>2.4353718418244239</v>
      </c>
      <c r="W631" s="1">
        <f t="shared" si="1311"/>
        <v>-30.036641730425583</v>
      </c>
      <c r="X631" s="1">
        <f t="shared" si="1312"/>
        <v>0</v>
      </c>
      <c r="Y631" s="1">
        <f t="shared" si="1313"/>
        <v>-5.8328564827515841</v>
      </c>
    </row>
    <row r="632" spans="1:25">
      <c r="A632" s="1">
        <v>0.63</v>
      </c>
      <c r="B632" s="1">
        <f t="shared" si="1314"/>
        <v>29.3226390359311</v>
      </c>
      <c r="C632" s="1">
        <f t="shared" si="1315"/>
        <v>0</v>
      </c>
      <c r="D632" s="1">
        <f t="shared" si="1316"/>
        <v>4.2139088981694529E-2</v>
      </c>
      <c r="E632" s="1">
        <f t="shared" si="1317"/>
        <v>27.175456470997943</v>
      </c>
      <c r="F632" s="1">
        <f t="shared" si="1318"/>
        <v>0</v>
      </c>
      <c r="G632" s="1">
        <f t="shared" si="1319"/>
        <v>-1.3935093272266628</v>
      </c>
      <c r="H632" s="1">
        <f t="shared" si="1152"/>
        <v>27.211161361694426</v>
      </c>
      <c r="I632" s="1">
        <f t="shared" si="1302"/>
        <v>-30.094716940922595</v>
      </c>
      <c r="J632" s="1">
        <f t="shared" si="1303"/>
        <v>0</v>
      </c>
      <c r="K632" s="1">
        <f t="shared" si="1304"/>
        <v>1.5432038391766476</v>
      </c>
      <c r="L632" s="1">
        <f t="shared" ref="L632:N632" si="1426">E632/$H632</f>
        <v>0.99868785862455889</v>
      </c>
      <c r="M632" s="1">
        <f t="shared" si="1426"/>
        <v>0</v>
      </c>
      <c r="N632" s="1">
        <f t="shared" si="1426"/>
        <v>-5.1210946445980343E-2</v>
      </c>
      <c r="O632" s="1">
        <f t="shared" si="1154"/>
        <v>-5.1210946445980343E-2</v>
      </c>
      <c r="P632" s="1">
        <f t="shared" si="1306"/>
        <v>5.1143750444273071E-2</v>
      </c>
      <c r="Q632" s="1">
        <f t="shared" si="1307"/>
        <v>0</v>
      </c>
      <c r="R632" s="1">
        <f t="shared" si="1308"/>
        <v>0.99737743896410691</v>
      </c>
      <c r="S632" s="1">
        <f t="shared" si="1309"/>
        <v>2.4363867642098085</v>
      </c>
      <c r="T632" s="1">
        <f t="shared" ref="T632:V632" si="1427">$S632*P632</f>
        <v>0.12460595665447642</v>
      </c>
      <c r="U632" s="1">
        <f t="shared" si="1427"/>
        <v>0</v>
      </c>
      <c r="V632" s="1">
        <f t="shared" si="1427"/>
        <v>2.429997191213626</v>
      </c>
      <c r="W632" s="1">
        <f t="shared" si="1311"/>
        <v>-29.970110984268118</v>
      </c>
      <c r="X632" s="1">
        <f t="shared" si="1312"/>
        <v>0</v>
      </c>
      <c r="Y632" s="1">
        <f t="shared" si="1313"/>
        <v>-5.8334489696097256</v>
      </c>
    </row>
    <row r="633" spans="1:25">
      <c r="A633" s="1">
        <v>0.63100000000000001</v>
      </c>
      <c r="B633" s="1">
        <f t="shared" si="1314"/>
        <v>29.349784522291113</v>
      </c>
      <c r="C633" s="1">
        <f t="shared" si="1315"/>
        <v>0</v>
      </c>
      <c r="D633" s="1">
        <f t="shared" si="1316"/>
        <v>4.0739746205498258E-2</v>
      </c>
      <c r="E633" s="1">
        <f t="shared" si="1317"/>
        <v>27.145486360013674</v>
      </c>
      <c r="F633" s="1">
        <f t="shared" si="1318"/>
        <v>0</v>
      </c>
      <c r="G633" s="1">
        <f t="shared" si="1319"/>
        <v>-1.3993427761962725</v>
      </c>
      <c r="H633" s="1">
        <f t="shared" si="1152"/>
        <v>27.181530308777337</v>
      </c>
      <c r="I633" s="1">
        <f t="shared" si="1302"/>
        <v>-30.028792457904551</v>
      </c>
      <c r="J633" s="1">
        <f t="shared" si="1303"/>
        <v>0</v>
      </c>
      <c r="K633" s="1">
        <f t="shared" si="1304"/>
        <v>1.547976457174985</v>
      </c>
      <c r="L633" s="1">
        <f t="shared" ref="L633:N633" si="1428">E633/$H633</f>
        <v>0.9986739543964519</v>
      </c>
      <c r="M633" s="1">
        <f t="shared" si="1428"/>
        <v>0</v>
      </c>
      <c r="N633" s="1">
        <f t="shared" si="1428"/>
        <v>-5.1481383141419486E-2</v>
      </c>
      <c r="O633" s="1">
        <f t="shared" si="1154"/>
        <v>-5.1481383141419486E-2</v>
      </c>
      <c r="P633" s="1">
        <f t="shared" si="1306"/>
        <v>5.1413116479640232E-2</v>
      </c>
      <c r="Q633" s="1">
        <f t="shared" si="1307"/>
        <v>0</v>
      </c>
      <c r="R633" s="1">
        <f t="shared" si="1308"/>
        <v>0.99734966718984641</v>
      </c>
      <c r="S633" s="1">
        <f t="shared" si="1309"/>
        <v>2.4310835433900446</v>
      </c>
      <c r="T633" s="1">
        <f t="shared" ref="T633:V633" si="1429">$S633*P633</f>
        <v>0.12498958138804887</v>
      </c>
      <c r="U633" s="1">
        <f t="shared" si="1429"/>
        <v>0</v>
      </c>
      <c r="V633" s="1">
        <f t="shared" si="1429"/>
        <v>2.4246403629107736</v>
      </c>
      <c r="W633" s="1">
        <f t="shared" si="1311"/>
        <v>-29.903802876516501</v>
      </c>
      <c r="X633" s="1">
        <f t="shared" si="1312"/>
        <v>0</v>
      </c>
      <c r="Y633" s="1">
        <f t="shared" si="1313"/>
        <v>-5.8340331799142406</v>
      </c>
    </row>
    <row r="634" spans="1:25">
      <c r="A634" s="1">
        <v>0.63200000000000001</v>
      </c>
      <c r="B634" s="1">
        <f t="shared" si="1314"/>
        <v>29.37690010484825</v>
      </c>
      <c r="C634" s="1">
        <f t="shared" si="1315"/>
        <v>0</v>
      </c>
      <c r="D634" s="1">
        <f t="shared" si="1316"/>
        <v>3.9334569396122072E-2</v>
      </c>
      <c r="E634" s="1">
        <f t="shared" si="1317"/>
        <v>27.115582557137156</v>
      </c>
      <c r="F634" s="1">
        <f t="shared" si="1318"/>
        <v>0</v>
      </c>
      <c r="G634" s="1">
        <f t="shared" si="1319"/>
        <v>-1.4051768093761867</v>
      </c>
      <c r="H634" s="1">
        <f t="shared" si="1152"/>
        <v>27.151967502899847</v>
      </c>
      <c r="I634" s="1">
        <f t="shared" si="1302"/>
        <v>-29.963088841186075</v>
      </c>
      <c r="J634" s="1">
        <f t="shared" si="1303"/>
        <v>0</v>
      </c>
      <c r="K634" s="1">
        <f t="shared" si="1304"/>
        <v>1.5527395543943765</v>
      </c>
      <c r="L634" s="1">
        <f t="shared" ref="L634:N634" si="1430">E634/$H634</f>
        <v>0.99865995177849243</v>
      </c>
      <c r="M634" s="1">
        <f t="shared" si="1430"/>
        <v>0</v>
      </c>
      <c r="N634" s="1">
        <f t="shared" si="1430"/>
        <v>-5.1752301531228367E-2</v>
      </c>
      <c r="O634" s="1">
        <f t="shared" si="1154"/>
        <v>-5.1752301531228367E-2</v>
      </c>
      <c r="P634" s="1">
        <f t="shared" si="1306"/>
        <v>5.1682950951602524E-2</v>
      </c>
      <c r="Q634" s="1">
        <f t="shared" si="1307"/>
        <v>0</v>
      </c>
      <c r="R634" s="1">
        <f t="shared" si="1308"/>
        <v>0.99732169928622083</v>
      </c>
      <c r="S634" s="1">
        <f t="shared" si="1309"/>
        <v>2.4257982951274424</v>
      </c>
      <c r="T634" s="1">
        <f t="shared" ref="T634:V634" si="1431">$S634*P634</f>
        <v>0.12537241430555263</v>
      </c>
      <c r="U634" s="1">
        <f t="shared" si="1431"/>
        <v>0</v>
      </c>
      <c r="V634" s="1">
        <f t="shared" si="1431"/>
        <v>2.4193012778221181</v>
      </c>
      <c r="W634" s="1">
        <f t="shared" si="1311"/>
        <v>-29.837716426880522</v>
      </c>
      <c r="X634" s="1">
        <f t="shared" si="1312"/>
        <v>0</v>
      </c>
      <c r="Y634" s="1">
        <f t="shared" si="1313"/>
        <v>-5.8346091677835048</v>
      </c>
    </row>
    <row r="635" spans="1:25">
      <c r="A635" s="1">
        <v>0.63300000000000001</v>
      </c>
      <c r="B635" s="1">
        <f t="shared" si="1314"/>
        <v>29.403985849688961</v>
      </c>
      <c r="C635" s="1">
        <f t="shared" si="1315"/>
        <v>0</v>
      </c>
      <c r="D635" s="1">
        <f t="shared" si="1316"/>
        <v>3.7923557977578105E-2</v>
      </c>
      <c r="E635" s="1">
        <f t="shared" si="1317"/>
        <v>27.085744840710277</v>
      </c>
      <c r="F635" s="1">
        <f t="shared" si="1318"/>
        <v>0</v>
      </c>
      <c r="G635" s="1">
        <f t="shared" si="1319"/>
        <v>-1.4110114185439702</v>
      </c>
      <c r="H635" s="1">
        <f t="shared" si="1152"/>
        <v>27.122472726492415</v>
      </c>
      <c r="I635" s="1">
        <f t="shared" si="1302"/>
        <v>-29.89760511776435</v>
      </c>
      <c r="J635" s="1">
        <f t="shared" si="1303"/>
        <v>0</v>
      </c>
      <c r="K635" s="1">
        <f t="shared" si="1304"/>
        <v>1.5574931557679803</v>
      </c>
      <c r="L635" s="1">
        <f t="shared" ref="L635:N635" si="1432">E635/$H635</f>
        <v>0.99864585039304832</v>
      </c>
      <c r="M635" s="1">
        <f t="shared" si="1432"/>
        <v>0</v>
      </c>
      <c r="N635" s="1">
        <f t="shared" si="1432"/>
        <v>-5.2023701259573459E-2</v>
      </c>
      <c r="O635" s="1">
        <f t="shared" si="1154"/>
        <v>-5.2023701259573459E-2</v>
      </c>
      <c r="P635" s="1">
        <f t="shared" si="1306"/>
        <v>5.1953253384960638E-2</v>
      </c>
      <c r="Q635" s="1">
        <f t="shared" si="1307"/>
        <v>0</v>
      </c>
      <c r="R635" s="1">
        <f t="shared" si="1308"/>
        <v>0.99729353450725466</v>
      </c>
      <c r="S635" s="1">
        <f t="shared" si="1309"/>
        <v>2.4205309407561781</v>
      </c>
      <c r="T635" s="1">
        <f t="shared" ref="T635:V635" si="1433">$S635*P635</f>
        <v>0.12575445729124288</v>
      </c>
      <c r="U635" s="1">
        <f t="shared" si="1433"/>
        <v>0</v>
      </c>
      <c r="V635" s="1">
        <f t="shared" si="1433"/>
        <v>2.413979857290899</v>
      </c>
      <c r="W635" s="1">
        <f t="shared" si="1311"/>
        <v>-29.771850660473106</v>
      </c>
      <c r="X635" s="1">
        <f t="shared" si="1312"/>
        <v>0</v>
      </c>
      <c r="Y635" s="1">
        <f t="shared" si="1313"/>
        <v>-5.8351769869411196</v>
      </c>
    </row>
    <row r="636" spans="1:25">
      <c r="A636" s="1">
        <v>0.63400000000000001</v>
      </c>
      <c r="B636" s="1">
        <f t="shared" si="1314"/>
        <v>29.43104182267901</v>
      </c>
      <c r="C636" s="1">
        <f t="shared" si="1315"/>
        <v>0</v>
      </c>
      <c r="D636" s="1">
        <f t="shared" si="1316"/>
        <v>3.6506711382047197E-2</v>
      </c>
      <c r="E636" s="1">
        <f t="shared" si="1317"/>
        <v>27.055972990049803</v>
      </c>
      <c r="F636" s="1">
        <f t="shared" si="1318"/>
        <v>0</v>
      </c>
      <c r="G636" s="1">
        <f t="shared" si="1319"/>
        <v>-1.4168465955309113</v>
      </c>
      <c r="H636" s="1">
        <f t="shared" si="1152"/>
        <v>27.093045762954965</v>
      </c>
      <c r="I636" s="1">
        <f t="shared" si="1302"/>
        <v>-29.832340320000245</v>
      </c>
      <c r="J636" s="1">
        <f t="shared" si="1303"/>
        <v>0</v>
      </c>
      <c r="K636" s="1">
        <f t="shared" si="1304"/>
        <v>1.5622372861865457</v>
      </c>
      <c r="L636" s="1">
        <f t="shared" ref="L636:N636" si="1434">E636/$H636</f>
        <v>0.99863164986212616</v>
      </c>
      <c r="M636" s="1">
        <f t="shared" si="1434"/>
        <v>0</v>
      </c>
      <c r="N636" s="1">
        <f t="shared" si="1434"/>
        <v>-5.2295581970639972E-2</v>
      </c>
      <c r="O636" s="1">
        <f t="shared" si="1154"/>
        <v>-5.2295581970639972E-2</v>
      </c>
      <c r="P636" s="1">
        <f t="shared" si="1306"/>
        <v>5.2224023303840253E-2</v>
      </c>
      <c r="Q636" s="1">
        <f t="shared" si="1307"/>
        <v>0</v>
      </c>
      <c r="R636" s="1">
        <f t="shared" si="1308"/>
        <v>0.99726517210635213</v>
      </c>
      <c r="S636" s="1">
        <f t="shared" si="1309"/>
        <v>2.4152814020437656</v>
      </c>
      <c r="T636" s="1">
        <f t="shared" ref="T636:V636" si="1435">$S636*P636</f>
        <v>0.12613571222566558</v>
      </c>
      <c r="U636" s="1">
        <f t="shared" si="1435"/>
        <v>0</v>
      </c>
      <c r="V636" s="1">
        <f t="shared" si="1435"/>
        <v>2.4086760230944475</v>
      </c>
      <c r="W636" s="1">
        <f t="shared" si="1311"/>
        <v>-29.70620460777458</v>
      </c>
      <c r="X636" s="1">
        <f t="shared" si="1312"/>
        <v>0</v>
      </c>
      <c r="Y636" s="1">
        <f t="shared" si="1313"/>
        <v>-5.8357366907190062</v>
      </c>
    </row>
    <row r="637" spans="1:25">
      <c r="A637" s="1">
        <v>0.63500000000000001</v>
      </c>
      <c r="B637" s="1">
        <f t="shared" si="1314"/>
        <v>29.458068089464451</v>
      </c>
      <c r="C637" s="1">
        <f t="shared" si="1315"/>
        <v>0</v>
      </c>
      <c r="D637" s="1">
        <f t="shared" si="1316"/>
        <v>3.5084029049825563E-2</v>
      </c>
      <c r="E637" s="1">
        <f t="shared" si="1317"/>
        <v>27.026266785442029</v>
      </c>
      <c r="F637" s="1">
        <f t="shared" si="1318"/>
        <v>0</v>
      </c>
      <c r="G637" s="1">
        <f t="shared" si="1319"/>
        <v>-1.4226823322216302</v>
      </c>
      <c r="H637" s="1">
        <f t="shared" si="1152"/>
        <v>27.063686396651558</v>
      </c>
      <c r="I637" s="1">
        <f t="shared" si="1302"/>
        <v>-29.767293485582901</v>
      </c>
      <c r="J637" s="1">
        <f t="shared" si="1303"/>
        <v>0</v>
      </c>
      <c r="K637" s="1">
        <f t="shared" si="1304"/>
        <v>1.5669719704982248</v>
      </c>
      <c r="L637" s="1">
        <f t="shared" ref="L637:N637" si="1436">E637/$H637</f>
        <v>0.99861734980737293</v>
      </c>
      <c r="M637" s="1">
        <f t="shared" si="1436"/>
        <v>0</v>
      </c>
      <c r="N637" s="1">
        <f t="shared" si="1436"/>
        <v>-5.2567943308626679E-2</v>
      </c>
      <c r="O637" s="1">
        <f t="shared" si="1154"/>
        <v>-5.2567943308626679E-2</v>
      </c>
      <c r="P637" s="1">
        <f t="shared" si="1306"/>
        <v>5.2495260231684999E-2</v>
      </c>
      <c r="Q637" s="1">
        <f t="shared" si="1307"/>
        <v>0</v>
      </c>
      <c r="R637" s="1">
        <f t="shared" si="1308"/>
        <v>0.99723661133630104</v>
      </c>
      <c r="S637" s="1">
        <f t="shared" si="1309"/>
        <v>2.4100496011881964</v>
      </c>
      <c r="T637" s="1">
        <f t="shared" ref="T637:V637" si="1437">$S637*P637</f>
        <v>0.12651618098564302</v>
      </c>
      <c r="U637" s="1">
        <f t="shared" si="1437"/>
        <v>0</v>
      </c>
      <c r="V637" s="1">
        <f t="shared" si="1437"/>
        <v>2.4033896974413209</v>
      </c>
      <c r="W637" s="1">
        <f t="shared" si="1311"/>
        <v>-29.640777304597258</v>
      </c>
      <c r="X637" s="1">
        <f t="shared" si="1312"/>
        <v>0</v>
      </c>
      <c r="Y637" s="1">
        <f t="shared" si="1313"/>
        <v>-5.8362883320604535</v>
      </c>
    </row>
    <row r="638" spans="1:25">
      <c r="A638" s="1">
        <v>0.63600000000000001</v>
      </c>
      <c r="B638" s="1">
        <f t="shared" si="1314"/>
        <v>29.485064715472589</v>
      </c>
      <c r="C638" s="1">
        <f t="shared" si="1315"/>
        <v>0</v>
      </c>
      <c r="D638" s="1">
        <f t="shared" si="1316"/>
        <v>3.3655510429271875E-2</v>
      </c>
      <c r="E638" s="1">
        <f t="shared" si="1317"/>
        <v>26.996626008137433</v>
      </c>
      <c r="F638" s="1">
        <f t="shared" si="1318"/>
        <v>0</v>
      </c>
      <c r="G638" s="1">
        <f t="shared" si="1319"/>
        <v>-1.4285186205536906</v>
      </c>
      <c r="H638" s="1">
        <f t="shared" si="1152"/>
        <v>27.034394412905037</v>
      </c>
      <c r="I638" s="1">
        <f t="shared" si="1302"/>
        <v>-29.702463657494501</v>
      </c>
      <c r="J638" s="1">
        <f t="shared" si="1303"/>
        <v>0</v>
      </c>
      <c r="K638" s="1">
        <f t="shared" si="1304"/>
        <v>1.571697233508387</v>
      </c>
      <c r="L638" s="1">
        <f t="shared" ref="L638:N638" si="1438">E638/$H638</f>
        <v>0.9986029498500778</v>
      </c>
      <c r="M638" s="1">
        <f t="shared" si="1438"/>
        <v>0</v>
      </c>
      <c r="N638" s="1">
        <f t="shared" si="1438"/>
        <v>-5.2840784917740871E-2</v>
      </c>
      <c r="O638" s="1">
        <f t="shared" si="1154"/>
        <v>-5.2840784917740871E-2</v>
      </c>
      <c r="P638" s="1">
        <f t="shared" si="1306"/>
        <v>5.2766963691249537E-2</v>
      </c>
      <c r="Q638" s="1">
        <f t="shared" si="1307"/>
        <v>0</v>
      </c>
      <c r="R638" s="1">
        <f t="shared" si="1308"/>
        <v>0.99720785144927704</v>
      </c>
      <c r="S638" s="1">
        <f t="shared" si="1309"/>
        <v>2.4048354608150935</v>
      </c>
      <c r="T638" s="1">
        <f t="shared" ref="T638:V638" si="1439">$S638*P638</f>
        <v>0.12689586544425938</v>
      </c>
      <c r="U638" s="1">
        <f t="shared" si="1439"/>
        <v>0</v>
      </c>
      <c r="V638" s="1">
        <f t="shared" si="1439"/>
        <v>2.3981208029684513</v>
      </c>
      <c r="W638" s="1">
        <f t="shared" si="1311"/>
        <v>-29.575567792050244</v>
      </c>
      <c r="X638" s="1">
        <f t="shared" si="1312"/>
        <v>0</v>
      </c>
      <c r="Y638" s="1">
        <f t="shared" si="1313"/>
        <v>-5.8368319635231609</v>
      </c>
    </row>
    <row r="639" spans="1:25">
      <c r="A639" s="1">
        <v>0.63700000000000001</v>
      </c>
      <c r="B639" s="1">
        <f t="shared" si="1314"/>
        <v>29.512031765912933</v>
      </c>
      <c r="C639" s="1">
        <f t="shared" si="1315"/>
        <v>0</v>
      </c>
      <c r="D639" s="1">
        <f t="shared" si="1316"/>
        <v>3.2221154976754658E-2</v>
      </c>
      <c r="E639" s="1">
        <f t="shared" si="1317"/>
        <v>26.967050440345382</v>
      </c>
      <c r="F639" s="1">
        <f t="shared" si="1318"/>
        <v>0</v>
      </c>
      <c r="G639" s="1">
        <f t="shared" si="1319"/>
        <v>-1.4343554525172137</v>
      </c>
      <c r="H639" s="1">
        <f t="shared" si="1152"/>
        <v>27.005169597991753</v>
      </c>
      <c r="I639" s="1">
        <f t="shared" si="1302"/>
        <v>-29.637849883975388</v>
      </c>
      <c r="J639" s="1">
        <f t="shared" si="1303"/>
        <v>0</v>
      </c>
      <c r="K639" s="1">
        <f t="shared" si="1304"/>
        <v>1.5764130999794395</v>
      </c>
      <c r="L639" s="1">
        <f t="shared" ref="L639:N639" si="1440">E639/$H639</f>
        <v>0.99858844961117355</v>
      </c>
      <c r="M639" s="1">
        <f t="shared" si="1440"/>
        <v>0</v>
      </c>
      <c r="N639" s="1">
        <f t="shared" si="1440"/>
        <v>-5.31141064421932E-2</v>
      </c>
      <c r="O639" s="1">
        <f t="shared" si="1154"/>
        <v>-5.31141064421932E-2</v>
      </c>
      <c r="P639" s="1">
        <f t="shared" si="1306"/>
        <v>5.3039133204592553E-2</v>
      </c>
      <c r="Q639" s="1">
        <f t="shared" si="1307"/>
        <v>0</v>
      </c>
      <c r="R639" s="1">
        <f t="shared" si="1308"/>
        <v>0.99717889169684737</v>
      </c>
      <c r="S639" s="1">
        <f t="shared" si="1309"/>
        <v>2.3996389039748953</v>
      </c>
      <c r="T639" s="1">
        <f t="shared" ref="T639:V639" si="1441">$S639*P639</f>
        <v>0.12727476747084696</v>
      </c>
      <c r="U639" s="1">
        <f t="shared" si="1441"/>
        <v>0</v>
      </c>
      <c r="V639" s="1">
        <f t="shared" si="1441"/>
        <v>2.3928692627383237</v>
      </c>
      <c r="W639" s="1">
        <f t="shared" si="1311"/>
        <v>-29.51057511650454</v>
      </c>
      <c r="X639" s="1">
        <f t="shared" si="1312"/>
        <v>0</v>
      </c>
      <c r="Y639" s="1">
        <f t="shared" si="1313"/>
        <v>-5.8373676372822363</v>
      </c>
    </row>
    <row r="640" spans="1:25">
      <c r="A640" s="1">
        <v>0.63800000000000001</v>
      </c>
      <c r="B640" s="1">
        <f t="shared" si="1314"/>
        <v>29.538969305778163</v>
      </c>
      <c r="C640" s="1">
        <f t="shared" si="1315"/>
        <v>0</v>
      </c>
      <c r="D640" s="1">
        <f t="shared" si="1316"/>
        <v>3.0780962156600162E-2</v>
      </c>
      <c r="E640" s="1">
        <f t="shared" si="1317"/>
        <v>26.937539865228878</v>
      </c>
      <c r="F640" s="1">
        <f t="shared" si="1318"/>
        <v>0</v>
      </c>
      <c r="G640" s="1">
        <f t="shared" si="1319"/>
        <v>-1.440192820154496</v>
      </c>
      <c r="H640" s="1">
        <f t="shared" si="1152"/>
        <v>26.9760117391363</v>
      </c>
      <c r="I640" s="1">
        <f t="shared" si="1302"/>
        <v>-29.573451218489378</v>
      </c>
      <c r="J640" s="1">
        <f t="shared" si="1303"/>
        <v>0</v>
      </c>
      <c r="K640" s="1">
        <f t="shared" si="1304"/>
        <v>1.5811195946306491</v>
      </c>
      <c r="L640" s="1">
        <f t="shared" ref="L640:N640" si="1442">E640/$H640</f>
        <v>0.99857384871123822</v>
      </c>
      <c r="M640" s="1">
        <f t="shared" si="1442"/>
        <v>0</v>
      </c>
      <c r="N640" s="1">
        <f t="shared" si="1442"/>
        <v>-5.3387907526192643E-2</v>
      </c>
      <c r="O640" s="1">
        <f t="shared" si="1154"/>
        <v>-5.3387907526192643E-2</v>
      </c>
      <c r="P640" s="1">
        <f t="shared" si="1306"/>
        <v>5.3311768293069869E-2</v>
      </c>
      <c r="Q640" s="1">
        <f t="shared" si="1307"/>
        <v>0</v>
      </c>
      <c r="R640" s="1">
        <f t="shared" si="1308"/>
        <v>0.99714973132997475</v>
      </c>
      <c r="S640" s="1">
        <f t="shared" si="1309"/>
        <v>2.3944598541400541</v>
      </c>
      <c r="T640" s="1">
        <f t="shared" ref="T640:V640" si="1443">$S640*P640</f>
        <v>0.12765288893097243</v>
      </c>
      <c r="U640" s="1">
        <f t="shared" si="1443"/>
        <v>0</v>
      </c>
      <c r="V640" s="1">
        <f t="shared" si="1443"/>
        <v>2.3876350002361657</v>
      </c>
      <c r="W640" s="1">
        <f t="shared" si="1311"/>
        <v>-29.445798329558407</v>
      </c>
      <c r="X640" s="1">
        <f t="shared" si="1312"/>
        <v>0</v>
      </c>
      <c r="Y640" s="1">
        <f t="shared" si="1313"/>
        <v>-5.8378954051331844</v>
      </c>
    </row>
    <row r="641" spans="1:25">
      <c r="A641" s="1">
        <v>0.63900000000000001</v>
      </c>
      <c r="B641" s="1">
        <f t="shared" si="1314"/>
        <v>29.565877399845064</v>
      </c>
      <c r="C641" s="1">
        <f t="shared" si="1315"/>
        <v>0</v>
      </c>
      <c r="D641" s="1">
        <f t="shared" si="1316"/>
        <v>2.9334931441040532E-2</v>
      </c>
      <c r="E641" s="1">
        <f t="shared" si="1317"/>
        <v>26.90809406689932</v>
      </c>
      <c r="F641" s="1">
        <f t="shared" si="1318"/>
        <v>0</v>
      </c>
      <c r="G641" s="1">
        <f t="shared" si="1319"/>
        <v>-1.4460307155596293</v>
      </c>
      <c r="H641" s="1">
        <f t="shared" si="1152"/>
        <v>26.946920624506326</v>
      </c>
      <c r="I641" s="1">
        <f t="shared" si="1302"/>
        <v>-29.509266719689428</v>
      </c>
      <c r="J641" s="1">
        <f t="shared" si="1303"/>
        <v>0</v>
      </c>
      <c r="K641" s="1">
        <f t="shared" si="1304"/>
        <v>1.5858167421379752</v>
      </c>
      <c r="L641" s="1">
        <f t="shared" ref="L641:N641" si="1444">E641/$H641</f>
        <v>0.99855914677049606</v>
      </c>
      <c r="M641" s="1">
        <f t="shared" si="1444"/>
        <v>0</v>
      </c>
      <c r="N641" s="1">
        <f t="shared" si="1444"/>
        <v>-5.3662187813941387E-2</v>
      </c>
      <c r="O641" s="1">
        <f t="shared" si="1154"/>
        <v>-5.3662187813941387E-2</v>
      </c>
      <c r="P641" s="1">
        <f t="shared" si="1306"/>
        <v>5.3584868477327421E-2</v>
      </c>
      <c r="Q641" s="1">
        <f t="shared" si="1307"/>
        <v>0</v>
      </c>
      <c r="R641" s="1">
        <f t="shared" si="1308"/>
        <v>0.99712036959902128</v>
      </c>
      <c r="S641" s="1">
        <f t="shared" si="1309"/>
        <v>2.3892982352022654</v>
      </c>
      <c r="T641" s="1">
        <f t="shared" ref="T641:V641" si="1445">$S641*P641</f>
        <v>0.12803023168642391</v>
      </c>
      <c r="U641" s="1">
        <f t="shared" si="1445"/>
        <v>0</v>
      </c>
      <c r="V641" s="1">
        <f t="shared" si="1445"/>
        <v>2.3824179393671723</v>
      </c>
      <c r="W641" s="1">
        <f t="shared" si="1311"/>
        <v>-29.381236488003005</v>
      </c>
      <c r="X641" s="1">
        <f t="shared" si="1312"/>
        <v>0</v>
      </c>
      <c r="Y641" s="1">
        <f t="shared" si="1313"/>
        <v>-5.8384153184948522</v>
      </c>
    </row>
    <row r="642" spans="1:25">
      <c r="A642" s="1">
        <v>0.64</v>
      </c>
      <c r="B642" s="1">
        <f t="shared" si="1314"/>
        <v>29.592756112675474</v>
      </c>
      <c r="C642" s="1">
        <f t="shared" si="1315"/>
        <v>0</v>
      </c>
      <c r="D642" s="1">
        <f t="shared" si="1316"/>
        <v>2.7883062310162406E-2</v>
      </c>
      <c r="E642" s="1">
        <f t="shared" si="1317"/>
        <v>26.878712830411317</v>
      </c>
      <c r="F642" s="1">
        <f t="shared" si="1318"/>
        <v>0</v>
      </c>
      <c r="G642" s="1">
        <f t="shared" si="1319"/>
        <v>-1.4518691308781242</v>
      </c>
      <c r="H642" s="1">
        <f t="shared" si="1152"/>
        <v>26.917896043207289</v>
      </c>
      <c r="I642" s="1">
        <f t="shared" ref="I642:I705" si="1446">-K_drag*$H642*E642</f>
        <v>-29.445295451383462</v>
      </c>
      <c r="J642" s="1">
        <f t="shared" ref="J642:J705" si="1447">-K_drag*$H642*F642</f>
        <v>0</v>
      </c>
      <c r="K642" s="1">
        <f t="shared" ref="K642:K705" si="1448">-K_drag*$H642*G642</f>
        <v>1.5905045671338975</v>
      </c>
      <c r="L642" s="1">
        <f t="shared" ref="L642:N642" si="1449">E642/$H642</f>
        <v>0.99854434340882081</v>
      </c>
      <c r="M642" s="1">
        <f t="shared" si="1449"/>
        <v>0</v>
      </c>
      <c r="N642" s="1">
        <f t="shared" si="1449"/>
        <v>-5.3936946949629902E-2</v>
      </c>
      <c r="O642" s="1">
        <f t="shared" si="1154"/>
        <v>-5.3936946949629902E-2</v>
      </c>
      <c r="P642" s="1">
        <f t="shared" ref="P642:P705" si="1450">u_axis_f-$O642*L642</f>
        <v>5.3858433277294594E-2</v>
      </c>
      <c r="Q642" s="1">
        <f t="shared" ref="Q642:Q705" si="1451">u_axis_r-$O642*M642</f>
        <v>0</v>
      </c>
      <c r="R642" s="1">
        <f t="shared" ref="R642:R705" si="1452">u_axis_u-$O642*N642</f>
        <v>0.99709080575375286</v>
      </c>
      <c r="S642" s="1">
        <f t="shared" ref="S642:S705" si="1453">K_lift*H642^2</f>
        <v>2.3841539714697038</v>
      </c>
      <c r="T642" s="1">
        <f t="shared" ref="T642:V642" si="1454">$S642*P642</f>
        <v>0.12840679759519796</v>
      </c>
      <c r="U642" s="1">
        <f t="shared" si="1454"/>
        <v>0</v>
      </c>
      <c r="V642" s="1">
        <f t="shared" si="1454"/>
        <v>2.377218004453737</v>
      </c>
      <c r="W642" s="1">
        <f t="shared" ref="W642:W705" si="1455">I642+T642+g_f</f>
        <v>-29.316888653788265</v>
      </c>
      <c r="X642" s="1">
        <f t="shared" ref="X642:X705" si="1456">J642+U642+g_r</f>
        <v>0</v>
      </c>
      <c r="Y642" s="1">
        <f t="shared" ref="Y642:Y705" si="1457">K642+V642+g_u</f>
        <v>-5.8389274284123651</v>
      </c>
    </row>
    <row r="643" spans="1:25">
      <c r="A643" s="1">
        <v>0.64100000000000001</v>
      </c>
      <c r="B643" s="1">
        <f t="shared" ref="B643:B706" si="1458">B642+E643*dt</f>
        <v>29.61960550861723</v>
      </c>
      <c r="C643" s="1">
        <f t="shared" ref="C643:C706" si="1459">C642+F643*dt</f>
        <v>0</v>
      </c>
      <c r="D643" s="1">
        <f t="shared" ref="D643:D706" si="1460">D642+G643*dt</f>
        <v>2.6425354251855871E-2</v>
      </c>
      <c r="E643" s="1">
        <f t="shared" ref="E643:E706" si="1461">E642+W642*dt</f>
        <v>26.849395941757528</v>
      </c>
      <c r="F643" s="1">
        <f t="shared" ref="F643:F706" si="1462">F642+X642*dt</f>
        <v>0</v>
      </c>
      <c r="G643" s="1">
        <f t="shared" ref="G643:G706" si="1463">G642+Y642*dt</f>
        <v>-1.4577080583065365</v>
      </c>
      <c r="H643" s="1">
        <f t="shared" si="1152"/>
        <v>26.888937785277378</v>
      </c>
      <c r="I643" s="1">
        <f t="shared" si="1446"/>
        <v>-29.381536482500557</v>
      </c>
      <c r="J643" s="1">
        <f t="shared" si="1447"/>
        <v>0</v>
      </c>
      <c r="K643" s="1">
        <f t="shared" si="1448"/>
        <v>1.5951830942072573</v>
      </c>
      <c r="L643" s="1">
        <f t="shared" ref="L643:N643" si="1464">E643/$H643</f>
        <v>0.9985294382457347</v>
      </c>
      <c r="M643" s="1">
        <f t="shared" si="1464"/>
        <v>0</v>
      </c>
      <c r="N643" s="1">
        <f t="shared" si="1464"/>
        <v>-5.4212184577431766E-2</v>
      </c>
      <c r="O643" s="1">
        <f t="shared" si="1154"/>
        <v>-5.4212184577431766E-2</v>
      </c>
      <c r="P643" s="1">
        <f t="shared" si="1450"/>
        <v>5.4132462212177025E-2</v>
      </c>
      <c r="Q643" s="1">
        <f t="shared" si="1451"/>
        <v>0</v>
      </c>
      <c r="R643" s="1">
        <f t="shared" si="1452"/>
        <v>0.99706103904334242</v>
      </c>
      <c r="S643" s="1">
        <f t="shared" si="1453"/>
        <v>2.3790269876642993</v>
      </c>
      <c r="T643" s="1">
        <f t="shared" ref="T643:V643" si="1465">$S643*P643</f>
        <v>0.12878258851148702</v>
      </c>
      <c r="U643" s="1">
        <f t="shared" si="1465"/>
        <v>0</v>
      </c>
      <c r="V643" s="1">
        <f t="shared" si="1465"/>
        <v>2.3720351202327192</v>
      </c>
      <c r="W643" s="1">
        <f t="shared" si="1455"/>
        <v>-29.25275389398907</v>
      </c>
      <c r="X643" s="1">
        <f t="shared" si="1456"/>
        <v>0</v>
      </c>
      <c r="Y643" s="1">
        <f t="shared" si="1457"/>
        <v>-5.8394317855600226</v>
      </c>
    </row>
    <row r="644" spans="1:25">
      <c r="A644" s="1">
        <v>0.64200000000000002</v>
      </c>
      <c r="B644" s="1">
        <f t="shared" si="1458"/>
        <v>29.646425651805092</v>
      </c>
      <c r="C644" s="1">
        <f t="shared" si="1459"/>
        <v>0</v>
      </c>
      <c r="D644" s="1">
        <f t="shared" si="1460"/>
        <v>2.4961806761763773E-2</v>
      </c>
      <c r="E644" s="1">
        <f t="shared" si="1461"/>
        <v>26.82014318786354</v>
      </c>
      <c r="F644" s="1">
        <f t="shared" si="1462"/>
        <v>0</v>
      </c>
      <c r="G644" s="1">
        <f t="shared" si="1463"/>
        <v>-1.4635474900920966</v>
      </c>
      <c r="H644" s="1">
        <f t="shared" si="1152"/>
        <v>26.86004564168233</v>
      </c>
      <c r="I644" s="1">
        <f t="shared" si="1446"/>
        <v>-29.317988887057336</v>
      </c>
      <c r="J644" s="1">
        <f t="shared" si="1447"/>
        <v>0</v>
      </c>
      <c r="K644" s="1">
        <f t="shared" si="1448"/>
        <v>1.5998523479030973</v>
      </c>
      <c r="L644" s="1">
        <f t="shared" ref="L644:N644" si="1466">E644/$H644</f>
        <v>0.99851443090041259</v>
      </c>
      <c r="M644" s="1">
        <f t="shared" si="1466"/>
        <v>0</v>
      </c>
      <c r="N644" s="1">
        <f t="shared" si="1466"/>
        <v>-5.4487900341498821E-2</v>
      </c>
      <c r="O644" s="1">
        <f t="shared" si="1154"/>
        <v>-5.4487900341498821E-2</v>
      </c>
      <c r="P644" s="1">
        <f t="shared" si="1450"/>
        <v>5.4406954800450089E-2</v>
      </c>
      <c r="Q644" s="1">
        <f t="shared" si="1451"/>
        <v>0</v>
      </c>
      <c r="R644" s="1">
        <f t="shared" si="1452"/>
        <v>0.99703106871637492</v>
      </c>
      <c r="S644" s="1">
        <f t="shared" si="1453"/>
        <v>2.3739172089190141</v>
      </c>
      <c r="T644" s="1">
        <f t="shared" ref="T644:V644" si="1467">$S644*P644</f>
        <v>0.12915760628566744</v>
      </c>
      <c r="U644" s="1">
        <f t="shared" si="1467"/>
        <v>0</v>
      </c>
      <c r="V644" s="1">
        <f t="shared" si="1467"/>
        <v>2.3668692118527184</v>
      </c>
      <c r="W644" s="1">
        <f t="shared" si="1455"/>
        <v>-29.188831280771669</v>
      </c>
      <c r="X644" s="1">
        <f t="shared" si="1456"/>
        <v>0</v>
      </c>
      <c r="Y644" s="1">
        <f t="shared" si="1457"/>
        <v>-5.8399284402441838</v>
      </c>
    </row>
    <row r="645" spans="1:25">
      <c r="A645" s="1">
        <v>0.64300000000000002</v>
      </c>
      <c r="B645" s="1">
        <f t="shared" si="1458"/>
        <v>29.673216606161674</v>
      </c>
      <c r="C645" s="1">
        <f t="shared" si="1459"/>
        <v>0</v>
      </c>
      <c r="D645" s="1">
        <f t="shared" si="1460"/>
        <v>2.3492419343231433E-2</v>
      </c>
      <c r="E645" s="1">
        <f t="shared" si="1461"/>
        <v>26.79095435658277</v>
      </c>
      <c r="F645" s="1">
        <f t="shared" si="1462"/>
        <v>0</v>
      </c>
      <c r="G645" s="1">
        <f t="shared" si="1463"/>
        <v>-1.4693874185323408</v>
      </c>
      <c r="H645" s="1">
        <f t="shared" si="1152"/>
        <v>26.831219404310389</v>
      </c>
      <c r="I645" s="1">
        <f t="shared" si="1446"/>
        <v>-29.254651744124612</v>
      </c>
      <c r="J645" s="1">
        <f t="shared" si="1447"/>
        <v>0</v>
      </c>
      <c r="K645" s="1">
        <f t="shared" si="1448"/>
        <v>1.6045123527225065</v>
      </c>
      <c r="L645" s="1">
        <f t="shared" ref="L645:N645" si="1468">E645/$H645</f>
        <v>0.99849932099168215</v>
      </c>
      <c r="M645" s="1">
        <f t="shared" si="1468"/>
        <v>0</v>
      </c>
      <c r="N645" s="1">
        <f t="shared" si="1468"/>
        <v>-5.4764093885956086E-2</v>
      </c>
      <c r="O645" s="1">
        <f t="shared" si="1154"/>
        <v>-5.4764093885956086E-2</v>
      </c>
      <c r="P645" s="1">
        <f t="shared" si="1450"/>
        <v>5.468191055985188E-2</v>
      </c>
      <c r="Q645" s="1">
        <f t="shared" si="1451"/>
        <v>0</v>
      </c>
      <c r="R645" s="1">
        <f t="shared" si="1452"/>
        <v>0.99700089402085024</v>
      </c>
      <c r="S645" s="1">
        <f t="shared" si="1453"/>
        <v>2.3688245607751579</v>
      </c>
      <c r="T645" s="1">
        <f t="shared" ref="T645:V645" si="1469">$S645*P645</f>
        <v>0.12953185276428761</v>
      </c>
      <c r="U645" s="1">
        <f t="shared" si="1469"/>
        <v>0</v>
      </c>
      <c r="V645" s="1">
        <f t="shared" si="1469"/>
        <v>2.3617202048713803</v>
      </c>
      <c r="W645" s="1">
        <f t="shared" si="1455"/>
        <v>-29.125119891360324</v>
      </c>
      <c r="X645" s="1">
        <f t="shared" si="1456"/>
        <v>0</v>
      </c>
      <c r="Y645" s="1">
        <f t="shared" si="1457"/>
        <v>-5.8404174424061122</v>
      </c>
    </row>
    <row r="646" spans="1:25">
      <c r="A646" s="1">
        <v>0.64400000000000002</v>
      </c>
      <c r="B646" s="1">
        <f t="shared" si="1458"/>
        <v>29.699978435398364</v>
      </c>
      <c r="C646" s="1">
        <f t="shared" si="1459"/>
        <v>0</v>
      </c>
      <c r="D646" s="1">
        <f t="shared" si="1460"/>
        <v>2.2017191507256687E-2</v>
      </c>
      <c r="E646" s="1">
        <f t="shared" si="1461"/>
        <v>26.761829236691408</v>
      </c>
      <c r="F646" s="1">
        <f t="shared" si="1462"/>
        <v>0</v>
      </c>
      <c r="G646" s="1">
        <f t="shared" si="1463"/>
        <v>-1.4752278359747468</v>
      </c>
      <c r="H646" s="1">
        <f t="shared" si="1152"/>
        <v>26.802458865967235</v>
      </c>
      <c r="I646" s="1">
        <f t="shared" si="1446"/>
        <v>-29.191524137794296</v>
      </c>
      <c r="J646" s="1">
        <f t="shared" si="1447"/>
        <v>0</v>
      </c>
      <c r="K646" s="1">
        <f t="shared" si="1448"/>
        <v>1.6091631331224701</v>
      </c>
      <c r="L646" s="1">
        <f t="shared" ref="L646:N646" si="1470">E646/$H646</f>
        <v>0.99848410813802546</v>
      </c>
      <c r="M646" s="1">
        <f t="shared" si="1470"/>
        <v>0</v>
      </c>
      <c r="N646" s="1">
        <f t="shared" si="1470"/>
        <v>-5.5040764854896812E-2</v>
      </c>
      <c r="O646" s="1">
        <f t="shared" si="1154"/>
        <v>-5.5040764854896812E-2</v>
      </c>
      <c r="P646" s="1">
        <f t="shared" si="1450"/>
        <v>5.4957329007376418E-2</v>
      </c>
      <c r="Q646" s="1">
        <f t="shared" si="1451"/>
        <v>0</v>
      </c>
      <c r="R646" s="1">
        <f t="shared" si="1452"/>
        <v>0.99697051420418792</v>
      </c>
      <c r="S646" s="1">
        <f t="shared" si="1453"/>
        <v>2.3637489691797118</v>
      </c>
      <c r="T646" s="1">
        <f t="shared" ref="T646:V646" si="1471">$S646*P646</f>
        <v>0.12990532979005628</v>
      </c>
      <c r="U646" s="1">
        <f t="shared" si="1471"/>
        <v>0</v>
      </c>
      <c r="V646" s="1">
        <f t="shared" si="1471"/>
        <v>2.3565880252527163</v>
      </c>
      <c r="W646" s="1">
        <f t="shared" si="1455"/>
        <v>-29.061618808004241</v>
      </c>
      <c r="X646" s="1">
        <f t="shared" si="1456"/>
        <v>0</v>
      </c>
      <c r="Y646" s="1">
        <f t="shared" si="1457"/>
        <v>-5.8408988416248135</v>
      </c>
    </row>
    <row r="647" spans="1:25">
      <c r="A647" s="1">
        <v>0.64500000000000002</v>
      </c>
      <c r="B647" s="1">
        <f t="shared" si="1458"/>
        <v>29.726711203016247</v>
      </c>
      <c r="C647" s="1">
        <f t="shared" si="1459"/>
        <v>0</v>
      </c>
      <c r="D647" s="1">
        <f t="shared" si="1460"/>
        <v>2.0536122772440314E-2</v>
      </c>
      <c r="E647" s="1">
        <f t="shared" si="1461"/>
        <v>26.732767617883404</v>
      </c>
      <c r="F647" s="1">
        <f t="shared" si="1462"/>
        <v>0</v>
      </c>
      <c r="G647" s="1">
        <f t="shared" si="1463"/>
        <v>-1.4810687348163716</v>
      </c>
      <c r="H647" s="1">
        <f t="shared" si="1152"/>
        <v>26.773763820370981</v>
      </c>
      <c r="I647" s="1">
        <f t="shared" si="1446"/>
        <v>-29.128605157146609</v>
      </c>
      <c r="J647" s="1">
        <f t="shared" si="1447"/>
        <v>0</v>
      </c>
      <c r="K647" s="1">
        <f t="shared" si="1448"/>
        <v>1.6138047135157247</v>
      </c>
      <c r="L647" s="1">
        <f t="shared" ref="L647:N647" si="1472">E647/$H647</f>
        <v>0.99846879195758109</v>
      </c>
      <c r="M647" s="1">
        <f t="shared" si="1472"/>
        <v>0</v>
      </c>
      <c r="N647" s="1">
        <f t="shared" si="1472"/>
        <v>-5.5317912892377551E-2</v>
      </c>
      <c r="O647" s="1">
        <f t="shared" si="1154"/>
        <v>-5.5317912892377551E-2</v>
      </c>
      <c r="P647" s="1">
        <f t="shared" si="1450"/>
        <v>5.523320965926691E-2</v>
      </c>
      <c r="Q647" s="1">
        <f t="shared" si="1451"/>
        <v>0</v>
      </c>
      <c r="R647" s="1">
        <f t="shared" si="1452"/>
        <v>0.99693992851323132</v>
      </c>
      <c r="S647" s="1">
        <f t="shared" si="1453"/>
        <v>2.3586903604826772</v>
      </c>
      <c r="T647" s="1">
        <f t="shared" ref="T647:V647" si="1473">$S647*P647</f>
        <v>0.13027803920183156</v>
      </c>
      <c r="U647" s="1">
        <f t="shared" si="1473"/>
        <v>0</v>
      </c>
      <c r="V647" s="1">
        <f t="shared" si="1473"/>
        <v>2.3514725993644481</v>
      </c>
      <c r="W647" s="1">
        <f t="shared" si="1455"/>
        <v>-28.998327117944779</v>
      </c>
      <c r="X647" s="1">
        <f t="shared" si="1456"/>
        <v>0</v>
      </c>
      <c r="Y647" s="1">
        <f t="shared" si="1457"/>
        <v>-5.8413726871198266</v>
      </c>
    </row>
    <row r="648" spans="1:25">
      <c r="A648" s="1">
        <v>0.64600000000000002</v>
      </c>
      <c r="B648" s="1">
        <f t="shared" si="1458"/>
        <v>29.753414972307013</v>
      </c>
      <c r="C648" s="1">
        <f t="shared" si="1459"/>
        <v>0</v>
      </c>
      <c r="D648" s="1">
        <f t="shared" si="1460"/>
        <v>1.9049212664936824E-2</v>
      </c>
      <c r="E648" s="1">
        <f t="shared" si="1461"/>
        <v>26.703769290765461</v>
      </c>
      <c r="F648" s="1">
        <f t="shared" si="1462"/>
        <v>0</v>
      </c>
      <c r="G648" s="1">
        <f t="shared" si="1463"/>
        <v>-1.4869101075034914</v>
      </c>
      <c r="H648" s="1">
        <f t="shared" si="1152"/>
        <v>26.745134062147166</v>
      </c>
      <c r="I648" s="1">
        <f t="shared" si="1446"/>
        <v>-29.065893896217453</v>
      </c>
      <c r="J648" s="1">
        <f t="shared" si="1447"/>
        <v>0</v>
      </c>
      <c r="K648" s="1">
        <f t="shared" si="1448"/>
        <v>1.6184371182706139</v>
      </c>
      <c r="L648" s="1">
        <f t="shared" ref="L648:N648" si="1474">E648/$H648</f>
        <v>0.99845337206814566</v>
      </c>
      <c r="M648" s="1">
        <f t="shared" si="1474"/>
        <v>0</v>
      </c>
      <c r="N648" s="1">
        <f t="shared" si="1474"/>
        <v>-5.5595537642413241E-2</v>
      </c>
      <c r="O648" s="1">
        <f t="shared" si="1154"/>
        <v>-5.5595537642413241E-2</v>
      </c>
      <c r="P648" s="1">
        <f t="shared" si="1450"/>
        <v>5.5509552031009025E-2</v>
      </c>
      <c r="Q648" s="1">
        <f t="shared" si="1451"/>
        <v>0</v>
      </c>
      <c r="R648" s="1">
        <f t="shared" si="1452"/>
        <v>0.99690913619425103</v>
      </c>
      <c r="S648" s="1">
        <f t="shared" si="1453"/>
        <v>2.3536486614344465</v>
      </c>
      <c r="T648" s="1">
        <f t="shared" ref="T648:V648" si="1475">$S648*P648</f>
        <v>0.13064998283461016</v>
      </c>
      <c r="U648" s="1">
        <f t="shared" si="1475"/>
        <v>0</v>
      </c>
      <c r="V648" s="1">
        <f t="shared" si="1475"/>
        <v>2.3463738539753694</v>
      </c>
      <c r="W648" s="1">
        <f t="shared" si="1455"/>
        <v>-28.935243913382841</v>
      </c>
      <c r="X648" s="1">
        <f t="shared" si="1456"/>
        <v>0</v>
      </c>
      <c r="Y648" s="1">
        <f t="shared" si="1457"/>
        <v>-5.8418390277540162</v>
      </c>
    </row>
    <row r="649" spans="1:25">
      <c r="A649" s="1">
        <v>0.64700000000000002</v>
      </c>
      <c r="B649" s="1">
        <f t="shared" si="1458"/>
        <v>29.780089806353864</v>
      </c>
      <c r="C649" s="1">
        <f t="shared" si="1459"/>
        <v>0</v>
      </c>
      <c r="D649" s="1">
        <f t="shared" si="1460"/>
        <v>1.7556460718405578E-2</v>
      </c>
      <c r="E649" s="1">
        <f t="shared" si="1461"/>
        <v>26.674834046852077</v>
      </c>
      <c r="F649" s="1">
        <f t="shared" si="1462"/>
        <v>0</v>
      </c>
      <c r="G649" s="1">
        <f t="shared" si="1463"/>
        <v>-1.4927519465312453</v>
      </c>
      <c r="H649" s="1">
        <f t="shared" si="1152"/>
        <v>26.716569386823817</v>
      </c>
      <c r="I649" s="1">
        <f t="shared" si="1446"/>
        <v>-29.003389453966065</v>
      </c>
      <c r="J649" s="1">
        <f t="shared" si="1447"/>
        <v>0</v>
      </c>
      <c r="K649" s="1">
        <f t="shared" si="1448"/>
        <v>1.62306037171095</v>
      </c>
      <c r="L649" s="1">
        <f t="shared" ref="L649:N649" si="1476">E649/$H649</f>
        <v>0.99843784808717528</v>
      </c>
      <c r="M649" s="1">
        <f t="shared" si="1476"/>
        <v>0</v>
      </c>
      <c r="N649" s="1">
        <f t="shared" si="1476"/>
        <v>-5.5873638748972262E-2</v>
      </c>
      <c r="O649" s="1">
        <f t="shared" si="1154"/>
        <v>-5.5873638748972262E-2</v>
      </c>
      <c r="P649" s="1">
        <f t="shared" si="1450"/>
        <v>5.5786355637324078E-2</v>
      </c>
      <c r="Q649" s="1">
        <f t="shared" si="1451"/>
        <v>0</v>
      </c>
      <c r="R649" s="1">
        <f t="shared" si="1452"/>
        <v>0.99687813649294932</v>
      </c>
      <c r="S649" s="1">
        <f t="shared" si="1453"/>
        <v>2.3486237991831875</v>
      </c>
      <c r="T649" s="1">
        <f t="shared" ref="T649:V649" si="1477">$S649*P649</f>
        <v>0.13102116251951651</v>
      </c>
      <c r="U649" s="1">
        <f t="shared" si="1477"/>
        <v>0</v>
      </c>
      <c r="V649" s="1">
        <f t="shared" si="1477"/>
        <v>2.3412917162527269</v>
      </c>
      <c r="W649" s="1">
        <f t="shared" si="1455"/>
        <v>-28.872368291446548</v>
      </c>
      <c r="X649" s="1">
        <f t="shared" si="1456"/>
        <v>0</v>
      </c>
      <c r="Y649" s="1">
        <f t="shared" si="1457"/>
        <v>-5.8422979120363223</v>
      </c>
    </row>
    <row r="650" spans="1:25">
      <c r="A650" s="1">
        <v>0.64800000000000002</v>
      </c>
      <c r="B650" s="1">
        <f t="shared" si="1458"/>
        <v>29.806735768032425</v>
      </c>
      <c r="C650" s="1">
        <f t="shared" si="1459"/>
        <v>0</v>
      </c>
      <c r="D650" s="1">
        <f t="shared" si="1460"/>
        <v>1.6057866473962297E-2</v>
      </c>
      <c r="E650" s="1">
        <f t="shared" si="1461"/>
        <v>26.645961678560631</v>
      </c>
      <c r="F650" s="1">
        <f t="shared" si="1462"/>
        <v>0</v>
      </c>
      <c r="G650" s="1">
        <f t="shared" si="1463"/>
        <v>-1.4985942444432816</v>
      </c>
      <c r="H650" s="1">
        <f t="shared" si="1152"/>
        <v>26.68806959082654</v>
      </c>
      <c r="I650" s="1">
        <f t="shared" si="1446"/>
        <v>-28.941090934242986</v>
      </c>
      <c r="J650" s="1">
        <f t="shared" si="1447"/>
        <v>0</v>
      </c>
      <c r="K650" s="1">
        <f t="shared" si="1448"/>
        <v>1.6276744981158811</v>
      </c>
      <c r="L650" s="1">
        <f t="shared" ref="L650:N650" si="1478">E650/$H650</f>
        <v>0.99842221963178701</v>
      </c>
      <c r="M650" s="1">
        <f t="shared" si="1478"/>
        <v>0</v>
      </c>
      <c r="N650" s="1">
        <f t="shared" si="1478"/>
        <v>-5.6152215855971528E-2</v>
      </c>
      <c r="O650" s="1">
        <f t="shared" si="1154"/>
        <v>-5.6152215855971528E-2</v>
      </c>
      <c r="P650" s="1">
        <f t="shared" si="1450"/>
        <v>5.606361999216232E-2</v>
      </c>
      <c r="Q650" s="1">
        <f t="shared" si="1451"/>
        <v>0</v>
      </c>
      <c r="R650" s="1">
        <f t="shared" si="1452"/>
        <v>0.99684692865446434</v>
      </c>
      <c r="S650" s="1">
        <f t="shared" si="1453"/>
        <v>2.3436157012722592</v>
      </c>
      <c r="T650" s="1">
        <f t="shared" ref="T650:V650" si="1479">$S650*P650</f>
        <v>0.13139158008379295</v>
      </c>
      <c r="U650" s="1">
        <f t="shared" si="1479"/>
        <v>0</v>
      </c>
      <c r="V650" s="1">
        <f t="shared" si="1479"/>
        <v>2.3362261137596301</v>
      </c>
      <c r="W650" s="1">
        <f t="shared" si="1455"/>
        <v>-28.809699354159193</v>
      </c>
      <c r="X650" s="1">
        <f t="shared" si="1456"/>
        <v>0</v>
      </c>
      <c r="Y650" s="1">
        <f t="shared" si="1457"/>
        <v>-5.8427493881244885</v>
      </c>
    </row>
    <row r="651" spans="1:25">
      <c r="A651" s="1">
        <v>0.64900000000000002</v>
      </c>
      <c r="B651" s="1">
        <f t="shared" si="1458"/>
        <v>29.833352920011631</v>
      </c>
      <c r="C651" s="1">
        <f t="shared" si="1459"/>
        <v>0</v>
      </c>
      <c r="D651" s="1">
        <f t="shared" si="1460"/>
        <v>1.4553429480130891E-2</v>
      </c>
      <c r="E651" s="1">
        <f t="shared" si="1461"/>
        <v>26.617151979206472</v>
      </c>
      <c r="F651" s="1">
        <f t="shared" si="1462"/>
        <v>0</v>
      </c>
      <c r="G651" s="1">
        <f t="shared" si="1463"/>
        <v>-1.5044369938314062</v>
      </c>
      <c r="H651" s="1">
        <f t="shared" si="1152"/>
        <v>26.659634471473602</v>
      </c>
      <c r="I651" s="1">
        <f t="shared" si="1446"/>
        <v>-28.878997445758152</v>
      </c>
      <c r="J651" s="1">
        <f t="shared" si="1447"/>
        <v>0</v>
      </c>
      <c r="K651" s="1">
        <f t="shared" si="1448"/>
        <v>1.6322795217197581</v>
      </c>
      <c r="L651" s="1">
        <f t="shared" ref="L651:N651" si="1480">E651/$H651</f>
        <v>0.99840648631876083</v>
      </c>
      <c r="M651" s="1">
        <f t="shared" si="1480"/>
        <v>0</v>
      </c>
      <c r="N651" s="1">
        <f t="shared" si="1480"/>
        <v>-5.6431268607271677E-2</v>
      </c>
      <c r="O651" s="1">
        <f t="shared" si="1154"/>
        <v>-5.6431268607271677E-2</v>
      </c>
      <c r="P651" s="1">
        <f t="shared" si="1450"/>
        <v>5.634134460869631E-2</v>
      </c>
      <c r="Q651" s="1">
        <f t="shared" si="1451"/>
        <v>0</v>
      </c>
      <c r="R651" s="1">
        <f t="shared" si="1452"/>
        <v>0.99681551192337392</v>
      </c>
      <c r="S651" s="1">
        <f t="shared" si="1453"/>
        <v>2.3386242956376315</v>
      </c>
      <c r="T651" s="1">
        <f t="shared" ref="T651:V651" si="1481">$S651*P651</f>
        <v>0.13176123735078948</v>
      </c>
      <c r="U651" s="1">
        <f t="shared" si="1481"/>
        <v>0</v>
      </c>
      <c r="V651" s="1">
        <f t="shared" si="1481"/>
        <v>2.3311769744524655</v>
      </c>
      <c r="W651" s="1">
        <f t="shared" si="1455"/>
        <v>-28.747236208407362</v>
      </c>
      <c r="X651" s="1">
        <f t="shared" si="1456"/>
        <v>0</v>
      </c>
      <c r="Y651" s="1">
        <f t="shared" si="1457"/>
        <v>-5.8431935038277754</v>
      </c>
    </row>
    <row r="652" spans="1:25">
      <c r="A652" s="1">
        <v>0.65</v>
      </c>
      <c r="B652" s="1">
        <f t="shared" si="1458"/>
        <v>29.859941324754629</v>
      </c>
      <c r="C652" s="1">
        <f t="shared" si="1459"/>
        <v>0</v>
      </c>
      <c r="D652" s="1">
        <f t="shared" si="1460"/>
        <v>1.3043149292795658E-2</v>
      </c>
      <c r="E652" s="1">
        <f t="shared" si="1461"/>
        <v>26.588404742998065</v>
      </c>
      <c r="F652" s="1">
        <f t="shared" si="1462"/>
        <v>0</v>
      </c>
      <c r="G652" s="1">
        <f t="shared" si="1463"/>
        <v>-1.5102801873352338</v>
      </c>
      <c r="H652" s="1">
        <f t="shared" si="1152"/>
        <v>26.6312638269711</v>
      </c>
      <c r="I652" s="1">
        <f t="shared" si="1446"/>
        <v>-28.817108102049321</v>
      </c>
      <c r="J652" s="1">
        <f t="shared" si="1447"/>
        <v>0</v>
      </c>
      <c r="K652" s="1">
        <f t="shared" si="1448"/>
        <v>1.6368754667120085</v>
      </c>
      <c r="L652" s="1">
        <f t="shared" ref="L652:N652" si="1482">E652/$H652</f>
        <v>0.99839064776454101</v>
      </c>
      <c r="M652" s="1">
        <f t="shared" si="1482"/>
        <v>0</v>
      </c>
      <c r="N652" s="1">
        <f t="shared" si="1482"/>
        <v>-5.6710796646672147E-2</v>
      </c>
      <c r="O652" s="1">
        <f t="shared" si="1154"/>
        <v>-5.6710796646672147E-2</v>
      </c>
      <c r="P652" s="1">
        <f t="shared" si="1450"/>
        <v>5.6619528999314161E-2</v>
      </c>
      <c r="Q652" s="1">
        <f t="shared" si="1451"/>
        <v>0</v>
      </c>
      <c r="R652" s="1">
        <f t="shared" si="1452"/>
        <v>0.99678388554369979</v>
      </c>
      <c r="S652" s="1">
        <f t="shared" si="1453"/>
        <v>2.3336495106053388</v>
      </c>
      <c r="T652" s="1">
        <f t="shared" ref="T652:V652" si="1483">$S652*P652</f>
        <v>0.13213013613995428</v>
      </c>
      <c r="U652" s="1">
        <f t="shared" si="1483"/>
        <v>0</v>
      </c>
      <c r="V652" s="1">
        <f t="shared" si="1483"/>
        <v>2.326144226678343</v>
      </c>
      <c r="W652" s="1">
        <f t="shared" si="1455"/>
        <v>-28.684977965909368</v>
      </c>
      <c r="X652" s="1">
        <f t="shared" si="1456"/>
        <v>0</v>
      </c>
      <c r="Y652" s="1">
        <f t="shared" si="1457"/>
        <v>-5.843630306609648</v>
      </c>
    </row>
    <row r="653" spans="1:25">
      <c r="A653" s="1">
        <v>0.65100000000000002</v>
      </c>
      <c r="B653" s="1">
        <f t="shared" si="1458"/>
        <v>29.886501044519662</v>
      </c>
      <c r="C653" s="1">
        <f t="shared" si="1459"/>
        <v>0</v>
      </c>
      <c r="D653" s="1">
        <f t="shared" si="1460"/>
        <v>1.1527025475153815E-2</v>
      </c>
      <c r="E653" s="1">
        <f t="shared" si="1461"/>
        <v>26.559719765032156</v>
      </c>
      <c r="F653" s="1">
        <f t="shared" si="1462"/>
        <v>0</v>
      </c>
      <c r="G653" s="1">
        <f t="shared" si="1463"/>
        <v>-1.5161238176418435</v>
      </c>
      <c r="H653" s="1">
        <f t="shared" si="1152"/>
        <v>26.602957456408124</v>
      </c>
      <c r="I653" s="1">
        <f t="shared" si="1446"/>
        <v>-28.755422021450705</v>
      </c>
      <c r="J653" s="1">
        <f t="shared" si="1447"/>
        <v>0</v>
      </c>
      <c r="K653" s="1">
        <f t="shared" si="1448"/>
        <v>1.6414623572370135</v>
      </c>
      <c r="L653" s="1">
        <f t="shared" ref="L653:N653" si="1484">E653/$H653</f>
        <v>0.99837470358523794</v>
      </c>
      <c r="M653" s="1">
        <f t="shared" si="1484"/>
        <v>0</v>
      </c>
      <c r="N653" s="1">
        <f t="shared" si="1484"/>
        <v>-5.6990799617906367E-2</v>
      </c>
      <c r="O653" s="1">
        <f t="shared" si="1154"/>
        <v>-5.6990799617906367E-2</v>
      </c>
      <c r="P653" s="1">
        <f t="shared" si="1450"/>
        <v>5.6898172675612958E-2</v>
      </c>
      <c r="Q653" s="1">
        <f t="shared" si="1451"/>
        <v>0</v>
      </c>
      <c r="R653" s="1">
        <f t="shared" si="1452"/>
        <v>0.99675204875891166</v>
      </c>
      <c r="S653" s="1">
        <f t="shared" si="1453"/>
        <v>2.328691274888945</v>
      </c>
      <c r="T653" s="1">
        <f t="shared" ref="T653:V653" si="1485">$S653*P653</f>
        <v>0.13249827826682448</v>
      </c>
      <c r="U653" s="1">
        <f t="shared" si="1485"/>
        <v>0</v>
      </c>
      <c r="V653" s="1">
        <f t="shared" si="1485"/>
        <v>2.3211277991725581</v>
      </c>
      <c r="W653" s="1">
        <f t="shared" si="1455"/>
        <v>-28.622923743183883</v>
      </c>
      <c r="X653" s="1">
        <f t="shared" si="1456"/>
        <v>0</v>
      </c>
      <c r="Y653" s="1">
        <f t="shared" si="1457"/>
        <v>-5.8440598435904274</v>
      </c>
    </row>
    <row r="654" spans="1:25">
      <c r="A654" s="1">
        <v>0.65200000000000002</v>
      </c>
      <c r="B654" s="1">
        <f t="shared" si="1458"/>
        <v>29.913032141360951</v>
      </c>
      <c r="C654" s="1">
        <f t="shared" si="1459"/>
        <v>0</v>
      </c>
      <c r="D654" s="1">
        <f t="shared" si="1460"/>
        <v>1.0005057597668381E-2</v>
      </c>
      <c r="E654" s="1">
        <f t="shared" si="1461"/>
        <v>26.531096841288971</v>
      </c>
      <c r="F654" s="1">
        <f t="shared" si="1462"/>
        <v>0</v>
      </c>
      <c r="G654" s="1">
        <f t="shared" si="1463"/>
        <v>-1.5219678774854339</v>
      </c>
      <c r="H654" s="1">
        <f t="shared" si="1152"/>
        <v>26.574715159751968</v>
      </c>
      <c r="I654" s="1">
        <f t="shared" si="1446"/>
        <v>-28.693938327061833</v>
      </c>
      <c r="J654" s="1">
        <f t="shared" si="1447"/>
        <v>0</v>
      </c>
      <c r="K654" s="1">
        <f t="shared" si="1448"/>
        <v>1.6460402173939879</v>
      </c>
      <c r="L654" s="1">
        <f t="shared" ref="L654:N654" si="1486">E654/$H654</f>
        <v>0.99835865339662955</v>
      </c>
      <c r="M654" s="1">
        <f t="shared" si="1486"/>
        <v>0</v>
      </c>
      <c r="N654" s="1">
        <f t="shared" si="1486"/>
        <v>-5.7271277164636938E-2</v>
      </c>
      <c r="O654" s="1">
        <f t="shared" si="1154"/>
        <v>-5.7271277164636938E-2</v>
      </c>
      <c r="P654" s="1">
        <f t="shared" si="1450"/>
        <v>5.7177275148392076E-2</v>
      </c>
      <c r="Q654" s="1">
        <f t="shared" si="1451"/>
        <v>0</v>
      </c>
      <c r="R654" s="1">
        <f t="shared" si="1452"/>
        <v>0.99672000081193135</v>
      </c>
      <c r="S654" s="1">
        <f t="shared" si="1453"/>
        <v>2.3237495175870295</v>
      </c>
      <c r="T654" s="1">
        <f t="shared" ref="T654:V654" si="1487">$S654*P654</f>
        <v>0.13286566554301693</v>
      </c>
      <c r="U654" s="1">
        <f t="shared" si="1487"/>
        <v>0</v>
      </c>
      <c r="V654" s="1">
        <f t="shared" si="1487"/>
        <v>2.3161276210560691</v>
      </c>
      <c r="W654" s="1">
        <f t="shared" si="1455"/>
        <v>-28.561072661518814</v>
      </c>
      <c r="X654" s="1">
        <f t="shared" si="1456"/>
        <v>0</v>
      </c>
      <c r="Y654" s="1">
        <f t="shared" si="1457"/>
        <v>-5.8444821615499425</v>
      </c>
    </row>
    <row r="655" spans="1:25">
      <c r="A655" s="1">
        <v>0.65300000000000002</v>
      </c>
      <c r="B655" s="1">
        <f t="shared" si="1458"/>
        <v>29.939534677129579</v>
      </c>
      <c r="C655" s="1">
        <f t="shared" si="1459"/>
        <v>0</v>
      </c>
      <c r="D655" s="1">
        <f t="shared" si="1460"/>
        <v>8.4772452380213973E-3</v>
      </c>
      <c r="E655" s="1">
        <f t="shared" si="1461"/>
        <v>26.502535768627453</v>
      </c>
      <c r="F655" s="1">
        <f t="shared" si="1462"/>
        <v>0</v>
      </c>
      <c r="G655" s="1">
        <f t="shared" si="1463"/>
        <v>-1.5278123596469839</v>
      </c>
      <c r="H655" s="1">
        <f t="shared" si="1152"/>
        <v>26.546536737843368</v>
      </c>
      <c r="I655" s="1">
        <f t="shared" si="1446"/>
        <v>-28.632656146716673</v>
      </c>
      <c r="J655" s="1">
        <f t="shared" si="1447"/>
        <v>0</v>
      </c>
      <c r="K655" s="1">
        <f t="shared" si="1448"/>
        <v>1.6506090712368637</v>
      </c>
      <c r="L655" s="1">
        <f t="shared" ref="L655:N655" si="1488">E655/$H655</f>
        <v>0.99834249681416298</v>
      </c>
      <c r="M655" s="1">
        <f t="shared" si="1488"/>
        <v>0</v>
      </c>
      <c r="N655" s="1">
        <f t="shared" si="1488"/>
        <v>-5.755222893045079E-2</v>
      </c>
      <c r="O655" s="1">
        <f t="shared" si="1154"/>
        <v>-5.755222893045079E-2</v>
      </c>
      <c r="P655" s="1">
        <f t="shared" si="1450"/>
        <v>5.7456835927646548E-2</v>
      </c>
      <c r="Q655" s="1">
        <f t="shared" si="1451"/>
        <v>0</v>
      </c>
      <c r="R655" s="1">
        <f t="shared" si="1452"/>
        <v>0.99668774094513701</v>
      </c>
      <c r="S655" s="1">
        <f t="shared" si="1453"/>
        <v>2.3188241681806949</v>
      </c>
      <c r="T655" s="1">
        <f t="shared" ref="T655:V655" si="1489">$S655*P655</f>
        <v>0.13323229977621967</v>
      </c>
      <c r="U655" s="1">
        <f t="shared" si="1489"/>
        <v>0</v>
      </c>
      <c r="V655" s="1">
        <f t="shared" si="1489"/>
        <v>2.3111436218330033</v>
      </c>
      <c r="W655" s="1">
        <f t="shared" si="1455"/>
        <v>-28.499423846940452</v>
      </c>
      <c r="X655" s="1">
        <f t="shared" si="1456"/>
        <v>0</v>
      </c>
      <c r="Y655" s="1">
        <f t="shared" si="1457"/>
        <v>-5.8448973069301324</v>
      </c>
    </row>
    <row r="656" spans="1:25">
      <c r="A656" s="1">
        <v>0.65400000000000003</v>
      </c>
      <c r="B656" s="1">
        <f t="shared" si="1458"/>
        <v>29.966008713474359</v>
      </c>
      <c r="C656" s="1">
        <f t="shared" si="1459"/>
        <v>0</v>
      </c>
      <c r="D656" s="1">
        <f t="shared" si="1460"/>
        <v>6.9435879810674835E-3</v>
      </c>
      <c r="E656" s="1">
        <f t="shared" si="1461"/>
        <v>26.474036344780512</v>
      </c>
      <c r="F656" s="1">
        <f t="shared" si="1462"/>
        <v>0</v>
      </c>
      <c r="G656" s="1">
        <f t="shared" si="1463"/>
        <v>-1.533657256953914</v>
      </c>
      <c r="H656" s="1">
        <f t="shared" si="1152"/>
        <v>26.518421992391758</v>
      </c>
      <c r="I656" s="1">
        <f t="shared" si="1446"/>
        <v>-28.57157461295294</v>
      </c>
      <c r="J656" s="1">
        <f t="shared" si="1447"/>
        <v>0</v>
      </c>
      <c r="K656" s="1">
        <f t="shared" si="1448"/>
        <v>1.6551689427741769</v>
      </c>
      <c r="L656" s="1">
        <f t="shared" ref="L656:N656" si="1490">E656/$H656</f>
        <v>0.99832623345295657</v>
      </c>
      <c r="M656" s="1">
        <f t="shared" si="1490"/>
        <v>0</v>
      </c>
      <c r="N656" s="1">
        <f t="shared" si="1490"/>
        <v>-5.7833654558854461E-2</v>
      </c>
      <c r="O656" s="1">
        <f t="shared" si="1154"/>
        <v>-5.7833654558854461E-2</v>
      </c>
      <c r="P656" s="1">
        <f t="shared" si="1450"/>
        <v>5.7736854522560582E-2</v>
      </c>
      <c r="Q656" s="1">
        <f t="shared" si="1451"/>
        <v>0</v>
      </c>
      <c r="R656" s="1">
        <f t="shared" si="1452"/>
        <v>0.99665526840036711</v>
      </c>
      <c r="S656" s="1">
        <f t="shared" si="1453"/>
        <v>2.3139151565310851</v>
      </c>
      <c r="T656" s="1">
        <f t="shared" ref="T656:V656" si="1491">$S656*P656</f>
        <v>0.13359818277018326</v>
      </c>
      <c r="U656" s="1">
        <f t="shared" si="1491"/>
        <v>0</v>
      </c>
      <c r="V656" s="1">
        <f t="shared" si="1491"/>
        <v>2.3061757313881661</v>
      </c>
      <c r="W656" s="1">
        <f t="shared" si="1455"/>
        <v>-28.437976430182758</v>
      </c>
      <c r="X656" s="1">
        <f t="shared" si="1456"/>
        <v>0</v>
      </c>
      <c r="Y656" s="1">
        <f t="shared" si="1457"/>
        <v>-5.8453053258376562</v>
      </c>
    </row>
    <row r="657" spans="1:25">
      <c r="A657" s="1">
        <v>0.65500000000000003</v>
      </c>
      <c r="B657" s="1">
        <f t="shared" si="1458"/>
        <v>29.99245431184271</v>
      </c>
      <c r="C657" s="1">
        <f t="shared" si="1459"/>
        <v>0</v>
      </c>
      <c r="D657" s="1">
        <f t="shared" si="1460"/>
        <v>5.4040854187877322E-3</v>
      </c>
      <c r="E657" s="1">
        <f t="shared" si="1461"/>
        <v>26.445598368350328</v>
      </c>
      <c r="F657" s="1">
        <f t="shared" si="1462"/>
        <v>0</v>
      </c>
      <c r="G657" s="1">
        <f t="shared" si="1463"/>
        <v>-1.5395025622797516</v>
      </c>
      <c r="H657" s="1">
        <f t="shared" si="1152"/>
        <v>26.490370725970585</v>
      </c>
      <c r="I657" s="1">
        <f t="shared" si="1446"/>
        <v>-28.51069286298171</v>
      </c>
      <c r="J657" s="1">
        <f t="shared" si="1447"/>
        <v>0</v>
      </c>
      <c r="K657" s="1">
        <f t="shared" si="1448"/>
        <v>1.6597198559689599</v>
      </c>
      <c r="L657" s="1">
        <f t="shared" ref="L657:N657" si="1492">E657/$H657</f>
        <v>0.998309862927801</v>
      </c>
      <c r="M657" s="1">
        <f t="shared" si="1492"/>
        <v>0</v>
      </c>
      <c r="N657" s="1">
        <f t="shared" si="1492"/>
        <v>-5.8115553693269255E-2</v>
      </c>
      <c r="O657" s="1">
        <f t="shared" si="1154"/>
        <v>-5.8115553693269255E-2</v>
      </c>
      <c r="P657" s="1">
        <f t="shared" si="1450"/>
        <v>5.801733044150089E-2</v>
      </c>
      <c r="Q657" s="1">
        <f t="shared" si="1451"/>
        <v>0</v>
      </c>
      <c r="R657" s="1">
        <f t="shared" si="1452"/>
        <v>0.99662258241892476</v>
      </c>
      <c r="S657" s="1">
        <f t="shared" si="1453"/>
        <v>2.3090224128769354</v>
      </c>
      <c r="T657" s="1">
        <f t="shared" ref="T657:V657" si="1493">$S657*P657</f>
        <v>0.13396331632471287</v>
      </c>
      <c r="U657" s="1">
        <f t="shared" si="1493"/>
        <v>0</v>
      </c>
      <c r="V657" s="1">
        <f t="shared" si="1493"/>
        <v>2.3012238799845881</v>
      </c>
      <c r="W657" s="1">
        <f t="shared" si="1455"/>
        <v>-28.376729546656996</v>
      </c>
      <c r="X657" s="1">
        <f t="shared" si="1456"/>
        <v>0</v>
      </c>
      <c r="Y657" s="1">
        <f t="shared" si="1457"/>
        <v>-5.8457062640464512</v>
      </c>
    </row>
    <row r="658" spans="1:25">
      <c r="A658" s="1">
        <v>0.65600000000000003</v>
      </c>
      <c r="B658" s="1">
        <f t="shared" si="1458"/>
        <v>30.018871533481516</v>
      </c>
      <c r="C658" s="1">
        <f t="shared" si="1459"/>
        <v>0</v>
      </c>
      <c r="D658" s="1">
        <f t="shared" si="1460"/>
        <v>3.8587371502439342E-3</v>
      </c>
      <c r="E658" s="1">
        <f t="shared" si="1461"/>
        <v>26.417221638803671</v>
      </c>
      <c r="F658" s="1">
        <f t="shared" si="1462"/>
        <v>0</v>
      </c>
      <c r="G658" s="1">
        <f t="shared" si="1463"/>
        <v>-1.545348268543798</v>
      </c>
      <c r="H658" s="1">
        <f t="shared" si="1152"/>
        <v>26.462382742012636</v>
      </c>
      <c r="I658" s="1">
        <f t="shared" si="1446"/>
        <v>-28.450010038657197</v>
      </c>
      <c r="J658" s="1">
        <f t="shared" si="1447"/>
        <v>0</v>
      </c>
      <c r="K658" s="1">
        <f t="shared" si="1448"/>
        <v>1.6642618347386351</v>
      </c>
      <c r="L658" s="1">
        <f t="shared" ref="L658:N658" si="1494">E658/$H658</f>
        <v>0.99829338485316121</v>
      </c>
      <c r="M658" s="1">
        <f t="shared" si="1494"/>
        <v>0</v>
      </c>
      <c r="N658" s="1">
        <f t="shared" si="1494"/>
        <v>-5.8397925977026519E-2</v>
      </c>
      <c r="O658" s="1">
        <f t="shared" si="1154"/>
        <v>-5.8397925977026519E-2</v>
      </c>
      <c r="P658" s="1">
        <f t="shared" si="1450"/>
        <v>5.8298263192010154E-2</v>
      </c>
      <c r="Q658" s="1">
        <f t="shared" si="1451"/>
        <v>0</v>
      </c>
      <c r="R658" s="1">
        <f t="shared" si="1452"/>
        <v>0.99658968224158173</v>
      </c>
      <c r="S658" s="1">
        <f t="shared" si="1453"/>
        <v>2.3041458678321289</v>
      </c>
      <c r="T658" s="1">
        <f t="shared" ref="T658:V658" si="1495">$S658*P658</f>
        <v>0.1343277022356601</v>
      </c>
      <c r="U658" s="1">
        <f t="shared" si="1495"/>
        <v>0</v>
      </c>
      <c r="V658" s="1">
        <f t="shared" si="1495"/>
        <v>2.2962879982610751</v>
      </c>
      <c r="W658" s="1">
        <f t="shared" si="1455"/>
        <v>-28.315682336421538</v>
      </c>
      <c r="X658" s="1">
        <f t="shared" si="1456"/>
        <v>0</v>
      </c>
      <c r="Y658" s="1">
        <f t="shared" si="1457"/>
        <v>-5.846100167000289</v>
      </c>
    </row>
    <row r="659" spans="1:25">
      <c r="A659" s="1">
        <v>0.65700000000000003</v>
      </c>
      <c r="B659" s="1">
        <f t="shared" si="1458"/>
        <v>30.045260439437982</v>
      </c>
      <c r="C659" s="1">
        <f t="shared" si="1459"/>
        <v>0</v>
      </c>
      <c r="D659" s="1">
        <f t="shared" si="1460"/>
        <v>2.3075427815331361E-3</v>
      </c>
      <c r="E659" s="1">
        <f t="shared" si="1461"/>
        <v>26.388905956467248</v>
      </c>
      <c r="F659" s="1">
        <f t="shared" si="1462"/>
        <v>0</v>
      </c>
      <c r="G659" s="1">
        <f t="shared" si="1463"/>
        <v>-1.5511943687107983</v>
      </c>
      <c r="H659" s="1">
        <f t="shared" si="1152"/>
        <v>26.43445784480538</v>
      </c>
      <c r="I659" s="1">
        <f t="shared" si="1446"/>
        <v>-28.389525286446769</v>
      </c>
      <c r="J659" s="1">
        <f t="shared" si="1447"/>
        <v>0</v>
      </c>
      <c r="K659" s="1">
        <f t="shared" si="1448"/>
        <v>1.6687949029549112</v>
      </c>
      <c r="L659" s="1">
        <f t="shared" ref="L659:N659" si="1496">E659/$H659</f>
        <v>0.99827679884317799</v>
      </c>
      <c r="M659" s="1">
        <f t="shared" si="1496"/>
        <v>0</v>
      </c>
      <c r="N659" s="1">
        <f t="shared" si="1496"/>
        <v>-5.8680771053362939E-2</v>
      </c>
      <c r="O659" s="1">
        <f t="shared" si="1154"/>
        <v>-5.8680771053362939E-2</v>
      </c>
      <c r="P659" s="1">
        <f t="shared" si="1450"/>
        <v>5.8579652280800573E-2</v>
      </c>
      <c r="Q659" s="1">
        <f t="shared" si="1451"/>
        <v>0</v>
      </c>
      <c r="R659" s="1">
        <f t="shared" si="1452"/>
        <v>0.99655656710858276</v>
      </c>
      <c r="S659" s="1">
        <f t="shared" si="1453"/>
        <v>2.2992854523832773</v>
      </c>
      <c r="T659" s="1">
        <f t="shared" ref="T659:V659" si="1497">$S659*P659</f>
        <v>0.13469134229491564</v>
      </c>
      <c r="U659" s="1">
        <f t="shared" si="1497"/>
        <v>0</v>
      </c>
      <c r="V659" s="1">
        <f t="shared" si="1497"/>
        <v>2.2913680172297837</v>
      </c>
      <c r="W659" s="1">
        <f t="shared" si="1455"/>
        <v>-28.254833944151855</v>
      </c>
      <c r="X659" s="1">
        <f t="shared" si="1456"/>
        <v>0</v>
      </c>
      <c r="Y659" s="1">
        <f t="shared" si="1457"/>
        <v>-5.8464870798153044</v>
      </c>
    </row>
    <row r="660" spans="1:25">
      <c r="A660" s="1">
        <v>0.65800000000000003</v>
      </c>
      <c r="B660" s="1">
        <f t="shared" si="1458"/>
        <v>30.071621090560505</v>
      </c>
      <c r="C660" s="1">
        <f t="shared" si="1459"/>
        <v>0</v>
      </c>
      <c r="D660" s="1">
        <f t="shared" si="1460"/>
        <v>7.5050192574252234E-4</v>
      </c>
      <c r="E660" s="1">
        <f t="shared" si="1461"/>
        <v>26.360651122523095</v>
      </c>
      <c r="F660" s="1">
        <f t="shared" si="1462"/>
        <v>0</v>
      </c>
      <c r="G660" s="1">
        <f t="shared" si="1463"/>
        <v>-1.5570408557906137</v>
      </c>
      <c r="H660" s="1">
        <f t="shared" si="1152"/>
        <v>26.406595839486375</v>
      </c>
      <c r="I660" s="1">
        <f t="shared" si="1446"/>
        <v>-28.329237757401234</v>
      </c>
      <c r="J660" s="1">
        <f t="shared" si="1447"/>
        <v>0</v>
      </c>
      <c r="K660" s="1">
        <f t="shared" si="1448"/>
        <v>1.6733190844436867</v>
      </c>
      <c r="L660" s="1">
        <f t="shared" ref="L660:N660" si="1498">E660/$H660</f>
        <v>0.9982601045116698</v>
      </c>
      <c r="M660" s="1">
        <f t="shared" si="1498"/>
        <v>0</v>
      </c>
      <c r="N660" s="1">
        <f t="shared" si="1498"/>
        <v>-5.8964088565415754E-2</v>
      </c>
      <c r="O660" s="1">
        <f t="shared" si="1154"/>
        <v>-5.8964088565415754E-2</v>
      </c>
      <c r="P660" s="1">
        <f t="shared" si="1450"/>
        <v>5.8861497213747282E-2</v>
      </c>
      <c r="Q660" s="1">
        <f t="shared" si="1451"/>
        <v>0</v>
      </c>
      <c r="R660" s="1">
        <f t="shared" si="1452"/>
        <v>0.99652323625964978</v>
      </c>
      <c r="S660" s="1">
        <f t="shared" si="1453"/>
        <v>2.2944410978873191</v>
      </c>
      <c r="T660" s="1">
        <f t="shared" ref="T660:V660" si="1499">$S660*P660</f>
        <v>0.1350542382904017</v>
      </c>
      <c r="U660" s="1">
        <f t="shared" si="1499"/>
        <v>0</v>
      </c>
      <c r="V660" s="1">
        <f t="shared" si="1499"/>
        <v>2.286463868273815</v>
      </c>
      <c r="W660" s="1">
        <f t="shared" si="1455"/>
        <v>-28.194183519110833</v>
      </c>
      <c r="X660" s="1">
        <f t="shared" si="1456"/>
        <v>0</v>
      </c>
      <c r="Y660" s="1">
        <f t="shared" si="1457"/>
        <v>-5.8468670472824975</v>
      </c>
    </row>
    <row r="661" spans="1:25">
      <c r="A661" s="1">
        <v>0.65900000000000003</v>
      </c>
      <c r="B661" s="1">
        <f t="shared" si="1458"/>
        <v>30.097953547499507</v>
      </c>
      <c r="C661" s="1">
        <f t="shared" si="1459"/>
        <v>0</v>
      </c>
      <c r="D661" s="1">
        <f t="shared" si="1460"/>
        <v>-8.1238579709537375E-4</v>
      </c>
      <c r="E661" s="1">
        <f t="shared" si="1461"/>
        <v>26.332456939003983</v>
      </c>
      <c r="F661" s="1">
        <f t="shared" si="1462"/>
        <v>0</v>
      </c>
      <c r="G661" s="1">
        <f t="shared" si="1463"/>
        <v>-1.5628877228378961</v>
      </c>
      <c r="H661" s="1">
        <f t="shared" si="1152"/>
        <v>26.378796532038688</v>
      </c>
      <c r="I661" s="1">
        <f t="shared" si="1446"/>
        <v>-28.269146607125304</v>
      </c>
      <c r="J661" s="1">
        <f t="shared" si="1447"/>
        <v>0</v>
      </c>
      <c r="K661" s="1">
        <f t="shared" si="1448"/>
        <v>1.6778344029849521</v>
      </c>
      <c r="L661" s="1">
        <f t="shared" ref="L661:N661" si="1500">E661/$H661</f>
        <v>0.99824330147213414</v>
      </c>
      <c r="M661" s="1">
        <f t="shared" si="1500"/>
        <v>0</v>
      </c>
      <c r="N661" s="1">
        <f t="shared" si="1500"/>
        <v>-5.9247878156218077E-2</v>
      </c>
      <c r="O661" s="1">
        <f t="shared" si="1154"/>
        <v>-5.9247878156218077E-2</v>
      </c>
      <c r="P661" s="1">
        <f t="shared" si="1450"/>
        <v>5.9143797495881875E-2</v>
      </c>
      <c r="Q661" s="1">
        <f t="shared" si="1451"/>
        <v>0</v>
      </c>
      <c r="R661" s="1">
        <f t="shared" si="1452"/>
        <v>0.99648968893398593</v>
      </c>
      <c r="S661" s="1">
        <f t="shared" si="1453"/>
        <v>2.2896127360691367</v>
      </c>
      <c r="T661" s="1">
        <f t="shared" ref="T661:V661" si="1501">$S661*P661</f>
        <v>0.13541639200606506</v>
      </c>
      <c r="U661" s="1">
        <f t="shared" si="1501"/>
        <v>0</v>
      </c>
      <c r="V661" s="1">
        <f t="shared" si="1501"/>
        <v>2.2815754831448265</v>
      </c>
      <c r="W661" s="1">
        <f t="shared" si="1455"/>
        <v>-28.13373021511924</v>
      </c>
      <c r="X661" s="1">
        <f t="shared" si="1456"/>
        <v>0</v>
      </c>
      <c r="Y661" s="1">
        <f t="shared" si="1457"/>
        <v>-5.847240113870221</v>
      </c>
    </row>
    <row r="662" spans="1:25">
      <c r="A662" s="1">
        <v>0.66</v>
      </c>
      <c r="B662" s="1">
        <f t="shared" si="1458"/>
        <v>30.124257870708295</v>
      </c>
      <c r="C662" s="1">
        <f t="shared" si="1459"/>
        <v>0</v>
      </c>
      <c r="D662" s="1">
        <f t="shared" si="1460"/>
        <v>-2.3811207600471403E-3</v>
      </c>
      <c r="E662" s="1">
        <f t="shared" si="1461"/>
        <v>26.304323208788862</v>
      </c>
      <c r="F662" s="1">
        <f t="shared" si="1462"/>
        <v>0</v>
      </c>
      <c r="G662" s="1">
        <f t="shared" si="1463"/>
        <v>-1.5687349629517664</v>
      </c>
      <c r="H662" s="1">
        <f t="shared" si="1152"/>
        <v>26.351059729286327</v>
      </c>
      <c r="I662" s="1">
        <f t="shared" si="1446"/>
        <v>-28.209250995748278</v>
      </c>
      <c r="J662" s="1">
        <f t="shared" si="1447"/>
        <v>0</v>
      </c>
      <c r="K662" s="1">
        <f t="shared" si="1448"/>
        <v>1.6823408823126988</v>
      </c>
      <c r="L662" s="1">
        <f t="shared" ref="L662:N662" si="1502">E662/$H662</f>
        <v>0.99822638933774943</v>
      </c>
      <c r="M662" s="1">
        <f t="shared" si="1502"/>
        <v>0</v>
      </c>
      <c r="N662" s="1">
        <f t="shared" si="1502"/>
        <v>-5.9532139468694262E-2</v>
      </c>
      <c r="O662" s="1">
        <f t="shared" si="1154"/>
        <v>-5.9532139468694262E-2</v>
      </c>
      <c r="P662" s="1">
        <f t="shared" si="1450"/>
        <v>5.9426552631386E-2</v>
      </c>
      <c r="Q662" s="1">
        <f t="shared" si="1451"/>
        <v>0</v>
      </c>
      <c r="R662" s="1">
        <f t="shared" si="1452"/>
        <v>0.99645592437027997</v>
      </c>
      <c r="S662" s="1">
        <f t="shared" si="1453"/>
        <v>2.2848002990191865</v>
      </c>
      <c r="T662" s="1">
        <f t="shared" ref="T662:V662" si="1503">$S662*P662</f>
        <v>0.13577780522187016</v>
      </c>
      <c r="U662" s="1">
        <f t="shared" si="1503"/>
        <v>0</v>
      </c>
      <c r="V662" s="1">
        <f t="shared" si="1503"/>
        <v>2.2767027939606557</v>
      </c>
      <c r="W662" s="1">
        <f t="shared" si="1455"/>
        <v>-28.073473190526407</v>
      </c>
      <c r="X662" s="1">
        <f t="shared" si="1456"/>
        <v>0</v>
      </c>
      <c r="Y662" s="1">
        <f t="shared" si="1457"/>
        <v>-5.8476063237266445</v>
      </c>
    </row>
    <row r="663" spans="1:25">
      <c r="A663" s="1">
        <v>0.66100000000000003</v>
      </c>
      <c r="B663" s="1">
        <f t="shared" si="1458"/>
        <v>30.150534120443893</v>
      </c>
      <c r="C663" s="1">
        <f t="shared" si="1459"/>
        <v>0</v>
      </c>
      <c r="D663" s="1">
        <f t="shared" si="1460"/>
        <v>-3.955703329322633E-3</v>
      </c>
      <c r="E663" s="1">
        <f t="shared" si="1461"/>
        <v>26.276249735598334</v>
      </c>
      <c r="F663" s="1">
        <f t="shared" si="1462"/>
        <v>0</v>
      </c>
      <c r="G663" s="1">
        <f t="shared" si="1463"/>
        <v>-1.5745825692754931</v>
      </c>
      <c r="H663" s="1">
        <f t="shared" si="1152"/>
        <v>26.323385238889728</v>
      </c>
      <c r="I663" s="1">
        <f t="shared" si="1446"/>
        <v>-28.149550087894969</v>
      </c>
      <c r="J663" s="1">
        <f t="shared" si="1447"/>
        <v>0</v>
      </c>
      <c r="K663" s="1">
        <f t="shared" si="1448"/>
        <v>1.6868385461148285</v>
      </c>
      <c r="L663" s="1">
        <f t="shared" ref="L663:N663" si="1504">E663/$H663</f>
        <v>0.99820936772137669</v>
      </c>
      <c r="M663" s="1">
        <f t="shared" si="1504"/>
        <v>0</v>
      </c>
      <c r="N663" s="1">
        <f t="shared" si="1504"/>
        <v>-5.9816872145655162E-2</v>
      </c>
      <c r="O663" s="1">
        <f t="shared" si="1154"/>
        <v>-5.9816872145655162E-2</v>
      </c>
      <c r="P663" s="1">
        <f t="shared" si="1450"/>
        <v>5.9709762123584871E-2</v>
      </c>
      <c r="Q663" s="1">
        <f t="shared" si="1451"/>
        <v>0</v>
      </c>
      <c r="R663" s="1">
        <f t="shared" si="1452"/>
        <v>0.9964219418067104</v>
      </c>
      <c r="S663" s="1">
        <f t="shared" si="1453"/>
        <v>2.2800037191911535</v>
      </c>
      <c r="T663" s="1">
        <f t="shared" ref="T663:V663" si="1505">$S663*P663</f>
        <v>0.13613847971379259</v>
      </c>
      <c r="U663" s="1">
        <f t="shared" si="1505"/>
        <v>0</v>
      </c>
      <c r="V663" s="1">
        <f t="shared" si="1505"/>
        <v>2.2718457332029707</v>
      </c>
      <c r="W663" s="1">
        <f t="shared" si="1455"/>
        <v>-28.013411608181176</v>
      </c>
      <c r="X663" s="1">
        <f t="shared" si="1456"/>
        <v>0</v>
      </c>
      <c r="Y663" s="1">
        <f t="shared" si="1457"/>
        <v>-5.8479657206822004</v>
      </c>
    </row>
    <row r="664" spans="1:25">
      <c r="A664" s="1">
        <v>0.66200000000000003</v>
      </c>
      <c r="B664" s="1">
        <f t="shared" si="1458"/>
        <v>30.176782356767884</v>
      </c>
      <c r="C664" s="1">
        <f t="shared" si="1459"/>
        <v>0</v>
      </c>
      <c r="D664" s="1">
        <f t="shared" si="1460"/>
        <v>-5.5361338643188087E-3</v>
      </c>
      <c r="E664" s="1">
        <f t="shared" si="1461"/>
        <v>26.248236323990152</v>
      </c>
      <c r="F664" s="1">
        <f t="shared" si="1462"/>
        <v>0</v>
      </c>
      <c r="G664" s="1">
        <f t="shared" si="1463"/>
        <v>-1.5804305349961754</v>
      </c>
      <c r="H664" s="1">
        <f t="shared" si="1152"/>
        <v>26.295772869341267</v>
      </c>
      <c r="I664" s="1">
        <f t="shared" si="1446"/>
        <v>-28.090043052656856</v>
      </c>
      <c r="J664" s="1">
        <f t="shared" si="1447"/>
        <v>0</v>
      </c>
      <c r="K664" s="1">
        <f t="shared" si="1448"/>
        <v>1.6913274180330689</v>
      </c>
      <c r="L664" s="1">
        <f t="shared" ref="L664:N664" si="1506">E664/$H664</f>
        <v>0.99819223623556097</v>
      </c>
      <c r="M664" s="1">
        <f t="shared" si="1506"/>
        <v>0</v>
      </c>
      <c r="N664" s="1">
        <f t="shared" si="1506"/>
        <v>-6.0102075829793496E-2</v>
      </c>
      <c r="O664" s="1">
        <f t="shared" si="1154"/>
        <v>-6.0102075829793496E-2</v>
      </c>
      <c r="P664" s="1">
        <f t="shared" si="1450"/>
        <v>5.9993425474940826E-2</v>
      </c>
      <c r="Q664" s="1">
        <f t="shared" si="1451"/>
        <v>0</v>
      </c>
      <c r="R664" s="1">
        <f t="shared" si="1452"/>
        <v>0.9963877404809498</v>
      </c>
      <c r="S664" s="1">
        <f t="shared" si="1453"/>
        <v>2.2752229293996202</v>
      </c>
      <c r="T664" s="1">
        <f t="shared" ref="T664:V664" si="1507">$S664*P664</f>
        <v>0.13649841725381268</v>
      </c>
      <c r="U664" s="1">
        <f t="shared" si="1507"/>
        <v>0</v>
      </c>
      <c r="V664" s="1">
        <f t="shared" si="1507"/>
        <v>2.267004233714935</v>
      </c>
      <c r="W664" s="1">
        <f t="shared" si="1455"/>
        <v>-27.953544635403045</v>
      </c>
      <c r="X664" s="1">
        <f t="shared" si="1456"/>
        <v>0</v>
      </c>
      <c r="Y664" s="1">
        <f t="shared" si="1457"/>
        <v>-5.8483183482519951</v>
      </c>
    </row>
    <row r="665" spans="1:25">
      <c r="A665" s="1">
        <v>0.66300000000000003</v>
      </c>
      <c r="B665" s="1">
        <f t="shared" si="1458"/>
        <v>30.20300263954724</v>
      </c>
      <c r="C665" s="1">
        <f t="shared" si="1459"/>
        <v>0</v>
      </c>
      <c r="D665" s="1">
        <f t="shared" si="1460"/>
        <v>-7.122412717663236E-3</v>
      </c>
      <c r="E665" s="1">
        <f t="shared" si="1461"/>
        <v>26.220282779354751</v>
      </c>
      <c r="F665" s="1">
        <f t="shared" si="1462"/>
        <v>0</v>
      </c>
      <c r="G665" s="1">
        <f t="shared" si="1463"/>
        <v>-1.5862788533444274</v>
      </c>
      <c r="H665" s="1">
        <f t="shared" si="1152"/>
        <v>26.268222429960787</v>
      </c>
      <c r="I665" s="1">
        <f t="shared" si="1446"/>
        <v>-28.030729063563424</v>
      </c>
      <c r="J665" s="1">
        <f t="shared" si="1447"/>
        <v>0</v>
      </c>
      <c r="K665" s="1">
        <f t="shared" si="1448"/>
        <v>1.695807521662889</v>
      </c>
      <c r="L665" s="1">
        <f t="shared" ref="L665:N665" si="1508">E665/$H665</f>
        <v>0.99817499449253344</v>
      </c>
      <c r="M665" s="1">
        <f t="shared" si="1508"/>
        <v>0</v>
      </c>
      <c r="N665" s="1">
        <f t="shared" si="1508"/>
        <v>-6.0387750163679248E-2</v>
      </c>
      <c r="O665" s="1">
        <f t="shared" si="1154"/>
        <v>-6.0387750163679248E-2</v>
      </c>
      <c r="P665" s="1">
        <f t="shared" si="1450"/>
        <v>6.027754218704702E-2</v>
      </c>
      <c r="Q665" s="1">
        <f t="shared" si="1451"/>
        <v>0</v>
      </c>
      <c r="R665" s="1">
        <f t="shared" si="1452"/>
        <v>0.99635331963016904</v>
      </c>
      <c r="S665" s="1">
        <f t="shared" si="1453"/>
        <v>2.2704578628177519</v>
      </c>
      <c r="T665" s="1">
        <f t="shared" ref="T665:V665" si="1509">$S665*P665</f>
        <v>0.13685761960990966</v>
      </c>
      <c r="U665" s="1">
        <f t="shared" si="1509"/>
        <v>0</v>
      </c>
      <c r="V665" s="1">
        <f t="shared" si="1509"/>
        <v>2.2621782286988861</v>
      </c>
      <c r="W665" s="1">
        <f t="shared" si="1455"/>
        <v>-27.893871443953515</v>
      </c>
      <c r="X665" s="1">
        <f t="shared" si="1456"/>
        <v>0</v>
      </c>
      <c r="Y665" s="1">
        <f t="shared" si="1457"/>
        <v>-5.8486642496382242</v>
      </c>
    </row>
    <row r="666" spans="1:25">
      <c r="A666" s="1">
        <v>0.66400000000000003</v>
      </c>
      <c r="B666" s="1">
        <f t="shared" si="1458"/>
        <v>30.229195028455152</v>
      </c>
      <c r="C666" s="1">
        <f t="shared" si="1459"/>
        <v>0</v>
      </c>
      <c r="D666" s="1">
        <f t="shared" si="1460"/>
        <v>-8.7145402352573013E-3</v>
      </c>
      <c r="E666" s="1">
        <f t="shared" si="1461"/>
        <v>26.192388907910797</v>
      </c>
      <c r="F666" s="1">
        <f t="shared" si="1462"/>
        <v>0</v>
      </c>
      <c r="G666" s="1">
        <f t="shared" si="1463"/>
        <v>-1.5921275175940657</v>
      </c>
      <c r="H666" s="1">
        <f t="shared" si="1152"/>
        <v>26.240733730891151</v>
      </c>
      <c r="I666" s="1">
        <f t="shared" si="1446"/>
        <v>-27.971607298553707</v>
      </c>
      <c r="J666" s="1">
        <f t="shared" si="1447"/>
        <v>0</v>
      </c>
      <c r="K666" s="1">
        <f t="shared" si="1448"/>
        <v>1.7002788805534192</v>
      </c>
      <c r="L666" s="1">
        <f t="shared" ref="L666:N666" si="1510">E666/$H666</f>
        <v>0.99815764210421287</v>
      </c>
      <c r="M666" s="1">
        <f t="shared" si="1510"/>
        <v>0</v>
      </c>
      <c r="N666" s="1">
        <f t="shared" si="1510"/>
        <v>-6.0673894789755031E-2</v>
      </c>
      <c r="O666" s="1">
        <f t="shared" si="1154"/>
        <v>-6.0673894789755031E-2</v>
      </c>
      <c r="P666" s="1">
        <f t="shared" si="1450"/>
        <v>6.0562111760620971E-2</v>
      </c>
      <c r="Q666" s="1">
        <f t="shared" si="1451"/>
        <v>0</v>
      </c>
      <c r="R666" s="1">
        <f t="shared" si="1452"/>
        <v>0.99631867849104172</v>
      </c>
      <c r="S666" s="1">
        <f t="shared" si="1453"/>
        <v>2.2657084529749985</v>
      </c>
      <c r="T666" s="1">
        <f t="shared" ref="T666:V666" si="1511">$S666*P666</f>
        <v>0.13721608854605549</v>
      </c>
      <c r="U666" s="1">
        <f t="shared" si="1511"/>
        <v>0</v>
      </c>
      <c r="V666" s="1">
        <f t="shared" si="1511"/>
        <v>2.2573676517140329</v>
      </c>
      <c r="W666" s="1">
        <f t="shared" si="1455"/>
        <v>-27.834391210007652</v>
      </c>
      <c r="X666" s="1">
        <f t="shared" si="1456"/>
        <v>0</v>
      </c>
      <c r="Y666" s="1">
        <f t="shared" si="1457"/>
        <v>-5.8490034677325475</v>
      </c>
    </row>
    <row r="667" spans="1:25">
      <c r="A667" s="1">
        <v>0.66500000000000004</v>
      </c>
      <c r="B667" s="1">
        <f t="shared" si="1458"/>
        <v>30.255359582971852</v>
      </c>
      <c r="C667" s="1">
        <f t="shared" si="1459"/>
        <v>0</v>
      </c>
      <c r="D667" s="1">
        <f t="shared" si="1460"/>
        <v>-1.03125167563191E-2</v>
      </c>
      <c r="E667" s="1">
        <f t="shared" si="1461"/>
        <v>26.16455451670079</v>
      </c>
      <c r="F667" s="1">
        <f t="shared" si="1462"/>
        <v>0</v>
      </c>
      <c r="G667" s="1">
        <f t="shared" si="1463"/>
        <v>-1.5979765210617982</v>
      </c>
      <c r="H667" s="1">
        <f t="shared" si="1152"/>
        <v>26.213306583093871</v>
      </c>
      <c r="I667" s="1">
        <f t="shared" si="1446"/>
        <v>-27.912676939948128</v>
      </c>
      <c r="J667" s="1">
        <f t="shared" si="1447"/>
        <v>0</v>
      </c>
      <c r="K667" s="1">
        <f t="shared" si="1448"/>
        <v>1.7047415182073771</v>
      </c>
      <c r="L667" s="1">
        <f t="shared" ref="L667:N667" si="1512">E667/$H667</f>
        <v>0.99814017868220695</v>
      </c>
      <c r="M667" s="1">
        <f t="shared" si="1512"/>
        <v>0</v>
      </c>
      <c r="N667" s="1">
        <f t="shared" si="1512"/>
        <v>-6.0960509350331427E-2</v>
      </c>
      <c r="O667" s="1">
        <f t="shared" si="1154"/>
        <v>-6.0960509350331427E-2</v>
      </c>
      <c r="P667" s="1">
        <f t="shared" si="1450"/>
        <v>6.0847133695498157E-2</v>
      </c>
      <c r="Q667" s="1">
        <f t="shared" si="1451"/>
        <v>0</v>
      </c>
      <c r="R667" s="1">
        <f t="shared" si="1452"/>
        <v>0.99628381629974816</v>
      </c>
      <c r="S667" s="1">
        <f t="shared" si="1453"/>
        <v>2.2609746337548229</v>
      </c>
      <c r="T667" s="1">
        <f t="shared" ref="T667:V667" si="1513">$S667*P667</f>
        <v>0.1375738258222097</v>
      </c>
      <c r="U667" s="1">
        <f t="shared" si="1513"/>
        <v>0</v>
      </c>
      <c r="V667" s="1">
        <f t="shared" si="1513"/>
        <v>2.2525724366741802</v>
      </c>
      <c r="W667" s="1">
        <f t="shared" si="1455"/>
        <v>-27.775103114125919</v>
      </c>
      <c r="X667" s="1">
        <f t="shared" si="1456"/>
        <v>0</v>
      </c>
      <c r="Y667" s="1">
        <f t="shared" si="1457"/>
        <v>-5.8493360451184424</v>
      </c>
    </row>
    <row r="668" spans="1:25">
      <c r="A668" s="1">
        <v>0.66600000000000004</v>
      </c>
      <c r="B668" s="1">
        <f t="shared" si="1458"/>
        <v>30.28149636238544</v>
      </c>
      <c r="C668" s="1">
        <f t="shared" si="1459"/>
        <v>0</v>
      </c>
      <c r="D668" s="1">
        <f t="shared" si="1460"/>
        <v>-1.1916342613426016E-2</v>
      </c>
      <c r="E668" s="1">
        <f t="shared" si="1461"/>
        <v>26.136779413586662</v>
      </c>
      <c r="F668" s="1">
        <f t="shared" si="1462"/>
        <v>0</v>
      </c>
      <c r="G668" s="1">
        <f t="shared" si="1463"/>
        <v>-1.6038258571069166</v>
      </c>
      <c r="H668" s="1">
        <f t="shared" si="1152"/>
        <v>26.185940798344678</v>
      </c>
      <c r="I668" s="1">
        <f t="shared" si="1446"/>
        <v>-27.853937174420402</v>
      </c>
      <c r="J668" s="1">
        <f t="shared" si="1447"/>
        <v>0</v>
      </c>
      <c r="K668" s="1">
        <f t="shared" si="1448"/>
        <v>1.7091954580809885</v>
      </c>
      <c r="L668" s="1">
        <f t="shared" ref="L668:N668" si="1514">E668/$H668</f>
        <v>0.99812260383781504</v>
      </c>
      <c r="M668" s="1">
        <f t="shared" si="1514"/>
        <v>0</v>
      </c>
      <c r="N668" s="1">
        <f t="shared" si="1514"/>
        <v>-6.1247593487582505E-2</v>
      </c>
      <c r="O668" s="1">
        <f t="shared" si="1154"/>
        <v>-6.1247593487582505E-2</v>
      </c>
      <c r="P668" s="1">
        <f t="shared" si="1450"/>
        <v>6.1132607490625851E-2</v>
      </c>
      <c r="Q668" s="1">
        <f t="shared" si="1451"/>
        <v>0</v>
      </c>
      <c r="R668" s="1">
        <f t="shared" si="1452"/>
        <v>0.99624873229197985</v>
      </c>
      <c r="S668" s="1">
        <f t="shared" si="1453"/>
        <v>2.2562563393924284</v>
      </c>
      <c r="T668" s="1">
        <f t="shared" ref="T668:V668" si="1515">$S668*P668</f>
        <v>0.13793083319431362</v>
      </c>
      <c r="U668" s="1">
        <f t="shared" si="1515"/>
        <v>0</v>
      </c>
      <c r="V668" s="1">
        <f t="shared" si="1515"/>
        <v>2.2477925178454496</v>
      </c>
      <c r="W668" s="1">
        <f t="shared" si="1455"/>
        <v>-27.716006341226088</v>
      </c>
      <c r="X668" s="1">
        <f t="shared" si="1456"/>
        <v>0</v>
      </c>
      <c r="Y668" s="1">
        <f t="shared" si="1457"/>
        <v>-5.8496620240735613</v>
      </c>
    </row>
    <row r="669" spans="1:25">
      <c r="A669" s="1">
        <v>0.66700000000000004</v>
      </c>
      <c r="B669" s="1">
        <f t="shared" si="1458"/>
        <v>30.307605425792683</v>
      </c>
      <c r="C669" s="1">
        <f t="shared" si="1459"/>
        <v>0</v>
      </c>
      <c r="D669" s="1">
        <f t="shared" si="1460"/>
        <v>-1.3526018132557006E-2</v>
      </c>
      <c r="E669" s="1">
        <f t="shared" si="1461"/>
        <v>26.109063407245436</v>
      </c>
      <c r="F669" s="1">
        <f t="shared" si="1462"/>
        <v>0</v>
      </c>
      <c r="G669" s="1">
        <f t="shared" si="1463"/>
        <v>-1.6096755191309902</v>
      </c>
      <c r="H669" s="1">
        <f t="shared" si="1152"/>
        <v>26.158636189229213</v>
      </c>
      <c r="I669" s="1">
        <f t="shared" si="1446"/>
        <v>-27.795387192969812</v>
      </c>
      <c r="J669" s="1">
        <f t="shared" si="1447"/>
        <v>0</v>
      </c>
      <c r="K669" s="1">
        <f t="shared" si="1448"/>
        <v>1.7136407235839215</v>
      </c>
      <c r="L669" s="1">
        <f t="shared" ref="L669:N669" si="1516">E669/$H669</f>
        <v>0.99810491718202843</v>
      </c>
      <c r="M669" s="1">
        <f t="shared" si="1516"/>
        <v>0</v>
      </c>
      <c r="N669" s="1">
        <f t="shared" si="1516"/>
        <v>-6.153514684354118E-2</v>
      </c>
      <c r="O669" s="1">
        <f t="shared" si="1154"/>
        <v>-6.153514684354118E-2</v>
      </c>
      <c r="P669" s="1">
        <f t="shared" si="1450"/>
        <v>6.1418532644056625E-2</v>
      </c>
      <c r="Q669" s="1">
        <f t="shared" si="1451"/>
        <v>0</v>
      </c>
      <c r="R669" s="1">
        <f t="shared" si="1452"/>
        <v>0.9962134257029438</v>
      </c>
      <c r="S669" s="1">
        <f t="shared" si="1453"/>
        <v>2.2515535044725228</v>
      </c>
      <c r="T669" s="1">
        <f t="shared" ref="T669:V669" si="1517">$S669*P669</f>
        <v>0.13828711241428573</v>
      </c>
      <c r="U669" s="1">
        <f t="shared" si="1517"/>
        <v>0</v>
      </c>
      <c r="V669" s="1">
        <f t="shared" si="1517"/>
        <v>2.2430278298440403</v>
      </c>
      <c r="W669" s="1">
        <f t="shared" si="1455"/>
        <v>-27.657100080555526</v>
      </c>
      <c r="X669" s="1">
        <f t="shared" si="1456"/>
        <v>0</v>
      </c>
      <c r="Y669" s="1">
        <f t="shared" si="1457"/>
        <v>-5.8499814465720377</v>
      </c>
    </row>
    <row r="670" spans="1:25">
      <c r="A670" s="1">
        <v>0.66800000000000004</v>
      </c>
      <c r="B670" s="1">
        <f t="shared" si="1458"/>
        <v>30.333686832099847</v>
      </c>
      <c r="C670" s="1">
        <f t="shared" si="1459"/>
        <v>0</v>
      </c>
      <c r="D670" s="1">
        <f t="shared" si="1460"/>
        <v>-1.5141543633134568E-2</v>
      </c>
      <c r="E670" s="1">
        <f t="shared" si="1461"/>
        <v>26.08140630716488</v>
      </c>
      <c r="F670" s="1">
        <f t="shared" si="1462"/>
        <v>0</v>
      </c>
      <c r="G670" s="1">
        <f t="shared" si="1463"/>
        <v>-1.6155255005775622</v>
      </c>
      <c r="H670" s="1">
        <f t="shared" si="1152"/>
        <v>26.131392569138683</v>
      </c>
      <c r="I670" s="1">
        <f t="shared" si="1446"/>
        <v>-27.73702619089357</v>
      </c>
      <c r="J670" s="1">
        <f t="shared" si="1447"/>
        <v>0</v>
      </c>
      <c r="K670" s="1">
        <f t="shared" si="1448"/>
        <v>1.7180773380792149</v>
      </c>
      <c r="L670" s="1">
        <f t="shared" ref="L670:N670" si="1518">E670/$H670</f>
        <v>0.99808711832553321</v>
      </c>
      <c r="M670" s="1">
        <f t="shared" si="1518"/>
        <v>0</v>
      </c>
      <c r="N670" s="1">
        <f t="shared" si="1518"/>
        <v>-6.1823169060094663E-2</v>
      </c>
      <c r="O670" s="1">
        <f t="shared" si="1154"/>
        <v>-6.1823169060094663E-2</v>
      </c>
      <c r="P670" s="1">
        <f t="shared" si="1450"/>
        <v>6.1704908652942148E-2</v>
      </c>
      <c r="Q670" s="1">
        <f t="shared" si="1451"/>
        <v>0</v>
      </c>
      <c r="R670" s="1">
        <f t="shared" si="1452"/>
        <v>0.99617789576736693</v>
      </c>
      <c r="S670" s="1">
        <f t="shared" si="1453"/>
        <v>2.2468660639270839</v>
      </c>
      <c r="T670" s="1">
        <f t="shared" ref="T670:V670" si="1519">$S670*P670</f>
        <v>0.13864266523001639</v>
      </c>
      <c r="U670" s="1">
        <f t="shared" si="1519"/>
        <v>0</v>
      </c>
      <c r="V670" s="1">
        <f t="shared" si="1519"/>
        <v>2.2382783076339887</v>
      </c>
      <c r="W670" s="1">
        <f t="shared" si="1455"/>
        <v>-27.598383525663554</v>
      </c>
      <c r="X670" s="1">
        <f t="shared" si="1456"/>
        <v>0</v>
      </c>
      <c r="Y670" s="1">
        <f t="shared" si="1457"/>
        <v>-5.8502943542867953</v>
      </c>
    </row>
    <row r="671" spans="1:25">
      <c r="A671" s="1">
        <v>0.66900000000000004</v>
      </c>
      <c r="B671" s="1">
        <f t="shared" si="1458"/>
        <v>30.359740640023485</v>
      </c>
      <c r="C671" s="1">
        <f t="shared" si="1459"/>
        <v>0</v>
      </c>
      <c r="D671" s="1">
        <f t="shared" si="1460"/>
        <v>-1.6762919428066417E-2</v>
      </c>
      <c r="E671" s="1">
        <f t="shared" si="1461"/>
        <v>26.053807923639216</v>
      </c>
      <c r="F671" s="1">
        <f t="shared" si="1462"/>
        <v>0</v>
      </c>
      <c r="G671" s="1">
        <f t="shared" si="1463"/>
        <v>-1.621375794931849</v>
      </c>
      <c r="H671" s="1">
        <f t="shared" si="1152"/>
        <v>26.104209752265565</v>
      </c>
      <c r="I671" s="1">
        <f t="shared" si="1446"/>
        <v>-27.678853367759437</v>
      </c>
      <c r="J671" s="1">
        <f t="shared" si="1447"/>
        <v>0</v>
      </c>
      <c r="K671" s="1">
        <f t="shared" si="1448"/>
        <v>1.7225053248832147</v>
      </c>
      <c r="L671" s="1">
        <f t="shared" ref="L671:N671" si="1520">E671/$H671</f>
        <v>0.99806920687871137</v>
      </c>
      <c r="M671" s="1">
        <f t="shared" si="1520"/>
        <v>0</v>
      </c>
      <c r="N671" s="1">
        <f t="shared" si="1520"/>
        <v>-6.2111659778979943E-2</v>
      </c>
      <c r="O671" s="1">
        <f t="shared" si="1154"/>
        <v>-6.2111659778979943E-2</v>
      </c>
      <c r="P671" s="1">
        <f t="shared" si="1450"/>
        <v>6.1991735013526866E-2</v>
      </c>
      <c r="Q671" s="1">
        <f t="shared" si="1451"/>
        <v>0</v>
      </c>
      <c r="R671" s="1">
        <f t="shared" si="1452"/>
        <v>0.99614214171950022</v>
      </c>
      <c r="S671" s="1">
        <f t="shared" si="1453"/>
        <v>2.2421939530331509</v>
      </c>
      <c r="T671" s="1">
        <f t="shared" ref="T671:V671" si="1521">$S671*P671</f>
        <v>0.13899749338536341</v>
      </c>
      <c r="U671" s="1">
        <f t="shared" si="1521"/>
        <v>0</v>
      </c>
      <c r="V671" s="1">
        <f t="shared" si="1521"/>
        <v>2.2335438865249553</v>
      </c>
      <c r="W671" s="1">
        <f t="shared" si="1455"/>
        <v>-27.539855874374073</v>
      </c>
      <c r="X671" s="1">
        <f t="shared" si="1456"/>
        <v>0</v>
      </c>
      <c r="Y671" s="1">
        <f t="shared" si="1457"/>
        <v>-5.8506007885918292</v>
      </c>
    </row>
    <row r="672" spans="1:25">
      <c r="A672" s="1">
        <v>0.67</v>
      </c>
      <c r="B672" s="1">
        <f t="shared" si="1458"/>
        <v>30.385766908091249</v>
      </c>
      <c r="C672" s="1">
        <f t="shared" si="1459"/>
        <v>0</v>
      </c>
      <c r="D672" s="1">
        <f t="shared" si="1460"/>
        <v>-1.8390145823786858E-2</v>
      </c>
      <c r="E672" s="1">
        <f t="shared" si="1461"/>
        <v>26.026268067764843</v>
      </c>
      <c r="F672" s="1">
        <f t="shared" si="1462"/>
        <v>0</v>
      </c>
      <c r="G672" s="1">
        <f t="shared" si="1463"/>
        <v>-1.6272263957204409</v>
      </c>
      <c r="H672" s="1">
        <f t="shared" si="1152"/>
        <v>26.077087553599331</v>
      </c>
      <c r="I672" s="1">
        <f t="shared" si="1446"/>
        <v>-27.620867927378523</v>
      </c>
      <c r="J672" s="1">
        <f t="shared" si="1447"/>
        <v>0</v>
      </c>
      <c r="K672" s="1">
        <f t="shared" si="1448"/>
        <v>1.7269247072655096</v>
      </c>
      <c r="L672" s="1">
        <f t="shared" ref="L672:N672" si="1522">E672/$H672</f>
        <v>0.99805118245164337</v>
      </c>
      <c r="M672" s="1">
        <f t="shared" si="1522"/>
        <v>0</v>
      </c>
      <c r="N672" s="1">
        <f t="shared" si="1522"/>
        <v>-6.240061864177928E-2</v>
      </c>
      <c r="O672" s="1">
        <f t="shared" si="1154"/>
        <v>-6.240061864177928E-2</v>
      </c>
      <c r="P672" s="1">
        <f t="shared" si="1450"/>
        <v>6.2279011221141871E-2</v>
      </c>
      <c r="Q672" s="1">
        <f t="shared" si="1451"/>
        <v>0</v>
      </c>
      <c r="R672" s="1">
        <f t="shared" si="1452"/>
        <v>0.99610616279312325</v>
      </c>
      <c r="S672" s="1">
        <f t="shared" si="1453"/>
        <v>2.2375371074106249</v>
      </c>
      <c r="T672" s="1">
        <f t="shared" ref="T672:V672" si="1523">$S672*P672</f>
        <v>0.13935159862014762</v>
      </c>
      <c r="U672" s="1">
        <f t="shared" si="1523"/>
        <v>0</v>
      </c>
      <c r="V672" s="1">
        <f t="shared" si="1523"/>
        <v>2.2288245021700219</v>
      </c>
      <c r="W672" s="1">
        <f t="shared" si="1455"/>
        <v>-27.481516328758374</v>
      </c>
      <c r="X672" s="1">
        <f t="shared" si="1456"/>
        <v>0</v>
      </c>
      <c r="Y672" s="1">
        <f t="shared" si="1457"/>
        <v>-5.8509007905644683</v>
      </c>
    </row>
    <row r="673" spans="1:25">
      <c r="A673" s="1">
        <v>0.67100000000000004</v>
      </c>
      <c r="B673" s="1">
        <f t="shared" si="1458"/>
        <v>30.411765694642686</v>
      </c>
      <c r="C673" s="1">
        <f t="shared" si="1459"/>
        <v>0</v>
      </c>
      <c r="D673" s="1">
        <f t="shared" si="1460"/>
        <v>-2.0023223120297865E-2</v>
      </c>
      <c r="E673" s="1">
        <f t="shared" si="1461"/>
        <v>25.998786551436083</v>
      </c>
      <c r="F673" s="1">
        <f t="shared" si="1462"/>
        <v>0</v>
      </c>
      <c r="G673" s="1">
        <f t="shared" si="1463"/>
        <v>-1.6330772965110054</v>
      </c>
      <c r="H673" s="1">
        <f t="shared" si="1152"/>
        <v>26.050025788922234</v>
      </c>
      <c r="I673" s="1">
        <f t="shared" si="1446"/>
        <v>-27.563069077778348</v>
      </c>
      <c r="J673" s="1">
        <f t="shared" si="1447"/>
        <v>0</v>
      </c>
      <c r="K673" s="1">
        <f t="shared" si="1448"/>
        <v>1.7313355084488746</v>
      </c>
      <c r="L673" s="1">
        <f t="shared" ref="L673:N673" si="1524">E673/$H673</f>
        <v>0.9980330446541078</v>
      </c>
      <c r="M673" s="1">
        <f t="shared" si="1524"/>
        <v>0</v>
      </c>
      <c r="N673" s="1">
        <f t="shared" si="1524"/>
        <v>-6.2690045289915647E-2</v>
      </c>
      <c r="O673" s="1">
        <f t="shared" si="1154"/>
        <v>-6.2690045289915647E-2</v>
      </c>
      <c r="P673" s="1">
        <f t="shared" si="1450"/>
        <v>6.2566736770198417E-2</v>
      </c>
      <c r="Q673" s="1">
        <f t="shared" si="1451"/>
        <v>0</v>
      </c>
      <c r="R673" s="1">
        <f t="shared" si="1452"/>
        <v>0.99606995822154831</v>
      </c>
      <c r="S673" s="1">
        <f t="shared" si="1453"/>
        <v>2.2328954630200979</v>
      </c>
      <c r="T673" s="1">
        <f t="shared" ref="T673:V673" si="1525">$S673*P673</f>
        <v>0.13970498267014878</v>
      </c>
      <c r="U673" s="1">
        <f t="shared" si="1525"/>
        <v>0</v>
      </c>
      <c r="V673" s="1">
        <f t="shared" si="1525"/>
        <v>2.2241200905635137</v>
      </c>
      <c r="W673" s="1">
        <f t="shared" si="1455"/>
        <v>-27.423364095108198</v>
      </c>
      <c r="X673" s="1">
        <f t="shared" si="1456"/>
        <v>0</v>
      </c>
      <c r="Y673" s="1">
        <f t="shared" si="1457"/>
        <v>-5.8511944009876107</v>
      </c>
    </row>
    <row r="674" spans="1:25">
      <c r="A674" s="1">
        <v>0.67200000000000004</v>
      </c>
      <c r="B674" s="1">
        <f t="shared" si="1458"/>
        <v>30.437737057830027</v>
      </c>
      <c r="C674" s="1">
        <f t="shared" si="1459"/>
        <v>0</v>
      </c>
      <c r="D674" s="1">
        <f t="shared" si="1460"/>
        <v>-2.1662151611209858E-2</v>
      </c>
      <c r="E674" s="1">
        <f t="shared" si="1461"/>
        <v>25.971363187340977</v>
      </c>
      <c r="F674" s="1">
        <f t="shared" si="1462"/>
        <v>0</v>
      </c>
      <c r="G674" s="1">
        <f t="shared" si="1463"/>
        <v>-1.638928490911993</v>
      </c>
      <c r="H674" s="1">
        <f t="shared" si="1152"/>
        <v>26.023024274805056</v>
      </c>
      <c r="I674" s="1">
        <f t="shared" si="1446"/>
        <v>-27.505456031175981</v>
      </c>
      <c r="J674" s="1">
        <f t="shared" si="1447"/>
        <v>0</v>
      </c>
      <c r="K674" s="1">
        <f t="shared" si="1448"/>
        <v>1.7357377516092096</v>
      </c>
      <c r="L674" s="1">
        <f t="shared" ref="L674:N674" si="1526">E674/$H674</f>
        <v>0.99801479309558583</v>
      </c>
      <c r="M674" s="1">
        <f t="shared" si="1526"/>
        <v>0</v>
      </c>
      <c r="N674" s="1">
        <f t="shared" si="1526"/>
        <v>-6.2979939364648296E-2</v>
      </c>
      <c r="O674" s="1">
        <f t="shared" si="1154"/>
        <v>-6.2979939364648296E-2</v>
      </c>
      <c r="P674" s="1">
        <f t="shared" si="1450"/>
        <v>6.2854911154182014E-2</v>
      </c>
      <c r="Q674" s="1">
        <f t="shared" si="1451"/>
        <v>0</v>
      </c>
      <c r="R674" s="1">
        <f t="shared" si="1452"/>
        <v>0.99603352723762517</v>
      </c>
      <c r="S674" s="1">
        <f t="shared" si="1453"/>
        <v>2.2282689561606777</v>
      </c>
      <c r="T674" s="1">
        <f t="shared" ref="T674:V674" si="1527">$S674*P674</f>
        <v>0.14005764726710129</v>
      </c>
      <c r="U674" s="1">
        <f t="shared" si="1527"/>
        <v>0</v>
      </c>
      <c r="V674" s="1">
        <f t="shared" si="1527"/>
        <v>2.2194305880388208</v>
      </c>
      <c r="W674" s="1">
        <f t="shared" si="1455"/>
        <v>-27.365398383908879</v>
      </c>
      <c r="X674" s="1">
        <f t="shared" si="1456"/>
        <v>0</v>
      </c>
      <c r="Y674" s="1">
        <f t="shared" si="1457"/>
        <v>-5.8514816603519693</v>
      </c>
    </row>
    <row r="675" spans="1:25">
      <c r="A675" s="1">
        <v>0.67300000000000004</v>
      </c>
      <c r="B675" s="1">
        <f t="shared" si="1458"/>
        <v>30.463681055618984</v>
      </c>
      <c r="C675" s="1">
        <f t="shared" si="1459"/>
        <v>0</v>
      </c>
      <c r="D675" s="1">
        <f t="shared" si="1460"/>
        <v>-2.3306931583782203E-2</v>
      </c>
      <c r="E675" s="1">
        <f t="shared" si="1461"/>
        <v>25.943997788957066</v>
      </c>
      <c r="F675" s="1">
        <f t="shared" si="1462"/>
        <v>0</v>
      </c>
      <c r="G675" s="1">
        <f t="shared" si="1463"/>
        <v>-1.6447799725723449</v>
      </c>
      <c r="H675" s="1">
        <f t="shared" si="1152"/>
        <v>25.996082828602933</v>
      </c>
      <c r="I675" s="1">
        <f t="shared" si="1446"/>
        <v>-27.448028003951503</v>
      </c>
      <c r="J675" s="1">
        <f t="shared" si="1447"/>
        <v>0</v>
      </c>
      <c r="K675" s="1">
        <f t="shared" si="1448"/>
        <v>1.7401314598754887</v>
      </c>
      <c r="L675" s="1">
        <f t="shared" ref="L675:N675" si="1528">E675/$H675</f>
        <v>0.99799642738526129</v>
      </c>
      <c r="M675" s="1">
        <f t="shared" si="1528"/>
        <v>0</v>
      </c>
      <c r="N675" s="1">
        <f t="shared" si="1528"/>
        <v>-6.3270300507068264E-2</v>
      </c>
      <c r="O675" s="1">
        <f t="shared" si="1154"/>
        <v>-6.3270300507068264E-2</v>
      </c>
      <c r="P675" s="1">
        <f t="shared" si="1450"/>
        <v>6.3143533865646015E-2</v>
      </c>
      <c r="Q675" s="1">
        <f t="shared" si="1451"/>
        <v>0</v>
      </c>
      <c r="R675" s="1">
        <f t="shared" si="1452"/>
        <v>0.99599686907374529</v>
      </c>
      <c r="S675" s="1">
        <f t="shared" si="1453"/>
        <v>2.223657523467848</v>
      </c>
      <c r="T675" s="1">
        <f t="shared" ref="T675:V675" si="1529">$S675*P675</f>
        <v>0.14040959413869061</v>
      </c>
      <c r="U675" s="1">
        <f t="shared" si="1529"/>
        <v>0</v>
      </c>
      <c r="V675" s="1">
        <f t="shared" si="1529"/>
        <v>2.214755931266255</v>
      </c>
      <c r="W675" s="1">
        <f t="shared" si="1455"/>
        <v>-27.307618409812811</v>
      </c>
      <c r="X675" s="1">
        <f t="shared" si="1456"/>
        <v>0</v>
      </c>
      <c r="Y675" s="1">
        <f t="shared" si="1457"/>
        <v>-5.8517626088582553</v>
      </c>
    </row>
    <row r="676" spans="1:25">
      <c r="A676" s="1">
        <v>0.67400000000000004</v>
      </c>
      <c r="B676" s="1">
        <f t="shared" si="1458"/>
        <v>30.489597745789531</v>
      </c>
      <c r="C676" s="1">
        <f t="shared" si="1459"/>
        <v>0</v>
      </c>
      <c r="D676" s="1">
        <f t="shared" si="1460"/>
        <v>-2.4957563318963406E-2</v>
      </c>
      <c r="E676" s="1">
        <f t="shared" si="1461"/>
        <v>25.916690170547252</v>
      </c>
      <c r="F676" s="1">
        <f t="shared" si="1462"/>
        <v>0</v>
      </c>
      <c r="G676" s="1">
        <f t="shared" si="1463"/>
        <v>-1.6506317351812032</v>
      </c>
      <c r="H676" s="1">
        <f t="shared" si="1152"/>
        <v>25.969201268451208</v>
      </c>
      <c r="I676" s="1">
        <f t="shared" si="1446"/>
        <v>-27.390784216621615</v>
      </c>
      <c r="J676" s="1">
        <f t="shared" si="1447"/>
        <v>0</v>
      </c>
      <c r="K676" s="1">
        <f t="shared" si="1448"/>
        <v>1.7445166563297061</v>
      </c>
      <c r="L676" s="1">
        <f t="shared" ref="L676:N676" si="1530">E676/$H676</f>
        <v>0.99797794713202248</v>
      </c>
      <c r="M676" s="1">
        <f t="shared" si="1530"/>
        <v>0</v>
      </c>
      <c r="N676" s="1">
        <f t="shared" si="1530"/>
        <v>-6.3561128358093938E-2</v>
      </c>
      <c r="O676" s="1">
        <f t="shared" si="1154"/>
        <v>-6.3561128358093938E-2</v>
      </c>
      <c r="P676" s="1">
        <f t="shared" si="1450"/>
        <v>6.3432604396205572E-2</v>
      </c>
      <c r="Q676" s="1">
        <f t="shared" si="1451"/>
        <v>0</v>
      </c>
      <c r="R676" s="1">
        <f t="shared" si="1452"/>
        <v>0.99595998296184596</v>
      </c>
      <c r="S676" s="1">
        <f t="shared" si="1453"/>
        <v>2.2190611019113398</v>
      </c>
      <c r="T676" s="1">
        <f t="shared" ref="T676:V676" si="1531">$S676*P676</f>
        <v>0.14076082500855003</v>
      </c>
      <c r="U676" s="1">
        <f t="shared" si="1531"/>
        <v>0</v>
      </c>
      <c r="V676" s="1">
        <f t="shared" si="1531"/>
        <v>2.210096057250913</v>
      </c>
      <c r="W676" s="1">
        <f t="shared" si="1455"/>
        <v>-27.250023391613066</v>
      </c>
      <c r="X676" s="1">
        <f t="shared" si="1456"/>
        <v>0</v>
      </c>
      <c r="Y676" s="1">
        <f t="shared" si="1457"/>
        <v>-5.8520372864193799</v>
      </c>
    </row>
    <row r="677" spans="1:25">
      <c r="A677" s="1">
        <v>0.67500000000000004</v>
      </c>
      <c r="B677" s="1">
        <f t="shared" si="1458"/>
        <v>30.515487185936689</v>
      </c>
      <c r="C677" s="1">
        <f t="shared" si="1459"/>
        <v>0</v>
      </c>
      <c r="D677" s="1">
        <f t="shared" si="1460"/>
        <v>-2.6614047091431028E-2</v>
      </c>
      <c r="E677" s="1">
        <f t="shared" si="1461"/>
        <v>25.889440147155639</v>
      </c>
      <c r="F677" s="1">
        <f t="shared" si="1462"/>
        <v>0</v>
      </c>
      <c r="G677" s="1">
        <f t="shared" si="1463"/>
        <v>-1.6564837724676227</v>
      </c>
      <c r="H677" s="1">
        <f t="shared" si="1152"/>
        <v>25.942379413261282</v>
      </c>
      <c r="I677" s="1">
        <f t="shared" si="1446"/>
        <v>-27.333723893813435</v>
      </c>
      <c r="J677" s="1">
        <f t="shared" si="1447"/>
        <v>0</v>
      </c>
      <c r="K677" s="1">
        <f t="shared" si="1448"/>
        <v>1.7488933640068289</v>
      </c>
      <c r="L677" s="1">
        <f t="shared" ref="L677:N677" si="1532">E677/$H677</f>
        <v>0.99795935194446428</v>
      </c>
      <c r="M677" s="1">
        <f t="shared" si="1532"/>
        <v>0</v>
      </c>
      <c r="N677" s="1">
        <f t="shared" si="1532"/>
        <v>-6.3852422558466543E-2</v>
      </c>
      <c r="O677" s="1">
        <f t="shared" si="1154"/>
        <v>-6.3852422558466543E-2</v>
      </c>
      <c r="P677" s="1">
        <f t="shared" si="1450"/>
        <v>6.3722122236531356E-2</v>
      </c>
      <c r="Q677" s="1">
        <f t="shared" si="1451"/>
        <v>0</v>
      </c>
      <c r="R677" s="1">
        <f t="shared" si="1452"/>
        <v>0.99592286813341502</v>
      </c>
      <c r="S677" s="1">
        <f t="shared" si="1453"/>
        <v>2.2144796287930104</v>
      </c>
      <c r="T677" s="1">
        <f t="shared" ref="T677:V677" si="1533">$S677*P677</f>
        <v>0.1411113415962568</v>
      </c>
      <c r="U677" s="1">
        <f t="shared" si="1533"/>
        <v>0</v>
      </c>
      <c r="V677" s="1">
        <f t="shared" si="1533"/>
        <v>2.2054509033305552</v>
      </c>
      <c r="W677" s="1">
        <f t="shared" si="1455"/>
        <v>-27.192612552217177</v>
      </c>
      <c r="X677" s="1">
        <f t="shared" si="1456"/>
        <v>0</v>
      </c>
      <c r="Y677" s="1">
        <f t="shared" si="1457"/>
        <v>-5.8523057326626153</v>
      </c>
    </row>
    <row r="678" spans="1:25">
      <c r="A678" s="1">
        <v>0.67600000000000005</v>
      </c>
      <c r="B678" s="1">
        <f t="shared" si="1458"/>
        <v>30.541349433471293</v>
      </c>
      <c r="C678" s="1">
        <f t="shared" si="1459"/>
        <v>0</v>
      </c>
      <c r="D678" s="1">
        <f t="shared" si="1460"/>
        <v>-2.8276383169631315E-2</v>
      </c>
      <c r="E678" s="1">
        <f t="shared" si="1461"/>
        <v>25.862247534603423</v>
      </c>
      <c r="F678" s="1">
        <f t="shared" si="1462"/>
        <v>0</v>
      </c>
      <c r="G678" s="1">
        <f t="shared" si="1463"/>
        <v>-1.6623360782002854</v>
      </c>
      <c r="H678" s="1">
        <f t="shared" si="1152"/>
        <v>25.915617082716498</v>
      </c>
      <c r="I678" s="1">
        <f t="shared" si="1446"/>
        <v>-27.276846264238479</v>
      </c>
      <c r="J678" s="1">
        <f t="shared" si="1447"/>
        <v>0</v>
      </c>
      <c r="K678" s="1">
        <f t="shared" si="1448"/>
        <v>1.7532616058947486</v>
      </c>
      <c r="L678" s="1">
        <f t="shared" ref="L678:N678" si="1534">E678/$H678</f>
        <v>0.99794064143088967</v>
      </c>
      <c r="M678" s="1">
        <f t="shared" si="1534"/>
        <v>0</v>
      </c>
      <c r="N678" s="1">
        <f t="shared" si="1534"/>
        <v>-6.4144182748745796E-2</v>
      </c>
      <c r="O678" s="1">
        <f t="shared" si="1154"/>
        <v>-6.4144182748745796E-2</v>
      </c>
      <c r="P678" s="1">
        <f t="shared" si="1450"/>
        <v>6.4012086876343591E-2</v>
      </c>
      <c r="Q678" s="1">
        <f t="shared" si="1451"/>
        <v>0</v>
      </c>
      <c r="R678" s="1">
        <f t="shared" si="1452"/>
        <v>0.99588552381949547</v>
      </c>
      <c r="S678" s="1">
        <f t="shared" si="1453"/>
        <v>2.2099130417447443</v>
      </c>
      <c r="T678" s="1">
        <f t="shared" ref="T678:V678" si="1535">$S678*P678</f>
        <v>0.14146114561732928</v>
      </c>
      <c r="U678" s="1">
        <f t="shared" si="1535"/>
        <v>0</v>
      </c>
      <c r="V678" s="1">
        <f t="shared" si="1535"/>
        <v>2.2008204071734991</v>
      </c>
      <c r="W678" s="1">
        <f t="shared" si="1455"/>
        <v>-27.135385118621151</v>
      </c>
      <c r="X678" s="1">
        <f t="shared" si="1456"/>
        <v>0</v>
      </c>
      <c r="Y678" s="1">
        <f t="shared" si="1457"/>
        <v>-5.852567986931752</v>
      </c>
    </row>
    <row r="679" spans="1:25">
      <c r="A679" s="1">
        <v>0.67700000000000005</v>
      </c>
      <c r="B679" s="1">
        <f t="shared" si="1458"/>
        <v>30.567184545620776</v>
      </c>
      <c r="C679" s="1">
        <f t="shared" si="1459"/>
        <v>0</v>
      </c>
      <c r="D679" s="1">
        <f t="shared" si="1460"/>
        <v>-2.994457181581853E-2</v>
      </c>
      <c r="E679" s="1">
        <f t="shared" si="1461"/>
        <v>25.8351121494848</v>
      </c>
      <c r="F679" s="1">
        <f t="shared" si="1462"/>
        <v>0</v>
      </c>
      <c r="G679" s="1">
        <f t="shared" si="1463"/>
        <v>-1.6681886461872171</v>
      </c>
      <c r="H679" s="1">
        <f t="shared" si="1152"/>
        <v>25.888914097268064</v>
      </c>
      <c r="I679" s="1">
        <f t="shared" si="1446"/>
        <v>-27.220150560666863</v>
      </c>
      <c r="J679" s="1">
        <f t="shared" si="1447"/>
        <v>0</v>
      </c>
      <c r="K679" s="1">
        <f t="shared" si="1448"/>
        <v>1.7576214049342378</v>
      </c>
      <c r="L679" s="1">
        <f t="shared" ref="L679:N679" si="1536">E679/$H679</f>
        <v>0.99792181519931189</v>
      </c>
      <c r="M679" s="1">
        <f t="shared" si="1536"/>
        <v>0</v>
      </c>
      <c r="N679" s="1">
        <f t="shared" si="1536"/>
        <v>-6.4436408569305464E-2</v>
      </c>
      <c r="O679" s="1">
        <f t="shared" si="1154"/>
        <v>-6.4436408569305464E-2</v>
      </c>
      <c r="P679" s="1">
        <f t="shared" si="1450"/>
        <v>6.4302497804405806E-2</v>
      </c>
      <c r="Q679" s="1">
        <f t="shared" si="1451"/>
        <v>0</v>
      </c>
      <c r="R679" s="1">
        <f t="shared" si="1452"/>
        <v>0.99584794925068953</v>
      </c>
      <c r="S679" s="1">
        <f t="shared" si="1453"/>
        <v>2.2053612787263703</v>
      </c>
      <c r="T679" s="1">
        <f t="shared" ref="T679:V679" si="1537">$S679*P679</f>
        <v>0.14181023878322402</v>
      </c>
      <c r="U679" s="1">
        <f t="shared" si="1537"/>
        <v>0</v>
      </c>
      <c r="V679" s="1">
        <f t="shared" si="1537"/>
        <v>2.1962045067765343</v>
      </c>
      <c r="W679" s="1">
        <f t="shared" si="1455"/>
        <v>-27.078340321883637</v>
      </c>
      <c r="X679" s="1">
        <f t="shared" si="1456"/>
        <v>0</v>
      </c>
      <c r="Y679" s="1">
        <f t="shared" si="1457"/>
        <v>-5.8528240882892275</v>
      </c>
    </row>
    <row r="680" spans="1:25">
      <c r="A680" s="1">
        <v>0.67800000000000005</v>
      </c>
      <c r="B680" s="1">
        <f t="shared" si="1458"/>
        <v>30.592992579429939</v>
      </c>
      <c r="C680" s="1">
        <f t="shared" si="1459"/>
        <v>0</v>
      </c>
      <c r="D680" s="1">
        <f t="shared" si="1460"/>
        <v>-3.1618613286094034E-2</v>
      </c>
      <c r="E680" s="1">
        <f t="shared" si="1461"/>
        <v>25.808033809162918</v>
      </c>
      <c r="F680" s="1">
        <f t="shared" si="1462"/>
        <v>0</v>
      </c>
      <c r="G680" s="1">
        <f t="shared" si="1463"/>
        <v>-1.6740414702755062</v>
      </c>
      <c r="H680" s="1">
        <f t="shared" si="1152"/>
        <v>25.862270278131007</v>
      </c>
      <c r="I680" s="1">
        <f t="shared" si="1446"/>
        <v>-27.163636019901688</v>
      </c>
      <c r="J680" s="1">
        <f t="shared" si="1447"/>
        <v>0</v>
      </c>
      <c r="K680" s="1">
        <f t="shared" si="1448"/>
        <v>1.7619727840189092</v>
      </c>
      <c r="L680" s="1">
        <f t="shared" ref="L680:N680" si="1538">E680/$H680</f>
        <v>0.9979028728574556</v>
      </c>
      <c r="M680" s="1">
        <f t="shared" si="1538"/>
        <v>0</v>
      </c>
      <c r="N680" s="1">
        <f t="shared" si="1538"/>
        <v>-6.4729099660328984E-2</v>
      </c>
      <c r="O680" s="1">
        <f t="shared" si="1154"/>
        <v>-6.4729099660328984E-2</v>
      </c>
      <c r="P680" s="1">
        <f t="shared" si="1450"/>
        <v>6.4593354508518844E-2</v>
      </c>
      <c r="Q680" s="1">
        <f t="shared" si="1451"/>
        <v>0</v>
      </c>
      <c r="R680" s="1">
        <f t="shared" si="1452"/>
        <v>0.99581014365716325</v>
      </c>
      <c r="S680" s="1">
        <f t="shared" si="1453"/>
        <v>2.2008242780235929</v>
      </c>
      <c r="T680" s="1">
        <f t="shared" ref="T680:V680" si="1539">$S680*P680</f>
        <v>0.14215862280133298</v>
      </c>
      <c r="U680" s="1">
        <f t="shared" si="1539"/>
        <v>0</v>
      </c>
      <c r="V680" s="1">
        <f t="shared" si="1539"/>
        <v>2.1916031404628469</v>
      </c>
      <c r="W680" s="1">
        <f t="shared" si="1455"/>
        <v>-27.021477397100355</v>
      </c>
      <c r="X680" s="1">
        <f t="shared" si="1456"/>
        <v>0</v>
      </c>
      <c r="Y680" s="1">
        <f t="shared" si="1457"/>
        <v>-5.8530740755182435</v>
      </c>
    </row>
    <row r="681" spans="1:25">
      <c r="A681" s="1">
        <v>0.67900000000000005</v>
      </c>
      <c r="B681" s="1">
        <f t="shared" si="1458"/>
        <v>30.618773591761705</v>
      </c>
      <c r="C681" s="1">
        <f t="shared" si="1459"/>
        <v>0</v>
      </c>
      <c r="D681" s="1">
        <f t="shared" si="1460"/>
        <v>-3.3298507830445058E-2</v>
      </c>
      <c r="E681" s="1">
        <f t="shared" si="1461"/>
        <v>25.781012331765819</v>
      </c>
      <c r="F681" s="1">
        <f t="shared" si="1462"/>
        <v>0</v>
      </c>
      <c r="G681" s="1">
        <f t="shared" si="1463"/>
        <v>-1.6798945443510245</v>
      </c>
      <c r="H681" s="1">
        <f t="shared" si="1152"/>
        <v>25.835685447280117</v>
      </c>
      <c r="I681" s="1">
        <f t="shared" si="1446"/>
        <v>-27.1073018827536</v>
      </c>
      <c r="J681" s="1">
        <f t="shared" si="1447"/>
        <v>0</v>
      </c>
      <c r="K681" s="1">
        <f t="shared" si="1448"/>
        <v>1.766315765995176</v>
      </c>
      <c r="L681" s="1">
        <f t="shared" ref="L681:N681" si="1540">E681/$H681</f>
        <v>0.99788381401275905</v>
      </c>
      <c r="M681" s="1">
        <f t="shared" si="1540"/>
        <v>0</v>
      </c>
      <c r="N681" s="1">
        <f t="shared" si="1540"/>
        <v>-6.502225566180507E-2</v>
      </c>
      <c r="O681" s="1">
        <f t="shared" si="1154"/>
        <v>-6.502225566180507E-2</v>
      </c>
      <c r="P681" s="1">
        <f t="shared" si="1450"/>
        <v>6.4884656475514765E-2</v>
      </c>
      <c r="Q681" s="1">
        <f t="shared" si="1451"/>
        <v>0</v>
      </c>
      <c r="R681" s="1">
        <f t="shared" si="1452"/>
        <v>0.99577210626865087</v>
      </c>
      <c r="S681" s="1">
        <f t="shared" si="1453"/>
        <v>2.1963019782459363</v>
      </c>
      <c r="T681" s="1">
        <f t="shared" ref="T681:V681" si="1541">$S681*P681</f>
        <v>0.14250629937498108</v>
      </c>
      <c r="U681" s="1">
        <f t="shared" si="1541"/>
        <v>0</v>
      </c>
      <c r="V681" s="1">
        <f t="shared" si="1541"/>
        <v>2.1870162468799608</v>
      </c>
      <c r="W681" s="1">
        <f t="shared" si="1455"/>
        <v>-26.964795583378617</v>
      </c>
      <c r="X681" s="1">
        <f t="shared" si="1456"/>
        <v>0</v>
      </c>
      <c r="Y681" s="1">
        <f t="shared" si="1457"/>
        <v>-5.8533179871248624</v>
      </c>
    </row>
    <row r="682" spans="1:25">
      <c r="A682" s="1">
        <v>0.68</v>
      </c>
      <c r="B682" s="1">
        <f t="shared" si="1458"/>
        <v>30.644527639297888</v>
      </c>
      <c r="C682" s="1">
        <f t="shared" si="1459"/>
        <v>0</v>
      </c>
      <c r="D682" s="1">
        <f t="shared" si="1460"/>
        <v>-3.4984255692783205E-2</v>
      </c>
      <c r="E682" s="1">
        <f t="shared" si="1461"/>
        <v>25.754047536182441</v>
      </c>
      <c r="F682" s="1">
        <f t="shared" si="1462"/>
        <v>0</v>
      </c>
      <c r="G682" s="1">
        <f t="shared" si="1463"/>
        <v>-1.6857478623381494</v>
      </c>
      <c r="H682" s="1">
        <f t="shared" si="1152"/>
        <v>25.809159427445955</v>
      </c>
      <c r="I682" s="1">
        <f t="shared" si="1446"/>
        <v>-27.051147394015526</v>
      </c>
      <c r="J682" s="1">
        <f t="shared" si="1447"/>
        <v>0</v>
      </c>
      <c r="K682" s="1">
        <f t="shared" si="1448"/>
        <v>1.7706503736622146</v>
      </c>
      <c r="L682" s="1">
        <f t="shared" ref="L682:N682" si="1542">E682/$H682</f>
        <v>0.99786463827237604</v>
      </c>
      <c r="M682" s="1">
        <f t="shared" si="1542"/>
        <v>0</v>
      </c>
      <c r="N682" s="1">
        <f t="shared" si="1542"/>
        <v>-6.5315876213523361E-2</v>
      </c>
      <c r="O682" s="1">
        <f t="shared" si="1154"/>
        <v>-6.5315876213523361E-2</v>
      </c>
      <c r="P682" s="1">
        <f t="shared" si="1450"/>
        <v>6.5176403191250773E-2</v>
      </c>
      <c r="Q682" s="1">
        <f t="shared" si="1451"/>
        <v>0</v>
      </c>
      <c r="R682" s="1">
        <f t="shared" si="1452"/>
        <v>0.99573383631445966</v>
      </c>
      <c r="S682" s="1">
        <f t="shared" si="1453"/>
        <v>2.1917943183247064</v>
      </c>
      <c r="T682" s="1">
        <f t="shared" ref="T682:V682" si="1543">$S682*P682</f>
        <v>0.1428532702034237</v>
      </c>
      <c r="U682" s="1">
        <f t="shared" si="1543"/>
        <v>0</v>
      </c>
      <c r="V682" s="1">
        <f t="shared" si="1543"/>
        <v>2.182443764997696</v>
      </c>
      <c r="W682" s="1">
        <f t="shared" si="1455"/>
        <v>-26.908294123812102</v>
      </c>
      <c r="X682" s="1">
        <f t="shared" si="1456"/>
        <v>0</v>
      </c>
      <c r="Y682" s="1">
        <f t="shared" si="1457"/>
        <v>-5.8535558613400891</v>
      </c>
    </row>
    <row r="683" spans="1:25">
      <c r="A683" s="1">
        <v>0.68100000000000005</v>
      </c>
      <c r="B683" s="1">
        <f t="shared" si="1458"/>
        <v>30.670254778539945</v>
      </c>
      <c r="C683" s="1">
        <f t="shared" si="1459"/>
        <v>0</v>
      </c>
      <c r="D683" s="1">
        <f t="shared" si="1460"/>
        <v>-3.6675857110982694E-2</v>
      </c>
      <c r="E683" s="1">
        <f t="shared" si="1461"/>
        <v>25.72713924205863</v>
      </c>
      <c r="F683" s="1">
        <f t="shared" si="1462"/>
        <v>0</v>
      </c>
      <c r="G683" s="1">
        <f t="shared" si="1463"/>
        <v>-1.6916014181994896</v>
      </c>
      <c r="H683" s="1">
        <f t="shared" si="1152"/>
        <v>25.782692042110877</v>
      </c>
      <c r="I683" s="1">
        <f t="shared" si="1446"/>
        <v>-26.995171802437657</v>
      </c>
      <c r="J683" s="1">
        <f t="shared" si="1447"/>
        <v>0</v>
      </c>
      <c r="K683" s="1">
        <f t="shared" si="1448"/>
        <v>1.7749766297719307</v>
      </c>
      <c r="L683" s="1">
        <f t="shared" ref="L683:N683" si="1544">E683/$H683</f>
        <v>0.99784534524317658</v>
      </c>
      <c r="M683" s="1">
        <f t="shared" si="1544"/>
        <v>0</v>
      </c>
      <c r="N683" s="1">
        <f t="shared" si="1544"/>
        <v>-6.5609960955070032E-2</v>
      </c>
      <c r="O683" s="1">
        <f t="shared" si="1154"/>
        <v>-6.5609960955070032E-2</v>
      </c>
      <c r="P683" s="1">
        <f t="shared" si="1450"/>
        <v>6.5468594140603187E-2</v>
      </c>
      <c r="Q683" s="1">
        <f t="shared" si="1451"/>
        <v>0</v>
      </c>
      <c r="R683" s="1">
        <f t="shared" si="1452"/>
        <v>0.99569533302347424</v>
      </c>
      <c r="S683" s="1">
        <f t="shared" si="1453"/>
        <v>2.1873012375109684</v>
      </c>
      <c r="T683" s="1">
        <f t="shared" ref="T683:V683" si="1545">$S683*P683</f>
        <v>0.14319953698184468</v>
      </c>
      <c r="U683" s="1">
        <f t="shared" si="1545"/>
        <v>0</v>
      </c>
      <c r="V683" s="1">
        <f t="shared" si="1545"/>
        <v>2.1778856341061408</v>
      </c>
      <c r="W683" s="1">
        <f t="shared" si="1455"/>
        <v>-26.851972265455814</v>
      </c>
      <c r="X683" s="1">
        <f t="shared" si="1456"/>
        <v>0</v>
      </c>
      <c r="Y683" s="1">
        <f t="shared" si="1457"/>
        <v>-5.8537877361219284</v>
      </c>
    </row>
    <row r="684" spans="1:25">
      <c r="A684" s="1">
        <v>0.68200000000000005</v>
      </c>
      <c r="B684" s="1">
        <f t="shared" si="1458"/>
        <v>30.695955065809738</v>
      </c>
      <c r="C684" s="1">
        <f t="shared" si="1459"/>
        <v>0</v>
      </c>
      <c r="D684" s="1">
        <f t="shared" si="1460"/>
        <v>-3.8373312316918304E-2</v>
      </c>
      <c r="E684" s="1">
        <f t="shared" si="1461"/>
        <v>25.700287269793176</v>
      </c>
      <c r="F684" s="1">
        <f t="shared" si="1462"/>
        <v>0</v>
      </c>
      <c r="G684" s="1">
        <f t="shared" si="1463"/>
        <v>-1.6974552059356116</v>
      </c>
      <c r="H684" s="1">
        <f t="shared" si="1152"/>
        <v>25.75628311550506</v>
      </c>
      <c r="I684" s="1">
        <f t="shared" si="1446"/>
        <v>-26.939374360702526</v>
      </c>
      <c r="J684" s="1">
        <f t="shared" si="1447"/>
        <v>0</v>
      </c>
      <c r="K684" s="1">
        <f t="shared" si="1448"/>
        <v>1.779294557028928</v>
      </c>
      <c r="L684" s="1">
        <f t="shared" ref="L684:N684" si="1546">E684/$H684</f>
        <v>0.99782593453175028</v>
      </c>
      <c r="M684" s="1">
        <f t="shared" si="1546"/>
        <v>0</v>
      </c>
      <c r="N684" s="1">
        <f t="shared" si="1546"/>
        <v>-6.5904509525823551E-2</v>
      </c>
      <c r="O684" s="1">
        <f t="shared" si="1154"/>
        <v>-6.5904509525823551E-2</v>
      </c>
      <c r="P684" s="1">
        <f t="shared" si="1450"/>
        <v>6.5761228807461519E-2</v>
      </c>
      <c r="Q684" s="1">
        <f t="shared" si="1451"/>
        <v>0</v>
      </c>
      <c r="R684" s="1">
        <f t="shared" si="1452"/>
        <v>0.99565659562416065</v>
      </c>
      <c r="S684" s="1">
        <f t="shared" si="1453"/>
        <v>2.182822675373536</v>
      </c>
      <c r="T684" s="1">
        <f t="shared" ref="T684:V684" si="1547">$S684*P684</f>
        <v>0.1435451014013544</v>
      </c>
      <c r="U684" s="1">
        <f t="shared" si="1547"/>
        <v>0</v>
      </c>
      <c r="V684" s="1">
        <f t="shared" si="1547"/>
        <v>2.1733417938136372</v>
      </c>
      <c r="W684" s="1">
        <f t="shared" si="1455"/>
        <v>-26.795829259301172</v>
      </c>
      <c r="X684" s="1">
        <f t="shared" si="1456"/>
        <v>0</v>
      </c>
      <c r="Y684" s="1">
        <f t="shared" si="1457"/>
        <v>-5.8540136491574337</v>
      </c>
    </row>
    <row r="685" spans="1:25">
      <c r="A685" s="1">
        <v>0.68300000000000005</v>
      </c>
      <c r="B685" s="1">
        <f t="shared" si="1458"/>
        <v>30.72162855725027</v>
      </c>
      <c r="C685" s="1">
        <f t="shared" si="1459"/>
        <v>0</v>
      </c>
      <c r="D685" s="1">
        <f t="shared" si="1460"/>
        <v>-4.0076621536503071E-2</v>
      </c>
      <c r="E685" s="1">
        <f t="shared" si="1461"/>
        <v>25.673491440533873</v>
      </c>
      <c r="F685" s="1">
        <f t="shared" si="1462"/>
        <v>0</v>
      </c>
      <c r="G685" s="1">
        <f t="shared" si="1463"/>
        <v>-1.703309219584769</v>
      </c>
      <c r="H685" s="1">
        <f t="shared" si="1152"/>
        <v>25.729932472602577</v>
      </c>
      <c r="I685" s="1">
        <f t="shared" si="1446"/>
        <v>-26.883754325400336</v>
      </c>
      <c r="J685" s="1">
        <f t="shared" si="1447"/>
        <v>0</v>
      </c>
      <c r="K685" s="1">
        <f t="shared" si="1448"/>
        <v>1.7836041780904766</v>
      </c>
      <c r="L685" s="1">
        <f t="shared" ref="L685:N685" si="1548">E685/$H685</f>
        <v>0.99780640574440671</v>
      </c>
      <c r="M685" s="1">
        <f t="shared" si="1548"/>
        <v>0</v>
      </c>
      <c r="N685" s="1">
        <f t="shared" si="1548"/>
        <v>-6.6199521564950292E-2</v>
      </c>
      <c r="O685" s="1">
        <f t="shared" si="1154"/>
        <v>-6.6199521564950292E-2</v>
      </c>
      <c r="P685" s="1">
        <f t="shared" si="1450"/>
        <v>6.6054306674722396E-2</v>
      </c>
      <c r="Q685" s="1">
        <f t="shared" si="1451"/>
        <v>0</v>
      </c>
      <c r="R685" s="1">
        <f t="shared" si="1452"/>
        <v>0.99561762334457171</v>
      </c>
      <c r="S685" s="1">
        <f t="shared" si="1453"/>
        <v>2.1783585717969771</v>
      </c>
      <c r="T685" s="1">
        <f t="shared" ref="T685:V685" si="1549">$S685*P685</f>
        <v>0.1438899651489878</v>
      </c>
      <c r="U685" s="1">
        <f t="shared" si="1549"/>
        <v>0</v>
      </c>
      <c r="V685" s="1">
        <f t="shared" si="1549"/>
        <v>2.168812184044782</v>
      </c>
      <c r="W685" s="1">
        <f t="shared" si="1455"/>
        <v>-26.739864360251349</v>
      </c>
      <c r="X685" s="1">
        <f t="shared" si="1456"/>
        <v>0</v>
      </c>
      <c r="Y685" s="1">
        <f t="shared" si="1457"/>
        <v>-5.8542336378647413</v>
      </c>
    </row>
    <row r="686" spans="1:25">
      <c r="A686" s="1">
        <v>0.68400000000000005</v>
      </c>
      <c r="B686" s="1">
        <f t="shared" si="1458"/>
        <v>30.747275308826442</v>
      </c>
      <c r="C686" s="1">
        <f t="shared" si="1459"/>
        <v>0</v>
      </c>
      <c r="D686" s="1">
        <f t="shared" si="1460"/>
        <v>-4.1785784989725704E-2</v>
      </c>
      <c r="E686" s="1">
        <f t="shared" si="1461"/>
        <v>25.646751576173621</v>
      </c>
      <c r="F686" s="1">
        <f t="shared" si="1462"/>
        <v>0</v>
      </c>
      <c r="G686" s="1">
        <f t="shared" si="1463"/>
        <v>-1.7091634532226336</v>
      </c>
      <c r="H686" s="1">
        <f t="shared" si="1152"/>
        <v>25.703639939117494</v>
      </c>
      <c r="I686" s="1">
        <f t="shared" si="1446"/>
        <v>-26.828310957004433</v>
      </c>
      <c r="J686" s="1">
        <f t="shared" si="1447"/>
        <v>0</v>
      </c>
      <c r="K686" s="1">
        <f t="shared" si="1448"/>
        <v>1.7879055155664871</v>
      </c>
      <c r="L686" s="1">
        <f t="shared" ref="L686:N686" si="1550">E686/$H686</f>
        <v>0.99778675848717846</v>
      </c>
      <c r="M686" s="1">
        <f t="shared" si="1550"/>
        <v>0</v>
      </c>
      <c r="N686" s="1">
        <f t="shared" si="1550"/>
        <v>-6.6494996711400245E-2</v>
      </c>
      <c r="O686" s="1">
        <f t="shared" si="1154"/>
        <v>-6.6494996711400245E-2</v>
      </c>
      <c r="P686" s="1">
        <f t="shared" si="1450"/>
        <v>6.6347827224283645E-2</v>
      </c>
      <c r="Q686" s="1">
        <f t="shared" si="1451"/>
        <v>0</v>
      </c>
      <c r="R686" s="1">
        <f t="shared" si="1452"/>
        <v>0.99557841541235093</v>
      </c>
      <c r="S686" s="1">
        <f t="shared" si="1453"/>
        <v>2.173908866979636</v>
      </c>
      <c r="T686" s="1">
        <f t="shared" ref="T686:V686" si="1551">$S686*P686</f>
        <v>0.1442341299077031</v>
      </c>
      <c r="U686" s="1">
        <f t="shared" si="1551"/>
        <v>0</v>
      </c>
      <c r="V686" s="1">
        <f t="shared" si="1551"/>
        <v>2.1642967450384454</v>
      </c>
      <c r="W686" s="1">
        <f t="shared" si="1455"/>
        <v>-26.684076827096732</v>
      </c>
      <c r="X686" s="1">
        <f t="shared" si="1456"/>
        <v>0</v>
      </c>
      <c r="Y686" s="1">
        <f t="shared" si="1457"/>
        <v>-5.8544477393950665</v>
      </c>
    </row>
    <row r="687" spans="1:25">
      <c r="A687" s="1">
        <v>0.68500000000000005</v>
      </c>
      <c r="B687" s="1">
        <f t="shared" si="1458"/>
        <v>30.772895376325788</v>
      </c>
      <c r="C687" s="1">
        <f t="shared" si="1459"/>
        <v>0</v>
      </c>
      <c r="D687" s="1">
        <f t="shared" si="1460"/>
        <v>-4.350080289068773E-2</v>
      </c>
      <c r="E687" s="1">
        <f t="shared" si="1461"/>
        <v>25.620067499346526</v>
      </c>
      <c r="F687" s="1">
        <f t="shared" si="1462"/>
        <v>0</v>
      </c>
      <c r="G687" s="1">
        <f t="shared" si="1463"/>
        <v>-1.7150179009620288</v>
      </c>
      <c r="H687" s="1">
        <f t="shared" si="1152"/>
        <v>25.677405341499991</v>
      </c>
      <c r="I687" s="1">
        <f t="shared" si="1446"/>
        <v>-26.773043519847008</v>
      </c>
      <c r="J687" s="1">
        <f t="shared" si="1447"/>
        <v>0</v>
      </c>
      <c r="K687" s="1">
        <f t="shared" si="1448"/>
        <v>1.7921985920194869</v>
      </c>
      <c r="L687" s="1">
        <f t="shared" ref="L687:N687" si="1552">E687/$H687</f>
        <v>0.99776699236582145</v>
      </c>
      <c r="M687" s="1">
        <f t="shared" si="1552"/>
        <v>0</v>
      </c>
      <c r="N687" s="1">
        <f t="shared" si="1552"/>
        <v>-6.6790934603902744E-2</v>
      </c>
      <c r="O687" s="1">
        <f t="shared" si="1154"/>
        <v>-6.6790934603902744E-2</v>
      </c>
      <c r="P687" s="1">
        <f t="shared" si="1450"/>
        <v>6.6641789937038315E-2</v>
      </c>
      <c r="Q687" s="1">
        <f t="shared" si="1451"/>
        <v>0</v>
      </c>
      <c r="R687" s="1">
        <f t="shared" si="1452"/>
        <v>0.99553897105473721</v>
      </c>
      <c r="S687" s="1">
        <f t="shared" si="1453"/>
        <v>2.1694735014316668</v>
      </c>
      <c r="T687" s="1">
        <f t="shared" ref="T687:V687" si="1553">$S687*P687</f>
        <v>0.14457759735638012</v>
      </c>
      <c r="U687" s="1">
        <f t="shared" si="1553"/>
        <v>0</v>
      </c>
      <c r="V687" s="1">
        <f t="shared" si="1553"/>
        <v>2.1597954173457996</v>
      </c>
      <c r="W687" s="1">
        <f t="shared" si="1455"/>
        <v>-26.628465922490626</v>
      </c>
      <c r="X687" s="1">
        <f t="shared" si="1456"/>
        <v>0</v>
      </c>
      <c r="Y687" s="1">
        <f t="shared" si="1457"/>
        <v>-5.8546559906347131</v>
      </c>
    </row>
    <row r="688" spans="1:25">
      <c r="A688" s="1">
        <v>0.68600000000000005</v>
      </c>
      <c r="B688" s="1">
        <f t="shared" si="1458"/>
        <v>30.798488815359214</v>
      </c>
      <c r="C688" s="1">
        <f t="shared" si="1459"/>
        <v>0</v>
      </c>
      <c r="D688" s="1">
        <f t="shared" si="1460"/>
        <v>-4.5221675447640393E-2</v>
      </c>
      <c r="E688" s="1">
        <f t="shared" si="1461"/>
        <v>25.593439033424033</v>
      </c>
      <c r="F688" s="1">
        <f t="shared" si="1462"/>
        <v>0</v>
      </c>
      <c r="G688" s="1">
        <f t="shared" si="1463"/>
        <v>-1.7208725569526635</v>
      </c>
      <c r="H688" s="1">
        <f t="shared" si="1152"/>
        <v>25.651228506932487</v>
      </c>
      <c r="I688" s="1">
        <f t="shared" si="1446"/>
        <v>-26.717951282094869</v>
      </c>
      <c r="J688" s="1">
        <f t="shared" si="1447"/>
        <v>0</v>
      </c>
      <c r="K688" s="1">
        <f t="shared" si="1448"/>
        <v>1.7964834299645924</v>
      </c>
      <c r="L688" s="1">
        <f t="shared" ref="L688:N688" si="1554">E688/$H688</f>
        <v>0.99774710698581803</v>
      </c>
      <c r="M688" s="1">
        <f t="shared" si="1554"/>
        <v>0</v>
      </c>
      <c r="N688" s="1">
        <f t="shared" si="1554"/>
        <v>-6.7087334880962191E-2</v>
      </c>
      <c r="O688" s="1">
        <f t="shared" si="1154"/>
        <v>-6.7087334880962191E-2</v>
      </c>
      <c r="P688" s="1">
        <f t="shared" si="1450"/>
        <v>6.6936194292868789E-2</v>
      </c>
      <c r="Q688" s="1">
        <f t="shared" si="1451"/>
        <v>0</v>
      </c>
      <c r="R688" s="1">
        <f t="shared" si="1452"/>
        <v>0.99549928949856958</v>
      </c>
      <c r="S688" s="1">
        <f t="shared" si="1453"/>
        <v>2.1650524159730815</v>
      </c>
      <c r="T688" s="1">
        <f t="shared" ref="T688:V688" si="1555">$S688*P688</f>
        <v>0.14492036916981915</v>
      </c>
      <c r="U688" s="1">
        <f t="shared" si="1555"/>
        <v>0</v>
      </c>
      <c r="V688" s="1">
        <f t="shared" si="1555"/>
        <v>2.1553081418283644</v>
      </c>
      <c r="W688" s="1">
        <f t="shared" si="1455"/>
        <v>-26.573030912925049</v>
      </c>
      <c r="X688" s="1">
        <f t="shared" si="1456"/>
        <v>0</v>
      </c>
      <c r="Y688" s="1">
        <f t="shared" si="1457"/>
        <v>-5.8548584282070424</v>
      </c>
    </row>
    <row r="689" spans="1:25">
      <c r="A689" s="1">
        <v>0.68700000000000006</v>
      </c>
      <c r="B689" s="1">
        <f t="shared" si="1458"/>
        <v>30.824055681361724</v>
      </c>
      <c r="C689" s="1">
        <f t="shared" si="1459"/>
        <v>0</v>
      </c>
      <c r="D689" s="1">
        <f t="shared" si="1460"/>
        <v>-4.6948402863021266E-2</v>
      </c>
      <c r="E689" s="1">
        <f t="shared" si="1461"/>
        <v>25.566866002511109</v>
      </c>
      <c r="F689" s="1">
        <f t="shared" si="1462"/>
        <v>0</v>
      </c>
      <c r="G689" s="1">
        <f t="shared" si="1463"/>
        <v>-1.7267274153808705</v>
      </c>
      <c r="H689" s="1">
        <f t="shared" si="1152"/>
        <v>25.625109263325811</v>
      </c>
      <c r="I689" s="1">
        <f t="shared" si="1446"/>
        <v>-26.663033515725527</v>
      </c>
      <c r="J689" s="1">
        <f t="shared" si="1447"/>
        <v>0</v>
      </c>
      <c r="K689" s="1">
        <f t="shared" si="1448"/>
        <v>1.8007600518694924</v>
      </c>
      <c r="L689" s="1">
        <f t="shared" ref="L689:N689" si="1556">E689/$H689</f>
        <v>0.99772710195237846</v>
      </c>
      <c r="M689" s="1">
        <f t="shared" si="1556"/>
        <v>0</v>
      </c>
      <c r="N689" s="1">
        <f t="shared" si="1556"/>
        <v>-6.7384197180853825E-2</v>
      </c>
      <c r="O689" s="1">
        <f t="shared" si="1154"/>
        <v>-6.7384197180853825E-2</v>
      </c>
      <c r="P689" s="1">
        <f t="shared" si="1450"/>
        <v>6.7231039770640919E-2</v>
      </c>
      <c r="Q689" s="1">
        <f t="shared" si="1451"/>
        <v>0</v>
      </c>
      <c r="R689" s="1">
        <f t="shared" si="1452"/>
        <v>0.99545936997029183</v>
      </c>
      <c r="S689" s="1">
        <f t="shared" si="1453"/>
        <v>2.1606455517318146</v>
      </c>
      <c r="T689" s="1">
        <f t="shared" ref="T689:V689" si="1557">$S689*P689</f>
        <v>0.14526244701874003</v>
      </c>
      <c r="U689" s="1">
        <f t="shared" si="1557"/>
        <v>0</v>
      </c>
      <c r="V689" s="1">
        <f t="shared" si="1557"/>
        <v>2.1508348596560656</v>
      </c>
      <c r="W689" s="1">
        <f t="shared" si="1455"/>
        <v>-26.517771068706786</v>
      </c>
      <c r="X689" s="1">
        <f t="shared" si="1456"/>
        <v>0</v>
      </c>
      <c r="Y689" s="1">
        <f t="shared" si="1457"/>
        <v>-5.8550550884744412</v>
      </c>
    </row>
    <row r="690" spans="1:25">
      <c r="A690" s="1">
        <v>0.68799999999999994</v>
      </c>
      <c r="B690" s="1">
        <f t="shared" si="1458"/>
        <v>30.849596029593165</v>
      </c>
      <c r="C690" s="1">
        <f t="shared" si="1459"/>
        <v>0</v>
      </c>
      <c r="D690" s="1">
        <f t="shared" si="1460"/>
        <v>-4.8680985333490613E-2</v>
      </c>
      <c r="E690" s="1">
        <f t="shared" si="1461"/>
        <v>25.540348231442401</v>
      </c>
      <c r="F690" s="1">
        <f t="shared" si="1462"/>
        <v>0</v>
      </c>
      <c r="G690" s="1">
        <f t="shared" si="1463"/>
        <v>-1.7325824704693449</v>
      </c>
      <c r="H690" s="1">
        <f t="shared" si="1152"/>
        <v>25.599047439315406</v>
      </c>
      <c r="I690" s="1">
        <f t="shared" si="1446"/>
        <v>-26.608289496503357</v>
      </c>
      <c r="J690" s="1">
        <f t="shared" si="1447"/>
        <v>0</v>
      </c>
      <c r="K690" s="1">
        <f t="shared" si="1448"/>
        <v>1.8050284801544279</v>
      </c>
      <c r="L690" s="1">
        <f t="shared" ref="L690:N690" si="1558">E690/$H690</f>
        <v>0.99770697687044196</v>
      </c>
      <c r="M690" s="1">
        <f t="shared" si="1558"/>
        <v>0</v>
      </c>
      <c r="N690" s="1">
        <f t="shared" si="1558"/>
        <v>-6.7681521141619447E-2</v>
      </c>
      <c r="O690" s="1">
        <f t="shared" si="1154"/>
        <v>-6.7681521141619447E-2</v>
      </c>
      <c r="P690" s="1">
        <f t="shared" si="1450"/>
        <v>6.7526325848198038E-2</v>
      </c>
      <c r="Q690" s="1">
        <f t="shared" si="1451"/>
        <v>0</v>
      </c>
      <c r="R690" s="1">
        <f t="shared" si="1452"/>
        <v>0.99541921169595649</v>
      </c>
      <c r="S690" s="1">
        <f t="shared" si="1453"/>
        <v>2.1562528501418008</v>
      </c>
      <c r="T690" s="1">
        <f t="shared" ref="T690:V690" si="1559">$S690*P690</f>
        <v>0.14560383256978096</v>
      </c>
      <c r="U690" s="1">
        <f t="shared" si="1559"/>
        <v>0</v>
      </c>
      <c r="V690" s="1">
        <f t="shared" si="1559"/>
        <v>2.1463755123053105</v>
      </c>
      <c r="W690" s="1">
        <f t="shared" si="1455"/>
        <v>-26.462685663933577</v>
      </c>
      <c r="X690" s="1">
        <f t="shared" si="1456"/>
        <v>0</v>
      </c>
      <c r="Y690" s="1">
        <f t="shared" si="1457"/>
        <v>-5.855246007540261</v>
      </c>
    </row>
    <row r="691" spans="1:25">
      <c r="A691" s="1">
        <v>0.68899999999999995</v>
      </c>
      <c r="B691" s="1">
        <f t="shared" si="1458"/>
        <v>30.875109915138943</v>
      </c>
      <c r="C691" s="1">
        <f t="shared" si="1459"/>
        <v>0</v>
      </c>
      <c r="D691" s="1">
        <f t="shared" si="1460"/>
        <v>-5.04194230499675E-2</v>
      </c>
      <c r="E691" s="1">
        <f t="shared" si="1461"/>
        <v>25.513885545778468</v>
      </c>
      <c r="F691" s="1">
        <f t="shared" si="1462"/>
        <v>0</v>
      </c>
      <c r="G691" s="1">
        <f t="shared" si="1463"/>
        <v>-1.7384377164768852</v>
      </c>
      <c r="H691" s="1">
        <f t="shared" si="1152"/>
        <v>25.573042864257527</v>
      </c>
      <c r="I691" s="1">
        <f t="shared" si="1446"/>
        <v>-26.553718503955967</v>
      </c>
      <c r="J691" s="1">
        <f t="shared" si="1447"/>
        <v>0</v>
      </c>
      <c r="K691" s="1">
        <f t="shared" si="1448"/>
        <v>1.8092887371921755</v>
      </c>
      <c r="L691" s="1">
        <f t="shared" ref="L691:N691" si="1560">E691/$H691</f>
        <v>0.99768673134467933</v>
      </c>
      <c r="M691" s="1">
        <f t="shared" si="1560"/>
        <v>0</v>
      </c>
      <c r="N691" s="1">
        <f t="shared" si="1560"/>
        <v>-6.79793064010632E-2</v>
      </c>
      <c r="O691" s="1">
        <f t="shared" si="1154"/>
        <v>-6.79793064010632E-2</v>
      </c>
      <c r="P691" s="1">
        <f t="shared" si="1450"/>
        <v>6.7822052002355179E-2</v>
      </c>
      <c r="Q691" s="1">
        <f t="shared" si="1451"/>
        <v>0</v>
      </c>
      <c r="R691" s="1">
        <f t="shared" si="1452"/>
        <v>0.9953788139012304</v>
      </c>
      <c r="S691" s="1">
        <f t="shared" si="1453"/>
        <v>2.1518742529410662</v>
      </c>
      <c r="T691" s="1">
        <f t="shared" ref="T691:V691" si="1561">$S691*P691</f>
        <v>0.14594452748549819</v>
      </c>
      <c r="U691" s="1">
        <f t="shared" si="1561"/>
        <v>0</v>
      </c>
      <c r="V691" s="1">
        <f t="shared" si="1561"/>
        <v>2.1419300415570746</v>
      </c>
      <c r="W691" s="1">
        <f t="shared" si="1455"/>
        <v>-26.40777397647047</v>
      </c>
      <c r="X691" s="1">
        <f t="shared" si="1456"/>
        <v>0</v>
      </c>
      <c r="Y691" s="1">
        <f t="shared" si="1457"/>
        <v>-5.8554312212507496</v>
      </c>
    </row>
    <row r="692" spans="1:25">
      <c r="A692" s="1">
        <v>0.69</v>
      </c>
      <c r="B692" s="1">
        <f t="shared" si="1458"/>
        <v>30.900597392910743</v>
      </c>
      <c r="C692" s="1">
        <f t="shared" si="1459"/>
        <v>0</v>
      </c>
      <c r="D692" s="1">
        <f t="shared" si="1460"/>
        <v>-5.2163716197665633E-2</v>
      </c>
      <c r="E692" s="1">
        <f t="shared" si="1461"/>
        <v>25.487477771801998</v>
      </c>
      <c r="F692" s="1">
        <f t="shared" si="1462"/>
        <v>0</v>
      </c>
      <c r="G692" s="1">
        <f t="shared" si="1463"/>
        <v>-1.7442931476981358</v>
      </c>
      <c r="H692" s="1">
        <f t="shared" si="1152"/>
        <v>25.547095368225477</v>
      </c>
      <c r="I692" s="1">
        <f t="shared" si="1446"/>
        <v>-26.499319821350742</v>
      </c>
      <c r="J692" s="1">
        <f t="shared" si="1447"/>
        <v>0</v>
      </c>
      <c r="K692" s="1">
        <f t="shared" si="1448"/>
        <v>1.8135408453080326</v>
      </c>
      <c r="L692" s="1">
        <f t="shared" ref="L692:N692" si="1562">E692/$H692</f>
        <v>0.99766636497949468</v>
      </c>
      <c r="M692" s="1">
        <f t="shared" si="1562"/>
        <v>0</v>
      </c>
      <c r="N692" s="1">
        <f t="shared" si="1562"/>
        <v>-6.8277552596747351E-2</v>
      </c>
      <c r="O692" s="1">
        <f t="shared" si="1154"/>
        <v>-6.8277552596747351E-2</v>
      </c>
      <c r="P692" s="1">
        <f t="shared" si="1450"/>
        <v>6.8118217708893189E-2</v>
      </c>
      <c r="Q692" s="1">
        <f t="shared" si="1451"/>
        <v>0</v>
      </c>
      <c r="R692" s="1">
        <f t="shared" si="1452"/>
        <v>0.99533817581139838</v>
      </c>
      <c r="S692" s="1">
        <f t="shared" si="1453"/>
        <v>2.1475097021698333</v>
      </c>
      <c r="T692" s="1">
        <f t="shared" ref="T692:V692" si="1563">$S692*P692</f>
        <v>0.14628453342436507</v>
      </c>
      <c r="U692" s="1">
        <f t="shared" si="1563"/>
        <v>0</v>
      </c>
      <c r="V692" s="1">
        <f t="shared" si="1563"/>
        <v>2.1374983894950015</v>
      </c>
      <c r="W692" s="1">
        <f t="shared" si="1455"/>
        <v>-26.353035287926378</v>
      </c>
      <c r="X692" s="1">
        <f t="shared" si="1456"/>
        <v>0</v>
      </c>
      <c r="Y692" s="1">
        <f t="shared" si="1457"/>
        <v>-5.8556107651969658</v>
      </c>
    </row>
    <row r="693" spans="1:25">
      <c r="A693" s="1">
        <v>0.69099999999999995</v>
      </c>
      <c r="B693" s="1">
        <f t="shared" si="1458"/>
        <v>30.926058517647256</v>
      </c>
      <c r="C693" s="1">
        <f t="shared" si="1459"/>
        <v>0</v>
      </c>
      <c r="D693" s="1">
        <f t="shared" si="1460"/>
        <v>-5.3913864956128967E-2</v>
      </c>
      <c r="E693" s="1">
        <f t="shared" si="1461"/>
        <v>25.461124736514073</v>
      </c>
      <c r="F693" s="1">
        <f t="shared" si="1462"/>
        <v>0</v>
      </c>
      <c r="G693" s="1">
        <f t="shared" si="1463"/>
        <v>-1.7501487584633328</v>
      </c>
      <c r="H693" s="1">
        <f t="shared" si="1152"/>
        <v>25.521204782005874</v>
      </c>
      <c r="I693" s="1">
        <f t="shared" si="1446"/>
        <v>-26.445092735671548</v>
      </c>
      <c r="J693" s="1">
        <f t="shared" si="1447"/>
        <v>0</v>
      </c>
      <c r="K693" s="1">
        <f t="shared" si="1448"/>
        <v>1.8177848267798056</v>
      </c>
      <c r="L693" s="1">
        <f t="shared" ref="L693:N693" si="1564">E693/$H693</f>
        <v>0.9976458773790271</v>
      </c>
      <c r="M693" s="1">
        <f t="shared" si="1564"/>
        <v>0</v>
      </c>
      <c r="N693" s="1">
        <f t="shared" si="1564"/>
        <v>-6.8576259365988185E-2</v>
      </c>
      <c r="O693" s="1">
        <f t="shared" si="1154"/>
        <v>-6.8576259365988185E-2</v>
      </c>
      <c r="P693" s="1">
        <f t="shared" si="1450"/>
        <v>6.8414822442553008E-2</v>
      </c>
      <c r="Q693" s="1">
        <f t="shared" si="1451"/>
        <v>0</v>
      </c>
      <c r="R693" s="1">
        <f t="shared" si="1452"/>
        <v>0.99529729665136868</v>
      </c>
      <c r="S693" s="1">
        <f t="shared" si="1453"/>
        <v>2.1431591401686387</v>
      </c>
      <c r="T693" s="1">
        <f t="shared" ref="T693:V693" si="1565">$S693*P693</f>
        <v>0.146623852040772</v>
      </c>
      <c r="U693" s="1">
        <f t="shared" si="1565"/>
        <v>0</v>
      </c>
      <c r="V693" s="1">
        <f t="shared" si="1565"/>
        <v>2.1330804985035177</v>
      </c>
      <c r="W693" s="1">
        <f t="shared" si="1455"/>
        <v>-26.298468883630775</v>
      </c>
      <c r="X693" s="1">
        <f t="shared" si="1456"/>
        <v>0</v>
      </c>
      <c r="Y693" s="1">
        <f t="shared" si="1457"/>
        <v>-5.8557846747166762</v>
      </c>
    </row>
    <row r="694" spans="1:25">
      <c r="A694" s="1">
        <v>0.69199999999999995</v>
      </c>
      <c r="B694" s="1">
        <f t="shared" si="1458"/>
        <v>30.951493343914887</v>
      </c>
      <c r="C694" s="1">
        <f t="shared" si="1459"/>
        <v>0</v>
      </c>
      <c r="D694" s="1">
        <f t="shared" si="1460"/>
        <v>-5.5669869499267013E-2</v>
      </c>
      <c r="E694" s="1">
        <f t="shared" si="1461"/>
        <v>25.434826267630442</v>
      </c>
      <c r="F694" s="1">
        <f t="shared" si="1462"/>
        <v>0</v>
      </c>
      <c r="G694" s="1">
        <f t="shared" si="1463"/>
        <v>-1.7560045431380495</v>
      </c>
      <c r="H694" s="1">
        <f t="shared" si="1152"/>
        <v>25.495370937094933</v>
      </c>
      <c r="I694" s="1">
        <f t="shared" si="1446"/>
        <v>-26.391036537595614</v>
      </c>
      <c r="J694" s="1">
        <f t="shared" si="1447"/>
        <v>0</v>
      </c>
      <c r="K694" s="1">
        <f t="shared" si="1448"/>
        <v>1.8220207038377991</v>
      </c>
      <c r="L694" s="1">
        <f t="shared" ref="L694:N694" si="1566">E694/$H694</f>
        <v>0.99762526814715213</v>
      </c>
      <c r="M694" s="1">
        <f t="shared" si="1566"/>
        <v>0</v>
      </c>
      <c r="N694" s="1">
        <f t="shared" si="1566"/>
        <v>-6.8875426345851684E-2</v>
      </c>
      <c r="O694" s="1">
        <f t="shared" si="1154"/>
        <v>-6.8875426345851684E-2</v>
      </c>
      <c r="P694" s="1">
        <f t="shared" si="1450"/>
        <v>6.8711865677029707E-2</v>
      </c>
      <c r="Q694" s="1">
        <f t="shared" si="1451"/>
        <v>0</v>
      </c>
      <c r="R694" s="1">
        <f t="shared" si="1452"/>
        <v>0.99525617564567714</v>
      </c>
      <c r="S694" s="1">
        <f t="shared" si="1453"/>
        <v>2.1388225095764692</v>
      </c>
      <c r="T694" s="1">
        <f t="shared" ref="T694:V694" si="1567">$S694*P694</f>
        <v>0.14696248498502593</v>
      </c>
      <c r="U694" s="1">
        <f t="shared" si="1567"/>
        <v>0</v>
      </c>
      <c r="V694" s="1">
        <f t="shared" si="1567"/>
        <v>2.1286763112659663</v>
      </c>
      <c r="W694" s="1">
        <f t="shared" si="1455"/>
        <v>-26.244074052610589</v>
      </c>
      <c r="X694" s="1">
        <f t="shared" si="1456"/>
        <v>0</v>
      </c>
      <c r="Y694" s="1">
        <f t="shared" si="1457"/>
        <v>-5.8559529848962342</v>
      </c>
    </row>
    <row r="695" spans="1:25">
      <c r="A695" s="1">
        <v>0.69299999999999995</v>
      </c>
      <c r="B695" s="1">
        <f t="shared" si="1458"/>
        <v>30.976901926108464</v>
      </c>
      <c r="C695" s="1">
        <f t="shared" si="1459"/>
        <v>0</v>
      </c>
      <c r="D695" s="1">
        <f t="shared" si="1460"/>
        <v>-5.7431729995389959E-2</v>
      </c>
      <c r="E695" s="1">
        <f t="shared" si="1461"/>
        <v>25.408582193577832</v>
      </c>
      <c r="F695" s="1">
        <f t="shared" si="1462"/>
        <v>0</v>
      </c>
      <c r="G695" s="1">
        <f t="shared" si="1463"/>
        <v>-1.7618604961229458</v>
      </c>
      <c r="H695" s="1">
        <f t="shared" si="1152"/>
        <v>25.469593665694767</v>
      </c>
      <c r="I695" s="1">
        <f t="shared" si="1446"/>
        <v>-26.337150521470576</v>
      </c>
      <c r="J695" s="1">
        <f t="shared" si="1447"/>
        <v>0</v>
      </c>
      <c r="K695" s="1">
        <f t="shared" si="1448"/>
        <v>1.8262484986648064</v>
      </c>
      <c r="L695" s="1">
        <f t="shared" ref="L695:N695" si="1568">E695/$H695</f>
        <v>0.99760453688748429</v>
      </c>
      <c r="M695" s="1">
        <f t="shared" si="1568"/>
        <v>0</v>
      </c>
      <c r="N695" s="1">
        <f t="shared" si="1568"/>
        <v>-6.9175053173149453E-2</v>
      </c>
      <c r="O695" s="1">
        <f t="shared" si="1154"/>
        <v>-6.9175053173149453E-2</v>
      </c>
      <c r="P695" s="1">
        <f t="shared" si="1450"/>
        <v>6.9009346884966863E-2</v>
      </c>
      <c r="Q695" s="1">
        <f t="shared" si="1451"/>
        <v>0</v>
      </c>
      <c r="R695" s="1">
        <f t="shared" si="1452"/>
        <v>0.99521481201849193</v>
      </c>
      <c r="S695" s="1">
        <f t="shared" si="1453"/>
        <v>2.134499753328905</v>
      </c>
      <c r="T695" s="1">
        <f t="shared" ref="T695:V695" si="1569">$S695*P695</f>
        <v>0.1473004339033506</v>
      </c>
      <c r="U695" s="1">
        <f t="shared" si="1569"/>
        <v>0</v>
      </c>
      <c r="V695" s="1">
        <f t="shared" si="1569"/>
        <v>2.1242857707627434</v>
      </c>
      <c r="W695" s="1">
        <f t="shared" si="1455"/>
        <v>-26.189850087567226</v>
      </c>
      <c r="X695" s="1">
        <f t="shared" si="1456"/>
        <v>0</v>
      </c>
      <c r="Y695" s="1">
        <f t="shared" si="1457"/>
        <v>-5.8561157305724496</v>
      </c>
    </row>
    <row r="696" spans="1:25">
      <c r="A696" s="1">
        <v>0.69399999999999995</v>
      </c>
      <c r="B696" s="1">
        <f t="shared" si="1458"/>
        <v>31.002284318451956</v>
      </c>
      <c r="C696" s="1">
        <f t="shared" si="1459"/>
        <v>0</v>
      </c>
      <c r="D696" s="1">
        <f t="shared" si="1460"/>
        <v>-5.9199446607243481E-2</v>
      </c>
      <c r="E696" s="1">
        <f t="shared" si="1461"/>
        <v>25.382392343490263</v>
      </c>
      <c r="F696" s="1">
        <f t="shared" si="1462"/>
        <v>0</v>
      </c>
      <c r="G696" s="1">
        <f t="shared" si="1463"/>
        <v>-1.7677166118535184</v>
      </c>
      <c r="H696" s="1">
        <f t="shared" si="1152"/>
        <v>25.443872800709723</v>
      </c>
      <c r="I696" s="1">
        <f t="shared" si="1446"/>
        <v>-26.283433985291676</v>
      </c>
      <c r="J696" s="1">
        <f t="shared" si="1447"/>
        <v>0</v>
      </c>
      <c r="K696" s="1">
        <f t="shared" si="1448"/>
        <v>1.830468233396104</v>
      </c>
      <c r="L696" s="1">
        <f t="shared" ref="L696:N696" si="1570">E696/$H696</f>
        <v>0.99758368320337831</v>
      </c>
      <c r="M696" s="1">
        <f t="shared" si="1570"/>
        <v>0</v>
      </c>
      <c r="N696" s="1">
        <f t="shared" si="1570"/>
        <v>-6.9475139484434553E-2</v>
      </c>
      <c r="O696" s="1">
        <f t="shared" si="1154"/>
        <v>-6.9475139484434553E-2</v>
      </c>
      <c r="P696" s="1">
        <f t="shared" si="1450"/>
        <v>6.9307265537950677E-2</v>
      </c>
      <c r="Q696" s="1">
        <f t="shared" si="1451"/>
        <v>0</v>
      </c>
      <c r="R696" s="1">
        <f t="shared" si="1452"/>
        <v>0.99517320499361839</v>
      </c>
      <c r="S696" s="1">
        <f t="shared" si="1453"/>
        <v>2.13019081465628</v>
      </c>
      <c r="T696" s="1">
        <f t="shared" ref="T696:V696" si="1571">$S696*P696</f>
        <v>0.14763770043788627</v>
      </c>
      <c r="U696" s="1">
        <f t="shared" si="1571"/>
        <v>0</v>
      </c>
      <c r="V696" s="1">
        <f t="shared" si="1571"/>
        <v>2.1199088202694569</v>
      </c>
      <c r="W696" s="1">
        <f t="shared" si="1455"/>
        <v>-26.135796284853789</v>
      </c>
      <c r="X696" s="1">
        <f t="shared" si="1456"/>
        <v>0</v>
      </c>
      <c r="Y696" s="1">
        <f t="shared" si="1457"/>
        <v>-5.856272946334439</v>
      </c>
    </row>
    <row r="697" spans="1:25">
      <c r="A697" s="1">
        <v>0.69499999999999995</v>
      </c>
      <c r="B697" s="1">
        <f t="shared" si="1458"/>
        <v>31.027640574999161</v>
      </c>
      <c r="C697" s="1">
        <f t="shared" si="1459"/>
        <v>0</v>
      </c>
      <c r="D697" s="1">
        <f t="shared" si="1460"/>
        <v>-6.0973019492043333E-2</v>
      </c>
      <c r="E697" s="1">
        <f t="shared" si="1461"/>
        <v>25.356256547205408</v>
      </c>
      <c r="F697" s="1">
        <f t="shared" si="1462"/>
        <v>0</v>
      </c>
      <c r="G697" s="1">
        <f t="shared" si="1463"/>
        <v>-1.7735728847998529</v>
      </c>
      <c r="H697" s="1">
        <f t="shared" si="1152"/>
        <v>25.418208175742727</v>
      </c>
      <c r="I697" s="1">
        <f t="shared" si="1446"/>
        <v>-26.22988623067917</v>
      </c>
      <c r="J697" s="1">
        <f t="shared" si="1447"/>
        <v>0</v>
      </c>
      <c r="K697" s="1">
        <f t="shared" si="1448"/>
        <v>1.8346799301194472</v>
      </c>
      <c r="L697" s="1">
        <f t="shared" ref="L697:N697" si="1572">E697/$H697</f>
        <v>0.99756270669793157</v>
      </c>
      <c r="M697" s="1">
        <f t="shared" si="1572"/>
        <v>0</v>
      </c>
      <c r="N697" s="1">
        <f t="shared" si="1572"/>
        <v>-6.9775684915997366E-2</v>
      </c>
      <c r="O697" s="1">
        <f t="shared" si="1154"/>
        <v>-6.9775684915997366E-2</v>
      </c>
      <c r="P697" s="1">
        <f t="shared" si="1450"/>
        <v>6.9605621106504367E-2</v>
      </c>
      <c r="Q697" s="1">
        <f t="shared" si="1451"/>
        <v>0</v>
      </c>
      <c r="R697" s="1">
        <f t="shared" si="1452"/>
        <v>0.99513135379450346</v>
      </c>
      <c r="S697" s="1">
        <f t="shared" si="1453"/>
        <v>2.1258956370818547</v>
      </c>
      <c r="T697" s="1">
        <f t="shared" ref="T697:V697" si="1573">$S697*P697</f>
        <v>0.14797428622669029</v>
      </c>
      <c r="U697" s="1">
        <f t="shared" si="1573"/>
        <v>0</v>
      </c>
      <c r="V697" s="1">
        <f t="shared" si="1573"/>
        <v>2.1155454033550947</v>
      </c>
      <c r="W697" s="1">
        <f t="shared" si="1455"/>
        <v>-26.081911944452479</v>
      </c>
      <c r="X697" s="1">
        <f t="shared" si="1456"/>
        <v>0</v>
      </c>
      <c r="Y697" s="1">
        <f t="shared" si="1457"/>
        <v>-5.8564246665254576</v>
      </c>
    </row>
    <row r="698" spans="1:25">
      <c r="A698" s="1">
        <v>0.69599999999999995</v>
      </c>
      <c r="B698" s="1">
        <f t="shared" si="1458"/>
        <v>31.052970749634422</v>
      </c>
      <c r="C698" s="1">
        <f t="shared" si="1459"/>
        <v>0</v>
      </c>
      <c r="D698" s="1">
        <f t="shared" si="1460"/>
        <v>-6.2752448801509708E-2</v>
      </c>
      <c r="E698" s="1">
        <f t="shared" si="1461"/>
        <v>25.330174635260956</v>
      </c>
      <c r="F698" s="1">
        <f t="shared" si="1462"/>
        <v>0</v>
      </c>
      <c r="G698" s="1">
        <f t="shared" si="1463"/>
        <v>-1.7794293094663782</v>
      </c>
      <c r="H698" s="1">
        <f t="shared" si="1152"/>
        <v>25.39259962509167</v>
      </c>
      <c r="I698" s="1">
        <f t="shared" si="1446"/>
        <v>-26.176506562855838</v>
      </c>
      <c r="J698" s="1">
        <f t="shared" si="1447"/>
        <v>0</v>
      </c>
      <c r="K698" s="1">
        <f t="shared" si="1448"/>
        <v>1.8388836108750661</v>
      </c>
      <c r="L698" s="1">
        <f t="shared" ref="L698:N698" si="1574">E698/$H698</f>
        <v>0.99754160697398508</v>
      </c>
      <c r="M698" s="1">
        <f t="shared" si="1574"/>
        <v>0</v>
      </c>
      <c r="N698" s="1">
        <f t="shared" si="1574"/>
        <v>-7.0076689103861473E-2</v>
      </c>
      <c r="O698" s="1">
        <f t="shared" si="1154"/>
        <v>-7.0076689103861473E-2</v>
      </c>
      <c r="P698" s="1">
        <f t="shared" si="1450"/>
        <v>6.9904413060082327E-2</v>
      </c>
      <c r="Q698" s="1">
        <f t="shared" si="1451"/>
        <v>0</v>
      </c>
      <c r="R698" s="1">
        <f t="shared" si="1452"/>
        <v>0.99508925764424072</v>
      </c>
      <c r="S698" s="1">
        <f t="shared" si="1453"/>
        <v>2.1216141644200062</v>
      </c>
      <c r="T698" s="1">
        <f t="shared" ref="T698:V698" si="1575">$S698*P698</f>
        <v>0.14831019290373754</v>
      </c>
      <c r="U698" s="1">
        <f t="shared" si="1575"/>
        <v>0</v>
      </c>
      <c r="V698" s="1">
        <f t="shared" si="1575"/>
        <v>2.1111954638802102</v>
      </c>
      <c r="W698" s="1">
        <f t="shared" si="1455"/>
        <v>-26.028196369952102</v>
      </c>
      <c r="X698" s="1">
        <f t="shared" si="1456"/>
        <v>0</v>
      </c>
      <c r="Y698" s="1">
        <f t="shared" si="1457"/>
        <v>-5.8565709252447231</v>
      </c>
    </row>
    <row r="699" spans="1:25">
      <c r="A699" s="1">
        <v>0.69699999999999995</v>
      </c>
      <c r="B699" s="1">
        <f t="shared" si="1458"/>
        <v>31.078274896073314</v>
      </c>
      <c r="C699" s="1">
        <f t="shared" si="1459"/>
        <v>0</v>
      </c>
      <c r="D699" s="1">
        <f t="shared" si="1460"/>
        <v>-6.4537734681901326E-2</v>
      </c>
      <c r="E699" s="1">
        <f t="shared" si="1461"/>
        <v>25.304146438891003</v>
      </c>
      <c r="F699" s="1">
        <f t="shared" si="1462"/>
        <v>0</v>
      </c>
      <c r="G699" s="1">
        <f t="shared" si="1463"/>
        <v>-1.7852858803916229</v>
      </c>
      <c r="H699" s="1">
        <f t="shared" si="1152"/>
        <v>25.36704698374578</v>
      </c>
      <c r="I699" s="1">
        <f t="shared" si="1446"/>
        <v>-26.123294290624674</v>
      </c>
      <c r="J699" s="1">
        <f t="shared" si="1447"/>
        <v>0</v>
      </c>
      <c r="K699" s="1">
        <f t="shared" si="1448"/>
        <v>1.8430792976556651</v>
      </c>
      <c r="L699" s="1">
        <f t="shared" ref="L699:N699" si="1576">E699/$H699</f>
        <v>0.99752038363412654</v>
      </c>
      <c r="M699" s="1">
        <f t="shared" si="1576"/>
        <v>0</v>
      </c>
      <c r="N699" s="1">
        <f t="shared" si="1576"/>
        <v>-7.0378151683779547E-2</v>
      </c>
      <c r="O699" s="1">
        <f t="shared" si="1154"/>
        <v>-7.0378151683779547E-2</v>
      </c>
      <c r="P699" s="1">
        <f t="shared" si="1450"/>
        <v>7.0203640867064529E-2</v>
      </c>
      <c r="Q699" s="1">
        <f t="shared" si="1451"/>
        <v>0</v>
      </c>
      <c r="R699" s="1">
        <f t="shared" si="1452"/>
        <v>0.99504691576557491</v>
      </c>
      <c r="S699" s="1">
        <f t="shared" si="1453"/>
        <v>2.1173463407744184</v>
      </c>
      <c r="T699" s="1">
        <f t="shared" ref="T699:V699" si="1577">$S699*P699</f>
        <v>0.14864542209892051</v>
      </c>
      <c r="U699" s="1">
        <f t="shared" si="1577"/>
        <v>0</v>
      </c>
      <c r="V699" s="1">
        <f t="shared" si="1577"/>
        <v>2.106858945995111</v>
      </c>
      <c r="W699" s="1">
        <f t="shared" si="1455"/>
        <v>-25.974648868525755</v>
      </c>
      <c r="X699" s="1">
        <f t="shared" si="1456"/>
        <v>0</v>
      </c>
      <c r="Y699" s="1">
        <f t="shared" si="1457"/>
        <v>-5.856711756349223</v>
      </c>
    </row>
    <row r="700" spans="1:25">
      <c r="A700" s="1">
        <v>0.69799999999999995</v>
      </c>
      <c r="B700" s="1">
        <f t="shared" si="1458"/>
        <v>31.103553067863338</v>
      </c>
      <c r="C700" s="1">
        <f t="shared" si="1459"/>
        <v>0</v>
      </c>
      <c r="D700" s="1">
        <f t="shared" si="1460"/>
        <v>-6.6328877274049305E-2</v>
      </c>
      <c r="E700" s="1">
        <f t="shared" si="1461"/>
        <v>25.278171790022476</v>
      </c>
      <c r="F700" s="1">
        <f t="shared" si="1462"/>
        <v>0</v>
      </c>
      <c r="G700" s="1">
        <f t="shared" si="1463"/>
        <v>-1.7911425921479722</v>
      </c>
      <c r="H700" s="1">
        <f t="shared" si="1152"/>
        <v>25.341550087382082</v>
      </c>
      <c r="I700" s="1">
        <f t="shared" si="1446"/>
        <v>-26.070248726346804</v>
      </c>
      <c r="J700" s="1">
        <f t="shared" si="1447"/>
        <v>0</v>
      </c>
      <c r="K700" s="1">
        <f t="shared" si="1448"/>
        <v>1.8472670124064248</v>
      </c>
      <c r="L700" s="1">
        <f t="shared" ref="L700:N700" si="1578">E700/$H700</f>
        <v>0.99749903628069059</v>
      </c>
      <c r="M700" s="1">
        <f t="shared" si="1578"/>
        <v>0</v>
      </c>
      <c r="N700" s="1">
        <f t="shared" si="1578"/>
        <v>-7.0680072291229246E-2</v>
      </c>
      <c r="O700" s="1">
        <f t="shared" si="1154"/>
        <v>-7.0680072291229246E-2</v>
      </c>
      <c r="P700" s="1">
        <f t="shared" si="1450"/>
        <v>7.0503303994750716E-2</v>
      </c>
      <c r="Q700" s="1">
        <f t="shared" si="1451"/>
        <v>0</v>
      </c>
      <c r="R700" s="1">
        <f t="shared" si="1452"/>
        <v>0.99500432738090661</v>
      </c>
      <c r="S700" s="1">
        <f t="shared" si="1453"/>
        <v>2.113092110536305</v>
      </c>
      <c r="T700" s="1">
        <f t="shared" ref="T700:V700" si="1579">$S700*P700</f>
        <v>0.1489799754380505</v>
      </c>
      <c r="U700" s="1">
        <f t="shared" si="1579"/>
        <v>0</v>
      </c>
      <c r="V700" s="1">
        <f t="shared" si="1579"/>
        <v>2.1025357941380767</v>
      </c>
      <c r="W700" s="1">
        <f t="shared" si="1455"/>
        <v>-25.921268750908755</v>
      </c>
      <c r="X700" s="1">
        <f t="shared" si="1456"/>
        <v>0</v>
      </c>
      <c r="Y700" s="1">
        <f t="shared" si="1457"/>
        <v>-5.856847193455498</v>
      </c>
    </row>
    <row r="701" spans="1:25">
      <c r="A701" s="1">
        <v>0.69899999999999995</v>
      </c>
      <c r="B701" s="1">
        <f t="shared" si="1458"/>
        <v>31.128805318384611</v>
      </c>
      <c r="C701" s="1">
        <f t="shared" si="1459"/>
        <v>0</v>
      </c>
      <c r="D701" s="1">
        <f t="shared" si="1460"/>
        <v>-6.8125876713390737E-2</v>
      </c>
      <c r="E701" s="1">
        <f t="shared" si="1461"/>
        <v>25.252250521271566</v>
      </c>
      <c r="F701" s="1">
        <f t="shared" si="1462"/>
        <v>0</v>
      </c>
      <c r="G701" s="1">
        <f t="shared" si="1463"/>
        <v>-1.7969994393414277</v>
      </c>
      <c r="H701" s="1">
        <f t="shared" si="1152"/>
        <v>25.31610877236179</v>
      </c>
      <c r="I701" s="1">
        <f t="shared" si="1446"/>
        <v>-26.017369185919456</v>
      </c>
      <c r="J701" s="1">
        <f t="shared" si="1447"/>
        <v>0</v>
      </c>
      <c r="K701" s="1">
        <f t="shared" si="1448"/>
        <v>1.8514467770250032</v>
      </c>
      <c r="L701" s="1">
        <f t="shared" ref="L701:N701" si="1580">E701/$H701</f>
        <v>0.99747756451576242</v>
      </c>
      <c r="M701" s="1">
        <f t="shared" si="1580"/>
        <v>0</v>
      </c>
      <c r="N701" s="1">
        <f t="shared" si="1580"/>
        <v>-7.0982450561409172E-2</v>
      </c>
      <c r="O701" s="1">
        <f t="shared" si="1154"/>
        <v>-7.0982450561409172E-2</v>
      </c>
      <c r="P701" s="1">
        <f t="shared" si="1450"/>
        <v>7.0803401909354927E-2</v>
      </c>
      <c r="Q701" s="1">
        <f t="shared" si="1451"/>
        <v>0</v>
      </c>
      <c r="R701" s="1">
        <f t="shared" si="1452"/>
        <v>0.99496149171229709</v>
      </c>
      <c r="S701" s="1">
        <f t="shared" si="1453"/>
        <v>2.1088514183826268</v>
      </c>
      <c r="T701" s="1">
        <f t="shared" ref="T701:V701" si="1581">$S701*P701</f>
        <v>0.14931385454285831</v>
      </c>
      <c r="U701" s="1">
        <f t="shared" si="1581"/>
        <v>0</v>
      </c>
      <c r="V701" s="1">
        <f t="shared" si="1581"/>
        <v>2.0982259530335718</v>
      </c>
      <c r="W701" s="1">
        <f t="shared" si="1455"/>
        <v>-25.868055331376599</v>
      </c>
      <c r="X701" s="1">
        <f t="shared" si="1456"/>
        <v>0</v>
      </c>
      <c r="Y701" s="1">
        <f t="shared" si="1457"/>
        <v>-5.8569772699414244</v>
      </c>
    </row>
    <row r="702" spans="1:25">
      <c r="A702" s="1">
        <v>0.7</v>
      </c>
      <c r="B702" s="1">
        <f t="shared" si="1458"/>
        <v>31.154031700850553</v>
      </c>
      <c r="C702" s="1">
        <f t="shared" si="1459"/>
        <v>0</v>
      </c>
      <c r="D702" s="1">
        <f t="shared" si="1460"/>
        <v>-6.9928733130002113E-2</v>
      </c>
      <c r="E702" s="1">
        <f t="shared" si="1461"/>
        <v>25.226382465940191</v>
      </c>
      <c r="F702" s="1">
        <f t="shared" si="1462"/>
        <v>0</v>
      </c>
      <c r="G702" s="1">
        <f t="shared" si="1463"/>
        <v>-1.8028564166113692</v>
      </c>
      <c r="H702" s="1">
        <f t="shared" si="1152"/>
        <v>25.290722875726811</v>
      </c>
      <c r="I702" s="1">
        <f t="shared" si="1446"/>
        <v>-25.964654988754148</v>
      </c>
      <c r="J702" s="1">
        <f t="shared" si="1447"/>
        <v>0</v>
      </c>
      <c r="K702" s="1">
        <f t="shared" si="1448"/>
        <v>1.8556186133615407</v>
      </c>
      <c r="L702" s="1">
        <f t="shared" ref="L702:N702" si="1582">E702/$H702</f>
        <v>0.99745596794117841</v>
      </c>
      <c r="M702" s="1">
        <f t="shared" si="1582"/>
        <v>0</v>
      </c>
      <c r="N702" s="1">
        <f t="shared" si="1582"/>
        <v>-7.1285286129234779E-2</v>
      </c>
      <c r="O702" s="1">
        <f t="shared" si="1154"/>
        <v>-7.1285286129234779E-2</v>
      </c>
      <c r="P702" s="1">
        <f t="shared" si="1450"/>
        <v>7.1103934075999742E-2</v>
      </c>
      <c r="Q702" s="1">
        <f t="shared" si="1451"/>
        <v>0</v>
      </c>
      <c r="R702" s="1">
        <f t="shared" si="1452"/>
        <v>0.99491840798147313</v>
      </c>
      <c r="S702" s="1">
        <f t="shared" si="1453"/>
        <v>2.104624209274331</v>
      </c>
      <c r="T702" s="1">
        <f t="shared" ref="T702:V702" si="1583">$S702*P702</f>
        <v>0.14964706103099512</v>
      </c>
      <c r="U702" s="1">
        <f t="shared" si="1583"/>
        <v>0</v>
      </c>
      <c r="V702" s="1">
        <f t="shared" si="1583"/>
        <v>2.093929367690484</v>
      </c>
      <c r="W702" s="1">
        <f t="shared" si="1455"/>
        <v>-25.815007927723155</v>
      </c>
      <c r="X702" s="1">
        <f t="shared" si="1456"/>
        <v>0</v>
      </c>
      <c r="Y702" s="1">
        <f t="shared" si="1457"/>
        <v>-5.857102018947975</v>
      </c>
    </row>
    <row r="703" spans="1:25">
      <c r="A703" s="1">
        <v>0.70099999999999996</v>
      </c>
      <c r="B703" s="1">
        <f t="shared" si="1458"/>
        <v>31.179232268308564</v>
      </c>
      <c r="C703" s="1">
        <f t="shared" si="1459"/>
        <v>0</v>
      </c>
      <c r="D703" s="1">
        <f t="shared" si="1460"/>
        <v>-7.1737446648632436E-2</v>
      </c>
      <c r="E703" s="1">
        <f t="shared" si="1461"/>
        <v>25.200567458012468</v>
      </c>
      <c r="F703" s="1">
        <f t="shared" si="1462"/>
        <v>0</v>
      </c>
      <c r="G703" s="1">
        <f t="shared" si="1463"/>
        <v>-1.8087135186303172</v>
      </c>
      <c r="H703" s="1">
        <f t="shared" si="1152"/>
        <v>25.265392235196213</v>
      </c>
      <c r="I703" s="1">
        <f t="shared" si="1446"/>
        <v>-25.912105457755064</v>
      </c>
      <c r="J703" s="1">
        <f t="shared" si="1447"/>
        <v>0</v>
      </c>
      <c r="K703" s="1">
        <f t="shared" si="1448"/>
        <v>1.859782543218667</v>
      </c>
      <c r="L703" s="1">
        <f t="shared" ref="L703:N703" si="1584">E703/$H703</f>
        <v>0.99743424615852827</v>
      </c>
      <c r="M703" s="1">
        <f t="shared" si="1584"/>
        <v>0</v>
      </c>
      <c r="N703" s="1">
        <f t="shared" si="1584"/>
        <v>-7.1588578629334335E-2</v>
      </c>
      <c r="O703" s="1">
        <f t="shared" si="1154"/>
        <v>-7.1588578629334335E-2</v>
      </c>
      <c r="P703" s="1">
        <f t="shared" si="1450"/>
        <v>7.1404899958710619E-2</v>
      </c>
      <c r="Q703" s="1">
        <f t="shared" si="1451"/>
        <v>0</v>
      </c>
      <c r="R703" s="1">
        <f t="shared" si="1452"/>
        <v>0.99487507540983167</v>
      </c>
      <c r="S703" s="1">
        <f t="shared" si="1453"/>
        <v>2.1004104284546075</v>
      </c>
      <c r="T703" s="1">
        <f t="shared" ref="T703:V703" si="1585">$S703*P703</f>
        <v>0.14997959651603376</v>
      </c>
      <c r="U703" s="1">
        <f t="shared" si="1585"/>
        <v>0</v>
      </c>
      <c r="V703" s="1">
        <f t="shared" si="1585"/>
        <v>2.0896459834003744</v>
      </c>
      <c r="W703" s="1">
        <f t="shared" si="1455"/>
        <v>-25.762125861239031</v>
      </c>
      <c r="X703" s="1">
        <f t="shared" si="1456"/>
        <v>0</v>
      </c>
      <c r="Y703" s="1">
        <f t="shared" si="1457"/>
        <v>-5.8572214733809584</v>
      </c>
    </row>
    <row r="704" spans="1:25">
      <c r="A704" s="1">
        <v>0.70199999999999996</v>
      </c>
      <c r="B704" s="1">
        <f t="shared" si="1458"/>
        <v>31.204407073640716</v>
      </c>
      <c r="C704" s="1">
        <f t="shared" si="1459"/>
        <v>0</v>
      </c>
      <c r="D704" s="1">
        <f t="shared" si="1460"/>
        <v>-7.3552017388736138E-2</v>
      </c>
      <c r="E704" s="1">
        <f t="shared" si="1461"/>
        <v>25.17480533215123</v>
      </c>
      <c r="F704" s="1">
        <f t="shared" si="1462"/>
        <v>0</v>
      </c>
      <c r="G704" s="1">
        <f t="shared" si="1463"/>
        <v>-1.8145707401036981</v>
      </c>
      <c r="H704" s="1">
        <f t="shared" si="1152"/>
        <v>25.240116689162722</v>
      </c>
      <c r="I704" s="1">
        <f t="shared" si="1446"/>
        <v>-25.859719919297483</v>
      </c>
      <c r="J704" s="1">
        <f t="shared" si="1447"/>
        <v>0</v>
      </c>
      <c r="K704" s="1">
        <f t="shared" si="1448"/>
        <v>1.8639385883515078</v>
      </c>
      <c r="L704" s="1">
        <f t="shared" ref="L704:N704" si="1586">E704/$H704</f>
        <v>0.99741239876915722</v>
      </c>
      <c r="M704" s="1">
        <f t="shared" si="1586"/>
        <v>0</v>
      </c>
      <c r="N704" s="1">
        <f t="shared" si="1586"/>
        <v>-7.1892327696044894E-2</v>
      </c>
      <c r="O704" s="1">
        <f t="shared" si="1154"/>
        <v>-7.1892327696044894E-2</v>
      </c>
      <c r="P704" s="1">
        <f t="shared" si="1450"/>
        <v>7.1706299020410452E-2</v>
      </c>
      <c r="Q704" s="1">
        <f t="shared" si="1451"/>
        <v>0</v>
      </c>
      <c r="R704" s="1">
        <f t="shared" si="1452"/>
        <v>0.99483149321844455</v>
      </c>
      <c r="S704" s="1">
        <f t="shared" si="1453"/>
        <v>2.0962100214471429</v>
      </c>
      <c r="T704" s="1">
        <f t="shared" ref="T704:V704" si="1587">$S704*P704</f>
        <v>0.15031146260746983</v>
      </c>
      <c r="U704" s="1">
        <f t="shared" si="1587"/>
        <v>0</v>
      </c>
      <c r="V704" s="1">
        <f t="shared" si="1587"/>
        <v>2.0853757457357287</v>
      </c>
      <c r="W704" s="1">
        <f t="shared" si="1455"/>
        <v>-25.709408456690014</v>
      </c>
      <c r="X704" s="1">
        <f t="shared" si="1456"/>
        <v>0</v>
      </c>
      <c r="Y704" s="1">
        <f t="shared" si="1457"/>
        <v>-5.8573356659127631</v>
      </c>
    </row>
    <row r="705" spans="1:25">
      <c r="A705" s="1">
        <v>0.70299999999999996</v>
      </c>
      <c r="B705" s="1">
        <f t="shared" si="1458"/>
        <v>31.229556169564411</v>
      </c>
      <c r="C705" s="1">
        <f t="shared" si="1459"/>
        <v>0</v>
      </c>
      <c r="D705" s="1">
        <f t="shared" si="1460"/>
        <v>-7.537244546450575E-2</v>
      </c>
      <c r="E705" s="1">
        <f t="shared" si="1461"/>
        <v>25.149095923694539</v>
      </c>
      <c r="F705" s="1">
        <f t="shared" si="1462"/>
        <v>0</v>
      </c>
      <c r="G705" s="1">
        <f t="shared" si="1463"/>
        <v>-1.820428075769611</v>
      </c>
      <c r="H705" s="1">
        <f t="shared" si="1152"/>
        <v>25.214896076689261</v>
      </c>
      <c r="I705" s="1">
        <f t="shared" si="1446"/>
        <v>-25.807497703206465</v>
      </c>
      <c r="J705" s="1">
        <f t="shared" si="1447"/>
        <v>0</v>
      </c>
      <c r="K705" s="1">
        <f t="shared" si="1448"/>
        <v>1.8680867704676947</v>
      </c>
      <c r="L705" s="1">
        <f t="shared" ref="L705:N705" si="1588">E705/$H705</f>
        <v>0.99739042537416789</v>
      </c>
      <c r="M705" s="1">
        <f t="shared" si="1588"/>
        <v>0</v>
      </c>
      <c r="N705" s="1">
        <f t="shared" si="1588"/>
        <v>-7.2196532963408305E-2</v>
      </c>
      <c r="O705" s="1">
        <f t="shared" si="1154"/>
        <v>-7.2196532963408305E-2</v>
      </c>
      <c r="P705" s="1">
        <f t="shared" si="1450"/>
        <v>7.2008130722913941E-2</v>
      </c>
      <c r="Q705" s="1">
        <f t="shared" si="1451"/>
        <v>0</v>
      </c>
      <c r="R705" s="1">
        <f t="shared" si="1452"/>
        <v>0.99478766062806345</v>
      </c>
      <c r="S705" s="1">
        <f t="shared" si="1453"/>
        <v>2.0920229340544005</v>
      </c>
      <c r="T705" s="1">
        <f t="shared" ref="T705:V705" si="1589">$S705*P705</f>
        <v>0.15064266091072323</v>
      </c>
      <c r="U705" s="1">
        <f t="shared" si="1589"/>
        <v>0</v>
      </c>
      <c r="V705" s="1">
        <f t="shared" si="1589"/>
        <v>2.0811186005482347</v>
      </c>
      <c r="W705" s="1">
        <f t="shared" si="1455"/>
        <v>-25.656855042295742</v>
      </c>
      <c r="X705" s="1">
        <f t="shared" si="1456"/>
        <v>0</v>
      </c>
      <c r="Y705" s="1">
        <f t="shared" si="1457"/>
        <v>-5.8574446289840703</v>
      </c>
    </row>
    <row r="706" spans="1:25">
      <c r="A706" s="1">
        <v>0.70399999999999996</v>
      </c>
      <c r="B706" s="1">
        <f t="shared" si="1458"/>
        <v>31.254679608633062</v>
      </c>
      <c r="C706" s="1">
        <f t="shared" si="1459"/>
        <v>0</v>
      </c>
      <c r="D706" s="1">
        <f t="shared" si="1460"/>
        <v>-7.7198730984904346E-2</v>
      </c>
      <c r="E706" s="1">
        <f t="shared" si="1461"/>
        <v>25.123439068652242</v>
      </c>
      <c r="F706" s="1">
        <f t="shared" si="1462"/>
        <v>0</v>
      </c>
      <c r="G706" s="1">
        <f t="shared" si="1463"/>
        <v>-1.826285520398595</v>
      </c>
      <c r="H706" s="1">
        <f t="shared" si="1152"/>
        <v>25.189730237505511</v>
      </c>
      <c r="I706" s="1">
        <f t="shared" ref="I706:I769" si="1590">-K_drag*$H706*E706</f>
        <v>-25.755438142735667</v>
      </c>
      <c r="J706" s="1">
        <f t="shared" ref="J706:J769" si="1591">-K_drag*$H706*F706</f>
        <v>0</v>
      </c>
      <c r="K706" s="1">
        <f t="shared" ref="K706:K769" si="1592">-K_drag*$H706*G706</f>
        <v>1.8722271112273778</v>
      </c>
      <c r="L706" s="1">
        <f t="shared" ref="L706:N706" si="1593">E706/$H706</f>
        <v>0.99736832557442134</v>
      </c>
      <c r="M706" s="1">
        <f t="shared" si="1593"/>
        <v>0</v>
      </c>
      <c r="N706" s="1">
        <f t="shared" si="1593"/>
        <v>-7.2501194065167113E-2</v>
      </c>
      <c r="O706" s="1">
        <f t="shared" si="1154"/>
        <v>-7.2501194065167113E-2</v>
      </c>
      <c r="P706" s="1">
        <f t="shared" ref="P706:P769" si="1594">u_axis_f-$O706*L706</f>
        <v>7.2310394526921895E-2</v>
      </c>
      <c r="Q706" s="1">
        <f t="shared" ref="Q706:Q769" si="1595">u_axis_r-$O706*M706</f>
        <v>0</v>
      </c>
      <c r="R706" s="1">
        <f t="shared" ref="R706:R769" si="1596">u_axis_u-$O706*N706</f>
        <v>0.99474357685912496</v>
      </c>
      <c r="S706" s="1">
        <f t="shared" ref="S706:S769" si="1597">K_lift*H706^2</f>
        <v>2.0878491123559124</v>
      </c>
      <c r="T706" s="1">
        <f t="shared" ref="T706:V706" si="1598">$S706*P706</f>
        <v>0.15097319302713971</v>
      </c>
      <c r="U706" s="1">
        <f t="shared" si="1598"/>
        <v>0</v>
      </c>
      <c r="V706" s="1">
        <f t="shared" si="1598"/>
        <v>2.0768744939670696</v>
      </c>
      <c r="W706" s="1">
        <f t="shared" ref="W706:W769" si="1599">I706+T706+g_f</f>
        <v>-25.604464949708525</v>
      </c>
      <c r="X706" s="1">
        <f t="shared" ref="X706:X769" si="1600">J706+U706+g_r</f>
        <v>0</v>
      </c>
      <c r="Y706" s="1">
        <f t="shared" ref="Y706:Y769" si="1601">K706+V706+g_u</f>
        <v>-5.8575483948055522</v>
      </c>
    </row>
    <row r="707" spans="1:25">
      <c r="A707" s="1">
        <v>0.70499999999999996</v>
      </c>
      <c r="B707" s="1">
        <f t="shared" ref="B707:B770" si="1602">B706+E707*dt</f>
        <v>31.279777443236764</v>
      </c>
      <c r="C707" s="1">
        <f t="shared" ref="C707:C770" si="1603">C706+F707*dt</f>
        <v>0</v>
      </c>
      <c r="D707" s="1">
        <f t="shared" ref="D707:D770" si="1604">D706+G707*dt</f>
        <v>-7.9030874053697742E-2</v>
      </c>
      <c r="E707" s="1">
        <f t="shared" ref="E707:E770" si="1605">E706+W706*dt</f>
        <v>25.097834603702534</v>
      </c>
      <c r="F707" s="1">
        <f t="shared" ref="F707:F770" si="1606">F706+X706*dt</f>
        <v>0</v>
      </c>
      <c r="G707" s="1">
        <f t="shared" ref="G707:G770" si="1607">G706+Y706*dt</f>
        <v>-1.8321430687934006</v>
      </c>
      <c r="H707" s="1">
        <f t="shared" si="1152"/>
        <v>25.164619012004454</v>
      </c>
      <c r="I707" s="1">
        <f t="shared" si="1590"/>
        <v>-25.703540574546256</v>
      </c>
      <c r="J707" s="1">
        <f t="shared" si="1591"/>
        <v>0</v>
      </c>
      <c r="K707" s="1">
        <f t="shared" si="1592"/>
        <v>1.8763596322432365</v>
      </c>
      <c r="L707" s="1">
        <f t="shared" ref="L707:N707" si="1608">E707/$H707</f>
        <v>0.99734609897054027</v>
      </c>
      <c r="M707" s="1">
        <f t="shared" si="1608"/>
        <v>0</v>
      </c>
      <c r="N707" s="1">
        <f t="shared" si="1608"/>
        <v>-7.2806310634760674E-2</v>
      </c>
      <c r="O707" s="1">
        <f t="shared" si="1154"/>
        <v>-7.2806310634760674E-2</v>
      </c>
      <c r="P707" s="1">
        <f t="shared" si="1594"/>
        <v>7.2613089892015911E-2</v>
      </c>
      <c r="Q707" s="1">
        <f t="shared" si="1595"/>
        <v>0</v>
      </c>
      <c r="R707" s="1">
        <f t="shared" si="1596"/>
        <v>0.99469924113175479</v>
      </c>
      <c r="S707" s="1">
        <f t="shared" si="1597"/>
        <v>2.0836885027065715</v>
      </c>
      <c r="T707" s="1">
        <f t="shared" ref="T707:V707" si="1609">$S707*P707</f>
        <v>0.15130306055399231</v>
      </c>
      <c r="U707" s="1">
        <f t="shared" si="1609"/>
        <v>0</v>
      </c>
      <c r="V707" s="1">
        <f t="shared" si="1609"/>
        <v>2.0726433723971889</v>
      </c>
      <c r="W707" s="1">
        <f t="shared" si="1599"/>
        <v>-25.552237513992264</v>
      </c>
      <c r="X707" s="1">
        <f t="shared" si="1600"/>
        <v>0</v>
      </c>
      <c r="Y707" s="1">
        <f t="shared" si="1601"/>
        <v>-5.8576469953595742</v>
      </c>
    </row>
    <row r="708" spans="1:25">
      <c r="A708" s="1">
        <v>0.70599999999999996</v>
      </c>
      <c r="B708" s="1">
        <f t="shared" si="1602"/>
        <v>31.304849725602953</v>
      </c>
      <c r="C708" s="1">
        <f t="shared" si="1603"/>
        <v>0</v>
      </c>
      <c r="D708" s="1">
        <f t="shared" si="1604"/>
        <v>-8.0868874769486496E-2</v>
      </c>
      <c r="E708" s="1">
        <f t="shared" si="1605"/>
        <v>25.072282366188542</v>
      </c>
      <c r="F708" s="1">
        <f t="shared" si="1606"/>
        <v>0</v>
      </c>
      <c r="G708" s="1">
        <f t="shared" si="1607"/>
        <v>-1.8380007157887601</v>
      </c>
      <c r="H708" s="1">
        <f t="shared" si="1152"/>
        <v>25.139562241238988</v>
      </c>
      <c r="I708" s="1">
        <f t="shared" si="1590"/>
        <v>-25.651804338686031</v>
      </c>
      <c r="J708" s="1">
        <f t="shared" si="1591"/>
        <v>0</v>
      </c>
      <c r="K708" s="1">
        <f t="shared" si="1592"/>
        <v>1.8804843550804957</v>
      </c>
      <c r="L708" s="1">
        <f t="shared" ref="L708:N708" si="1610">E708/$H708</f>
        <v>0.99732374516290978</v>
      </c>
      <c r="M708" s="1">
        <f t="shared" si="1610"/>
        <v>0</v>
      </c>
      <c r="N708" s="1">
        <f t="shared" si="1610"/>
        <v>-7.3111882305321133E-2</v>
      </c>
      <c r="O708" s="1">
        <f t="shared" si="1154"/>
        <v>-7.3111882305321133E-2</v>
      </c>
      <c r="P708" s="1">
        <f t="shared" si="1594"/>
        <v>7.2916216276652748E-2</v>
      </c>
      <c r="Q708" s="1">
        <f t="shared" si="1595"/>
        <v>0</v>
      </c>
      <c r="R708" s="1">
        <f t="shared" si="1596"/>
        <v>0.99465465266577291</v>
      </c>
      <c r="S708" s="1">
        <f t="shared" si="1597"/>
        <v>2.0795410517349509</v>
      </c>
      <c r="T708" s="1">
        <f t="shared" ref="T708:V708" si="1611">$S708*P708</f>
        <v>0.1516322650844836</v>
      </c>
      <c r="U708" s="1">
        <f t="shared" si="1611"/>
        <v>0</v>
      </c>
      <c r="V708" s="1">
        <f t="shared" si="1611"/>
        <v>2.0684251825176436</v>
      </c>
      <c r="W708" s="1">
        <f t="shared" si="1599"/>
        <v>-25.500172073601547</v>
      </c>
      <c r="X708" s="1">
        <f t="shared" si="1600"/>
        <v>0</v>
      </c>
      <c r="Y708" s="1">
        <f t="shared" si="1601"/>
        <v>-5.8577404624018605</v>
      </c>
    </row>
    <row r="709" spans="1:25">
      <c r="A709" s="1">
        <v>0.70699999999999996</v>
      </c>
      <c r="B709" s="1">
        <f t="shared" si="1602"/>
        <v>31.329896507797066</v>
      </c>
      <c r="C709" s="1">
        <f t="shared" si="1603"/>
        <v>0</v>
      </c>
      <c r="D709" s="1">
        <f t="shared" si="1604"/>
        <v>-8.2712733225737661E-2</v>
      </c>
      <c r="E709" s="1">
        <f t="shared" si="1605"/>
        <v>25.04678219411494</v>
      </c>
      <c r="F709" s="1">
        <f t="shared" si="1606"/>
        <v>0</v>
      </c>
      <c r="G709" s="1">
        <f t="shared" si="1607"/>
        <v>-1.843858456251162</v>
      </c>
      <c r="H709" s="1">
        <f t="shared" si="1152"/>
        <v>25.114559766918514</v>
      </c>
      <c r="I709" s="1">
        <f t="shared" si="1590"/>
        <v>-25.60022877856866</v>
      </c>
      <c r="J709" s="1">
        <f t="shared" si="1591"/>
        <v>0</v>
      </c>
      <c r="K709" s="1">
        <f t="shared" si="1592"/>
        <v>1.8846013012569403</v>
      </c>
      <c r="L709" s="1">
        <f t="shared" ref="L709:N709" si="1612">E709/$H709</f>
        <v>0.99730126375168027</v>
      </c>
      <c r="M709" s="1">
        <f t="shared" si="1612"/>
        <v>0</v>
      </c>
      <c r="N709" s="1">
        <f t="shared" si="1612"/>
        <v>-7.3417908709669494E-2</v>
      </c>
      <c r="O709" s="1">
        <f t="shared" si="1154"/>
        <v>-7.3417908709669494E-2</v>
      </c>
      <c r="P709" s="1">
        <f t="shared" si="1594"/>
        <v>7.3219773138158875E-2</v>
      </c>
      <c r="Q709" s="1">
        <f t="shared" si="1595"/>
        <v>0</v>
      </c>
      <c r="R709" s="1">
        <f t="shared" si="1596"/>
        <v>0.99460981068069865</v>
      </c>
      <c r="S709" s="1">
        <f t="shared" si="1597"/>
        <v>2.0754067063416208</v>
      </c>
      <c r="T709" s="1">
        <f t="shared" ref="T709:V709" si="1613">$S709*P709</f>
        <v>0.15196080820774699</v>
      </c>
      <c r="U709" s="1">
        <f t="shared" si="1613"/>
        <v>0</v>
      </c>
      <c r="V709" s="1">
        <f t="shared" si="1613"/>
        <v>2.0642198712798918</v>
      </c>
      <c r="W709" s="1">
        <f t="shared" si="1599"/>
        <v>-25.448267970360913</v>
      </c>
      <c r="X709" s="1">
        <f t="shared" si="1600"/>
        <v>0</v>
      </c>
      <c r="Y709" s="1">
        <f t="shared" si="1601"/>
        <v>-5.8578288274631678</v>
      </c>
    </row>
    <row r="710" spans="1:25">
      <c r="A710" s="1">
        <v>0.70799999999999996</v>
      </c>
      <c r="B710" s="1">
        <f t="shared" si="1602"/>
        <v>31.354917841723211</v>
      </c>
      <c r="C710" s="1">
        <f t="shared" si="1603"/>
        <v>0</v>
      </c>
      <c r="D710" s="1">
        <f t="shared" si="1604"/>
        <v>-8.456244951081629E-2</v>
      </c>
      <c r="E710" s="1">
        <f t="shared" si="1605"/>
        <v>25.021333926144578</v>
      </c>
      <c r="F710" s="1">
        <f t="shared" si="1606"/>
        <v>0</v>
      </c>
      <c r="G710" s="1">
        <f t="shared" si="1607"/>
        <v>-1.8497162850786251</v>
      </c>
      <c r="H710" s="1">
        <f t="shared" si="1152"/>
        <v>25.089611431405601</v>
      </c>
      <c r="I710" s="1">
        <f t="shared" si="1590"/>
        <v>-25.548813240953105</v>
      </c>
      <c r="J710" s="1">
        <f t="shared" si="1591"/>
        <v>0</v>
      </c>
      <c r="K710" s="1">
        <f t="shared" si="1592"/>
        <v>1.8887104922429345</v>
      </c>
      <c r="L710" s="1">
        <f t="shared" ref="L710:N710" si="1614">E710/$H710</f>
        <v>0.99727865433676832</v>
      </c>
      <c r="M710" s="1">
        <f t="shared" si="1614"/>
        <v>0</v>
      </c>
      <c r="N710" s="1">
        <f t="shared" si="1614"/>
        <v>-7.3724389480311611E-2</v>
      </c>
      <c r="O710" s="1">
        <f t="shared" si="1154"/>
        <v>-7.3724389480311611E-2</v>
      </c>
      <c r="P710" s="1">
        <f t="shared" si="1594"/>
        <v>7.3523759932724961E-2</v>
      </c>
      <c r="Q710" s="1">
        <f t="shared" si="1595"/>
        <v>0</v>
      </c>
      <c r="R710" s="1">
        <f t="shared" si="1596"/>
        <v>0.99456471439575533</v>
      </c>
      <c r="S710" s="1">
        <f t="shared" si="1597"/>
        <v>2.0712854136974932</v>
      </c>
      <c r="T710" s="1">
        <f t="shared" ref="T710:V710" si="1615">$S710*P710</f>
        <v>0.15228869150884938</v>
      </c>
      <c r="U710" s="1">
        <f t="shared" si="1615"/>
        <v>0</v>
      </c>
      <c r="V710" s="1">
        <f t="shared" si="1615"/>
        <v>2.0600273859061411</v>
      </c>
      <c r="W710" s="1">
        <f t="shared" si="1599"/>
        <v>-25.396524549444255</v>
      </c>
      <c r="X710" s="1">
        <f t="shared" si="1600"/>
        <v>0</v>
      </c>
      <c r="Y710" s="1">
        <f t="shared" si="1601"/>
        <v>-5.8579121218509238</v>
      </c>
    </row>
    <row r="711" spans="1:25">
      <c r="A711" s="1">
        <v>0.70899999999999996</v>
      </c>
      <c r="B711" s="1">
        <f t="shared" si="1602"/>
        <v>31.379913779124806</v>
      </c>
      <c r="C711" s="1">
        <f t="shared" si="1603"/>
        <v>0</v>
      </c>
      <c r="D711" s="1">
        <f t="shared" si="1604"/>
        <v>-8.6418023708016767E-2</v>
      </c>
      <c r="E711" s="1">
        <f t="shared" si="1605"/>
        <v>24.995937401595135</v>
      </c>
      <c r="F711" s="1">
        <f t="shared" si="1606"/>
        <v>0</v>
      </c>
      <c r="G711" s="1">
        <f t="shared" si="1607"/>
        <v>-1.855574197200476</v>
      </c>
      <c r="H711" s="1">
        <f t="shared" si="1152"/>
        <v>25.064717077712622</v>
      </c>
      <c r="I711" s="1">
        <f t="shared" si="1590"/>
        <v>-25.497557075923151</v>
      </c>
      <c r="J711" s="1">
        <f t="shared" si="1591"/>
        <v>0</v>
      </c>
      <c r="K711" s="1">
        <f t="shared" si="1592"/>
        <v>1.8928119494614404</v>
      </c>
      <c r="L711" s="1">
        <f t="shared" ref="L711:N711" si="1616">E711/$H711</f>
        <v>0.99725591651785905</v>
      </c>
      <c r="M711" s="1">
        <f t="shared" si="1616"/>
        <v>0</v>
      </c>
      <c r="N711" s="1">
        <f t="shared" si="1616"/>
        <v>-7.4031324249434288E-2</v>
      </c>
      <c r="O711" s="1">
        <f t="shared" si="1154"/>
        <v>-7.4031324249434288E-2</v>
      </c>
      <c r="P711" s="1">
        <f t="shared" si="1594"/>
        <v>7.3828176115400393E-2</v>
      </c>
      <c r="Q711" s="1">
        <f t="shared" si="1595"/>
        <v>0</v>
      </c>
      <c r="R711" s="1">
        <f t="shared" si="1596"/>
        <v>0.99451936302987509</v>
      </c>
      <c r="S711" s="1">
        <f t="shared" si="1597"/>
        <v>2.0671771212421661</v>
      </c>
      <c r="T711" s="1">
        <f t="shared" ref="T711:V711" si="1617">$S711*P711</f>
        <v>0.15261591656879303</v>
      </c>
      <c r="U711" s="1">
        <f t="shared" si="1617"/>
        <v>0</v>
      </c>
      <c r="V711" s="1">
        <f t="shared" si="1617"/>
        <v>2.0558476738876901</v>
      </c>
      <c r="W711" s="1">
        <f t="shared" si="1599"/>
        <v>-25.344941159354359</v>
      </c>
      <c r="X711" s="1">
        <f t="shared" si="1600"/>
        <v>0</v>
      </c>
      <c r="Y711" s="1">
        <f t="shared" si="1601"/>
        <v>-5.8579903766508687</v>
      </c>
    </row>
    <row r="712" spans="1:25">
      <c r="A712" s="1">
        <v>0.71</v>
      </c>
      <c r="B712" s="1">
        <f t="shared" si="1602"/>
        <v>31.40488437158524</v>
      </c>
      <c r="C712" s="1">
        <f t="shared" si="1603"/>
        <v>0</v>
      </c>
      <c r="D712" s="1">
        <f t="shared" si="1604"/>
        <v>-8.8279455895593897E-2</v>
      </c>
      <c r="E712" s="1">
        <f t="shared" si="1605"/>
        <v>24.970592460435782</v>
      </c>
      <c r="F712" s="1">
        <f t="shared" si="1606"/>
        <v>0</v>
      </c>
      <c r="G712" s="1">
        <f t="shared" si="1607"/>
        <v>-1.8614321875771269</v>
      </c>
      <c r="H712" s="1">
        <f t="shared" si="1152"/>
        <v>25.039876549498413</v>
      </c>
      <c r="I712" s="1">
        <f t="shared" si="1590"/>
        <v>-25.446459636867097</v>
      </c>
      <c r="J712" s="1">
        <f t="shared" si="1591"/>
        <v>0</v>
      </c>
      <c r="K712" s="1">
        <f t="shared" si="1592"/>
        <v>1.896905694288038</v>
      </c>
      <c r="L712" s="1">
        <f t="shared" ref="L712:N712" si="1618">E712/$H712</f>
        <v>0.99723304989440853</v>
      </c>
      <c r="M712" s="1">
        <f t="shared" si="1618"/>
        <v>0</v>
      </c>
      <c r="N712" s="1">
        <f t="shared" si="1618"/>
        <v>-7.4338712648901392E-2</v>
      </c>
      <c r="O712" s="1">
        <f t="shared" si="1154"/>
        <v>-7.4338712648901392E-2</v>
      </c>
      <c r="P712" s="1">
        <f t="shared" si="1594"/>
        <v>7.4133021140087976E-2</v>
      </c>
      <c r="Q712" s="1">
        <f t="shared" si="1595"/>
        <v>0</v>
      </c>
      <c r="R712" s="1">
        <f t="shared" si="1596"/>
        <v>0.99447375580170405</v>
      </c>
      <c r="S712" s="1">
        <f t="shared" si="1597"/>
        <v>2.0630817766822811</v>
      </c>
      <c r="T712" s="1">
        <f t="shared" ref="T712:V712" si="1619">$S712*P712</f>
        <v>0.15294248496451782</v>
      </c>
      <c r="U712" s="1">
        <f t="shared" si="1619"/>
        <v>0</v>
      </c>
      <c r="V712" s="1">
        <f t="shared" si="1619"/>
        <v>2.0516806829832803</v>
      </c>
      <c r="W712" s="1">
        <f t="shared" si="1599"/>
        <v>-25.293517151902577</v>
      </c>
      <c r="X712" s="1">
        <f t="shared" si="1600"/>
        <v>0</v>
      </c>
      <c r="Y712" s="1">
        <f t="shared" si="1601"/>
        <v>-5.8580636227286806</v>
      </c>
    </row>
    <row r="713" spans="1:25">
      <c r="A713" s="1">
        <v>0.71099999999999997</v>
      </c>
      <c r="B713" s="1">
        <f t="shared" si="1602"/>
        <v>31.429829670528523</v>
      </c>
      <c r="C713" s="1">
        <f t="shared" si="1603"/>
        <v>0</v>
      </c>
      <c r="D713" s="1">
        <f t="shared" si="1604"/>
        <v>-9.0146746146793758E-2</v>
      </c>
      <c r="E713" s="1">
        <f t="shared" si="1605"/>
        <v>24.945298943283881</v>
      </c>
      <c r="F713" s="1">
        <f t="shared" si="1606"/>
        <v>0</v>
      </c>
      <c r="G713" s="1">
        <f t="shared" si="1607"/>
        <v>-1.8672902511998557</v>
      </c>
      <c r="H713" s="1">
        <f t="shared" si="1152"/>
        <v>25.01508969106499</v>
      </c>
      <c r="I713" s="1">
        <f t="shared" si="1590"/>
        <v>-25.395520280457585</v>
      </c>
      <c r="J713" s="1">
        <f t="shared" si="1591"/>
        <v>0</v>
      </c>
      <c r="K713" s="1">
        <f t="shared" si="1592"/>
        <v>1.9009917480509473</v>
      </c>
      <c r="L713" s="1">
        <f t="shared" ref="L713:N713" si="1620">E713/$H713</f>
        <v>0.99721005406564511</v>
      </c>
      <c r="M713" s="1">
        <f t="shared" si="1620"/>
        <v>0</v>
      </c>
      <c r="N713" s="1">
        <f t="shared" si="1620"/>
        <v>-7.4646554310249927E-2</v>
      </c>
      <c r="O713" s="1">
        <f t="shared" si="1154"/>
        <v>-7.4646554310249927E-2</v>
      </c>
      <c r="P713" s="1">
        <f t="shared" si="1594"/>
        <v>7.4438294459538437E-2</v>
      </c>
      <c r="Q713" s="1">
        <f t="shared" si="1595"/>
        <v>0</v>
      </c>
      <c r="R713" s="1">
        <f t="shared" si="1596"/>
        <v>0.9944278919296069</v>
      </c>
      <c r="S713" s="1">
        <f t="shared" si="1597"/>
        <v>2.058999327989897</v>
      </c>
      <c r="T713" s="1">
        <f t="shared" ref="T713:V713" si="1621">$S713*P713</f>
        <v>0.1532683982689037</v>
      </c>
      <c r="U713" s="1">
        <f t="shared" si="1621"/>
        <v>0</v>
      </c>
      <c r="V713" s="1">
        <f t="shared" si="1621"/>
        <v>2.0475263612174706</v>
      </c>
      <c r="W713" s="1">
        <f t="shared" si="1599"/>
        <v>-25.242251882188683</v>
      </c>
      <c r="X713" s="1">
        <f t="shared" si="1600"/>
        <v>0</v>
      </c>
      <c r="Y713" s="1">
        <f t="shared" si="1601"/>
        <v>-5.8581318907315811</v>
      </c>
    </row>
    <row r="714" spans="1:25">
      <c r="A714" s="1">
        <v>0.71199999999999997</v>
      </c>
      <c r="B714" s="1">
        <f t="shared" si="1602"/>
        <v>31.454749727219927</v>
      </c>
      <c r="C714" s="1">
        <f t="shared" si="1603"/>
        <v>0</v>
      </c>
      <c r="D714" s="1">
        <f t="shared" si="1604"/>
        <v>-9.201989452988435E-2</v>
      </c>
      <c r="E714" s="1">
        <f t="shared" si="1605"/>
        <v>24.92005669140169</v>
      </c>
      <c r="F714" s="1">
        <f t="shared" si="1606"/>
        <v>0</v>
      </c>
      <c r="G714" s="1">
        <f t="shared" si="1607"/>
        <v>-1.8731483830905873</v>
      </c>
      <c r="H714" s="1">
        <f t="shared" si="1152"/>
        <v>24.990356347354254</v>
      </c>
      <c r="I714" s="1">
        <f t="shared" si="1590"/>
        <v>-25.344738366631592</v>
      </c>
      <c r="J714" s="1">
        <f t="shared" si="1591"/>
        <v>0</v>
      </c>
      <c r="K714" s="1">
        <f t="shared" si="1592"/>
        <v>1.9050701320310528</v>
      </c>
      <c r="L714" s="1">
        <f t="shared" ref="L714:N714" si="1622">E714/$H714</f>
        <v>0.99718692863057123</v>
      </c>
      <c r="M714" s="1">
        <f t="shared" si="1622"/>
        <v>0</v>
      </c>
      <c r="N714" s="1">
        <f t="shared" si="1622"/>
        <v>-7.4954848864686105E-2</v>
      </c>
      <c r="O714" s="1">
        <f t="shared" si="1154"/>
        <v>-7.4954848864686105E-2</v>
      </c>
      <c r="P714" s="1">
        <f t="shared" si="1594"/>
        <v>7.4743995525344997E-2</v>
      </c>
      <c r="Q714" s="1">
        <f t="shared" si="1595"/>
        <v>0</v>
      </c>
      <c r="R714" s="1">
        <f t="shared" si="1596"/>
        <v>0.9943817706316721</v>
      </c>
      <c r="S714" s="1">
        <f t="shared" si="1597"/>
        <v>2.0549297234008757</v>
      </c>
      <c r="T714" s="1">
        <f t="shared" ref="T714:V714" si="1623">$S714*P714</f>
        <v>0.15359365805077349</v>
      </c>
      <c r="U714" s="1">
        <f t="shared" si="1623"/>
        <v>0</v>
      </c>
      <c r="V714" s="1">
        <f t="shared" si="1623"/>
        <v>2.0433846568790148</v>
      </c>
      <c r="W714" s="1">
        <f t="shared" si="1599"/>
        <v>-25.191144708580818</v>
      </c>
      <c r="X714" s="1">
        <f t="shared" si="1600"/>
        <v>0</v>
      </c>
      <c r="Y714" s="1">
        <f t="shared" si="1601"/>
        <v>-5.8581952110899316</v>
      </c>
    </row>
    <row r="715" spans="1:25">
      <c r="A715" s="1">
        <v>0.71299999999999997</v>
      </c>
      <c r="B715" s="1">
        <f t="shared" si="1602"/>
        <v>31.479644592766618</v>
      </c>
      <c r="C715" s="1">
        <f t="shared" si="1603"/>
        <v>0</v>
      </c>
      <c r="D715" s="1">
        <f t="shared" si="1604"/>
        <v>-9.3898901108186023E-2</v>
      </c>
      <c r="E715" s="1">
        <f t="shared" si="1605"/>
        <v>24.894865546693108</v>
      </c>
      <c r="F715" s="1">
        <f t="shared" si="1606"/>
        <v>0</v>
      </c>
      <c r="G715" s="1">
        <f t="shared" si="1607"/>
        <v>-1.8790065783016772</v>
      </c>
      <c r="H715" s="1">
        <f t="shared" si="1152"/>
        <v>24.965676363944727</v>
      </c>
      <c r="I715" s="1">
        <f t="shared" si="1590"/>
        <v>-25.294113258570565</v>
      </c>
      <c r="J715" s="1">
        <f t="shared" si="1591"/>
        <v>0</v>
      </c>
      <c r="K715" s="1">
        <f t="shared" si="1592"/>
        <v>1.9091408674619288</v>
      </c>
      <c r="L715" s="1">
        <f t="shared" ref="L715:N715" si="1624">E715/$H715</f>
        <v>0.99716367318796606</v>
      </c>
      <c r="M715" s="1">
        <f t="shared" si="1624"/>
        <v>0</v>
      </c>
      <c r="N715" s="1">
        <f t="shared" si="1624"/>
        <v>-7.5263595943081546E-2</v>
      </c>
      <c r="O715" s="1">
        <f t="shared" si="1154"/>
        <v>-7.5263595943081546E-2</v>
      </c>
      <c r="P715" s="1">
        <f t="shared" si="1594"/>
        <v>7.50501237879381E-2</v>
      </c>
      <c r="Q715" s="1">
        <f t="shared" si="1595"/>
        <v>0</v>
      </c>
      <c r="R715" s="1">
        <f t="shared" si="1596"/>
        <v>0.99433539112571656</v>
      </c>
      <c r="S715" s="1">
        <f t="shared" si="1597"/>
        <v>2.050872911413272</v>
      </c>
      <c r="T715" s="1">
        <f t="shared" ref="T715:V715" si="1625">$S715*P715</f>
        <v>0.15391826587489507</v>
      </c>
      <c r="U715" s="1">
        <f t="shared" si="1625"/>
        <v>0</v>
      </c>
      <c r="V715" s="1">
        <f t="shared" si="1625"/>
        <v>2.0392555185192527</v>
      </c>
      <c r="W715" s="1">
        <f t="shared" si="1599"/>
        <v>-25.140194992695669</v>
      </c>
      <c r="X715" s="1">
        <f t="shared" si="1600"/>
        <v>0</v>
      </c>
      <c r="Y715" s="1">
        <f t="shared" si="1601"/>
        <v>-5.8582536140188175</v>
      </c>
    </row>
    <row r="716" spans="1:25">
      <c r="A716" s="1">
        <v>0.71399999999999997</v>
      </c>
      <c r="B716" s="1">
        <f t="shared" si="1602"/>
        <v>31.504514318118318</v>
      </c>
      <c r="C716" s="1">
        <f t="shared" si="1603"/>
        <v>0</v>
      </c>
      <c r="D716" s="1">
        <f t="shared" si="1604"/>
        <v>-9.5783765940101712E-2</v>
      </c>
      <c r="E716" s="1">
        <f t="shared" si="1605"/>
        <v>24.869725351700414</v>
      </c>
      <c r="F716" s="1">
        <f t="shared" si="1606"/>
        <v>0</v>
      </c>
      <c r="G716" s="1">
        <f t="shared" si="1607"/>
        <v>-1.884864831915696</v>
      </c>
      <c r="H716" s="1">
        <f t="shared" si="1152"/>
        <v>24.941049587048312</v>
      </c>
      <c r="I716" s="1">
        <f t="shared" si="1590"/>
        <v>-25.243644322680669</v>
      </c>
      <c r="J716" s="1">
        <f t="shared" si="1591"/>
        <v>0</v>
      </c>
      <c r="K716" s="1">
        <f t="shared" si="1592"/>
        <v>1.9132039755298655</v>
      </c>
      <c r="L716" s="1">
        <f t="shared" ref="L716:N716" si="1626">E716/$H716</f>
        <v>0.99714028733638638</v>
      </c>
      <c r="M716" s="1">
        <f t="shared" si="1626"/>
        <v>0</v>
      </c>
      <c r="N716" s="1">
        <f t="shared" si="1626"/>
        <v>-7.5572795175969307E-2</v>
      </c>
      <c r="O716" s="1">
        <f t="shared" si="1154"/>
        <v>-7.5572795175969307E-2</v>
      </c>
      <c r="P716" s="1">
        <f t="shared" si="1594"/>
        <v>7.5356678696579915E-2</v>
      </c>
      <c r="Q716" s="1">
        <f t="shared" si="1595"/>
        <v>0</v>
      </c>
      <c r="R716" s="1">
        <f t="shared" si="1596"/>
        <v>0.99428875262929095</v>
      </c>
      <c r="S716" s="1">
        <f t="shared" si="1597"/>
        <v>2.0468288407857456</v>
      </c>
      <c r="T716" s="1">
        <f t="shared" ref="T716:V716" si="1627">$S716*P716</f>
        <v>0.15424222330198456</v>
      </c>
      <c r="U716" s="1">
        <f t="shared" si="1627"/>
        <v>0</v>
      </c>
      <c r="V716" s="1">
        <f t="shared" si="1627"/>
        <v>2.0351388949505167</v>
      </c>
      <c r="W716" s="1">
        <f t="shared" si="1599"/>
        <v>-25.089402099378685</v>
      </c>
      <c r="X716" s="1">
        <f t="shared" si="1600"/>
        <v>0</v>
      </c>
      <c r="Y716" s="1">
        <f t="shared" si="1601"/>
        <v>-5.8583071295196172</v>
      </c>
    </row>
    <row r="717" spans="1:25">
      <c r="A717" s="1">
        <v>0.71499999999999997</v>
      </c>
      <c r="B717" s="1">
        <f t="shared" si="1602"/>
        <v>31.52935895406792</v>
      </c>
      <c r="C717" s="1">
        <f t="shared" si="1603"/>
        <v>0</v>
      </c>
      <c r="D717" s="1">
        <f t="shared" si="1604"/>
        <v>-9.7674489079146928E-2</v>
      </c>
      <c r="E717" s="1">
        <f t="shared" si="1605"/>
        <v>24.844635949601034</v>
      </c>
      <c r="F717" s="1">
        <f t="shared" si="1606"/>
        <v>0</v>
      </c>
      <c r="G717" s="1">
        <f t="shared" si="1607"/>
        <v>-1.8907231390452155</v>
      </c>
      <c r="H717" s="1">
        <f t="shared" si="1152"/>
        <v>24.916475863507046</v>
      </c>
      <c r="I717" s="1">
        <f t="shared" si="1590"/>
        <v>-25.193330928573168</v>
      </c>
      <c r="J717" s="1">
        <f t="shared" si="1591"/>
        <v>0</v>
      </c>
      <c r="K717" s="1">
        <f t="shared" si="1592"/>
        <v>1.9172594773738953</v>
      </c>
      <c r="L717" s="1">
        <f t="shared" ref="L717:N717" si="1628">E717/$H717</f>
        <v>0.99711677067416948</v>
      </c>
      <c r="M717" s="1">
        <f t="shared" si="1628"/>
        <v>0</v>
      </c>
      <c r="N717" s="1">
        <f t="shared" si="1628"/>
        <v>-7.5882446193540162E-2</v>
      </c>
      <c r="O717" s="1">
        <f t="shared" si="1154"/>
        <v>-7.5882446193540162E-2</v>
      </c>
      <c r="P717" s="1">
        <f t="shared" si="1594"/>
        <v>7.566365969935919E-2</v>
      </c>
      <c r="Q717" s="1">
        <f t="shared" si="1595"/>
        <v>0</v>
      </c>
      <c r="R717" s="1">
        <f t="shared" si="1596"/>
        <v>0.99424185435968448</v>
      </c>
      <c r="S717" s="1">
        <f t="shared" si="1597"/>
        <v>2.0427974605359713</v>
      </c>
      <c r="T717" s="1">
        <f t="shared" ref="T717:V717" si="1629">$S717*P717</f>
        <v>0.15456553188870886</v>
      </c>
      <c r="U717" s="1">
        <f t="shared" si="1629"/>
        <v>0</v>
      </c>
      <c r="V717" s="1">
        <f t="shared" si="1629"/>
        <v>2.0310347352445386</v>
      </c>
      <c r="W717" s="1">
        <f t="shared" si="1599"/>
        <v>-25.038765396684461</v>
      </c>
      <c r="X717" s="1">
        <f t="shared" si="1600"/>
        <v>0</v>
      </c>
      <c r="Y717" s="1">
        <f t="shared" si="1601"/>
        <v>-5.8583557873815657</v>
      </c>
    </row>
    <row r="718" spans="1:25">
      <c r="A718" s="1">
        <v>0.71599999999999997</v>
      </c>
      <c r="B718" s="1">
        <f t="shared" si="1602"/>
        <v>31.554178551252125</v>
      </c>
      <c r="C718" s="1">
        <f t="shared" si="1603"/>
        <v>0</v>
      </c>
      <c r="D718" s="1">
        <f t="shared" si="1604"/>
        <v>-9.9571070573979528E-2</v>
      </c>
      <c r="E718" s="1">
        <f t="shared" si="1605"/>
        <v>24.819597184204351</v>
      </c>
      <c r="F718" s="1">
        <f t="shared" si="1606"/>
        <v>0</v>
      </c>
      <c r="G718" s="1">
        <f t="shared" si="1607"/>
        <v>-1.896581494832597</v>
      </c>
      <c r="H718" s="1">
        <f t="shared" si="1152"/>
        <v>24.891955040789906</v>
      </c>
      <c r="I718" s="1">
        <f t="shared" si="1590"/>
        <v>-25.143172449044989</v>
      </c>
      <c r="J718" s="1">
        <f t="shared" si="1591"/>
        <v>0</v>
      </c>
      <c r="K718" s="1">
        <f t="shared" si="1592"/>
        <v>1.9213073940858241</v>
      </c>
      <c r="L718" s="1">
        <f t="shared" ref="L718:N718" si="1630">E718/$H718</f>
        <v>0.99709312279943529</v>
      </c>
      <c r="M718" s="1">
        <f t="shared" si="1630"/>
        <v>0</v>
      </c>
      <c r="N718" s="1">
        <f t="shared" si="1630"/>
        <v>-7.6192548625638692E-2</v>
      </c>
      <c r="O718" s="1">
        <f t="shared" si="1154"/>
        <v>-7.6192548625638692E-2</v>
      </c>
      <c r="P718" s="1">
        <f t="shared" si="1594"/>
        <v>7.5971066243185906E-2</v>
      </c>
      <c r="Q718" s="1">
        <f t="shared" si="1595"/>
        <v>0</v>
      </c>
      <c r="R718" s="1">
        <f t="shared" si="1596"/>
        <v>0.9941946955339297</v>
      </c>
      <c r="S718" s="1">
        <f t="shared" si="1597"/>
        <v>2.0387787199390717</v>
      </c>
      <c r="T718" s="1">
        <f t="shared" ref="T718:V718" si="1631">$S718*P718</f>
        <v>0.15488819318768898</v>
      </c>
      <c r="U718" s="1">
        <f t="shared" si="1631"/>
        <v>0</v>
      </c>
      <c r="V718" s="1">
        <f t="shared" si="1631"/>
        <v>2.0269429887308803</v>
      </c>
      <c r="W718" s="1">
        <f t="shared" si="1599"/>
        <v>-24.988284255857302</v>
      </c>
      <c r="X718" s="1">
        <f t="shared" si="1600"/>
        <v>0</v>
      </c>
      <c r="Y718" s="1">
        <f t="shared" si="1601"/>
        <v>-5.858399617183295</v>
      </c>
    </row>
    <row r="719" spans="1:25">
      <c r="A719" s="1">
        <v>0.71699999999999997</v>
      </c>
      <c r="B719" s="1">
        <f t="shared" si="1602"/>
        <v>31.578973160152074</v>
      </c>
      <c r="C719" s="1">
        <f t="shared" si="1603"/>
        <v>0</v>
      </c>
      <c r="D719" s="1">
        <f t="shared" si="1604"/>
        <v>-0.10147351046842931</v>
      </c>
      <c r="E719" s="1">
        <f t="shared" si="1605"/>
        <v>24.794608899948493</v>
      </c>
      <c r="F719" s="1">
        <f t="shared" si="1606"/>
        <v>0</v>
      </c>
      <c r="G719" s="1">
        <f t="shared" si="1607"/>
        <v>-1.9024398944497802</v>
      </c>
      <c r="H719" s="1">
        <f t="shared" si="1152"/>
        <v>24.867486966989631</v>
      </c>
      <c r="I719" s="1">
        <f t="shared" si="1590"/>
        <v>-25.093168260059418</v>
      </c>
      <c r="J719" s="1">
        <f t="shared" si="1591"/>
        <v>0</v>
      </c>
      <c r="K719" s="1">
        <f t="shared" si="1592"/>
        <v>1.9253477467102611</v>
      </c>
      <c r="L719" s="1">
        <f t="shared" ref="L719:N719" si="1632">E719/$H719</f>
        <v>0.99706934331008679</v>
      </c>
      <c r="M719" s="1">
        <f t="shared" si="1632"/>
        <v>0</v>
      </c>
      <c r="N719" s="1">
        <f t="shared" si="1632"/>
        <v>-7.6503102101759451E-2</v>
      </c>
      <c r="O719" s="1">
        <f t="shared" si="1154"/>
        <v>-7.6503102101759451E-2</v>
      </c>
      <c r="P719" s="1">
        <f t="shared" si="1594"/>
        <v>7.6278897773785811E-2</v>
      </c>
      <c r="Q719" s="1">
        <f t="shared" si="1595"/>
        <v>0</v>
      </c>
      <c r="R719" s="1">
        <f t="shared" si="1596"/>
        <v>0.99414727536880776</v>
      </c>
      <c r="S719" s="1">
        <f t="shared" si="1597"/>
        <v>2.0347725685260576</v>
      </c>
      <c r="T719" s="1">
        <f t="shared" ref="T719:V719" si="1633">$S719*P719</f>
        <v>0.15521020874750274</v>
      </c>
      <c r="U719" s="1">
        <f t="shared" si="1633"/>
        <v>0</v>
      </c>
      <c r="V719" s="1">
        <f t="shared" si="1633"/>
        <v>2.0228636049953708</v>
      </c>
      <c r="W719" s="1">
        <f t="shared" si="1599"/>
        <v>-24.937958051311917</v>
      </c>
      <c r="X719" s="1">
        <f t="shared" si="1600"/>
        <v>0</v>
      </c>
      <c r="Y719" s="1">
        <f t="shared" si="1601"/>
        <v>-5.8584386482943671</v>
      </c>
    </row>
    <row r="720" spans="1:25">
      <c r="A720" s="1">
        <v>0.71799999999999997</v>
      </c>
      <c r="B720" s="1">
        <f t="shared" si="1602"/>
        <v>31.603742831093971</v>
      </c>
      <c r="C720" s="1">
        <f t="shared" si="1603"/>
        <v>0</v>
      </c>
      <c r="D720" s="1">
        <f t="shared" si="1604"/>
        <v>-0.10338180880152739</v>
      </c>
      <c r="E720" s="1">
        <f t="shared" si="1605"/>
        <v>24.769670941897182</v>
      </c>
      <c r="F720" s="1">
        <f t="shared" si="1606"/>
        <v>0</v>
      </c>
      <c r="G720" s="1">
        <f t="shared" si="1607"/>
        <v>-1.9082983330980745</v>
      </c>
      <c r="H720" s="1">
        <f t="shared" si="1152"/>
        <v>24.843071490819536</v>
      </c>
      <c r="I720" s="1">
        <f t="shared" si="1590"/>
        <v>-25.043317740726881</v>
      </c>
      <c r="J720" s="1">
        <f t="shared" si="1591"/>
        <v>0</v>
      </c>
      <c r="K720" s="1">
        <f t="shared" si="1592"/>
        <v>1.9293805562446504</v>
      </c>
      <c r="L720" s="1">
        <f t="shared" ref="L720:N720" si="1634">E720/$H720</f>
        <v>0.99704543180381389</v>
      </c>
      <c r="M720" s="1">
        <f t="shared" si="1634"/>
        <v>0</v>
      </c>
      <c r="N720" s="1">
        <f t="shared" si="1634"/>
        <v>-7.6814106251043221E-2</v>
      </c>
      <c r="O720" s="1">
        <f t="shared" si="1154"/>
        <v>-7.6814106251043221E-2</v>
      </c>
      <c r="P720" s="1">
        <f t="shared" si="1594"/>
        <v>7.6587153735695426E-2</v>
      </c>
      <c r="Q720" s="1">
        <f t="shared" si="1595"/>
        <v>0</v>
      </c>
      <c r="R720" s="1">
        <f t="shared" si="1596"/>
        <v>0.99409959308085349</v>
      </c>
      <c r="S720" s="1">
        <f t="shared" si="1597"/>
        <v>2.0307789560822767</v>
      </c>
      <c r="T720" s="1">
        <f t="shared" ref="T720:V720" si="1635">$S720*P720</f>
        <v>0.15553158011268839</v>
      </c>
      <c r="U720" s="1">
        <f t="shared" si="1635"/>
        <v>0</v>
      </c>
      <c r="V720" s="1">
        <f t="shared" si="1635"/>
        <v>2.0187965338785516</v>
      </c>
      <c r="W720" s="1">
        <f t="shared" si="1599"/>
        <v>-24.887786160614194</v>
      </c>
      <c r="X720" s="1">
        <f t="shared" si="1600"/>
        <v>0</v>
      </c>
      <c r="Y720" s="1">
        <f t="shared" si="1601"/>
        <v>-5.8584729098767969</v>
      </c>
    </row>
    <row r="721" spans="1:25">
      <c r="A721" s="1">
        <v>0.71899999999999997</v>
      </c>
      <c r="B721" s="1">
        <f t="shared" si="1602"/>
        <v>31.628487614249707</v>
      </c>
      <c r="C721" s="1">
        <f t="shared" si="1603"/>
        <v>0</v>
      </c>
      <c r="D721" s="1">
        <f t="shared" si="1604"/>
        <v>-0.10529596560753535</v>
      </c>
      <c r="E721" s="1">
        <f t="shared" si="1605"/>
        <v>24.744783155736567</v>
      </c>
      <c r="F721" s="1">
        <f t="shared" si="1606"/>
        <v>0</v>
      </c>
      <c r="G721" s="1">
        <f t="shared" si="1607"/>
        <v>-1.9141568060079512</v>
      </c>
      <c r="H721" s="1">
        <f t="shared" si="1152"/>
        <v>24.818708461610381</v>
      </c>
      <c r="I721" s="1">
        <f t="shared" si="1590"/>
        <v>-24.993620273285909</v>
      </c>
      <c r="J721" s="1">
        <f t="shared" si="1591"/>
        <v>0</v>
      </c>
      <c r="K721" s="1">
        <f t="shared" si="1592"/>
        <v>1.9334058436393053</v>
      </c>
      <c r="L721" s="1">
        <f t="shared" ref="L721:N721" si="1636">E721/$H721</f>
        <v>0.99702138787809358</v>
      </c>
      <c r="M721" s="1">
        <f t="shared" si="1636"/>
        <v>0</v>
      </c>
      <c r="N721" s="1">
        <f t="shared" si="1636"/>
        <v>-7.7125560702273124E-2</v>
      </c>
      <c r="O721" s="1">
        <f t="shared" si="1154"/>
        <v>-7.7125560702273124E-2</v>
      </c>
      <c r="P721" s="1">
        <f t="shared" si="1594"/>
        <v>7.6895833572256503E-2</v>
      </c>
      <c r="Q721" s="1">
        <f t="shared" si="1595"/>
        <v>0</v>
      </c>
      <c r="R721" s="1">
        <f t="shared" si="1596"/>
        <v>0.99405164788636002</v>
      </c>
      <c r="S721" s="1">
        <f t="shared" si="1597"/>
        <v>2.026797832645876</v>
      </c>
      <c r="T721" s="1">
        <f t="shared" ref="T721:V721" si="1637">$S721*P721</f>
        <v>0.15585230882374745</v>
      </c>
      <c r="U721" s="1">
        <f t="shared" si="1637"/>
        <v>0</v>
      </c>
      <c r="V721" s="1">
        <f t="shared" si="1637"/>
        <v>2.0147417254741358</v>
      </c>
      <c r="W721" s="1">
        <f t="shared" si="1599"/>
        <v>-24.837767964462163</v>
      </c>
      <c r="X721" s="1">
        <f t="shared" si="1600"/>
        <v>0</v>
      </c>
      <c r="Y721" s="1">
        <f t="shared" si="1601"/>
        <v>-5.8585024308865581</v>
      </c>
    </row>
    <row r="722" spans="1:25">
      <c r="A722" s="1">
        <v>0.72</v>
      </c>
      <c r="B722" s="1">
        <f t="shared" si="1602"/>
        <v>31.65320755963748</v>
      </c>
      <c r="C722" s="1">
        <f t="shared" si="1603"/>
        <v>0</v>
      </c>
      <c r="D722" s="1">
        <f t="shared" si="1604"/>
        <v>-0.10721598091597419</v>
      </c>
      <c r="E722" s="1">
        <f t="shared" si="1605"/>
        <v>24.719945387772103</v>
      </c>
      <c r="F722" s="1">
        <f t="shared" si="1606"/>
        <v>0</v>
      </c>
      <c r="G722" s="1">
        <f t="shared" si="1607"/>
        <v>-1.9200153084388378</v>
      </c>
      <c r="H722" s="1">
        <f t="shared" si="1152"/>
        <v>24.794397729307217</v>
      </c>
      <c r="I722" s="1">
        <f t="shared" si="1590"/>
        <v>-24.944075243084235</v>
      </c>
      <c r="J722" s="1">
        <f t="shared" si="1591"/>
        <v>0</v>
      </c>
      <c r="K722" s="1">
        <f t="shared" si="1592"/>
        <v>1.9374236297974416</v>
      </c>
      <c r="L722" s="1">
        <f t="shared" ref="L722:N722" si="1638">E722/$H722</f>
        <v>0.99699721113019368</v>
      </c>
      <c r="M722" s="1">
        <f t="shared" si="1638"/>
        <v>0</v>
      </c>
      <c r="N722" s="1">
        <f t="shared" si="1638"/>
        <v>-7.743746508387099E-2</v>
      </c>
      <c r="O722" s="1">
        <f t="shared" si="1154"/>
        <v>-7.743746508387099E-2</v>
      </c>
      <c r="P722" s="1">
        <f t="shared" si="1594"/>
        <v>7.7204936725611129E-2</v>
      </c>
      <c r="Q722" s="1">
        <f t="shared" si="1595"/>
        <v>0</v>
      </c>
      <c r="R722" s="1">
        <f t="shared" si="1596"/>
        <v>0.99400343900138421</v>
      </c>
      <c r="S722" s="1">
        <f t="shared" si="1597"/>
        <v>2.0228291485062733</v>
      </c>
      <c r="T722" s="1">
        <f t="shared" ref="T722:V722" si="1639">$S722*P722</f>
        <v>0.15617239641714867</v>
      </c>
      <c r="U722" s="1">
        <f t="shared" si="1639"/>
        <v>0</v>
      </c>
      <c r="V722" s="1">
        <f t="shared" si="1639"/>
        <v>2.0106991301274775</v>
      </c>
      <c r="W722" s="1">
        <f t="shared" si="1599"/>
        <v>-24.787902846667087</v>
      </c>
      <c r="X722" s="1">
        <f t="shared" si="1600"/>
        <v>0</v>
      </c>
      <c r="Y722" s="1">
        <f t="shared" si="1601"/>
        <v>-5.8585272400750803</v>
      </c>
    </row>
    <row r="723" spans="1:25">
      <c r="A723" s="1">
        <v>0.72099999999999997</v>
      </c>
      <c r="B723" s="1">
        <f t="shared" si="1602"/>
        <v>31.677902717122404</v>
      </c>
      <c r="C723" s="1">
        <f t="shared" si="1603"/>
        <v>0</v>
      </c>
      <c r="D723" s="1">
        <f t="shared" si="1604"/>
        <v>-0.1091418547516531</v>
      </c>
      <c r="E723" s="1">
        <f t="shared" si="1605"/>
        <v>24.695157484925435</v>
      </c>
      <c r="F723" s="1">
        <f t="shared" si="1606"/>
        <v>0</v>
      </c>
      <c r="G723" s="1">
        <f t="shared" si="1607"/>
        <v>-1.9258738356789129</v>
      </c>
      <c r="H723" s="1">
        <f t="shared" si="1152"/>
        <v>24.770139144466295</v>
      </c>
      <c r="I723" s="1">
        <f t="shared" si="1590"/>
        <v>-24.894682038559985</v>
      </c>
      <c r="J723" s="1">
        <f t="shared" si="1591"/>
        <v>0</v>
      </c>
      <c r="K723" s="1">
        <f t="shared" si="1592"/>
        <v>1.9414339355752128</v>
      </c>
      <c r="L723" s="1">
        <f t="shared" ref="L723:N723" si="1640">E723/$H723</f>
        <v>0.99697290115717374</v>
      </c>
      <c r="M723" s="1">
        <f t="shared" si="1640"/>
        <v>0</v>
      </c>
      <c r="N723" s="1">
        <f t="shared" si="1640"/>
        <v>-7.7749819023893427E-2</v>
      </c>
      <c r="O723" s="1">
        <f t="shared" si="1154"/>
        <v>-7.7749819023893427E-2</v>
      </c>
      <c r="P723" s="1">
        <f t="shared" si="1594"/>
        <v>7.7514462636696244E-2</v>
      </c>
      <c r="Q723" s="1">
        <f t="shared" si="1595"/>
        <v>0</v>
      </c>
      <c r="R723" s="1">
        <f t="shared" si="1596"/>
        <v>0.99395496564175179</v>
      </c>
      <c r="S723" s="1">
        <f t="shared" si="1597"/>
        <v>2.0188728542026415</v>
      </c>
      <c r="T723" s="1">
        <f t="shared" ref="T723:V723" si="1641">$S723*P723</f>
        <v>0.15649184442533096</v>
      </c>
      <c r="U723" s="1">
        <f t="shared" si="1641"/>
        <v>0</v>
      </c>
      <c r="V723" s="1">
        <f t="shared" si="1641"/>
        <v>2.0066686984340518</v>
      </c>
      <c r="W723" s="1">
        <f t="shared" si="1599"/>
        <v>-24.738190194134653</v>
      </c>
      <c r="X723" s="1">
        <f t="shared" si="1600"/>
        <v>0</v>
      </c>
      <c r="Y723" s="1">
        <f t="shared" si="1601"/>
        <v>-5.8585473659907343</v>
      </c>
    </row>
    <row r="724" spans="1:25">
      <c r="A724" s="1">
        <v>0.72199999999999998</v>
      </c>
      <c r="B724" s="1">
        <f t="shared" si="1602"/>
        <v>31.702573136417136</v>
      </c>
      <c r="C724" s="1">
        <f t="shared" si="1603"/>
        <v>0</v>
      </c>
      <c r="D724" s="1">
        <f t="shared" si="1604"/>
        <v>-0.111073587134698</v>
      </c>
      <c r="E724" s="1">
        <f t="shared" si="1605"/>
        <v>24.6704192947313</v>
      </c>
      <c r="F724" s="1">
        <f t="shared" si="1606"/>
        <v>0</v>
      </c>
      <c r="G724" s="1">
        <f t="shared" si="1607"/>
        <v>-1.9317323830449036</v>
      </c>
      <c r="H724" s="1">
        <f t="shared" si="1152"/>
        <v>24.745932558251969</v>
      </c>
      <c r="I724" s="1">
        <f t="shared" si="1590"/>
        <v>-24.845440051223061</v>
      </c>
      <c r="J724" s="1">
        <f t="shared" si="1591"/>
        <v>0</v>
      </c>
      <c r="K724" s="1">
        <f t="shared" si="1592"/>
        <v>1.9454367817817486</v>
      </c>
      <c r="L724" s="1">
        <f t="shared" ref="L724:N724" si="1642">E724/$H724</f>
        <v>0.99694845755588679</v>
      </c>
      <c r="M724" s="1">
        <f t="shared" si="1642"/>
        <v>0</v>
      </c>
      <c r="N724" s="1">
        <f t="shared" si="1642"/>
        <v>-7.8062622150028182E-2</v>
      </c>
      <c r="O724" s="1">
        <f t="shared" si="1154"/>
        <v>-7.8062622150028182E-2</v>
      </c>
      <c r="P724" s="1">
        <f t="shared" si="1594"/>
        <v>7.7824410745238604E-2</v>
      </c>
      <c r="Q724" s="1">
        <f t="shared" si="1595"/>
        <v>0</v>
      </c>
      <c r="R724" s="1">
        <f t="shared" si="1596"/>
        <v>0.99390622702306197</v>
      </c>
      <c r="S724" s="1">
        <f t="shared" si="1597"/>
        <v>2.0149289005224027</v>
      </c>
      <c r="T724" s="1">
        <f t="shared" ref="T724:V724" si="1643">$S724*P724</f>
        <v>0.15681065437670749</v>
      </c>
      <c r="U724" s="1">
        <f t="shared" si="1643"/>
        <v>0</v>
      </c>
      <c r="V724" s="1">
        <f t="shared" si="1643"/>
        <v>2.0026503812379479</v>
      </c>
      <c r="W724" s="1">
        <f t="shared" si="1599"/>
        <v>-24.688629396846355</v>
      </c>
      <c r="X724" s="1">
        <f t="shared" si="1600"/>
        <v>0</v>
      </c>
      <c r="Y724" s="1">
        <f t="shared" si="1601"/>
        <v>-5.8585628369803029</v>
      </c>
    </row>
    <row r="725" spans="1:25">
      <c r="A725" s="1">
        <v>0.72299999999999998</v>
      </c>
      <c r="B725" s="1">
        <f t="shared" si="1602"/>
        <v>31.72721886708247</v>
      </c>
      <c r="C725" s="1">
        <f t="shared" si="1603"/>
        <v>0</v>
      </c>
      <c r="D725" s="1">
        <f t="shared" si="1604"/>
        <v>-0.11301117808057989</v>
      </c>
      <c r="E725" s="1">
        <f t="shared" si="1605"/>
        <v>24.645730665334455</v>
      </c>
      <c r="F725" s="1">
        <f t="shared" si="1606"/>
        <v>0</v>
      </c>
      <c r="G725" s="1">
        <f t="shared" si="1607"/>
        <v>-1.9375909458818839</v>
      </c>
      <c r="H725" s="1">
        <f t="shared" si="1152"/>
        <v>24.721777822433616</v>
      </c>
      <c r="I725" s="1">
        <f t="shared" si="1590"/>
        <v>-24.796348675636604</v>
      </c>
      <c r="J725" s="1">
        <f t="shared" si="1591"/>
        <v>0</v>
      </c>
      <c r="K725" s="1">
        <f t="shared" si="1592"/>
        <v>1.9494321891791937</v>
      </c>
      <c r="L725" s="1">
        <f t="shared" ref="L725:N725" si="1644">E725/$H725</f>
        <v>0.99692387992298226</v>
      </c>
      <c r="M725" s="1">
        <f t="shared" si="1644"/>
        <v>0</v>
      </c>
      <c r="N725" s="1">
        <f t="shared" si="1644"/>
        <v>-7.8375874089590333E-2</v>
      </c>
      <c r="O725" s="1">
        <f t="shared" si="1154"/>
        <v>-7.8375874089590333E-2</v>
      </c>
      <c r="P725" s="1">
        <f t="shared" si="1594"/>
        <v>7.8134780489749533E-2</v>
      </c>
      <c r="Q725" s="1">
        <f t="shared" si="1595"/>
        <v>0</v>
      </c>
      <c r="R725" s="1">
        <f t="shared" si="1596"/>
        <v>0.99385722236069274</v>
      </c>
      <c r="S725" s="1">
        <f t="shared" si="1597"/>
        <v>2.0109972384997317</v>
      </c>
      <c r="T725" s="1">
        <f t="shared" ref="T725:V725" si="1645">$S725*P725</f>
        <v>0.15712882779566903</v>
      </c>
      <c r="U725" s="1">
        <f t="shared" si="1645"/>
        <v>0</v>
      </c>
      <c r="V725" s="1">
        <f t="shared" si="1645"/>
        <v>1.9986441296303668</v>
      </c>
      <c r="W725" s="1">
        <f t="shared" si="1599"/>
        <v>-24.639219847840934</v>
      </c>
      <c r="X725" s="1">
        <f t="shared" si="1600"/>
        <v>0</v>
      </c>
      <c r="Y725" s="1">
        <f t="shared" si="1601"/>
        <v>-5.858573681190439</v>
      </c>
    </row>
    <row r="726" spans="1:25">
      <c r="A726" s="1">
        <v>0.72399999999999998</v>
      </c>
      <c r="B726" s="1">
        <f t="shared" si="1602"/>
        <v>31.751839958527956</v>
      </c>
      <c r="C726" s="1">
        <f t="shared" si="1603"/>
        <v>0</v>
      </c>
      <c r="D726" s="1">
        <f t="shared" si="1604"/>
        <v>-0.11495462760014297</v>
      </c>
      <c r="E726" s="1">
        <f t="shared" si="1605"/>
        <v>24.621091445486613</v>
      </c>
      <c r="F726" s="1">
        <f t="shared" si="1606"/>
        <v>0</v>
      </c>
      <c r="G726" s="1">
        <f t="shared" si="1607"/>
        <v>-1.9434495195630743</v>
      </c>
      <c r="H726" s="1">
        <f t="shared" si="1152"/>
        <v>24.697674789382582</v>
      </c>
      <c r="I726" s="1">
        <f t="shared" si="1590"/>
        <v>-24.747407309398589</v>
      </c>
      <c r="J726" s="1">
        <f t="shared" si="1591"/>
        <v>0</v>
      </c>
      <c r="K726" s="1">
        <f t="shared" si="1592"/>
        <v>1.9534201784827434</v>
      </c>
      <c r="L726" s="1">
        <f t="shared" ref="L726:N726" si="1646">E726/$H726</f>
        <v>0.99689916785490706</v>
      </c>
      <c r="M726" s="1">
        <f t="shared" si="1646"/>
        <v>0</v>
      </c>
      <c r="N726" s="1">
        <f t="shared" si="1646"/>
        <v>-7.8689574469518658E-2</v>
      </c>
      <c r="O726" s="1">
        <f t="shared" si="1154"/>
        <v>-7.8689574469518658E-2</v>
      </c>
      <c r="P726" s="1">
        <f t="shared" si="1594"/>
        <v>7.844557130751989E-2</v>
      </c>
      <c r="Q726" s="1">
        <f t="shared" si="1595"/>
        <v>0</v>
      </c>
      <c r="R726" s="1">
        <f t="shared" si="1596"/>
        <v>0.99380795086980611</v>
      </c>
      <c r="S726" s="1">
        <f t="shared" si="1597"/>
        <v>2.0070778194140706</v>
      </c>
      <c r="T726" s="1">
        <f t="shared" ref="T726:V726" si="1647">$S726*P726</f>
        <v>0.15744636620258801</v>
      </c>
      <c r="U726" s="1">
        <f t="shared" si="1647"/>
        <v>0</v>
      </c>
      <c r="V726" s="1">
        <f t="shared" si="1647"/>
        <v>1.9946498949481362</v>
      </c>
      <c r="W726" s="1">
        <f t="shared" si="1599"/>
        <v>-24.589960943196001</v>
      </c>
      <c r="X726" s="1">
        <f t="shared" si="1600"/>
        <v>0</v>
      </c>
      <c r="Y726" s="1">
        <f t="shared" si="1601"/>
        <v>-5.8585799265691199</v>
      </c>
    </row>
    <row r="727" spans="1:25">
      <c r="A727" s="1">
        <v>0.72499999999999998</v>
      </c>
      <c r="B727" s="1">
        <f t="shared" si="1602"/>
        <v>31.776436460012498</v>
      </c>
      <c r="C727" s="1">
        <f t="shared" si="1603"/>
        <v>0</v>
      </c>
      <c r="D727" s="1">
        <f t="shared" si="1604"/>
        <v>-0.11690393569963262</v>
      </c>
      <c r="E727" s="1">
        <f t="shared" si="1605"/>
        <v>24.596501484543417</v>
      </c>
      <c r="F727" s="1">
        <f t="shared" si="1606"/>
        <v>0</v>
      </c>
      <c r="G727" s="1">
        <f t="shared" si="1607"/>
        <v>-1.9493080994896435</v>
      </c>
      <c r="H727" s="1">
        <f t="shared" si="1152"/>
        <v>24.673623312069154</v>
      </c>
      <c r="I727" s="1">
        <f t="shared" si="1590"/>
        <v>-24.698615353123603</v>
      </c>
      <c r="J727" s="1">
        <f t="shared" si="1591"/>
        <v>0</v>
      </c>
      <c r="K727" s="1">
        <f t="shared" si="1592"/>
        <v>1.9574007703606884</v>
      </c>
      <c r="L727" s="1">
        <f t="shared" ref="L727:N727" si="1648">E727/$H727</f>
        <v>0.99687432094790829</v>
      </c>
      <c r="M727" s="1">
        <f t="shared" si="1648"/>
        <v>0</v>
      </c>
      <c r="N727" s="1">
        <f t="shared" si="1648"/>
        <v>-7.900372291637181E-2</v>
      </c>
      <c r="O727" s="1">
        <f t="shared" si="1154"/>
        <v>-7.900372291637181E-2</v>
      </c>
      <c r="P727" s="1">
        <f t="shared" si="1594"/>
        <v>7.8756782634614844E-2</v>
      </c>
      <c r="Q727" s="1">
        <f t="shared" si="1595"/>
        <v>0</v>
      </c>
      <c r="R727" s="1">
        <f t="shared" si="1596"/>
        <v>0.99375841176535318</v>
      </c>
      <c r="S727" s="1">
        <f t="shared" si="1597"/>
        <v>2.0031705947886569</v>
      </c>
      <c r="T727" s="1">
        <f t="shared" ref="T727:V727" si="1649">$S727*P727</f>
        <v>0.15776327111382238</v>
      </c>
      <c r="U727" s="1">
        <f t="shared" si="1649"/>
        <v>0</v>
      </c>
      <c r="V727" s="1">
        <f t="shared" si="1649"/>
        <v>1.9906676287722336</v>
      </c>
      <c r="W727" s="1">
        <f t="shared" si="1599"/>
        <v>-24.540852082009781</v>
      </c>
      <c r="X727" s="1">
        <f t="shared" si="1600"/>
        <v>0</v>
      </c>
      <c r="Y727" s="1">
        <f t="shared" si="1601"/>
        <v>-5.8585816008670779</v>
      </c>
    </row>
    <row r="728" spans="1:25">
      <c r="A728" s="1">
        <v>0.72599999999999998</v>
      </c>
      <c r="B728" s="1">
        <f t="shared" si="1602"/>
        <v>31.801008420644958</v>
      </c>
      <c r="C728" s="1">
        <f t="shared" si="1603"/>
        <v>0</v>
      </c>
      <c r="D728" s="1">
        <f t="shared" si="1604"/>
        <v>-0.11885910238072313</v>
      </c>
      <c r="E728" s="1">
        <f t="shared" si="1605"/>
        <v>24.571960632461408</v>
      </c>
      <c r="F728" s="1">
        <f t="shared" si="1606"/>
        <v>0</v>
      </c>
      <c r="G728" s="1">
        <f t="shared" si="1607"/>
        <v>-1.9551666810905106</v>
      </c>
      <c r="H728" s="1">
        <f t="shared" si="1152"/>
        <v>24.649623244059526</v>
      </c>
      <c r="I728" s="1">
        <f t="shared" si="1590"/>
        <v>-24.649972210424689</v>
      </c>
      <c r="J728" s="1">
        <f t="shared" si="1591"/>
        <v>0</v>
      </c>
      <c r="K728" s="1">
        <f t="shared" si="1592"/>
        <v>1.9613739854344547</v>
      </c>
      <c r="L728" s="1">
        <f t="shared" ref="L728:N728" si="1650">E728/$H728</f>
        <v>0.99684933879803483</v>
      </c>
      <c r="M728" s="1">
        <f t="shared" si="1650"/>
        <v>0</v>
      </c>
      <c r="N728" s="1">
        <f t="shared" si="1650"/>
        <v>-7.9318319056324679E-2</v>
      </c>
      <c r="O728" s="1">
        <f t="shared" si="1154"/>
        <v>-7.9318319056324679E-2</v>
      </c>
      <c r="P728" s="1">
        <f t="shared" si="1594"/>
        <v>7.9068413905868828E-2</v>
      </c>
      <c r="Q728" s="1">
        <f t="shared" si="1595"/>
        <v>0</v>
      </c>
      <c r="R728" s="1">
        <f t="shared" si="1596"/>
        <v>0.99370860426207908</v>
      </c>
      <c r="S728" s="1">
        <f t="shared" si="1597"/>
        <v>1.9992755163890543</v>
      </c>
      <c r="T728" s="1">
        <f t="shared" ref="T728:V728" si="1651">$S728*P728</f>
        <v>0.15807954404171939</v>
      </c>
      <c r="U728" s="1">
        <f t="shared" si="1651"/>
        <v>0</v>
      </c>
      <c r="V728" s="1">
        <f t="shared" si="1651"/>
        <v>1.9866972829263145</v>
      </c>
      <c r="W728" s="1">
        <f t="shared" si="1599"/>
        <v>-24.49189266638297</v>
      </c>
      <c r="X728" s="1">
        <f t="shared" si="1600"/>
        <v>0</v>
      </c>
      <c r="Y728" s="1">
        <f t="shared" si="1601"/>
        <v>-5.8585787316392306</v>
      </c>
    </row>
    <row r="729" spans="1:25">
      <c r="A729" s="1">
        <v>0.72699999999999998</v>
      </c>
      <c r="B729" s="1">
        <f t="shared" si="1602"/>
        <v>31.825555889384752</v>
      </c>
      <c r="C729" s="1">
        <f t="shared" si="1603"/>
        <v>0</v>
      </c>
      <c r="D729" s="1">
        <f t="shared" si="1604"/>
        <v>-0.12082012764054528</v>
      </c>
      <c r="E729" s="1">
        <f t="shared" si="1605"/>
        <v>24.547468739795026</v>
      </c>
      <c r="F729" s="1">
        <f t="shared" si="1606"/>
        <v>0</v>
      </c>
      <c r="G729" s="1">
        <f t="shared" si="1607"/>
        <v>-1.9610252598221498</v>
      </c>
      <c r="H729" s="1">
        <f t="shared" si="1152"/>
        <v>24.62567443951281</v>
      </c>
      <c r="I729" s="1">
        <f t="shared" si="1590"/>
        <v>-24.601477287895346</v>
      </c>
      <c r="J729" s="1">
        <f t="shared" si="1591"/>
        <v>0</v>
      </c>
      <c r="K729" s="1">
        <f t="shared" si="1592"/>
        <v>1.9653398442786463</v>
      </c>
      <c r="L729" s="1">
        <f t="shared" ref="L729:N729" si="1652">E729/$H729</f>
        <v>0.99682422100113932</v>
      </c>
      <c r="M729" s="1">
        <f t="shared" si="1652"/>
        <v>0</v>
      </c>
      <c r="N729" s="1">
        <f t="shared" si="1652"/>
        <v>-7.9633362515164743E-2</v>
      </c>
      <c r="O729" s="1">
        <f t="shared" si="1154"/>
        <v>-7.9633362515164743E-2</v>
      </c>
      <c r="P729" s="1">
        <f t="shared" si="1594"/>
        <v>7.9380464554880417E-2</v>
      </c>
      <c r="Q729" s="1">
        <f t="shared" si="1595"/>
        <v>0</v>
      </c>
      <c r="R729" s="1">
        <f t="shared" si="1596"/>
        <v>0.99365852757452833</v>
      </c>
      <c r="S729" s="1">
        <f t="shared" si="1597"/>
        <v>1.9953925362217038</v>
      </c>
      <c r="T729" s="1">
        <f t="shared" ref="T729:V729" si="1653">$S729*P729</f>
        <v>0.15839518649461989</v>
      </c>
      <c r="U729" s="1">
        <f t="shared" si="1653"/>
        <v>0</v>
      </c>
      <c r="V729" s="1">
        <f t="shared" si="1653"/>
        <v>1.9827388094752618</v>
      </c>
      <c r="W729" s="1">
        <f t="shared" si="1599"/>
        <v>-24.443082101400726</v>
      </c>
      <c r="X729" s="1">
        <f t="shared" si="1600"/>
        <v>0</v>
      </c>
      <c r="Y729" s="1">
        <f t="shared" si="1601"/>
        <v>-5.8585713462460909</v>
      </c>
    </row>
    <row r="730" spans="1:25">
      <c r="A730" s="1">
        <v>0.72799999999999998</v>
      </c>
      <c r="B730" s="1">
        <f t="shared" si="1602"/>
        <v>31.850078915042445</v>
      </c>
      <c r="C730" s="1">
        <f t="shared" si="1603"/>
        <v>0</v>
      </c>
      <c r="D730" s="1">
        <f t="shared" si="1604"/>
        <v>-0.12278701147171368</v>
      </c>
      <c r="E730" s="1">
        <f t="shared" si="1605"/>
        <v>24.523025657693626</v>
      </c>
      <c r="F730" s="1">
        <f t="shared" si="1606"/>
        <v>0</v>
      </c>
      <c r="G730" s="1">
        <f t="shared" si="1607"/>
        <v>-1.9668838311683958</v>
      </c>
      <c r="H730" s="1">
        <f t="shared" si="1152"/>
        <v>24.601776753178044</v>
      </c>
      <c r="I730" s="1">
        <f t="shared" si="1590"/>
        <v>-24.553129995091648</v>
      </c>
      <c r="J730" s="1">
        <f t="shared" si="1591"/>
        <v>0</v>
      </c>
      <c r="K730" s="1">
        <f t="shared" si="1592"/>
        <v>1.9692983674210882</v>
      </c>
      <c r="L730" s="1">
        <f t="shared" ref="L730:N730" si="1654">E730/$H730</f>
        <v>0.99679896715288074</v>
      </c>
      <c r="M730" s="1">
        <f t="shared" si="1654"/>
        <v>0</v>
      </c>
      <c r="N730" s="1">
        <f t="shared" si="1654"/>
        <v>-7.9948852918288307E-2</v>
      </c>
      <c r="O730" s="1">
        <f t="shared" si="1154"/>
        <v>-7.9948852918288307E-2</v>
      </c>
      <c r="P730" s="1">
        <f t="shared" si="1594"/>
        <v>7.9692934014007358E-2</v>
      </c>
      <c r="Q730" s="1">
        <f t="shared" si="1595"/>
        <v>0</v>
      </c>
      <c r="R730" s="1">
        <f t="shared" si="1596"/>
        <v>0.99360818091704994</v>
      </c>
      <c r="S730" s="1">
        <f t="shared" si="1597"/>
        <v>1.9915216065324761</v>
      </c>
      <c r="T730" s="1">
        <f t="shared" ref="T730:V730" si="1655">$S730*P730</f>
        <v>0.15871019997686253</v>
      </c>
      <c r="U730" s="1">
        <f t="shared" si="1655"/>
        <v>0</v>
      </c>
      <c r="V730" s="1">
        <f t="shared" si="1655"/>
        <v>1.9787921607237344</v>
      </c>
      <c r="W730" s="1">
        <f t="shared" si="1599"/>
        <v>-24.394419795114786</v>
      </c>
      <c r="X730" s="1">
        <f t="shared" si="1600"/>
        <v>0</v>
      </c>
      <c r="Y730" s="1">
        <f t="shared" si="1601"/>
        <v>-5.8585594718551768</v>
      </c>
    </row>
    <row r="731" spans="1:25">
      <c r="A731" s="1">
        <v>0.72899999999999998</v>
      </c>
      <c r="B731" s="1">
        <f t="shared" si="1602"/>
        <v>31.874577546280342</v>
      </c>
      <c r="C731" s="1">
        <f t="shared" si="1603"/>
        <v>0</v>
      </c>
      <c r="D731" s="1">
        <f t="shared" si="1604"/>
        <v>-0.12475975386235394</v>
      </c>
      <c r="E731" s="1">
        <f t="shared" si="1605"/>
        <v>24.498631237898511</v>
      </c>
      <c r="F731" s="1">
        <f t="shared" si="1606"/>
        <v>0</v>
      </c>
      <c r="G731" s="1">
        <f t="shared" si="1607"/>
        <v>-1.972742390640251</v>
      </c>
      <c r="H731" s="1">
        <f t="shared" si="1152"/>
        <v>24.57793004039123</v>
      </c>
      <c r="I731" s="1">
        <f t="shared" si="1590"/>
        <v>-24.504929744514481</v>
      </c>
      <c r="J731" s="1">
        <f t="shared" si="1591"/>
        <v>0</v>
      </c>
      <c r="K731" s="1">
        <f t="shared" si="1592"/>
        <v>1.9732495753428736</v>
      </c>
      <c r="L731" s="1">
        <f t="shared" ref="L731:N731" si="1656">E731/$H731</f>
        <v>0.9967735768487257</v>
      </c>
      <c r="M731" s="1">
        <f t="shared" si="1656"/>
        <v>0</v>
      </c>
      <c r="N731" s="1">
        <f t="shared" si="1656"/>
        <v>-8.026478989069695E-2</v>
      </c>
      <c r="O731" s="1">
        <f t="shared" si="1154"/>
        <v>-8.026478989069695E-2</v>
      </c>
      <c r="P731" s="1">
        <f t="shared" si="1594"/>
        <v>8.0005821714361436E-2</v>
      </c>
      <c r="Q731" s="1">
        <f t="shared" si="1595"/>
        <v>0</v>
      </c>
      <c r="R731" s="1">
        <f t="shared" si="1596"/>
        <v>0.99355756350380231</v>
      </c>
      <c r="S731" s="1">
        <f t="shared" si="1597"/>
        <v>1.9876626798052397</v>
      </c>
      <c r="T731" s="1">
        <f t="shared" ref="T731:V731" si="1657">$S731*P731</f>
        <v>0.15902458598878788</v>
      </c>
      <c r="U731" s="1">
        <f t="shared" si="1657"/>
        <v>0</v>
      </c>
      <c r="V731" s="1">
        <f t="shared" si="1657"/>
        <v>1.9748572892147322</v>
      </c>
      <c r="W731" s="1">
        <f t="shared" si="1599"/>
        <v>-24.345905158525692</v>
      </c>
      <c r="X731" s="1">
        <f t="shared" si="1600"/>
        <v>0</v>
      </c>
      <c r="Y731" s="1">
        <f t="shared" si="1601"/>
        <v>-5.8585431354423934</v>
      </c>
    </row>
    <row r="732" spans="1:25">
      <c r="A732" s="1">
        <v>0.73</v>
      </c>
      <c r="B732" s="1">
        <f t="shared" si="1602"/>
        <v>31.899051831613082</v>
      </c>
      <c r="C732" s="1">
        <f t="shared" si="1603"/>
        <v>0</v>
      </c>
      <c r="D732" s="1">
        <f t="shared" si="1604"/>
        <v>-0.12673835479612963</v>
      </c>
      <c r="E732" s="1">
        <f t="shared" si="1605"/>
        <v>24.474285332739985</v>
      </c>
      <c r="F732" s="1">
        <f t="shared" si="1606"/>
        <v>0</v>
      </c>
      <c r="G732" s="1">
        <f t="shared" si="1607"/>
        <v>-1.9786009337756933</v>
      </c>
      <c r="H732" s="1">
        <f t="shared" si="1152"/>
        <v>24.554134157072401</v>
      </c>
      <c r="I732" s="1">
        <f t="shared" si="1590"/>
        <v>-24.456875951591954</v>
      </c>
      <c r="J732" s="1">
        <f t="shared" si="1591"/>
        <v>0</v>
      </c>
      <c r="K732" s="1">
        <f t="shared" si="1592"/>
        <v>1.9771934884784095</v>
      </c>
      <c r="L732" s="1">
        <f t="shared" ref="L732:N732" si="1658">E732/$H732</f>
        <v>0.99674804968395037</v>
      </c>
      <c r="M732" s="1">
        <f t="shared" si="1658"/>
        <v>0</v>
      </c>
      <c r="N732" s="1">
        <f t="shared" si="1658"/>
        <v>-8.0581173056993791E-2</v>
      </c>
      <c r="O732" s="1">
        <f t="shared" si="1154"/>
        <v>-8.0581173056993791E-2</v>
      </c>
      <c r="P732" s="1">
        <f t="shared" si="1594"/>
        <v>8.0319127085803452E-2</v>
      </c>
      <c r="Q732" s="1">
        <f t="shared" si="1595"/>
        <v>0</v>
      </c>
      <c r="R732" s="1">
        <f t="shared" si="1596"/>
        <v>0.99350667454875885</v>
      </c>
      <c r="S732" s="1">
        <f t="shared" si="1597"/>
        <v>1.9838157087604373</v>
      </c>
      <c r="T732" s="1">
        <f t="shared" ref="T732:V732" si="1659">$S732*P732</f>
        <v>0.15933834602674282</v>
      </c>
      <c r="U732" s="1">
        <f t="shared" si="1659"/>
        <v>0</v>
      </c>
      <c r="V732" s="1">
        <f t="shared" si="1659"/>
        <v>1.9709341477281712</v>
      </c>
      <c r="W732" s="1">
        <f t="shared" si="1599"/>
        <v>-24.297537605565211</v>
      </c>
      <c r="X732" s="1">
        <f t="shared" si="1600"/>
        <v>0</v>
      </c>
      <c r="Y732" s="1">
        <f t="shared" si="1601"/>
        <v>-5.8585223637934192</v>
      </c>
    </row>
    <row r="733" spans="1:25">
      <c r="A733" s="1">
        <v>0.73099999999999998</v>
      </c>
      <c r="B733" s="1">
        <f t="shared" si="1602"/>
        <v>31.923501819408216</v>
      </c>
      <c r="C733" s="1">
        <f t="shared" si="1603"/>
        <v>0</v>
      </c>
      <c r="D733" s="1">
        <f t="shared" si="1604"/>
        <v>-0.12872281425226911</v>
      </c>
      <c r="E733" s="1">
        <f t="shared" si="1605"/>
        <v>24.449987795134419</v>
      </c>
      <c r="F733" s="1">
        <f t="shared" si="1606"/>
        <v>0</v>
      </c>
      <c r="G733" s="1">
        <f t="shared" si="1607"/>
        <v>-1.9844594561394868</v>
      </c>
      <c r="H733" s="1">
        <f t="shared" si="1152"/>
        <v>24.530388959722661</v>
      </c>
      <c r="I733" s="1">
        <f t="shared" si="1590"/>
        <v>-24.408968034661843</v>
      </c>
      <c r="J733" s="1">
        <f t="shared" si="1591"/>
        <v>0</v>
      </c>
      <c r="K733" s="1">
        <f t="shared" si="1592"/>
        <v>1.9811301272154627</v>
      </c>
      <c r="L733" s="1">
        <f t="shared" ref="L733:N733" si="1660">E733/$H733</f>
        <v>0.99672238525364376</v>
      </c>
      <c r="M733" s="1">
        <f t="shared" si="1660"/>
        <v>0</v>
      </c>
      <c r="N733" s="1">
        <f t="shared" si="1660"/>
        <v>-8.0898002041379896E-2</v>
      </c>
      <c r="O733" s="1">
        <f t="shared" si="1154"/>
        <v>-8.0898002041379896E-2</v>
      </c>
      <c r="P733" s="1">
        <f t="shared" si="1594"/>
        <v>8.0632849556938307E-2</v>
      </c>
      <c r="Q733" s="1">
        <f t="shared" si="1595"/>
        <v>0</v>
      </c>
      <c r="R733" s="1">
        <f t="shared" si="1596"/>
        <v>0.99345551326571291</v>
      </c>
      <c r="S733" s="1">
        <f t="shared" si="1597"/>
        <v>1.9799806463536698</v>
      </c>
      <c r="T733" s="1">
        <f t="shared" ref="T733:V733" si="1661">$S733*P733</f>
        <v>0.15965148158308493</v>
      </c>
      <c r="U733" s="1">
        <f t="shared" si="1661"/>
        <v>0</v>
      </c>
      <c r="V733" s="1">
        <f t="shared" si="1661"/>
        <v>1.9670226892794629</v>
      </c>
      <c r="W733" s="1">
        <f t="shared" si="1599"/>
        <v>-24.249316553078756</v>
      </c>
      <c r="X733" s="1">
        <f t="shared" si="1600"/>
        <v>0</v>
      </c>
      <c r="Y733" s="1">
        <f t="shared" si="1601"/>
        <v>-5.8584971835050741</v>
      </c>
    </row>
    <row r="734" spans="1:25">
      <c r="A734" s="1">
        <v>0.73199999999999998</v>
      </c>
      <c r="B734" s="1">
        <f t="shared" si="1602"/>
        <v>31.947927557886796</v>
      </c>
      <c r="C734" s="1">
        <f t="shared" si="1603"/>
        <v>0</v>
      </c>
      <c r="D734" s="1">
        <f t="shared" si="1604"/>
        <v>-0.13071313220559211</v>
      </c>
      <c r="E734" s="1">
        <f t="shared" si="1605"/>
        <v>24.425738478581341</v>
      </c>
      <c r="F734" s="1">
        <f t="shared" si="1606"/>
        <v>0</v>
      </c>
      <c r="G734" s="1">
        <f t="shared" si="1607"/>
        <v>-1.990317953322992</v>
      </c>
      <c r="H734" s="1">
        <f t="shared" si="1152"/>
        <v>24.506694305421302</v>
      </c>
      <c r="I734" s="1">
        <f t="shared" si="1590"/>
        <v>-24.361205414954235</v>
      </c>
      <c r="J734" s="1">
        <f t="shared" si="1591"/>
        <v>0</v>
      </c>
      <c r="K734" s="1">
        <f t="shared" si="1592"/>
        <v>1.985059511895209</v>
      </c>
      <c r="L734" s="1">
        <f t="shared" ref="L734:N734" si="1662">E734/$H734</f>
        <v>0.99669658315270815</v>
      </c>
      <c r="M734" s="1">
        <f t="shared" si="1662"/>
        <v>0</v>
      </c>
      <c r="N734" s="1">
        <f t="shared" si="1662"/>
        <v>-8.1215276467650699E-2</v>
      </c>
      <c r="O734" s="1">
        <f t="shared" si="1154"/>
        <v>-8.1215276467650699E-2</v>
      </c>
      <c r="P734" s="1">
        <f t="shared" si="1594"/>
        <v>8.0946988555109997E-2</v>
      </c>
      <c r="Q734" s="1">
        <f t="shared" si="1595"/>
        <v>0</v>
      </c>
      <c r="R734" s="1">
        <f t="shared" si="1596"/>
        <v>0.99340407886828308</v>
      </c>
      <c r="S734" s="1">
        <f t="shared" si="1597"/>
        <v>1.9761574457742954</v>
      </c>
      <c r="T734" s="1">
        <f t="shared" ref="T734:V734" si="1663">$S734*P734</f>
        <v>0.15996399414618728</v>
      </c>
      <c r="U734" s="1">
        <f t="shared" si="1663"/>
        <v>0</v>
      </c>
      <c r="V734" s="1">
        <f t="shared" si="1663"/>
        <v>1.9631228671181129</v>
      </c>
      <c r="W734" s="1">
        <f t="shared" si="1599"/>
        <v>-24.201241420808046</v>
      </c>
      <c r="X734" s="1">
        <f t="shared" si="1600"/>
        <v>0</v>
      </c>
      <c r="Y734" s="1">
        <f t="shared" si="1601"/>
        <v>-5.8584676209866773</v>
      </c>
    </row>
    <row r="735" spans="1:25">
      <c r="A735" s="1">
        <v>0.73299999999999998</v>
      </c>
      <c r="B735" s="1">
        <f t="shared" si="1602"/>
        <v>31.972329095123957</v>
      </c>
      <c r="C735" s="1">
        <f t="shared" si="1603"/>
        <v>0</v>
      </c>
      <c r="D735" s="1">
        <f t="shared" si="1604"/>
        <v>-0.1327093086265361</v>
      </c>
      <c r="E735" s="1">
        <f t="shared" si="1605"/>
        <v>24.401537237160532</v>
      </c>
      <c r="F735" s="1">
        <f t="shared" si="1606"/>
        <v>0</v>
      </c>
      <c r="G735" s="1">
        <f t="shared" si="1607"/>
        <v>-1.9961764209439787</v>
      </c>
      <c r="H735" s="1">
        <f t="shared" si="1152"/>
        <v>24.48305005182289</v>
      </c>
      <c r="I735" s="1">
        <f t="shared" si="1590"/>
        <v>-24.313587516574245</v>
      </c>
      <c r="J735" s="1">
        <f t="shared" si="1591"/>
        <v>0</v>
      </c>
      <c r="K735" s="1">
        <f t="shared" si="1592"/>
        <v>1.9889816628122821</v>
      </c>
      <c r="L735" s="1">
        <f t="shared" ref="L735:N735" si="1664">E735/$H735</f>
        <v>0.99667064297586205</v>
      </c>
      <c r="M735" s="1">
        <f t="shared" si="1664"/>
        <v>0</v>
      </c>
      <c r="N735" s="1">
        <f t="shared" si="1664"/>
        <v>-8.1532995959192306E-2</v>
      </c>
      <c r="O735" s="1">
        <f t="shared" si="1154"/>
        <v>-8.1532995959192306E-2</v>
      </c>
      <c r="P735" s="1">
        <f t="shared" si="1594"/>
        <v>8.1261543506396555E-2</v>
      </c>
      <c r="Q735" s="1">
        <f t="shared" si="1595"/>
        <v>0</v>
      </c>
      <c r="R735" s="1">
        <f t="shared" si="1596"/>
        <v>0.99335237056991832</v>
      </c>
      <c r="S735" s="1">
        <f t="shared" si="1597"/>
        <v>1.9723460604440324</v>
      </c>
      <c r="T735" s="1">
        <f t="shared" ref="T735:V735" si="1665">$S735*P735</f>
        <v>0.16027588520044259</v>
      </c>
      <c r="U735" s="1">
        <f t="shared" si="1665"/>
        <v>0</v>
      </c>
      <c r="V735" s="1">
        <f t="shared" si="1665"/>
        <v>1.959234634726319</v>
      </c>
      <c r="W735" s="1">
        <f t="shared" si="1599"/>
        <v>-24.153311631373803</v>
      </c>
      <c r="X735" s="1">
        <f t="shared" si="1600"/>
        <v>0</v>
      </c>
      <c r="Y735" s="1">
        <f t="shared" si="1601"/>
        <v>-5.8584337024613982</v>
      </c>
    </row>
    <row r="736" spans="1:25">
      <c r="A736" s="1">
        <v>0.73399999999999999</v>
      </c>
      <c r="B736" s="1">
        <f t="shared" si="1602"/>
        <v>31.996706479049486</v>
      </c>
      <c r="C736" s="1">
        <f t="shared" si="1603"/>
        <v>0</v>
      </c>
      <c r="D736" s="1">
        <f t="shared" si="1604"/>
        <v>-0.13471134348118255</v>
      </c>
      <c r="E736" s="1">
        <f t="shared" si="1605"/>
        <v>24.377383925529159</v>
      </c>
      <c r="F736" s="1">
        <f t="shared" si="1606"/>
        <v>0</v>
      </c>
      <c r="G736" s="1">
        <f t="shared" si="1607"/>
        <v>-2.0020348546464399</v>
      </c>
      <c r="H736" s="1">
        <f t="shared" si="1152"/>
        <v>24.459456057154391</v>
      </c>
      <c r="I736" s="1">
        <f t="shared" si="1590"/>
        <v>-24.266113766484882</v>
      </c>
      <c r="J736" s="1">
        <f t="shared" si="1591"/>
        <v>0</v>
      </c>
      <c r="K736" s="1">
        <f t="shared" si="1592"/>
        <v>1.992896600214823</v>
      </c>
      <c r="L736" s="1">
        <f t="shared" ref="L736:N736" si="1666">E736/$H736</f>
        <v>0.99664456431764248</v>
      </c>
      <c r="M736" s="1">
        <f t="shared" si="1666"/>
        <v>0</v>
      </c>
      <c r="N736" s="1">
        <f t="shared" si="1666"/>
        <v>-8.1851160138978016E-2</v>
      </c>
      <c r="O736" s="1">
        <f t="shared" si="1154"/>
        <v>-8.1851160138978016E-2</v>
      </c>
      <c r="P736" s="1">
        <f t="shared" si="1594"/>
        <v>8.1576513835605324E-2</v>
      </c>
      <c r="Q736" s="1">
        <f t="shared" si="1595"/>
        <v>0</v>
      </c>
      <c r="R736" s="1">
        <f t="shared" si="1596"/>
        <v>0.99330038758390338</v>
      </c>
      <c r="S736" s="1">
        <f t="shared" si="1597"/>
        <v>1.9685464440155758</v>
      </c>
      <c r="T736" s="1">
        <f t="shared" ref="T736:V736" si="1667">$S736*P736</f>
        <v>0.16058715622626829</v>
      </c>
      <c r="U736" s="1">
        <f t="shared" si="1667"/>
        <v>0</v>
      </c>
      <c r="V736" s="1">
        <f t="shared" si="1667"/>
        <v>1.9553579458175863</v>
      </c>
      <c r="W736" s="1">
        <f t="shared" si="1599"/>
        <v>-24.105526610258615</v>
      </c>
      <c r="X736" s="1">
        <f t="shared" si="1600"/>
        <v>0</v>
      </c>
      <c r="Y736" s="1">
        <f t="shared" si="1601"/>
        <v>-5.8583954539675904</v>
      </c>
    </row>
    <row r="737" spans="1:25">
      <c r="A737" s="1">
        <v>0.73499999999999999</v>
      </c>
      <c r="B737" s="1">
        <f t="shared" si="1602"/>
        <v>32.021059757448405</v>
      </c>
      <c r="C737" s="1">
        <f t="shared" si="1603"/>
        <v>0</v>
      </c>
      <c r="D737" s="1">
        <f t="shared" si="1604"/>
        <v>-0.13671923673128294</v>
      </c>
      <c r="E737" s="1">
        <f t="shared" si="1605"/>
        <v>24.353278398918899</v>
      </c>
      <c r="F737" s="1">
        <f t="shared" si="1606"/>
        <v>0</v>
      </c>
      <c r="G737" s="1">
        <f t="shared" si="1607"/>
        <v>-2.0078932501004076</v>
      </c>
      <c r="H737" s="1">
        <f t="shared" si="1152"/>
        <v>24.435912180212316</v>
      </c>
      <c r="I737" s="1">
        <f t="shared" si="1590"/>
        <v>-24.218783594490031</v>
      </c>
      <c r="J737" s="1">
        <f t="shared" si="1591"/>
        <v>0</v>
      </c>
      <c r="K737" s="1">
        <f t="shared" si="1592"/>
        <v>1.9968043443045338</v>
      </c>
      <c r="L737" s="1">
        <f t="shared" ref="L737:N737" si="1668">E737/$H737</f>
        <v>0.99661834677240602</v>
      </c>
      <c r="M737" s="1">
        <f t="shared" si="1668"/>
        <v>0</v>
      </c>
      <c r="N737" s="1">
        <f t="shared" si="1668"/>
        <v>-8.2169768629564682E-2</v>
      </c>
      <c r="O737" s="1">
        <f t="shared" si="1154"/>
        <v>-8.2169768629564682E-2</v>
      </c>
      <c r="P737" s="1">
        <f t="shared" si="1594"/>
        <v>8.1891898966267862E-2</v>
      </c>
      <c r="Q737" s="1">
        <f t="shared" si="1595"/>
        <v>0</v>
      </c>
      <c r="R737" s="1">
        <f t="shared" si="1596"/>
        <v>0.9932481291233638</v>
      </c>
      <c r="S737" s="1">
        <f t="shared" si="1597"/>
        <v>1.964758550371223</v>
      </c>
      <c r="T737" s="1">
        <f t="shared" ref="T737:V737" si="1669">$S737*P737</f>
        <v>0.16089780870011111</v>
      </c>
      <c r="U737" s="1">
        <f t="shared" si="1669"/>
        <v>0</v>
      </c>
      <c r="V737" s="1">
        <f t="shared" si="1669"/>
        <v>1.9514927543353495</v>
      </c>
      <c r="W737" s="1">
        <f t="shared" si="1599"/>
        <v>-24.057885785789921</v>
      </c>
      <c r="X737" s="1">
        <f t="shared" si="1600"/>
        <v>0</v>
      </c>
      <c r="Y737" s="1">
        <f t="shared" si="1601"/>
        <v>-5.8583529013601163</v>
      </c>
    </row>
    <row r="738" spans="1:25">
      <c r="A738" s="1">
        <v>0.73599999999999999</v>
      </c>
      <c r="B738" s="1">
        <f t="shared" si="1602"/>
        <v>32.045388977961537</v>
      </c>
      <c r="C738" s="1">
        <f t="shared" si="1603"/>
        <v>0</v>
      </c>
      <c r="D738" s="1">
        <f t="shared" si="1604"/>
        <v>-0.13873298833428471</v>
      </c>
      <c r="E738" s="1">
        <f t="shared" si="1605"/>
        <v>24.329220513133109</v>
      </c>
      <c r="F738" s="1">
        <f t="shared" si="1606"/>
        <v>0</v>
      </c>
      <c r="G738" s="1">
        <f t="shared" si="1607"/>
        <v>-2.0137516030017677</v>
      </c>
      <c r="H738" s="1">
        <f t="shared" si="1152"/>
        <v>24.412418280359876</v>
      </c>
      <c r="I738" s="1">
        <f t="shared" si="1590"/>
        <v>-24.171596433217537</v>
      </c>
      <c r="J738" s="1">
        <f t="shared" si="1591"/>
        <v>0</v>
      </c>
      <c r="K738" s="1">
        <f t="shared" si="1592"/>
        <v>2.0007049152367276</v>
      </c>
      <c r="L738" s="1">
        <f t="shared" ref="L738:N738" si="1670">E738/$H738</f>
        <v>0.99659198993433185</v>
      </c>
      <c r="M738" s="1">
        <f t="shared" si="1670"/>
        <v>0</v>
      </c>
      <c r="N738" s="1">
        <f t="shared" si="1670"/>
        <v>-8.2488821053089134E-2</v>
      </c>
      <c r="O738" s="1">
        <f t="shared" si="1154"/>
        <v>-8.2488821053089134E-2</v>
      </c>
      <c r="P738" s="1">
        <f t="shared" si="1594"/>
        <v>8.2207698320635111E-2</v>
      </c>
      <c r="Q738" s="1">
        <f t="shared" si="1595"/>
        <v>0</v>
      </c>
      <c r="R738" s="1">
        <f t="shared" si="1596"/>
        <v>0.99319559440127148</v>
      </c>
      <c r="S738" s="1">
        <f t="shared" si="1597"/>
        <v>1.960982333621508</v>
      </c>
      <c r="T738" s="1">
        <f t="shared" ref="T738:V738" si="1671">$S738*P738</f>
        <v>0.16120784409445196</v>
      </c>
      <c r="U738" s="1">
        <f t="shared" si="1671"/>
        <v>0</v>
      </c>
      <c r="V738" s="1">
        <f t="shared" si="1671"/>
        <v>1.947639014451606</v>
      </c>
      <c r="W738" s="1">
        <f t="shared" si="1599"/>
        <v>-24.010388589123085</v>
      </c>
      <c r="X738" s="1">
        <f t="shared" si="1600"/>
        <v>0</v>
      </c>
      <c r="Y738" s="1">
        <f t="shared" si="1601"/>
        <v>-5.8583060703116656</v>
      </c>
    </row>
    <row r="739" spans="1:25">
      <c r="A739" s="1">
        <v>0.73699999999999999</v>
      </c>
      <c r="B739" s="1">
        <f t="shared" si="1602"/>
        <v>32.069694188086082</v>
      </c>
      <c r="C739" s="1">
        <f t="shared" si="1603"/>
        <v>0</v>
      </c>
      <c r="D739" s="1">
        <f t="shared" si="1604"/>
        <v>-0.14075259824335679</v>
      </c>
      <c r="E739" s="1">
        <f t="shared" si="1605"/>
        <v>24.305210124543986</v>
      </c>
      <c r="F739" s="1">
        <f t="shared" si="1606"/>
        <v>0</v>
      </c>
      <c r="G739" s="1">
        <f t="shared" si="1607"/>
        <v>-2.0196099090720794</v>
      </c>
      <c r="H739" s="1">
        <f t="shared" si="1152"/>
        <v>24.388974217524147</v>
      </c>
      <c r="I739" s="1">
        <f t="shared" si="1590"/>
        <v>-24.124551718102417</v>
      </c>
      <c r="J739" s="1">
        <f t="shared" si="1591"/>
        <v>0</v>
      </c>
      <c r="K739" s="1">
        <f t="shared" si="1592"/>
        <v>2.0045983331203816</v>
      </c>
      <c r="L739" s="1">
        <f t="shared" ref="L739:N739" si="1672">E739/$H739</f>
        <v>0.99656549339742329</v>
      </c>
      <c r="M739" s="1">
        <f t="shared" si="1672"/>
        <v>0</v>
      </c>
      <c r="N739" s="1">
        <f t="shared" si="1672"/>
        <v>-8.280831703126465E-2</v>
      </c>
      <c r="O739" s="1">
        <f t="shared" si="1154"/>
        <v>-8.280831703126465E-2</v>
      </c>
      <c r="P739" s="1">
        <f t="shared" si="1594"/>
        <v>8.2523911319672502E-2</v>
      </c>
      <c r="Q739" s="1">
        <f t="shared" si="1595"/>
        <v>0</v>
      </c>
      <c r="R739" s="1">
        <f t="shared" si="1596"/>
        <v>0.99314278263044953</v>
      </c>
      <c r="S739" s="1">
        <f t="shared" si="1597"/>
        <v>1.9572177481038449</v>
      </c>
      <c r="T739" s="1">
        <f t="shared" ref="T739:V739" si="1673">$S739*P739</f>
        <v>0.16151726387781082</v>
      </c>
      <c r="U739" s="1">
        <f t="shared" si="1673"/>
        <v>0</v>
      </c>
      <c r="V739" s="1">
        <f t="shared" si="1673"/>
        <v>1.9437966805655547</v>
      </c>
      <c r="W739" s="1">
        <f t="shared" si="1599"/>
        <v>-23.963034454224605</v>
      </c>
      <c r="X739" s="1">
        <f t="shared" si="1600"/>
        <v>0</v>
      </c>
      <c r="Y739" s="1">
        <f t="shared" si="1601"/>
        <v>-5.8582549863140629</v>
      </c>
    </row>
    <row r="740" spans="1:25">
      <c r="A740" s="1">
        <v>0.73799999999999999</v>
      </c>
      <c r="B740" s="1">
        <f t="shared" si="1602"/>
        <v>32.093975435176169</v>
      </c>
      <c r="C740" s="1">
        <f t="shared" si="1603"/>
        <v>0</v>
      </c>
      <c r="D740" s="1">
        <f t="shared" si="1604"/>
        <v>-0.14277806640741517</v>
      </c>
      <c r="E740" s="1">
        <f t="shared" si="1605"/>
        <v>24.28124709008976</v>
      </c>
      <c r="F740" s="1">
        <f t="shared" si="1606"/>
        <v>0</v>
      </c>
      <c r="G740" s="1">
        <f t="shared" si="1607"/>
        <v>-2.0254681640583936</v>
      </c>
      <c r="H740" s="1">
        <f t="shared" si="1152"/>
        <v>24.365579852193267</v>
      </c>
      <c r="I740" s="1">
        <f t="shared" si="1590"/>
        <v>-24.077648887370177</v>
      </c>
      <c r="J740" s="1">
        <f t="shared" si="1591"/>
        <v>0</v>
      </c>
      <c r="K740" s="1">
        <f t="shared" si="1592"/>
        <v>2.0084846180181932</v>
      </c>
      <c r="L740" s="1">
        <f t="shared" ref="L740:N740" si="1674">E740/$H740</f>
        <v>0.99653885675550968</v>
      </c>
      <c r="M740" s="1">
        <f t="shared" si="1674"/>
        <v>0</v>
      </c>
      <c r="N740" s="1">
        <f t="shared" si="1674"/>
        <v>-8.3128256185377461E-2</v>
      </c>
      <c r="O740" s="1">
        <f t="shared" si="1154"/>
        <v>-8.3128256185377461E-2</v>
      </c>
      <c r="P740" s="1">
        <f t="shared" si="1594"/>
        <v>8.2840537383055177E-2</v>
      </c>
      <c r="Q740" s="1">
        <f t="shared" si="1595"/>
        <v>0</v>
      </c>
      <c r="R740" s="1">
        <f t="shared" si="1596"/>
        <v>0.9930896930235783</v>
      </c>
      <c r="S740" s="1">
        <f t="shared" si="1597"/>
        <v>1.9534647483811813</v>
      </c>
      <c r="T740" s="1">
        <f t="shared" ref="T740:V740" si="1675">$S740*P740</f>
        <v>0.16182606951475173</v>
      </c>
      <c r="U740" s="1">
        <f t="shared" si="1675"/>
        <v>0</v>
      </c>
      <c r="V740" s="1">
        <f t="shared" si="1675"/>
        <v>1.9399657073022489</v>
      </c>
      <c r="W740" s="1">
        <f t="shared" si="1599"/>
        <v>-23.915822817855425</v>
      </c>
      <c r="X740" s="1">
        <f t="shared" si="1600"/>
        <v>0</v>
      </c>
      <c r="Y740" s="1">
        <f t="shared" si="1601"/>
        <v>-5.8581996746795575</v>
      </c>
    </row>
    <row r="741" spans="1:25">
      <c r="A741" s="1">
        <v>0.73899999999999999</v>
      </c>
      <c r="B741" s="1">
        <f t="shared" si="1602"/>
        <v>32.118232766443441</v>
      </c>
      <c r="C741" s="1">
        <f t="shared" si="1603"/>
        <v>0</v>
      </c>
      <c r="D741" s="1">
        <f t="shared" si="1604"/>
        <v>-0.14480939277114824</v>
      </c>
      <c r="E741" s="1">
        <f t="shared" si="1605"/>
        <v>24.257331267271905</v>
      </c>
      <c r="F741" s="1">
        <f t="shared" si="1606"/>
        <v>0</v>
      </c>
      <c r="G741" s="1">
        <f t="shared" si="1607"/>
        <v>-2.031326363733073</v>
      </c>
      <c r="H741" s="1">
        <f t="shared" si="1152"/>
        <v>24.342235045413645</v>
      </c>
      <c r="I741" s="1">
        <f t="shared" si="1590"/>
        <v>-24.030887382020278</v>
      </c>
      <c r="J741" s="1">
        <f t="shared" si="1591"/>
        <v>0</v>
      </c>
      <c r="K741" s="1">
        <f t="shared" si="1592"/>
        <v>2.0123637899466327</v>
      </c>
      <c r="L741" s="1">
        <f t="shared" ref="L741:N741" si="1676">E741/$H741</f>
        <v>0.9965120796022493</v>
      </c>
      <c r="M741" s="1">
        <f t="shared" si="1676"/>
        <v>0</v>
      </c>
      <c r="N741" s="1">
        <f t="shared" si="1676"/>
        <v>-8.3448638136283143E-2</v>
      </c>
      <c r="O741" s="1">
        <f t="shared" si="1154"/>
        <v>-8.3448638136283143E-2</v>
      </c>
      <c r="P741" s="1">
        <f t="shared" si="1594"/>
        <v>8.3157575929163091E-2</v>
      </c>
      <c r="Q741" s="1">
        <f t="shared" si="1595"/>
        <v>0</v>
      </c>
      <c r="R741" s="1">
        <f t="shared" si="1596"/>
        <v>0.9930363247931997</v>
      </c>
      <c r="S741" s="1">
        <f t="shared" si="1597"/>
        <v>1.9497232892406622</v>
      </c>
      <c r="T741" s="1">
        <f t="shared" ref="T741:V741" si="1677">$S741*P741</f>
        <v>0.16213426246588797</v>
      </c>
      <c r="U741" s="1">
        <f t="shared" si="1677"/>
        <v>0</v>
      </c>
      <c r="V741" s="1">
        <f t="shared" si="1677"/>
        <v>1.9361460495112559</v>
      </c>
      <c r="W741" s="1">
        <f t="shared" si="1599"/>
        <v>-23.868753119554391</v>
      </c>
      <c r="X741" s="1">
        <f t="shared" si="1600"/>
        <v>0</v>
      </c>
      <c r="Y741" s="1">
        <f t="shared" si="1601"/>
        <v>-5.8581401605421108</v>
      </c>
    </row>
    <row r="742" spans="1:25">
      <c r="A742" s="1">
        <v>0.74</v>
      </c>
      <c r="B742" s="1">
        <f t="shared" si="1602"/>
        <v>32.142466228957595</v>
      </c>
      <c r="C742" s="1">
        <f t="shared" si="1603"/>
        <v>0</v>
      </c>
      <c r="D742" s="1">
        <f t="shared" si="1604"/>
        <v>-0.14684657727504186</v>
      </c>
      <c r="E742" s="1">
        <f t="shared" si="1605"/>
        <v>24.23346251415235</v>
      </c>
      <c r="F742" s="1">
        <f t="shared" si="1606"/>
        <v>0</v>
      </c>
      <c r="G742" s="1">
        <f t="shared" si="1607"/>
        <v>-2.0371845038936152</v>
      </c>
      <c r="H742" s="1">
        <f t="shared" si="1152"/>
        <v>24.318939658787169</v>
      </c>
      <c r="I742" s="1">
        <f t="shared" si="1590"/>
        <v>-23.984266645809672</v>
      </c>
      <c r="J742" s="1">
        <f t="shared" si="1591"/>
        <v>0</v>
      </c>
      <c r="K742" s="1">
        <f t="shared" si="1592"/>
        <v>2.0162358688760005</v>
      </c>
      <c r="L742" s="1">
        <f t="shared" ref="L742:N742" si="1678">E742/$H742</f>
        <v>0.99648516153113065</v>
      </c>
      <c r="M742" s="1">
        <f t="shared" si="1678"/>
        <v>0</v>
      </c>
      <c r="N742" s="1">
        <f t="shared" si="1678"/>
        <v>-8.3769462504403175E-2</v>
      </c>
      <c r="O742" s="1">
        <f t="shared" si="1154"/>
        <v>-8.3769462504403175E-2</v>
      </c>
      <c r="P742" s="1">
        <f t="shared" si="1594"/>
        <v>8.3475026375076186E-2</v>
      </c>
      <c r="Q742" s="1">
        <f t="shared" si="1595"/>
        <v>0</v>
      </c>
      <c r="R742" s="1">
        <f t="shared" si="1596"/>
        <v>0.99298267715172339</v>
      </c>
      <c r="S742" s="1">
        <f t="shared" si="1597"/>
        <v>1.945993325692301</v>
      </c>
      <c r="T742" s="1">
        <f t="shared" ref="T742:V742" si="1679">$S742*P742</f>
        <v>0.16244184418788704</v>
      </c>
      <c r="U742" s="1">
        <f t="shared" si="1679"/>
        <v>0</v>
      </c>
      <c r="V742" s="1">
        <f t="shared" si="1679"/>
        <v>1.9323376622653265</v>
      </c>
      <c r="W742" s="1">
        <f t="shared" si="1599"/>
        <v>-23.821824801621784</v>
      </c>
      <c r="X742" s="1">
        <f t="shared" si="1600"/>
        <v>0</v>
      </c>
      <c r="Y742" s="1">
        <f t="shared" si="1601"/>
        <v>-5.8580764688586724</v>
      </c>
    </row>
    <row r="743" spans="1:25">
      <c r="A743" s="1">
        <v>0.74099999999999999</v>
      </c>
      <c r="B743" s="1">
        <f t="shared" si="1602"/>
        <v>32.166675869646944</v>
      </c>
      <c r="C743" s="1">
        <f t="shared" si="1603"/>
        <v>0</v>
      </c>
      <c r="D743" s="1">
        <f t="shared" si="1604"/>
        <v>-0.14888961985540433</v>
      </c>
      <c r="E743" s="1">
        <f t="shared" si="1605"/>
        <v>24.209640689350728</v>
      </c>
      <c r="F743" s="1">
        <f t="shared" si="1606"/>
        <v>0</v>
      </c>
      <c r="G743" s="1">
        <f t="shared" si="1607"/>
        <v>-2.0430425803624739</v>
      </c>
      <c r="H743" s="1">
        <f t="shared" si="1152"/>
        <v>24.295693554468468</v>
      </c>
      <c r="I743" s="1">
        <f t="shared" si="1590"/>
        <v>-23.937786125236467</v>
      </c>
      <c r="J743" s="1">
        <f t="shared" si="1591"/>
        <v>0</v>
      </c>
      <c r="K743" s="1">
        <f t="shared" si="1592"/>
        <v>2.0201008747304847</v>
      </c>
      <c r="L743" s="1">
        <f t="shared" ref="L743:N743" si="1680">E743/$H743</f>
        <v>0.99645810213547448</v>
      </c>
      <c r="M743" s="1">
        <f t="shared" si="1680"/>
        <v>0</v>
      </c>
      <c r="N743" s="1">
        <f t="shared" si="1680"/>
        <v>-8.4090728909721413E-2</v>
      </c>
      <c r="O743" s="1">
        <f t="shared" si="1154"/>
        <v>-8.4090728909721413E-2</v>
      </c>
      <c r="P743" s="1">
        <f t="shared" si="1594"/>
        <v>8.3792888136569682E-2</v>
      </c>
      <c r="Q743" s="1">
        <f t="shared" si="1595"/>
        <v>0</v>
      </c>
      <c r="R743" s="1">
        <f t="shared" si="1596"/>
        <v>0.99292874931143171</v>
      </c>
      <c r="S743" s="1">
        <f t="shared" si="1597"/>
        <v>1.942274812967661</v>
      </c>
      <c r="T743" s="1">
        <f t="shared" ref="T743:V743" si="1681">$S743*P743</f>
        <v>0.16274881613347603</v>
      </c>
      <c r="U743" s="1">
        <f t="shared" si="1681"/>
        <v>0</v>
      </c>
      <c r="V743" s="1">
        <f t="shared" si="1681"/>
        <v>1.9285405008590746</v>
      </c>
      <c r="W743" s="1">
        <f t="shared" si="1599"/>
        <v>-23.775037309102991</v>
      </c>
      <c r="X743" s="1">
        <f t="shared" si="1600"/>
        <v>0</v>
      </c>
      <c r="Y743" s="1">
        <f t="shared" si="1601"/>
        <v>-5.8580086244104397</v>
      </c>
    </row>
    <row r="744" spans="1:25">
      <c r="A744" s="1">
        <v>0.74199999999999999</v>
      </c>
      <c r="B744" s="1">
        <f t="shared" si="1602"/>
        <v>32.190861735298988</v>
      </c>
      <c r="C744" s="1">
        <f t="shared" si="1603"/>
        <v>0</v>
      </c>
      <c r="D744" s="1">
        <f t="shared" si="1604"/>
        <v>-0.15093852044439121</v>
      </c>
      <c r="E744" s="1">
        <f t="shared" si="1605"/>
        <v>24.185865652041624</v>
      </c>
      <c r="F744" s="1">
        <f t="shared" si="1606"/>
        <v>0</v>
      </c>
      <c r="G744" s="1">
        <f t="shared" si="1607"/>
        <v>-2.0489005889868843</v>
      </c>
      <c r="H744" s="1">
        <f t="shared" si="1152"/>
        <v>24.272496595162139</v>
      </c>
      <c r="I744" s="1">
        <f t="shared" si="1590"/>
        <v>-23.891445269523732</v>
      </c>
      <c r="J744" s="1">
        <f t="shared" si="1591"/>
        <v>0</v>
      </c>
      <c r="K744" s="1">
        <f t="shared" si="1592"/>
        <v>2.0239588273882156</v>
      </c>
      <c r="L744" s="1">
        <f t="shared" ref="L744:N744" si="1682">E744/$H744</f>
        <v>0.99643090100843679</v>
      </c>
      <c r="M744" s="1">
        <f t="shared" si="1682"/>
        <v>0</v>
      </c>
      <c r="N744" s="1">
        <f t="shared" si="1682"/>
        <v>-8.4412436971780649E-2</v>
      </c>
      <c r="O744" s="1">
        <f t="shared" si="1154"/>
        <v>-8.4412436971780649E-2</v>
      </c>
      <c r="P744" s="1">
        <f t="shared" si="1594"/>
        <v>8.4111160628109277E-2</v>
      </c>
      <c r="Q744" s="1">
        <f t="shared" si="1595"/>
        <v>0</v>
      </c>
      <c r="R744" s="1">
        <f t="shared" si="1596"/>
        <v>0.9928745404844852</v>
      </c>
      <c r="S744" s="1">
        <f t="shared" si="1597"/>
        <v>1.9385677065185438</v>
      </c>
      <c r="T744" s="1">
        <f t="shared" ref="T744:V744" si="1683">$S744*P744</f>
        <v>0.16305517975144665</v>
      </c>
      <c r="U744" s="1">
        <f t="shared" si="1683"/>
        <v>0</v>
      </c>
      <c r="V744" s="1">
        <f t="shared" si="1683"/>
        <v>1.9247545208076615</v>
      </c>
      <c r="W744" s="1">
        <f t="shared" si="1599"/>
        <v>-23.728390089772287</v>
      </c>
      <c r="X744" s="1">
        <f t="shared" si="1600"/>
        <v>0</v>
      </c>
      <c r="Y744" s="1">
        <f t="shared" si="1601"/>
        <v>-5.8579366518041223</v>
      </c>
    </row>
    <row r="745" spans="1:25">
      <c r="A745" s="1">
        <v>0.74299999999999999</v>
      </c>
      <c r="B745" s="1">
        <f t="shared" si="1602"/>
        <v>32.215023872560941</v>
      </c>
      <c r="C745" s="1">
        <f t="shared" si="1603"/>
        <v>0</v>
      </c>
      <c r="D745" s="1">
        <f t="shared" si="1604"/>
        <v>-0.1529932789700299</v>
      </c>
      <c r="E745" s="1">
        <f t="shared" si="1605"/>
        <v>24.162137261951852</v>
      </c>
      <c r="F745" s="1">
        <f t="shared" si="1606"/>
        <v>0</v>
      </c>
      <c r="G745" s="1">
        <f t="shared" si="1607"/>
        <v>-2.0547585256386887</v>
      </c>
      <c r="H745" s="1">
        <f t="shared" si="1152"/>
        <v>24.249348644120055</v>
      </c>
      <c r="I745" s="1">
        <f t="shared" si="1590"/>
        <v>-23.845243530603376</v>
      </c>
      <c r="J745" s="1">
        <f t="shared" si="1591"/>
        <v>0</v>
      </c>
      <c r="K745" s="1">
        <f t="shared" si="1592"/>
        <v>2.0278097466813287</v>
      </c>
      <c r="L745" s="1">
        <f t="shared" ref="L745:N745" si="1684">E745/$H745</f>
        <v>0.9964035577430097</v>
      </c>
      <c r="M745" s="1">
        <f t="shared" si="1684"/>
        <v>0</v>
      </c>
      <c r="N745" s="1">
        <f t="shared" si="1684"/>
        <v>-8.4734586309679019E-2</v>
      </c>
      <c r="O745" s="1">
        <f t="shared" si="1154"/>
        <v>-8.4734586309679019E-2</v>
      </c>
      <c r="P745" s="1">
        <f t="shared" si="1594"/>
        <v>8.4429843262846305E-2</v>
      </c>
      <c r="Q745" s="1">
        <f t="shared" si="1595"/>
        <v>0</v>
      </c>
      <c r="R745" s="1">
        <f t="shared" si="1596"/>
        <v>0.9928200498829276</v>
      </c>
      <c r="S745" s="1">
        <f t="shared" si="1597"/>
        <v>1.9348719620156938</v>
      </c>
      <c r="T745" s="1">
        <f t="shared" ref="T745:V745" si="1685">$S745*P745</f>
        <v>0.16336093648666095</v>
      </c>
      <c r="U745" s="1">
        <f t="shared" si="1685"/>
        <v>0</v>
      </c>
      <c r="V745" s="1">
        <f t="shared" si="1685"/>
        <v>1.9209796778454991</v>
      </c>
      <c r="W745" s="1">
        <f t="shared" si="1599"/>
        <v>-23.681882594116715</v>
      </c>
      <c r="X745" s="1">
        <f t="shared" si="1600"/>
        <v>0</v>
      </c>
      <c r="Y745" s="1">
        <f t="shared" si="1601"/>
        <v>-5.8578605754731718</v>
      </c>
    </row>
    <row r="746" spans="1:25">
      <c r="A746" s="1">
        <v>0.74399999999999999</v>
      </c>
      <c r="B746" s="1">
        <f t="shared" si="1602"/>
        <v>32.239162327940299</v>
      </c>
      <c r="C746" s="1">
        <f t="shared" si="1603"/>
        <v>0</v>
      </c>
      <c r="D746" s="1">
        <f t="shared" si="1604"/>
        <v>-0.15505389535624406</v>
      </c>
      <c r="E746" s="1">
        <f t="shared" si="1605"/>
        <v>24.138455379357737</v>
      </c>
      <c r="F746" s="1">
        <f t="shared" si="1606"/>
        <v>0</v>
      </c>
      <c r="G746" s="1">
        <f t="shared" si="1607"/>
        <v>-2.060616386214162</v>
      </c>
      <c r="H746" s="1">
        <f t="shared" si="1152"/>
        <v>24.226249565138612</v>
      </c>
      <c r="I746" s="1">
        <f t="shared" si="1590"/>
        <v>-23.799180363100156</v>
      </c>
      <c r="J746" s="1">
        <f t="shared" si="1591"/>
        <v>0</v>
      </c>
      <c r="K746" s="1">
        <f t="shared" si="1592"/>
        <v>2.0316536523960198</v>
      </c>
      <c r="L746" s="1">
        <f t="shared" ref="L746:N746" si="1686">E746/$H746</f>
        <v>0.99637607193202493</v>
      </c>
      <c r="M746" s="1">
        <f t="shared" si="1686"/>
        <v>0</v>
      </c>
      <c r="N746" s="1">
        <f t="shared" si="1686"/>
        <v>-8.5057176542066723E-2</v>
      </c>
      <c r="O746" s="1">
        <f t="shared" si="1154"/>
        <v>-8.5057176542066723E-2</v>
      </c>
      <c r="P746" s="1">
        <f t="shared" si="1594"/>
        <v>8.4748935452613222E-2</v>
      </c>
      <c r="Q746" s="1">
        <f t="shared" si="1595"/>
        <v>0</v>
      </c>
      <c r="R746" s="1">
        <f t="shared" si="1596"/>
        <v>0.99276527671869175</v>
      </c>
      <c r="S746" s="1">
        <f t="shared" si="1597"/>
        <v>1.9311875353474994</v>
      </c>
      <c r="T746" s="1">
        <f t="shared" ref="T746:V746" si="1687">$S746*P746</f>
        <v>0.16366608778005645</v>
      </c>
      <c r="U746" s="1">
        <f t="shared" si="1687"/>
        <v>0</v>
      </c>
      <c r="V746" s="1">
        <f t="shared" si="1687"/>
        <v>1.9172159279249485</v>
      </c>
      <c r="W746" s="1">
        <f t="shared" si="1599"/>
        <v>-23.635514275320098</v>
      </c>
      <c r="X746" s="1">
        <f t="shared" si="1600"/>
        <v>0</v>
      </c>
      <c r="Y746" s="1">
        <f t="shared" si="1601"/>
        <v>-5.8577804196790311</v>
      </c>
    </row>
    <row r="747" spans="1:25">
      <c r="A747" s="1">
        <v>0.745</v>
      </c>
      <c r="B747" s="1">
        <f t="shared" si="1602"/>
        <v>32.263277147805383</v>
      </c>
      <c r="C747" s="1">
        <f t="shared" si="1603"/>
        <v>0</v>
      </c>
      <c r="D747" s="1">
        <f t="shared" si="1604"/>
        <v>-0.15712036952287789</v>
      </c>
      <c r="E747" s="1">
        <f t="shared" si="1605"/>
        <v>24.114819865082417</v>
      </c>
      <c r="F747" s="1">
        <f t="shared" si="1606"/>
        <v>0</v>
      </c>
      <c r="G747" s="1">
        <f t="shared" si="1607"/>
        <v>-2.0664741666338409</v>
      </c>
      <c r="H747" s="1">
        <f t="shared" si="1152"/>
        <v>24.203199222556066</v>
      </c>
      <c r="I747" s="1">
        <f t="shared" si="1590"/>
        <v>-23.753255224315787</v>
      </c>
      <c r="J747" s="1">
        <f t="shared" si="1591"/>
        <v>0</v>
      </c>
      <c r="K747" s="1">
        <f t="shared" si="1592"/>
        <v>2.0354905642726075</v>
      </c>
      <c r="L747" s="1">
        <f t="shared" ref="L747:N747" si="1688">E747/$H747</f>
        <v>0.99634844316815419</v>
      </c>
      <c r="M747" s="1">
        <f t="shared" si="1688"/>
        <v>0</v>
      </c>
      <c r="N747" s="1">
        <f t="shared" si="1688"/>
        <v>-8.5380207287142407E-2</v>
      </c>
      <c r="O747" s="1">
        <f t="shared" si="1154"/>
        <v>-8.5380207287142407E-2</v>
      </c>
      <c r="P747" s="1">
        <f t="shared" si="1594"/>
        <v>8.5068436607918629E-2</v>
      </c>
      <c r="Q747" s="1">
        <f t="shared" si="1595"/>
        <v>0</v>
      </c>
      <c r="R747" s="1">
        <f t="shared" si="1596"/>
        <v>0.99271022020360455</v>
      </c>
      <c r="S747" s="1">
        <f t="shared" si="1597"/>
        <v>1.9275143826187151</v>
      </c>
      <c r="T747" s="1">
        <f t="shared" ref="T747:V747" si="1689">$S747*P747</f>
        <v>0.16397063506865159</v>
      </c>
      <c r="U747" s="1">
        <f t="shared" si="1689"/>
        <v>0</v>
      </c>
      <c r="V747" s="1">
        <f t="shared" si="1689"/>
        <v>1.9134632272150396</v>
      </c>
      <c r="W747" s="1">
        <f t="shared" si="1599"/>
        <v>-23.589284589247136</v>
      </c>
      <c r="X747" s="1">
        <f t="shared" si="1600"/>
        <v>0</v>
      </c>
      <c r="Y747" s="1">
        <f t="shared" si="1601"/>
        <v>-5.8576962085123521</v>
      </c>
    </row>
    <row r="748" spans="1:25">
      <c r="A748" s="1">
        <v>0.746</v>
      </c>
      <c r="B748" s="1">
        <f t="shared" si="1602"/>
        <v>32.287368378385878</v>
      </c>
      <c r="C748" s="1">
        <f t="shared" si="1603"/>
        <v>0</v>
      </c>
      <c r="D748" s="1">
        <f t="shared" si="1604"/>
        <v>-0.15919270138572025</v>
      </c>
      <c r="E748" s="1">
        <f t="shared" si="1605"/>
        <v>24.091230580493171</v>
      </c>
      <c r="F748" s="1">
        <f t="shared" si="1606"/>
        <v>0</v>
      </c>
      <c r="G748" s="1">
        <f t="shared" si="1607"/>
        <v>-2.0723318628423533</v>
      </c>
      <c r="H748" s="1">
        <f t="shared" si="1152"/>
        <v>24.180197481249838</v>
      </c>
      <c r="I748" s="1">
        <f t="shared" si="1590"/>
        <v>-23.707467574213176</v>
      </c>
      <c r="J748" s="1">
        <f t="shared" si="1591"/>
        <v>0</v>
      </c>
      <c r="K748" s="1">
        <f t="shared" si="1592"/>
        <v>2.0393205020055953</v>
      </c>
      <c r="L748" s="1">
        <f t="shared" ref="L748:N748" si="1690">E748/$H748</f>
        <v>0.99632067104391286</v>
      </c>
      <c r="M748" s="1">
        <f t="shared" si="1690"/>
        <v>0</v>
      </c>
      <c r="N748" s="1">
        <f t="shared" si="1690"/>
        <v>-8.5703678162649871E-2</v>
      </c>
      <c r="O748" s="1">
        <f t="shared" si="1154"/>
        <v>-8.5703678162649871E-2</v>
      </c>
      <c r="P748" s="1">
        <f t="shared" si="1594"/>
        <v>8.5388346137942855E-2</v>
      </c>
      <c r="Q748" s="1">
        <f t="shared" si="1595"/>
        <v>0</v>
      </c>
      <c r="R748" s="1">
        <f t="shared" si="1596"/>
        <v>0.99265487954939291</v>
      </c>
      <c r="S748" s="1">
        <f t="shared" si="1597"/>
        <v>1.9238524601491869</v>
      </c>
      <c r="T748" s="1">
        <f t="shared" ref="T748:V748" si="1691">$S748*P748</f>
        <v>0.16427457978555168</v>
      </c>
      <c r="U748" s="1">
        <f t="shared" si="1691"/>
        <v>0</v>
      </c>
      <c r="V748" s="1">
        <f t="shared" si="1691"/>
        <v>1.9097215321001944</v>
      </c>
      <c r="W748" s="1">
        <f t="shared" si="1599"/>
        <v>-23.543192994427624</v>
      </c>
      <c r="X748" s="1">
        <f t="shared" si="1600"/>
        <v>0</v>
      </c>
      <c r="Y748" s="1">
        <f t="shared" si="1601"/>
        <v>-5.8576079658942097</v>
      </c>
    </row>
    <row r="749" spans="1:25">
      <c r="A749" s="1">
        <v>0.747</v>
      </c>
      <c r="B749" s="1">
        <f t="shared" si="1602"/>
        <v>32.311436065773378</v>
      </c>
      <c r="C749" s="1">
        <f t="shared" si="1603"/>
        <v>0</v>
      </c>
      <c r="D749" s="1">
        <f t="shared" si="1604"/>
        <v>-0.16127089085652851</v>
      </c>
      <c r="E749" s="1">
        <f t="shared" si="1605"/>
        <v>24.067687387498744</v>
      </c>
      <c r="F749" s="1">
        <f t="shared" si="1606"/>
        <v>0</v>
      </c>
      <c r="G749" s="1">
        <f t="shared" si="1607"/>
        <v>-2.0781894708082476</v>
      </c>
      <c r="H749" s="1">
        <f t="shared" si="1152"/>
        <v>24.157244206633845</v>
      </c>
      <c r="I749" s="1">
        <f t="shared" si="1590"/>
        <v>-23.661816875400746</v>
      </c>
      <c r="J749" s="1">
        <f t="shared" si="1591"/>
        <v>0</v>
      </c>
      <c r="K749" s="1">
        <f t="shared" si="1592"/>
        <v>2.0431434852437298</v>
      </c>
      <c r="L749" s="1">
        <f t="shared" ref="L749:N749" si="1692">E749/$H749</f>
        <v>0.99629275515166138</v>
      </c>
      <c r="M749" s="1">
        <f t="shared" si="1692"/>
        <v>0</v>
      </c>
      <c r="N749" s="1">
        <f t="shared" si="1692"/>
        <v>-8.602758878587459E-2</v>
      </c>
      <c r="O749" s="1">
        <f t="shared" si="1154"/>
        <v>-8.602758878587459E-2</v>
      </c>
      <c r="P749" s="1">
        <f t="shared" si="1594"/>
        <v>8.5708663450533157E-2</v>
      </c>
      <c r="Q749" s="1">
        <f t="shared" si="1595"/>
        <v>0</v>
      </c>
      <c r="R749" s="1">
        <f t="shared" si="1596"/>
        <v>0.99259925396768844</v>
      </c>
      <c r="S749" s="1">
        <f t="shared" si="1597"/>
        <v>1.9202017244725844</v>
      </c>
      <c r="T749" s="1">
        <f t="shared" ref="T749:V749" si="1693">$S749*P749</f>
        <v>0.16457792335995414</v>
      </c>
      <c r="U749" s="1">
        <f t="shared" si="1693"/>
        <v>0</v>
      </c>
      <c r="V749" s="1">
        <f t="shared" si="1693"/>
        <v>1.9059907991789562</v>
      </c>
      <c r="W749" s="1">
        <f t="shared" si="1599"/>
        <v>-23.497238952040792</v>
      </c>
      <c r="X749" s="1">
        <f t="shared" si="1600"/>
        <v>0</v>
      </c>
      <c r="Y749" s="1">
        <f t="shared" si="1601"/>
        <v>-5.8575157155773132</v>
      </c>
    </row>
    <row r="750" spans="1:25">
      <c r="A750" s="1">
        <v>0.748</v>
      </c>
      <c r="B750" s="1">
        <f t="shared" si="1602"/>
        <v>32.335480255921922</v>
      </c>
      <c r="C750" s="1">
        <f t="shared" si="1603"/>
        <v>0</v>
      </c>
      <c r="D750" s="1">
        <f t="shared" si="1604"/>
        <v>-0.16335493784305233</v>
      </c>
      <c r="E750" s="1">
        <f t="shared" si="1605"/>
        <v>24.044190148546704</v>
      </c>
      <c r="F750" s="1">
        <f t="shared" si="1606"/>
        <v>0</v>
      </c>
      <c r="G750" s="1">
        <f t="shared" si="1607"/>
        <v>-2.0840469865238247</v>
      </c>
      <c r="H750" s="1">
        <f t="shared" si="1152"/>
        <v>24.134339264655857</v>
      </c>
      <c r="I750" s="1">
        <f t="shared" si="1590"/>
        <v>-23.616302593116881</v>
      </c>
      <c r="J750" s="1">
        <f t="shared" si="1591"/>
        <v>0</v>
      </c>
      <c r="K750" s="1">
        <f t="shared" si="1592"/>
        <v>2.0469595335900661</v>
      </c>
      <c r="L750" s="1">
        <f t="shared" ref="L750:N750" si="1694">E750/$H750</f>
        <v>0.99626469508360749</v>
      </c>
      <c r="M750" s="1">
        <f t="shared" si="1694"/>
        <v>0</v>
      </c>
      <c r="N750" s="1">
        <f t="shared" si="1694"/>
        <v>-8.6351938773640266E-2</v>
      </c>
      <c r="O750" s="1">
        <f t="shared" si="1154"/>
        <v>-8.6351938773640266E-2</v>
      </c>
      <c r="P750" s="1">
        <f t="shared" si="1594"/>
        <v>8.6029387952199068E-2</v>
      </c>
      <c r="Q750" s="1">
        <f t="shared" si="1595"/>
        <v>0</v>
      </c>
      <c r="R750" s="1">
        <f t="shared" si="1596"/>
        <v>0.99254334267003352</v>
      </c>
      <c r="S750" s="1">
        <f t="shared" si="1597"/>
        <v>1.9165621323351456</v>
      </c>
      <c r="T750" s="1">
        <f t="shared" ref="T750:V750" si="1695">$S750*P750</f>
        <v>0.16488066721715414</v>
      </c>
      <c r="U750" s="1">
        <f t="shared" si="1695"/>
        <v>0</v>
      </c>
      <c r="V750" s="1">
        <f t="shared" si="1695"/>
        <v>1.9022709852627326</v>
      </c>
      <c r="W750" s="1">
        <f t="shared" si="1599"/>
        <v>-23.451421925899727</v>
      </c>
      <c r="X750" s="1">
        <f t="shared" si="1600"/>
        <v>0</v>
      </c>
      <c r="Y750" s="1">
        <f t="shared" si="1601"/>
        <v>-5.8574194811472005</v>
      </c>
    </row>
    <row r="751" spans="1:25">
      <c r="A751" s="1">
        <v>0.749</v>
      </c>
      <c r="B751" s="1">
        <f t="shared" si="1602"/>
        <v>32.359500994648542</v>
      </c>
      <c r="C751" s="1">
        <f t="shared" si="1603"/>
        <v>0</v>
      </c>
      <c r="D751" s="1">
        <f t="shared" si="1604"/>
        <v>-0.16544484224905731</v>
      </c>
      <c r="E751" s="1">
        <f t="shared" si="1605"/>
        <v>24.020738726620806</v>
      </c>
      <c r="F751" s="1">
        <f t="shared" si="1606"/>
        <v>0</v>
      </c>
      <c r="G751" s="1">
        <f t="shared" si="1607"/>
        <v>-2.0899044060049721</v>
      </c>
      <c r="H751" s="1">
        <f t="shared" si="1152"/>
        <v>24.111482521794873</v>
      </c>
      <c r="I751" s="1">
        <f t="shared" si="1590"/>
        <v>-23.57092419521447</v>
      </c>
      <c r="J751" s="1">
        <f t="shared" si="1591"/>
        <v>0</v>
      </c>
      <c r="K751" s="1">
        <f t="shared" si="1592"/>
        <v>2.0507686666020311</v>
      </c>
      <c r="L751" s="1">
        <f t="shared" ref="L751:N751" si="1696">E751/$H751</f>
        <v>0.99623649043180806</v>
      </c>
      <c r="M751" s="1">
        <f t="shared" si="1696"/>
        <v>0</v>
      </c>
      <c r="N751" s="1">
        <f t="shared" si="1696"/>
        <v>-8.6676727742305504E-2</v>
      </c>
      <c r="O751" s="1">
        <f t="shared" si="1154"/>
        <v>-8.6676727742305504E-2</v>
      </c>
      <c r="P751" s="1">
        <f t="shared" si="1594"/>
        <v>8.6350519048107768E-2</v>
      </c>
      <c r="Q751" s="1">
        <f t="shared" si="1595"/>
        <v>0</v>
      </c>
      <c r="R751" s="1">
        <f t="shared" si="1596"/>
        <v>0.99248714486788625</v>
      </c>
      <c r="S751" s="1">
        <f t="shared" si="1597"/>
        <v>1.9129336406944311</v>
      </c>
      <c r="T751" s="1">
        <f t="shared" ref="T751:V751" si="1697">$S751*P751</f>
        <v>0.1651828127785506</v>
      </c>
      <c r="U751" s="1">
        <f t="shared" si="1697"/>
        <v>0</v>
      </c>
      <c r="V751" s="1">
        <f t="shared" si="1697"/>
        <v>1.8985620473745468</v>
      </c>
      <c r="W751" s="1">
        <f t="shared" si="1599"/>
        <v>-23.40574138243592</v>
      </c>
      <c r="X751" s="1">
        <f t="shared" si="1600"/>
        <v>0</v>
      </c>
      <c r="Y751" s="1">
        <f t="shared" si="1601"/>
        <v>-5.8573192860234213</v>
      </c>
    </row>
    <row r="752" spans="1:25">
      <c r="A752" s="1">
        <v>0.75</v>
      </c>
      <c r="B752" s="1">
        <f t="shared" si="1602"/>
        <v>32.383498327633781</v>
      </c>
      <c r="C752" s="1">
        <f t="shared" si="1603"/>
        <v>0</v>
      </c>
      <c r="D752" s="1">
        <f t="shared" si="1604"/>
        <v>-0.16754060397434831</v>
      </c>
      <c r="E752" s="1">
        <f t="shared" si="1605"/>
        <v>23.997332985238369</v>
      </c>
      <c r="F752" s="1">
        <f t="shared" si="1606"/>
        <v>0</v>
      </c>
      <c r="G752" s="1">
        <f t="shared" si="1607"/>
        <v>-2.0957617252909957</v>
      </c>
      <c r="H752" s="1">
        <f t="shared" si="1152"/>
        <v>24.088673845058473</v>
      </c>
      <c r="I752" s="1">
        <f t="shared" si="1590"/>
        <v>-23.525681152145552</v>
      </c>
      <c r="J752" s="1">
        <f t="shared" si="1591"/>
        <v>0</v>
      </c>
      <c r="K752" s="1">
        <f t="shared" si="1592"/>
        <v>2.0545709037914857</v>
      </c>
      <c r="L752" s="1">
        <f t="shared" ref="L752:N752" si="1698">E752/$H752</f>
        <v>0.9962081407881721</v>
      </c>
      <c r="M752" s="1">
        <f t="shared" si="1698"/>
        <v>0</v>
      </c>
      <c r="N752" s="1">
        <f t="shared" si="1698"/>
        <v>-8.7001955307760462E-2</v>
      </c>
      <c r="O752" s="1">
        <f t="shared" si="1154"/>
        <v>-8.7001955307760462E-2</v>
      </c>
      <c r="P752" s="1">
        <f t="shared" si="1594"/>
        <v>8.6672056142079693E-2</v>
      </c>
      <c r="Q752" s="1">
        <f t="shared" si="1595"/>
        <v>0</v>
      </c>
      <c r="R752" s="1">
        <f t="shared" si="1596"/>
        <v>0.99243065977262646</v>
      </c>
      <c r="S752" s="1">
        <f t="shared" si="1597"/>
        <v>1.9093162067180789</v>
      </c>
      <c r="T752" s="1">
        <f t="shared" ref="T752:V752" si="1699">$S752*P752</f>
        <v>0.16548436146165196</v>
      </c>
      <c r="U752" s="1">
        <f t="shared" si="1699"/>
        <v>0</v>
      </c>
      <c r="V752" s="1">
        <f t="shared" si="1699"/>
        <v>1.8948639427477916</v>
      </c>
      <c r="W752" s="1">
        <f t="shared" si="1599"/>
        <v>-23.360196790683901</v>
      </c>
      <c r="X752" s="1">
        <f t="shared" si="1600"/>
        <v>0</v>
      </c>
      <c r="Y752" s="1">
        <f t="shared" si="1601"/>
        <v>-5.8572151534607224</v>
      </c>
    </row>
    <row r="753" spans="1:25">
      <c r="A753" s="1">
        <v>0.751</v>
      </c>
      <c r="B753" s="1">
        <f t="shared" si="1602"/>
        <v>32.407472300422228</v>
      </c>
      <c r="C753" s="1">
        <f t="shared" si="1603"/>
        <v>0</v>
      </c>
      <c r="D753" s="1">
        <f t="shared" si="1604"/>
        <v>-0.16964222291479275</v>
      </c>
      <c r="E753" s="1">
        <f t="shared" si="1605"/>
        <v>23.973972788447686</v>
      </c>
      <c r="F753" s="1">
        <f t="shared" si="1606"/>
        <v>0</v>
      </c>
      <c r="G753" s="1">
        <f t="shared" si="1607"/>
        <v>-2.1016189404444563</v>
      </c>
      <c r="H753" s="1">
        <f t="shared" si="1152"/>
        <v>24.065913101980257</v>
      </c>
      <c r="I753" s="1">
        <f t="shared" si="1590"/>
        <v>-23.4805729369461</v>
      </c>
      <c r="J753" s="1">
        <f t="shared" si="1591"/>
        <v>0</v>
      </c>
      <c r="K753" s="1">
        <f t="shared" si="1592"/>
        <v>2.0583662646247904</v>
      </c>
      <c r="L753" s="1">
        <f t="shared" ref="L753:N753" si="1700">E753/$H753</f>
        <v>0.99617964574446138</v>
      </c>
      <c r="M753" s="1">
        <f t="shared" si="1700"/>
        <v>0</v>
      </c>
      <c r="N753" s="1">
        <f t="shared" si="1700"/>
        <v>-8.7327621085423315E-2</v>
      </c>
      <c r="O753" s="1">
        <f t="shared" si="1154"/>
        <v>-8.7327621085423315E-2</v>
      </c>
      <c r="P753" s="1">
        <f t="shared" si="1594"/>
        <v>8.6993998636583553E-2</v>
      </c>
      <c r="Q753" s="1">
        <f t="shared" si="1595"/>
        <v>0</v>
      </c>
      <c r="R753" s="1">
        <f t="shared" si="1596"/>
        <v>0.99237388659556069</v>
      </c>
      <c r="S753" s="1">
        <f t="shared" si="1597"/>
        <v>1.9057097877825806</v>
      </c>
      <c r="T753" s="1">
        <f t="shared" ref="T753:V753" si="1701">$S753*P753</f>
        <v>0.16578531468008176</v>
      </c>
      <c r="U753" s="1">
        <f t="shared" si="1701"/>
        <v>0</v>
      </c>
      <c r="V753" s="1">
        <f t="shared" si="1701"/>
        <v>1.8911766288250007</v>
      </c>
      <c r="W753" s="1">
        <f t="shared" si="1599"/>
        <v>-23.314787622266017</v>
      </c>
      <c r="X753" s="1">
        <f t="shared" si="1600"/>
        <v>0</v>
      </c>
      <c r="Y753" s="1">
        <f t="shared" si="1601"/>
        <v>-5.8571071065502078</v>
      </c>
    </row>
    <row r="754" spans="1:25">
      <c r="A754" s="1">
        <v>0.752</v>
      </c>
      <c r="B754" s="1">
        <f t="shared" si="1602"/>
        <v>32.431422958423056</v>
      </c>
      <c r="C754" s="1">
        <f t="shared" si="1603"/>
        <v>0</v>
      </c>
      <c r="D754" s="1">
        <f t="shared" si="1604"/>
        <v>-0.17174969896234377</v>
      </c>
      <c r="E754" s="1">
        <f t="shared" si="1605"/>
        <v>23.95065800082542</v>
      </c>
      <c r="F754" s="1">
        <f t="shared" si="1606"/>
        <v>0</v>
      </c>
      <c r="G754" s="1">
        <f t="shared" si="1607"/>
        <v>-2.1074760475510064</v>
      </c>
      <c r="H754" s="1">
        <f t="shared" si="1152"/>
        <v>24.043200160617221</v>
      </c>
      <c r="I754" s="1">
        <f t="shared" si="1590"/>
        <v>-23.435599025220846</v>
      </c>
      <c r="J754" s="1">
        <f t="shared" si="1591"/>
        <v>0</v>
      </c>
      <c r="K754" s="1">
        <f t="shared" si="1592"/>
        <v>2.0621547685228729</v>
      </c>
      <c r="L754" s="1">
        <f t="shared" ref="L754:N754" si="1702">E754/$H754</f>
        <v>0.99615100489229447</v>
      </c>
      <c r="M754" s="1">
        <f t="shared" si="1702"/>
        <v>0</v>
      </c>
      <c r="N754" s="1">
        <f t="shared" si="1702"/>
        <v>-8.7653724690237106E-2</v>
      </c>
      <c r="O754" s="1">
        <f t="shared" si="1154"/>
        <v>-8.7653724690237106E-2</v>
      </c>
      <c r="P754" s="1">
        <f t="shared" si="1594"/>
        <v>8.7316345932732214E-2</v>
      </c>
      <c r="Q754" s="1">
        <f t="shared" si="1595"/>
        <v>0</v>
      </c>
      <c r="R754" s="1">
        <f t="shared" si="1596"/>
        <v>0.99231682454792813</v>
      </c>
      <c r="S754" s="1">
        <f t="shared" si="1597"/>
        <v>1.9021143414720525</v>
      </c>
      <c r="T754" s="1">
        <f t="shared" ref="T754:V754" si="1703">$S754*P754</f>
        <v>0.16608567384358486</v>
      </c>
      <c r="U754" s="1">
        <f t="shared" si="1703"/>
        <v>0</v>
      </c>
      <c r="V754" s="1">
        <f t="shared" si="1703"/>
        <v>1.8875000632566206</v>
      </c>
      <c r="W754" s="1">
        <f t="shared" si="1599"/>
        <v>-23.26951335137726</v>
      </c>
      <c r="X754" s="1">
        <f t="shared" si="1600"/>
        <v>0</v>
      </c>
      <c r="Y754" s="1">
        <f t="shared" si="1601"/>
        <v>-5.8569951682205055</v>
      </c>
    </row>
    <row r="755" spans="1:25">
      <c r="A755" s="1">
        <v>0.753</v>
      </c>
      <c r="B755" s="1">
        <f t="shared" si="1602"/>
        <v>32.455350346910528</v>
      </c>
      <c r="C755" s="1">
        <f t="shared" si="1603"/>
        <v>0</v>
      </c>
      <c r="D755" s="1">
        <f t="shared" si="1604"/>
        <v>-0.17386303200506301</v>
      </c>
      <c r="E755" s="1">
        <f t="shared" si="1605"/>
        <v>23.927388487474044</v>
      </c>
      <c r="F755" s="1">
        <f t="shared" si="1606"/>
        <v>0</v>
      </c>
      <c r="G755" s="1">
        <f t="shared" si="1607"/>
        <v>-2.1133330427192267</v>
      </c>
      <c r="H755" s="1">
        <f t="shared" si="1152"/>
        <v>24.0205348895472</v>
      </c>
      <c r="I755" s="1">
        <f t="shared" si="1590"/>
        <v>-23.390758895128261</v>
      </c>
      <c r="J755" s="1">
        <f t="shared" si="1591"/>
        <v>0</v>
      </c>
      <c r="K755" s="1">
        <f t="shared" si="1592"/>
        <v>2.0659364348612912</v>
      </c>
      <c r="L755" s="1">
        <f t="shared" ref="L755:N755" si="1704">E755/$H755</f>
        <v>0.99612221782314725</v>
      </c>
      <c r="M755" s="1">
        <f t="shared" si="1704"/>
        <v>0</v>
      </c>
      <c r="N755" s="1">
        <f t="shared" si="1704"/>
        <v>-8.7980265736666285E-2</v>
      </c>
      <c r="O755" s="1">
        <f t="shared" si="1154"/>
        <v>-8.7980265736666285E-2</v>
      </c>
      <c r="P755" s="1">
        <f t="shared" si="1594"/>
        <v>8.7639097430277868E-2</v>
      </c>
      <c r="Q755" s="1">
        <f t="shared" si="1595"/>
        <v>0</v>
      </c>
      <c r="R755" s="1">
        <f t="shared" si="1596"/>
        <v>0.99225947284090554</v>
      </c>
      <c r="S755" s="1">
        <f t="shared" si="1597"/>
        <v>1.8985298255770247</v>
      </c>
      <c r="T755" s="1">
        <f t="shared" ref="T755:V755" si="1705">$S755*P755</f>
        <v>0.16638544035803332</v>
      </c>
      <c r="U755" s="1">
        <f t="shared" si="1705"/>
        <v>0</v>
      </c>
      <c r="V755" s="1">
        <f t="shared" si="1705"/>
        <v>1.8838342038997948</v>
      </c>
      <c r="W755" s="1">
        <f t="shared" si="1599"/>
        <v>-23.224373454770227</v>
      </c>
      <c r="X755" s="1">
        <f t="shared" si="1600"/>
        <v>0</v>
      </c>
      <c r="Y755" s="1">
        <f t="shared" si="1601"/>
        <v>-5.8568793612389136</v>
      </c>
    </row>
    <row r="756" spans="1:25">
      <c r="A756" s="1">
        <v>0.754</v>
      </c>
      <c r="B756" s="1">
        <f t="shared" si="1602"/>
        <v>32.47925451102455</v>
      </c>
      <c r="C756" s="1">
        <f t="shared" si="1603"/>
        <v>0</v>
      </c>
      <c r="D756" s="1">
        <f t="shared" si="1604"/>
        <v>-0.17598222192714347</v>
      </c>
      <c r="E756" s="1">
        <f t="shared" si="1605"/>
        <v>23.904164114019274</v>
      </c>
      <c r="F756" s="1">
        <f t="shared" si="1606"/>
        <v>0</v>
      </c>
      <c r="G756" s="1">
        <f t="shared" si="1607"/>
        <v>-2.1191899220804657</v>
      </c>
      <c r="H756" s="1">
        <f t="shared" si="1152"/>
        <v>23.997917157866311</v>
      </c>
      <c r="I756" s="1">
        <f t="shared" si="1590"/>
        <v>-23.346052027365634</v>
      </c>
      <c r="J756" s="1">
        <f t="shared" si="1591"/>
        <v>0</v>
      </c>
      <c r="K756" s="1">
        <f t="shared" si="1592"/>
        <v>2.0697112829703017</v>
      </c>
      <c r="L756" s="1">
        <f t="shared" ref="L756:N756" si="1706">E756/$H756</f>
        <v>0.99609328412835585</v>
      </c>
      <c r="M756" s="1">
        <f t="shared" si="1706"/>
        <v>0</v>
      </c>
      <c r="N756" s="1">
        <f t="shared" si="1706"/>
        <v>-8.8307243838693456E-2</v>
      </c>
      <c r="O756" s="1">
        <f t="shared" si="1154"/>
        <v>-8.8307243838693456E-2</v>
      </c>
      <c r="P756" s="1">
        <f t="shared" si="1594"/>
        <v>8.7962252527607684E-2</v>
      </c>
      <c r="Q756" s="1">
        <f t="shared" si="1595"/>
        <v>0</v>
      </c>
      <c r="R756" s="1">
        <f t="shared" si="1596"/>
        <v>0.99220183068561352</v>
      </c>
      <c r="S756" s="1">
        <f t="shared" si="1597"/>
        <v>1.8949561980932341</v>
      </c>
      <c r="T756" s="1">
        <f t="shared" ref="T756:V756" si="1707">$S756*P756</f>
        <v>0.16668461562543244</v>
      </c>
      <c r="U756" s="1">
        <f t="shared" si="1707"/>
        <v>0</v>
      </c>
      <c r="V756" s="1">
        <f t="shared" si="1707"/>
        <v>1.880179008817157</v>
      </c>
      <c r="W756" s="1">
        <f t="shared" si="1599"/>
        <v>-23.179367411740202</v>
      </c>
      <c r="X756" s="1">
        <f t="shared" si="1600"/>
        <v>0</v>
      </c>
      <c r="Y756" s="1">
        <f t="shared" si="1601"/>
        <v>-5.8567597082125404</v>
      </c>
    </row>
    <row r="757" spans="1:25">
      <c r="A757" s="1">
        <v>0.755</v>
      </c>
      <c r="B757" s="1">
        <f t="shared" si="1602"/>
        <v>32.503135495771154</v>
      </c>
      <c r="C757" s="1">
        <f t="shared" si="1603"/>
        <v>0</v>
      </c>
      <c r="D757" s="1">
        <f t="shared" si="1604"/>
        <v>-0.17810726860893214</v>
      </c>
      <c r="E757" s="1">
        <f t="shared" si="1605"/>
        <v>23.880984746607535</v>
      </c>
      <c r="F757" s="1">
        <f t="shared" si="1606"/>
        <v>0</v>
      </c>
      <c r="G757" s="1">
        <f t="shared" si="1607"/>
        <v>-2.1250466817886782</v>
      </c>
      <c r="H757" s="1">
        <f t="shared" si="1152"/>
        <v>23.975346835186407</v>
      </c>
      <c r="I757" s="1">
        <f t="shared" si="1590"/>
        <v>-23.301477905154229</v>
      </c>
      <c r="J757" s="1">
        <f t="shared" si="1591"/>
        <v>0</v>
      </c>
      <c r="K757" s="1">
        <f t="shared" si="1592"/>
        <v>2.0734793321349279</v>
      </c>
      <c r="L757" s="1">
        <f t="shared" ref="L757:N757" si="1708">E757/$H757</f>
        <v>0.99606420339911883</v>
      </c>
      <c r="M757" s="1">
        <f t="shared" si="1708"/>
        <v>0</v>
      </c>
      <c r="N757" s="1">
        <f t="shared" si="1708"/>
        <v>-8.8634658609815939E-2</v>
      </c>
      <c r="O757" s="1">
        <f t="shared" si="1154"/>
        <v>-8.8634658609815939E-2</v>
      </c>
      <c r="P757" s="1">
        <f t="shared" si="1594"/>
        <v>8.8285810621739166E-2</v>
      </c>
      <c r="Q757" s="1">
        <f t="shared" si="1595"/>
        <v>0</v>
      </c>
      <c r="R757" s="1">
        <f t="shared" si="1596"/>
        <v>0.99214389729312136</v>
      </c>
      <c r="S757" s="1">
        <f t="shared" si="1597"/>
        <v>1.8913934172204265</v>
      </c>
      <c r="T757" s="1">
        <f t="shared" ref="T757:V757" si="1709">$S757*P757</f>
        <v>0.16698320104392667</v>
      </c>
      <c r="U757" s="1">
        <f t="shared" si="1709"/>
        <v>0</v>
      </c>
      <c r="V757" s="1">
        <f t="shared" si="1709"/>
        <v>1.8765344362756287</v>
      </c>
      <c r="W757" s="1">
        <f t="shared" si="1599"/>
        <v>-23.134494704110303</v>
      </c>
      <c r="X757" s="1">
        <f t="shared" si="1600"/>
        <v>0</v>
      </c>
      <c r="Y757" s="1">
        <f t="shared" si="1601"/>
        <v>-5.8566362315894427</v>
      </c>
    </row>
    <row r="758" spans="1:25">
      <c r="A758" s="1">
        <v>0.75600000000000001</v>
      </c>
      <c r="B758" s="1">
        <f t="shared" si="1602"/>
        <v>32.526993346023055</v>
      </c>
      <c r="C758" s="1">
        <f t="shared" si="1603"/>
        <v>0</v>
      </c>
      <c r="D758" s="1">
        <f t="shared" si="1604"/>
        <v>-0.18023817192695241</v>
      </c>
      <c r="E758" s="1">
        <f t="shared" si="1605"/>
        <v>23.857850251903425</v>
      </c>
      <c r="F758" s="1">
        <f t="shared" si="1606"/>
        <v>0</v>
      </c>
      <c r="G758" s="1">
        <f t="shared" si="1607"/>
        <v>-2.1309033180202674</v>
      </c>
      <c r="H758" s="1">
        <f t="shared" si="1152"/>
        <v>23.952823791632543</v>
      </c>
      <c r="I758" s="1">
        <f t="shared" si="1590"/>
        <v>-23.257036014224536</v>
      </c>
      <c r="J758" s="1">
        <f t="shared" si="1591"/>
        <v>0</v>
      </c>
      <c r="K758" s="1">
        <f t="shared" si="1592"/>
        <v>2.077240601595026</v>
      </c>
      <c r="L758" s="1">
        <f t="shared" ref="L758:N758" si="1710">E758/$H758</f>
        <v>0.99603497522649942</v>
      </c>
      <c r="M758" s="1">
        <f t="shared" si="1710"/>
        <v>0</v>
      </c>
      <c r="N758" s="1">
        <f t="shared" si="1710"/>
        <v>-8.896250966304263E-2</v>
      </c>
      <c r="O758" s="1">
        <f t="shared" si="1154"/>
        <v>-8.896250966304263E-2</v>
      </c>
      <c r="P758" s="1">
        <f t="shared" si="1594"/>
        <v>8.8609771108315888E-2</v>
      </c>
      <c r="Q758" s="1">
        <f t="shared" si="1595"/>
        <v>0</v>
      </c>
      <c r="R758" s="1">
        <f t="shared" si="1596"/>
        <v>0.99208567187445307</v>
      </c>
      <c r="S758" s="1">
        <f t="shared" si="1597"/>
        <v>1.8878414413611666</v>
      </c>
      <c r="T758" s="1">
        <f t="shared" ref="T758:V758" si="1711">$S758*P758</f>
        <v>0.16728119800780614</v>
      </c>
      <c r="U758" s="1">
        <f t="shared" si="1711"/>
        <v>0</v>
      </c>
      <c r="V758" s="1">
        <f t="shared" si="1711"/>
        <v>1.8729004447452289</v>
      </c>
      <c r="W758" s="1">
        <f t="shared" si="1599"/>
        <v>-23.089754816216729</v>
      </c>
      <c r="X758" s="1">
        <f t="shared" si="1600"/>
        <v>0</v>
      </c>
      <c r="Y758" s="1">
        <f t="shared" si="1601"/>
        <v>-5.8565089536597448</v>
      </c>
    </row>
    <row r="759" spans="1:25">
      <c r="A759" s="1">
        <v>0.75700000000000001</v>
      </c>
      <c r="B759" s="1">
        <f t="shared" si="1602"/>
        <v>32.550828106520143</v>
      </c>
      <c r="C759" s="1">
        <f t="shared" si="1603"/>
        <v>0</v>
      </c>
      <c r="D759" s="1">
        <f t="shared" si="1604"/>
        <v>-0.18237493175392633</v>
      </c>
      <c r="E759" s="1">
        <f t="shared" si="1605"/>
        <v>23.83476049708721</v>
      </c>
      <c r="F759" s="1">
        <f t="shared" si="1606"/>
        <v>0</v>
      </c>
      <c r="G759" s="1">
        <f t="shared" si="1607"/>
        <v>-2.1367598269739272</v>
      </c>
      <c r="H759" s="1">
        <f t="shared" si="1152"/>
        <v>23.930347897840488</v>
      </c>
      <c r="I759" s="1">
        <f t="shared" si="1590"/>
        <v>-23.212725842801692</v>
      </c>
      <c r="J759" s="1">
        <f t="shared" si="1591"/>
        <v>0</v>
      </c>
      <c r="K759" s="1">
        <f t="shared" si="1592"/>
        <v>2.0809951105453588</v>
      </c>
      <c r="L759" s="1">
        <f t="shared" ref="L759:N759" si="1712">E759/$H759</f>
        <v>0.99600559920142639</v>
      </c>
      <c r="M759" s="1">
        <f t="shared" si="1712"/>
        <v>0</v>
      </c>
      <c r="N759" s="1">
        <f t="shared" si="1712"/>
        <v>-8.9290796610890552E-2</v>
      </c>
      <c r="O759" s="1">
        <f t="shared" si="1154"/>
        <v>-8.9290796610890552E-2</v>
      </c>
      <c r="P759" s="1">
        <f t="shared" si="1594"/>
        <v>8.8934133381602734E-2</v>
      </c>
      <c r="Q759" s="1">
        <f t="shared" si="1595"/>
        <v>0</v>
      </c>
      <c r="R759" s="1">
        <f t="shared" si="1596"/>
        <v>0.99202715364059257</v>
      </c>
      <c r="S759" s="1">
        <f t="shared" si="1597"/>
        <v>1.8843002291196593</v>
      </c>
      <c r="T759" s="1">
        <f t="shared" ref="T759:V759" si="1713">$S759*P759</f>
        <v>0.16757860790751236</v>
      </c>
      <c r="U759" s="1">
        <f t="shared" si="1713"/>
        <v>0</v>
      </c>
      <c r="V759" s="1">
        <f t="shared" si="1713"/>
        <v>1.8692769928978921</v>
      </c>
      <c r="W759" s="1">
        <f t="shared" si="1599"/>
        <v>-23.045147234894181</v>
      </c>
      <c r="X759" s="1">
        <f t="shared" si="1600"/>
        <v>0</v>
      </c>
      <c r="Y759" s="1">
        <f t="shared" si="1601"/>
        <v>-5.856377896556749</v>
      </c>
    </row>
    <row r="760" spans="1:25">
      <c r="A760" s="1">
        <v>0.75800000000000001</v>
      </c>
      <c r="B760" s="1">
        <f t="shared" si="1602"/>
        <v>32.574639821869994</v>
      </c>
      <c r="C760" s="1">
        <f t="shared" si="1603"/>
        <v>0</v>
      </c>
      <c r="D760" s="1">
        <f t="shared" si="1604"/>
        <v>-0.18451754795879682</v>
      </c>
      <c r="E760" s="1">
        <f t="shared" si="1605"/>
        <v>23.811715349852317</v>
      </c>
      <c r="F760" s="1">
        <f t="shared" si="1606"/>
        <v>0</v>
      </c>
      <c r="G760" s="1">
        <f t="shared" si="1607"/>
        <v>-2.142616204870484</v>
      </c>
      <c r="H760" s="1">
        <f t="shared" si="1152"/>
        <v>23.907919024954179</v>
      </c>
      <c r="I760" s="1">
        <f t="shared" si="1590"/>
        <v>-23.168546881590881</v>
      </c>
      <c r="J760" s="1">
        <f t="shared" si="1591"/>
        <v>0</v>
      </c>
      <c r="K760" s="1">
        <f t="shared" si="1592"/>
        <v>2.0847428781356578</v>
      </c>
      <c r="L760" s="1">
        <f t="shared" ref="L760:N760" si="1714">E760/$H760</f>
        <v>0.99597607491469886</v>
      </c>
      <c r="M760" s="1">
        <f t="shared" si="1714"/>
        <v>0</v>
      </c>
      <c r="N760" s="1">
        <f t="shared" si="1714"/>
        <v>-8.961951906538175E-2</v>
      </c>
      <c r="O760" s="1">
        <f t="shared" si="1154"/>
        <v>-8.961951906538175E-2</v>
      </c>
      <c r="P760" s="1">
        <f t="shared" si="1594"/>
        <v>8.9258896834481932E-2</v>
      </c>
      <c r="Q760" s="1">
        <f t="shared" si="1595"/>
        <v>0</v>
      </c>
      <c r="R760" s="1">
        <f t="shared" si="1596"/>
        <v>0.99196834180248972</v>
      </c>
      <c r="S760" s="1">
        <f t="shared" si="1597"/>
        <v>1.8807697393005693</v>
      </c>
      <c r="T760" s="1">
        <f t="shared" ref="T760:V760" si="1715">$S760*P760</f>
        <v>0.16787543212964501</v>
      </c>
      <c r="U760" s="1">
        <f t="shared" si="1715"/>
        <v>0</v>
      </c>
      <c r="V760" s="1">
        <f t="shared" si="1715"/>
        <v>1.8656640396062867</v>
      </c>
      <c r="W760" s="1">
        <f t="shared" si="1599"/>
        <v>-23.000671449461237</v>
      </c>
      <c r="X760" s="1">
        <f t="shared" si="1600"/>
        <v>0</v>
      </c>
      <c r="Y760" s="1">
        <f t="shared" si="1601"/>
        <v>-5.8562430822580547</v>
      </c>
    </row>
    <row r="761" spans="1:25">
      <c r="A761" s="1">
        <v>0.75900000000000001</v>
      </c>
      <c r="B761" s="1">
        <f t="shared" si="1602"/>
        <v>32.598428536548397</v>
      </c>
      <c r="C761" s="1">
        <f t="shared" si="1603"/>
        <v>0</v>
      </c>
      <c r="D761" s="1">
        <f t="shared" si="1604"/>
        <v>-0.18666602040674957</v>
      </c>
      <c r="E761" s="1">
        <f t="shared" si="1605"/>
        <v>23.788714678402854</v>
      </c>
      <c r="F761" s="1">
        <f t="shared" si="1606"/>
        <v>0</v>
      </c>
      <c r="G761" s="1">
        <f t="shared" si="1607"/>
        <v>-2.1484724479527419</v>
      </c>
      <c r="H761" s="1">
        <f t="shared" si="1152"/>
        <v>23.885537044623288</v>
      </c>
      <c r="I761" s="1">
        <f t="shared" si="1590"/>
        <v>-23.124498623762964</v>
      </c>
      <c r="J761" s="1">
        <f t="shared" si="1591"/>
        <v>0</v>
      </c>
      <c r="K761" s="1">
        <f t="shared" si="1592"/>
        <v>2.0884839234707</v>
      </c>
      <c r="L761" s="1">
        <f t="shared" ref="L761:N761" si="1716">E761/$H761</f>
        <v>0.99594640195698558</v>
      </c>
      <c r="M761" s="1">
        <f t="shared" si="1716"/>
        <v>0</v>
      </c>
      <c r="N761" s="1">
        <f t="shared" si="1716"/>
        <v>-8.9948676638039848E-2</v>
      </c>
      <c r="O761" s="1">
        <f t="shared" si="1154"/>
        <v>-8.9948676638039848E-2</v>
      </c>
      <c r="P761" s="1">
        <f t="shared" si="1594"/>
        <v>8.9584060858448153E-2</v>
      </c>
      <c r="Q761" s="1">
        <f t="shared" si="1595"/>
        <v>0</v>
      </c>
      <c r="R761" s="1">
        <f t="shared" si="1596"/>
        <v>0.99190923557106536</v>
      </c>
      <c r="S761" s="1">
        <f t="shared" si="1597"/>
        <v>1.8772499309078636</v>
      </c>
      <c r="T761" s="1">
        <f t="shared" ref="T761:V761" si="1717">$S761*P761</f>
        <v>0.16817167205696765</v>
      </c>
      <c r="U761" s="1">
        <f t="shared" si="1717"/>
        <v>0</v>
      </c>
      <c r="V761" s="1">
        <f t="shared" si="1717"/>
        <v>1.8620615439426542</v>
      </c>
      <c r="W761" s="1">
        <f t="shared" si="1599"/>
        <v>-22.956326951705996</v>
      </c>
      <c r="X761" s="1">
        <f t="shared" si="1600"/>
        <v>0</v>
      </c>
      <c r="Y761" s="1">
        <f t="shared" si="1601"/>
        <v>-5.8561045325866452</v>
      </c>
    </row>
    <row r="762" spans="1:25">
      <c r="A762" s="1">
        <v>0.76</v>
      </c>
      <c r="B762" s="1">
        <f t="shared" si="1602"/>
        <v>32.622194294899849</v>
      </c>
      <c r="C762" s="1">
        <f t="shared" si="1603"/>
        <v>0</v>
      </c>
      <c r="D762" s="1">
        <f t="shared" si="1604"/>
        <v>-0.18882034895923488</v>
      </c>
      <c r="E762" s="1">
        <f t="shared" si="1605"/>
        <v>23.765758351451147</v>
      </c>
      <c r="F762" s="1">
        <f t="shared" si="1606"/>
        <v>0</v>
      </c>
      <c r="G762" s="1">
        <f t="shared" si="1607"/>
        <v>-2.1543285524853286</v>
      </c>
      <c r="H762" s="1">
        <f t="shared" si="1152"/>
        <v>23.863201829000726</v>
      </c>
      <c r="I762" s="1">
        <f t="shared" si="1590"/>
        <v>-23.080580564940121</v>
      </c>
      <c r="J762" s="1">
        <f t="shared" si="1591"/>
        <v>0</v>
      </c>
      <c r="K762" s="1">
        <f t="shared" si="1592"/>
        <v>2.0922182656103772</v>
      </c>
      <c r="L762" s="1">
        <f t="shared" ref="L762:N762" si="1718">E762/$H762</f>
        <v>0.99591657991882898</v>
      </c>
      <c r="M762" s="1">
        <f t="shared" si="1718"/>
        <v>0</v>
      </c>
      <c r="N762" s="1">
        <f t="shared" si="1718"/>
        <v>-9.0278268939886899E-2</v>
      </c>
      <c r="O762" s="1">
        <f t="shared" si="1154"/>
        <v>-9.0278268939886899E-2</v>
      </c>
      <c r="P762" s="1">
        <f t="shared" si="1594"/>
        <v>8.9909624843604402E-2</v>
      </c>
      <c r="Q762" s="1">
        <f t="shared" si="1595"/>
        <v>0</v>
      </c>
      <c r="R762" s="1">
        <f t="shared" si="1596"/>
        <v>0.9918498341572175</v>
      </c>
      <c r="S762" s="1">
        <f t="shared" si="1597"/>
        <v>1.8737407631436496</v>
      </c>
      <c r="T762" s="1">
        <f t="shared" ref="T762:V762" si="1719">$S762*P762</f>
        <v>0.16846732906841455</v>
      </c>
      <c r="U762" s="1">
        <f t="shared" si="1719"/>
        <v>0</v>
      </c>
      <c r="V762" s="1">
        <f t="shared" si="1719"/>
        <v>1.858469465177647</v>
      </c>
      <c r="W762" s="1">
        <f t="shared" si="1599"/>
        <v>-22.912113235871708</v>
      </c>
      <c r="X762" s="1">
        <f t="shared" si="1600"/>
        <v>0</v>
      </c>
      <c r="Y762" s="1">
        <f t="shared" si="1601"/>
        <v>-5.8559622692119753</v>
      </c>
    </row>
    <row r="763" spans="1:25">
      <c r="A763" s="1">
        <v>0.76100000000000001</v>
      </c>
      <c r="B763" s="1">
        <f t="shared" si="1602"/>
        <v>32.645937141138063</v>
      </c>
      <c r="C763" s="1">
        <f t="shared" si="1603"/>
        <v>0</v>
      </c>
      <c r="D763" s="1">
        <f t="shared" si="1604"/>
        <v>-0.19098053347398944</v>
      </c>
      <c r="E763" s="1">
        <f t="shared" si="1605"/>
        <v>23.742846238215275</v>
      </c>
      <c r="F763" s="1">
        <f t="shared" si="1606"/>
        <v>0</v>
      </c>
      <c r="G763" s="1">
        <f t="shared" si="1607"/>
        <v>-2.1601845147545404</v>
      </c>
      <c r="H763" s="1">
        <f t="shared" si="1152"/>
        <v>23.840913250740179</v>
      </c>
      <c r="I763" s="1">
        <f t="shared" si="1590"/>
        <v>-23.036792203181584</v>
      </c>
      <c r="J763" s="1">
        <f t="shared" si="1591"/>
        <v>0</v>
      </c>
      <c r="K763" s="1">
        <f t="shared" si="1592"/>
        <v>2.0959459235697628</v>
      </c>
      <c r="L763" s="1">
        <f t="shared" ref="L763:N763" si="1720">E763/$H763</f>
        <v>0.99588660839064713</v>
      </c>
      <c r="M763" s="1">
        <f t="shared" si="1720"/>
        <v>0</v>
      </c>
      <c r="N763" s="1">
        <f t="shared" si="1720"/>
        <v>-9.0608295581440193E-2</v>
      </c>
      <c r="O763" s="1">
        <f t="shared" si="1154"/>
        <v>-9.0608295581440193E-2</v>
      </c>
      <c r="P763" s="1">
        <f t="shared" si="1594"/>
        <v>9.0235588178657733E-2</v>
      </c>
      <c r="Q763" s="1">
        <f t="shared" si="1595"/>
        <v>0</v>
      </c>
      <c r="R763" s="1">
        <f t="shared" si="1596"/>
        <v>0.99179013677182637</v>
      </c>
      <c r="S763" s="1">
        <f t="shared" si="1597"/>
        <v>1.8702421954070241</v>
      </c>
      <c r="T763" s="1">
        <f t="shared" ref="T763:V763" si="1721">$S763*P763</f>
        <v>0.16876240453909694</v>
      </c>
      <c r="U763" s="1">
        <f t="shared" si="1721"/>
        <v>0</v>
      </c>
      <c r="V763" s="1">
        <f t="shared" si="1721"/>
        <v>1.8548877627791733</v>
      </c>
      <c r="W763" s="1">
        <f t="shared" si="1599"/>
        <v>-22.868029798642485</v>
      </c>
      <c r="X763" s="1">
        <f t="shared" si="1600"/>
        <v>0</v>
      </c>
      <c r="Y763" s="1">
        <f t="shared" si="1601"/>
        <v>-5.8558163136510633</v>
      </c>
    </row>
    <row r="764" spans="1:25">
      <c r="A764" s="1">
        <v>0.76200000000000001</v>
      </c>
      <c r="B764" s="1">
        <f t="shared" si="1602"/>
        <v>32.669657119346482</v>
      </c>
      <c r="C764" s="1">
        <f t="shared" si="1603"/>
        <v>0</v>
      </c>
      <c r="D764" s="1">
        <f t="shared" si="1604"/>
        <v>-0.19314657380505762</v>
      </c>
      <c r="E764" s="1">
        <f t="shared" si="1605"/>
        <v>23.719978208416634</v>
      </c>
      <c r="F764" s="1">
        <f t="shared" si="1606"/>
        <v>0</v>
      </c>
      <c r="G764" s="1">
        <f t="shared" si="1607"/>
        <v>-2.1660403310681913</v>
      </c>
      <c r="H764" s="1">
        <f t="shared" si="1152"/>
        <v>23.81867118299369</v>
      </c>
      <c r="I764" s="1">
        <f t="shared" si="1590"/>
        <v>-22.99313303896955</v>
      </c>
      <c r="J764" s="1">
        <f t="shared" si="1591"/>
        <v>0</v>
      </c>
      <c r="K764" s="1">
        <f t="shared" si="1592"/>
        <v>2.0996669163191912</v>
      </c>
      <c r="L764" s="1">
        <f t="shared" ref="L764:N764" si="1722">E764/$H764</f>
        <v>0.99585648696273532</v>
      </c>
      <c r="M764" s="1">
        <f t="shared" si="1722"/>
        <v>0</v>
      </c>
      <c r="N764" s="1">
        <f t="shared" si="1722"/>
        <v>-9.0938756172708912E-2</v>
      </c>
      <c r="O764" s="1">
        <f t="shared" si="1154"/>
        <v>-9.0938756172708912E-2</v>
      </c>
      <c r="P764" s="1">
        <f t="shared" si="1594"/>
        <v>9.0561950250914652E-2</v>
      </c>
      <c r="Q764" s="1">
        <f t="shared" si="1595"/>
        <v>0</v>
      </c>
      <c r="R764" s="1">
        <f t="shared" si="1596"/>
        <v>0.99173014262576065</v>
      </c>
      <c r="S764" s="1">
        <f t="shared" si="1597"/>
        <v>1.8667541872929332</v>
      </c>
      <c r="T764" s="1">
        <f t="shared" ref="T764:V764" si="1723">$S764*P764</f>
        <v>0.16905689984030922</v>
      </c>
      <c r="U764" s="1">
        <f t="shared" si="1723"/>
        <v>0</v>
      </c>
      <c r="V764" s="1">
        <f t="shared" si="1723"/>
        <v>1.8513163964112564</v>
      </c>
      <c r="W764" s="1">
        <f t="shared" si="1599"/>
        <v>-22.824076139129239</v>
      </c>
      <c r="X764" s="1">
        <f t="shared" si="1600"/>
        <v>0</v>
      </c>
      <c r="Y764" s="1">
        <f t="shared" si="1601"/>
        <v>-5.8556666872695518</v>
      </c>
    </row>
    <row r="765" spans="1:25">
      <c r="A765" s="1">
        <v>0.76300000000000001</v>
      </c>
      <c r="B765" s="1">
        <f t="shared" si="1602"/>
        <v>32.693354273478761</v>
      </c>
      <c r="C765" s="1">
        <f t="shared" si="1603"/>
        <v>0</v>
      </c>
      <c r="D765" s="1">
        <f t="shared" si="1604"/>
        <v>-0.19531846980281309</v>
      </c>
      <c r="E765" s="1">
        <f t="shared" si="1605"/>
        <v>23.697154132277504</v>
      </c>
      <c r="F765" s="1">
        <f t="shared" si="1606"/>
        <v>0</v>
      </c>
      <c r="G765" s="1">
        <f t="shared" si="1607"/>
        <v>-2.1718959977554606</v>
      </c>
      <c r="H765" s="1">
        <f t="shared" si="1152"/>
        <v>23.796475499409212</v>
      </c>
      <c r="I765" s="1">
        <f t="shared" si="1590"/>
        <v>-22.949602575195087</v>
      </c>
      <c r="J765" s="1">
        <f t="shared" si="1591"/>
        <v>0</v>
      </c>
      <c r="K765" s="1">
        <f t="shared" si="1592"/>
        <v>2.1033812627843238</v>
      </c>
      <c r="L765" s="1">
        <f t="shared" ref="L765:N765" si="1724">E765/$H765</f>
        <v>0.99582621522526837</v>
      </c>
      <c r="M765" s="1">
        <f t="shared" si="1724"/>
        <v>0</v>
      </c>
      <c r="N765" s="1">
        <f t="shared" si="1724"/>
        <v>-9.1269650323190996E-2</v>
      </c>
      <c r="O765" s="1">
        <f t="shared" si="1154"/>
        <v>-9.1269650323190996E-2</v>
      </c>
      <c r="P765" s="1">
        <f t="shared" si="1594"/>
        <v>9.0888710446276985E-2</v>
      </c>
      <c r="Q765" s="1">
        <f t="shared" si="1595"/>
        <v>0</v>
      </c>
      <c r="R765" s="1">
        <f t="shared" si="1596"/>
        <v>0.99166985092988247</v>
      </c>
      <c r="S765" s="1">
        <f t="shared" si="1597"/>
        <v>1.8632766985910389</v>
      </c>
      <c r="T765" s="1">
        <f t="shared" ref="T765:V765" si="1725">$S765*P765</f>
        <v>0.16935081633953586</v>
      </c>
      <c r="U765" s="1">
        <f t="shared" si="1725"/>
        <v>0</v>
      </c>
      <c r="V765" s="1">
        <f t="shared" si="1725"/>
        <v>1.8477553259328992</v>
      </c>
      <c r="W765" s="1">
        <f t="shared" si="1599"/>
        <v>-22.780251758855552</v>
      </c>
      <c r="X765" s="1">
        <f t="shared" si="1600"/>
        <v>0</v>
      </c>
      <c r="Y765" s="1">
        <f t="shared" si="1601"/>
        <v>-5.8555134112827769</v>
      </c>
    </row>
    <row r="766" spans="1:25">
      <c r="A766" s="1">
        <v>0.76400000000000001</v>
      </c>
      <c r="B766" s="1">
        <f t="shared" si="1602"/>
        <v>32.717028647359278</v>
      </c>
      <c r="C766" s="1">
        <f t="shared" si="1603"/>
        <v>0</v>
      </c>
      <c r="D766" s="1">
        <f t="shared" si="1604"/>
        <v>-0.19749622131397984</v>
      </c>
      <c r="E766" s="1">
        <f t="shared" si="1605"/>
        <v>23.674373880518647</v>
      </c>
      <c r="F766" s="1">
        <f t="shared" si="1606"/>
        <v>0</v>
      </c>
      <c r="G766" s="1">
        <f t="shared" si="1607"/>
        <v>-2.1777515111667434</v>
      </c>
      <c r="H766" s="1">
        <f t="shared" si="1152"/>
        <v>23.774326074128215</v>
      </c>
      <c r="I766" s="1">
        <f t="shared" si="1590"/>
        <v>-22.906200317144222</v>
      </c>
      <c r="J766" s="1">
        <f t="shared" si="1591"/>
        <v>0</v>
      </c>
      <c r="K766" s="1">
        <f t="shared" si="1592"/>
        <v>2.1070889818462279</v>
      </c>
      <c r="L766" s="1">
        <f t="shared" ref="L766:N766" si="1726">E766/$H766</f>
        <v>0.99579579276830321</v>
      </c>
      <c r="M766" s="1">
        <f t="shared" si="1726"/>
        <v>0</v>
      </c>
      <c r="N766" s="1">
        <f t="shared" si="1726"/>
        <v>-9.1600977641869905E-2</v>
      </c>
      <c r="O766" s="1">
        <f t="shared" si="1154"/>
        <v>-9.1600977641869905E-2</v>
      </c>
      <c r="P766" s="1">
        <f t="shared" si="1594"/>
        <v>9.1215868149237461E-2</v>
      </c>
      <c r="Q766" s="1">
        <f t="shared" si="1595"/>
        <v>0</v>
      </c>
      <c r="R766" s="1">
        <f t="shared" si="1596"/>
        <v>0.99160926089505363</v>
      </c>
      <c r="S766" s="1">
        <f t="shared" si="1597"/>
        <v>1.8598096892845901</v>
      </c>
      <c r="T766" s="1">
        <f t="shared" ref="T766:V766" si="1727">$S766*P766</f>
        <v>0.16964415540045746</v>
      </c>
      <c r="U766" s="1">
        <f t="shared" si="1727"/>
        <v>0</v>
      </c>
      <c r="V766" s="1">
        <f t="shared" si="1727"/>
        <v>1.8442045113969519</v>
      </c>
      <c r="W766" s="1">
        <f t="shared" si="1599"/>
        <v>-22.736556161743763</v>
      </c>
      <c r="X766" s="1">
        <f t="shared" si="1600"/>
        <v>0</v>
      </c>
      <c r="Y766" s="1">
        <f t="shared" si="1601"/>
        <v>-5.8553565067568201</v>
      </c>
    </row>
    <row r="767" spans="1:25">
      <c r="A767" s="1">
        <v>0.76500000000000001</v>
      </c>
      <c r="B767" s="1">
        <f t="shared" si="1602"/>
        <v>32.740680284683634</v>
      </c>
      <c r="C767" s="1">
        <f t="shared" si="1603"/>
        <v>0</v>
      </c>
      <c r="D767" s="1">
        <f t="shared" si="1604"/>
        <v>-0.19967982818165333</v>
      </c>
      <c r="E767" s="1">
        <f t="shared" si="1605"/>
        <v>23.651637324356905</v>
      </c>
      <c r="F767" s="1">
        <f t="shared" si="1606"/>
        <v>0</v>
      </c>
      <c r="G767" s="1">
        <f t="shared" si="1607"/>
        <v>-2.1836068676735003</v>
      </c>
      <c r="H767" s="1">
        <f t="shared" ref="H767:H1021" si="1728">SQRT(E767^2+F767^2+G767^2)</f>
        <v>23.752222781783257</v>
      </c>
      <c r="I767" s="1">
        <f t="shared" si="1590"/>
        <v>-22.862925772484054</v>
      </c>
      <c r="J767" s="1">
        <f t="shared" si="1591"/>
        <v>0</v>
      </c>
      <c r="K767" s="1">
        <f t="shared" si="1592"/>
        <v>2.1107900923414435</v>
      </c>
      <c r="L767" s="1">
        <f t="shared" ref="L767:N767" si="1729">E767/$H767</f>
        <v>0.9957652191817814</v>
      </c>
      <c r="M767" s="1">
        <f t="shared" si="1729"/>
        <v>0</v>
      </c>
      <c r="N767" s="1">
        <f t="shared" si="1729"/>
        <v>-9.1932737737211501E-2</v>
      </c>
      <c r="O767" s="1">
        <f t="shared" ref="O767:O1021" si="1730">N767</f>
        <v>-9.1932737737211501E-2</v>
      </c>
      <c r="P767" s="1">
        <f t="shared" si="1594"/>
        <v>9.1543422742875635E-2</v>
      </c>
      <c r="Q767" s="1">
        <f t="shared" si="1595"/>
        <v>0</v>
      </c>
      <c r="R767" s="1">
        <f t="shared" si="1596"/>
        <v>0.99154837173214105</v>
      </c>
      <c r="S767" s="1">
        <f t="shared" si="1597"/>
        <v>1.8563531195493035</v>
      </c>
      <c r="T767" s="1">
        <f t="shared" ref="T767:V767" si="1731">$S767*P767</f>
        <v>0.16993691838295785</v>
      </c>
      <c r="U767" s="1">
        <f t="shared" si="1731"/>
        <v>0</v>
      </c>
      <c r="V767" s="1">
        <f t="shared" si="1731"/>
        <v>1.8406639130489924</v>
      </c>
      <c r="W767" s="1">
        <f t="shared" si="1599"/>
        <v>-22.692988854101095</v>
      </c>
      <c r="X767" s="1">
        <f t="shared" si="1600"/>
        <v>0</v>
      </c>
      <c r="Y767" s="1">
        <f t="shared" si="1601"/>
        <v>-5.8551959946095637</v>
      </c>
    </row>
    <row r="768" spans="1:25">
      <c r="A768" s="1">
        <v>0.76600000000000001</v>
      </c>
      <c r="B768" s="1">
        <f t="shared" si="1602"/>
        <v>32.76430922901914</v>
      </c>
      <c r="C768" s="1">
        <f t="shared" si="1603"/>
        <v>0</v>
      </c>
      <c r="D768" s="1">
        <f t="shared" si="1604"/>
        <v>-0.20186929024532144</v>
      </c>
      <c r="E768" s="1">
        <f t="shared" si="1605"/>
        <v>23.628944335502805</v>
      </c>
      <c r="F768" s="1">
        <f t="shared" si="1606"/>
        <v>0</v>
      </c>
      <c r="G768" s="1">
        <f t="shared" si="1607"/>
        <v>-2.1894620636681097</v>
      </c>
      <c r="H768" s="1">
        <f t="shared" si="1728"/>
        <v>23.730165497495626</v>
      </c>
      <c r="I768" s="1">
        <f t="shared" si="1590"/>
        <v>-22.819778451249</v>
      </c>
      <c r="J768" s="1">
        <f t="shared" si="1591"/>
        <v>0</v>
      </c>
      <c r="K768" s="1">
        <f t="shared" si="1592"/>
        <v>2.1144846130620643</v>
      </c>
      <c r="L768" s="1">
        <f t="shared" ref="L768:N768" si="1732">E768/$H768</f>
        <v>0.99573449405553016</v>
      </c>
      <c r="M768" s="1">
        <f t="shared" si="1732"/>
        <v>0</v>
      </c>
      <c r="N768" s="1">
        <f t="shared" si="1732"/>
        <v>-9.2264930217160757E-2</v>
      </c>
      <c r="O768" s="1">
        <f t="shared" si="1730"/>
        <v>-9.2264930217160757E-2</v>
      </c>
      <c r="P768" s="1">
        <f t="shared" si="1594"/>
        <v>9.1871373608853363E-2</v>
      </c>
      <c r="Q768" s="1">
        <f t="shared" si="1595"/>
        <v>0</v>
      </c>
      <c r="R768" s="1">
        <f t="shared" si="1596"/>
        <v>0.9914871826520224</v>
      </c>
      <c r="S768" s="1">
        <f t="shared" si="1597"/>
        <v>1.8529069497522541</v>
      </c>
      <c r="T768" s="1">
        <f t="shared" ref="T768:V768" si="1733">$S768*P768</f>
        <v>0.17022910664313023</v>
      </c>
      <c r="U768" s="1">
        <f t="shared" si="1733"/>
        <v>0</v>
      </c>
      <c r="V768" s="1">
        <f t="shared" si="1733"/>
        <v>1.837133491326215</v>
      </c>
      <c r="W768" s="1">
        <f t="shared" si="1599"/>
        <v>-22.64954934460587</v>
      </c>
      <c r="X768" s="1">
        <f t="shared" si="1600"/>
        <v>0</v>
      </c>
      <c r="Y768" s="1">
        <f t="shared" si="1601"/>
        <v>-5.8550318956117202</v>
      </c>
    </row>
    <row r="769" spans="1:25">
      <c r="A769" s="1">
        <v>0.76700000000000002</v>
      </c>
      <c r="B769" s="1">
        <f t="shared" si="1602"/>
        <v>32.787915523805296</v>
      </c>
      <c r="C769" s="1">
        <f t="shared" si="1603"/>
        <v>0</v>
      </c>
      <c r="D769" s="1">
        <f t="shared" si="1604"/>
        <v>-0.20406460734088516</v>
      </c>
      <c r="E769" s="1">
        <f t="shared" si="1605"/>
        <v>23.606294786158198</v>
      </c>
      <c r="F769" s="1">
        <f t="shared" si="1606"/>
        <v>0</v>
      </c>
      <c r="G769" s="1">
        <f t="shared" si="1607"/>
        <v>-2.1953170955637216</v>
      </c>
      <c r="H769" s="1">
        <f t="shared" si="1728"/>
        <v>23.70815409687296</v>
      </c>
      <c r="I769" s="1">
        <f t="shared" si="1590"/>
        <v>-22.776757865827136</v>
      </c>
      <c r="J769" s="1">
        <f t="shared" si="1591"/>
        <v>0</v>
      </c>
      <c r="K769" s="1">
        <f t="shared" si="1592"/>
        <v>2.1181725627558081</v>
      </c>
      <c r="L769" s="1">
        <f t="shared" ref="L769:N769" si="1734">E769/$H769</f>
        <v>0.99570361697926557</v>
      </c>
      <c r="M769" s="1">
        <f t="shared" si="1734"/>
        <v>0</v>
      </c>
      <c r="N769" s="1">
        <f t="shared" si="1734"/>
        <v>-9.2597554689138703E-2</v>
      </c>
      <c r="O769" s="1">
        <f t="shared" si="1730"/>
        <v>-9.2597554689138703E-2</v>
      </c>
      <c r="P769" s="1">
        <f t="shared" si="1594"/>
        <v>9.2199720127410761E-2</v>
      </c>
      <c r="Q769" s="1">
        <f t="shared" si="1595"/>
        <v>0</v>
      </c>
      <c r="R769" s="1">
        <f t="shared" si="1596"/>
        <v>0.99142569286559201</v>
      </c>
      <c r="S769" s="1">
        <f t="shared" si="1597"/>
        <v>1.8494711404507695</v>
      </c>
      <c r="T769" s="1">
        <f t="shared" ref="T769:V769" si="1735">$S769*P769</f>
        <v>0.17052072153328415</v>
      </c>
      <c r="U769" s="1">
        <f t="shared" si="1735"/>
        <v>0</v>
      </c>
      <c r="V769" s="1">
        <f t="shared" si="1735"/>
        <v>1.8336132068563209</v>
      </c>
      <c r="W769" s="1">
        <f t="shared" si="1599"/>
        <v>-22.606237144293853</v>
      </c>
      <c r="X769" s="1">
        <f t="shared" si="1600"/>
        <v>0</v>
      </c>
      <c r="Y769" s="1">
        <f t="shared" si="1601"/>
        <v>-5.8548642303878706</v>
      </c>
    </row>
    <row r="770" spans="1:25">
      <c r="A770" s="1">
        <v>0.76800000000000002</v>
      </c>
      <c r="B770" s="1">
        <f t="shared" si="1602"/>
        <v>32.811499212354313</v>
      </c>
      <c r="C770" s="1">
        <f t="shared" si="1603"/>
        <v>0</v>
      </c>
      <c r="D770" s="1">
        <f t="shared" si="1604"/>
        <v>-0.20626577930067927</v>
      </c>
      <c r="E770" s="1">
        <f t="shared" si="1605"/>
        <v>23.583688549013903</v>
      </c>
      <c r="F770" s="1">
        <f t="shared" si="1606"/>
        <v>0</v>
      </c>
      <c r="G770" s="1">
        <f t="shared" si="1607"/>
        <v>-2.2011719597941095</v>
      </c>
      <c r="H770" s="1">
        <f t="shared" si="1728"/>
        <v>23.686188456006875</v>
      </c>
      <c r="I770" s="1">
        <f t="shared" ref="I770:I833" si="1736">-K_drag*$H770*E770</f>
        <v>-22.733863530946596</v>
      </c>
      <c r="J770" s="1">
        <f t="shared" ref="J770:J833" si="1737">-K_drag*$H770*F770</f>
        <v>0</v>
      </c>
      <c r="K770" s="1">
        <f t="shared" ref="K770:K833" si="1738">-K_drag*$H770*G770</f>
        <v>2.1218539601260935</v>
      </c>
      <c r="L770" s="1">
        <f t="shared" ref="L770:N770" si="1739">E770/$H770</f>
        <v>0.9956725875425948</v>
      </c>
      <c r="M770" s="1">
        <f t="shared" si="1739"/>
        <v>0</v>
      </c>
      <c r="N770" s="1">
        <f t="shared" si="1739"/>
        <v>-9.2930610760039237E-2</v>
      </c>
      <c r="O770" s="1">
        <f t="shared" si="1730"/>
        <v>-9.2930610760039237E-2</v>
      </c>
      <c r="P770" s="1">
        <f t="shared" ref="P770:P833" si="1740">u_axis_f-$O770*L770</f>
        <v>9.2528461677361964E-2</v>
      </c>
      <c r="Q770" s="1">
        <f t="shared" ref="Q770:Q833" si="1741">u_axis_r-$O770*M770</f>
        <v>0</v>
      </c>
      <c r="R770" s="1">
        <f t="shared" ref="R770:R833" si="1742">u_axis_u-$O770*N770</f>
        <v>0.99136390158376608</v>
      </c>
      <c r="S770" s="1">
        <f t="shared" ref="S770:S833" si="1743">K_lift*H770^2</f>
        <v>1.8460456523913324</v>
      </c>
      <c r="T770" s="1">
        <f t="shared" ref="T770:V770" si="1744">$S770*P770</f>
        <v>0.17081176440195206</v>
      </c>
      <c r="U770" s="1">
        <f t="shared" si="1744"/>
        <v>0</v>
      </c>
      <c r="V770" s="1">
        <f t="shared" si="1744"/>
        <v>1.8301030204564201</v>
      </c>
      <c r="W770" s="1">
        <f t="shared" ref="W770:W833" si="1745">I770+T770+g_f</f>
        <v>-22.563051766544643</v>
      </c>
      <c r="X770" s="1">
        <f t="shared" ref="X770:X833" si="1746">J770+U770+g_r</f>
        <v>0</v>
      </c>
      <c r="Y770" s="1">
        <f t="shared" ref="Y770:Y833" si="1747">K770+V770+g_u</f>
        <v>-5.8546930194174855</v>
      </c>
    </row>
    <row r="771" spans="1:25">
      <c r="A771" s="1">
        <v>0.76900000000000002</v>
      </c>
      <c r="B771" s="1">
        <f t="shared" ref="B771:B834" si="1748">B770+E771*dt</f>
        <v>32.835060337851559</v>
      </c>
      <c r="C771" s="1">
        <f t="shared" ref="C771:C834" si="1749">C770+F771*dt</f>
        <v>0</v>
      </c>
      <c r="D771" s="1">
        <f t="shared" ref="D771:D834" si="1750">D770+G771*dt</f>
        <v>-0.2084728059534928</v>
      </c>
      <c r="E771" s="1">
        <f t="shared" ref="E771:E834" si="1751">E770+W770*dt</f>
        <v>23.56112549724736</v>
      </c>
      <c r="F771" s="1">
        <f t="shared" ref="F771:F834" si="1752">F770+X770*dt</f>
        <v>0</v>
      </c>
      <c r="G771" s="1">
        <f t="shared" ref="G771:G834" si="1753">G770+Y770*dt</f>
        <v>-2.2070266528135272</v>
      </c>
      <c r="H771" s="1">
        <f t="shared" si="1728"/>
        <v>23.664268451470647</v>
      </c>
      <c r="I771" s="1">
        <f t="shared" si="1736"/>
        <v>-22.691094963662113</v>
      </c>
      <c r="J771" s="1">
        <f t="shared" si="1737"/>
        <v>0</v>
      </c>
      <c r="K771" s="1">
        <f t="shared" si="1738"/>
        <v>2.1255288238321164</v>
      </c>
      <c r="L771" s="1">
        <f t="shared" ref="L771:N771" si="1754">E771/$H771</f>
        <v>0.99564140533501777</v>
      </c>
      <c r="M771" s="1">
        <f t="shared" si="1754"/>
        <v>0</v>
      </c>
      <c r="N771" s="1">
        <f t="shared" si="1754"/>
        <v>-9.3264098036225943E-2</v>
      </c>
      <c r="O771" s="1">
        <f t="shared" si="1730"/>
        <v>-9.3264098036225943E-2</v>
      </c>
      <c r="P771" s="1">
        <f t="shared" si="1740"/>
        <v>9.2857597636090874E-2</v>
      </c>
      <c r="Q771" s="1">
        <f t="shared" si="1741"/>
        <v>0</v>
      </c>
      <c r="R771" s="1">
        <f t="shared" si="1742"/>
        <v>0.99130180801748924</v>
      </c>
      <c r="S771" s="1">
        <f t="shared" si="1743"/>
        <v>1.8426304465084948</v>
      </c>
      <c r="T771" s="1">
        <f t="shared" ref="T771:V771" si="1755">$S771*P771</f>
        <v>0.17110223659389628</v>
      </c>
      <c r="U771" s="1">
        <f t="shared" si="1755"/>
        <v>0</v>
      </c>
      <c r="V771" s="1">
        <f t="shared" si="1755"/>
        <v>1.8266028931319445</v>
      </c>
      <c r="W771" s="1">
        <f t="shared" si="1745"/>
        <v>-22.519992727068217</v>
      </c>
      <c r="X771" s="1">
        <f t="shared" si="1746"/>
        <v>0</v>
      </c>
      <c r="Y771" s="1">
        <f t="shared" si="1747"/>
        <v>-5.8545182830359384</v>
      </c>
    </row>
    <row r="772" spans="1:25">
      <c r="A772" s="1">
        <v>0.77</v>
      </c>
      <c r="B772" s="1">
        <f t="shared" si="1748"/>
        <v>32.858598943356078</v>
      </c>
      <c r="C772" s="1">
        <f t="shared" si="1749"/>
        <v>0</v>
      </c>
      <c r="D772" s="1">
        <f t="shared" si="1750"/>
        <v>-0.21068568712458935</v>
      </c>
      <c r="E772" s="1">
        <f t="shared" si="1751"/>
        <v>23.538605504520291</v>
      </c>
      <c r="F772" s="1">
        <f t="shared" si="1752"/>
        <v>0</v>
      </c>
      <c r="G772" s="1">
        <f t="shared" si="1753"/>
        <v>-2.212881171096563</v>
      </c>
      <c r="H772" s="1">
        <f t="shared" si="1728"/>
        <v>23.642393960316848</v>
      </c>
      <c r="I772" s="1">
        <f t="shared" si="1736"/>
        <v>-22.648451683341573</v>
      </c>
      <c r="J772" s="1">
        <f t="shared" si="1737"/>
        <v>0</v>
      </c>
      <c r="K772" s="1">
        <f t="shared" si="1738"/>
        <v>2.129197172488924</v>
      </c>
      <c r="L772" s="1">
        <f t="shared" ref="L772:N772" si="1756">E772/$H772</f>
        <v>0.99561006994593004</v>
      </c>
      <c r="M772" s="1">
        <f t="shared" si="1756"/>
        <v>0</v>
      </c>
      <c r="N772" s="1">
        <f t="shared" si="1756"/>
        <v>-9.3598016123529082E-2</v>
      </c>
      <c r="O772" s="1">
        <f t="shared" si="1730"/>
        <v>-9.3598016123529082E-2</v>
      </c>
      <c r="P772" s="1">
        <f t="shared" si="1740"/>
        <v>9.3187127379547083E-2</v>
      </c>
      <c r="Q772" s="1">
        <f t="shared" si="1741"/>
        <v>0</v>
      </c>
      <c r="R772" s="1">
        <f t="shared" si="1742"/>
        <v>0.99123941137773963</v>
      </c>
      <c r="S772" s="1">
        <f t="shared" si="1743"/>
        <v>1.8392254839237903</v>
      </c>
      <c r="T772" s="1">
        <f t="shared" ref="T772:V772" si="1757">$S772*P772</f>
        <v>0.17139213945011536</v>
      </c>
      <c r="U772" s="1">
        <f t="shared" si="1757"/>
        <v>0</v>
      </c>
      <c r="V772" s="1">
        <f t="shared" si="1757"/>
        <v>1.8231127860755563</v>
      </c>
      <c r="W772" s="1">
        <f t="shared" si="1745"/>
        <v>-22.477059543891457</v>
      </c>
      <c r="X772" s="1">
        <f t="shared" si="1746"/>
        <v>0</v>
      </c>
      <c r="Y772" s="1">
        <f t="shared" si="1747"/>
        <v>-5.8543400414355187</v>
      </c>
    </row>
    <row r="773" spans="1:25">
      <c r="A773" s="1">
        <v>0.77100000000000002</v>
      </c>
      <c r="B773" s="1">
        <f t="shared" si="1748"/>
        <v>32.882115071801053</v>
      </c>
      <c r="C773" s="1">
        <f t="shared" si="1749"/>
        <v>0</v>
      </c>
      <c r="D773" s="1">
        <f t="shared" si="1750"/>
        <v>-0.21290442263572734</v>
      </c>
      <c r="E773" s="1">
        <f t="shared" si="1751"/>
        <v>23.516128444976399</v>
      </c>
      <c r="F773" s="1">
        <f t="shared" si="1752"/>
        <v>0</v>
      </c>
      <c r="G773" s="1">
        <f t="shared" si="1753"/>
        <v>-2.2187355111379987</v>
      </c>
      <c r="H773" s="1">
        <f t="shared" si="1728"/>
        <v>23.620564860075064</v>
      </c>
      <c r="I773" s="1">
        <f t="shared" si="1736"/>
        <v>-22.605933211652783</v>
      </c>
      <c r="J773" s="1">
        <f t="shared" si="1737"/>
        <v>0</v>
      </c>
      <c r="K773" s="1">
        <f t="shared" si="1738"/>
        <v>2.132859024667495</v>
      </c>
      <c r="L773" s="1">
        <f t="shared" ref="L773:N773" si="1758">E773/$H773</f>
        <v>0.99557858096462415</v>
      </c>
      <c r="M773" s="1">
        <f t="shared" si="1758"/>
        <v>0</v>
      </c>
      <c r="N773" s="1">
        <f t="shared" si="1758"/>
        <v>-9.393236462724236E-2</v>
      </c>
      <c r="O773" s="1">
        <f t="shared" si="1730"/>
        <v>-9.393236462724236E-2</v>
      </c>
      <c r="P773" s="1">
        <f t="shared" si="1740"/>
        <v>9.3517050282241609E-2</v>
      </c>
      <c r="Q773" s="1">
        <f t="shared" si="1741"/>
        <v>0</v>
      </c>
      <c r="R773" s="1">
        <f t="shared" si="1742"/>
        <v>0.99117671087553483</v>
      </c>
      <c r="S773" s="1">
        <f t="shared" si="1743"/>
        <v>1.8358307259446658</v>
      </c>
      <c r="T773" s="1">
        <f t="shared" ref="T773:V773" si="1759">$S773*P773</f>
        <v>0.17168147430785144</v>
      </c>
      <c r="U773" s="1">
        <f t="shared" si="1759"/>
        <v>0</v>
      </c>
      <c r="V773" s="1">
        <f t="shared" si="1759"/>
        <v>1.8196326606660793</v>
      </c>
      <c r="W773" s="1">
        <f t="shared" si="1745"/>
        <v>-22.43425173734493</v>
      </c>
      <c r="X773" s="1">
        <f t="shared" si="1746"/>
        <v>0</v>
      </c>
      <c r="Y773" s="1">
        <f t="shared" si="1747"/>
        <v>-5.8541583146664253</v>
      </c>
    </row>
    <row r="774" spans="1:25">
      <c r="A774" s="1">
        <v>0.77200000000000002</v>
      </c>
      <c r="B774" s="1">
        <f t="shared" si="1748"/>
        <v>32.905608765994295</v>
      </c>
      <c r="C774" s="1">
        <f t="shared" si="1749"/>
        <v>0</v>
      </c>
      <c r="D774" s="1">
        <f t="shared" si="1750"/>
        <v>-0.21512901230518</v>
      </c>
      <c r="E774" s="1">
        <f t="shared" si="1751"/>
        <v>23.493694193239055</v>
      </c>
      <c r="F774" s="1">
        <f t="shared" si="1752"/>
        <v>0</v>
      </c>
      <c r="G774" s="1">
        <f t="shared" si="1753"/>
        <v>-2.2245896694526652</v>
      </c>
      <c r="H774" s="1">
        <f t="shared" si="1728"/>
        <v>23.598781028749556</v>
      </c>
      <c r="I774" s="1">
        <f t="shared" si="1736"/>
        <v>-22.563539072550178</v>
      </c>
      <c r="J774" s="1">
        <f t="shared" si="1737"/>
        <v>0</v>
      </c>
      <c r="K774" s="1">
        <f t="shared" si="1738"/>
        <v>2.1365143988948128</v>
      </c>
      <c r="L774" s="1">
        <f t="shared" ref="L774:N774" si="1760">E774/$H774</f>
        <v>0.99554693798029326</v>
      </c>
      <c r="M774" s="1">
        <f t="shared" si="1760"/>
        <v>0</v>
      </c>
      <c r="N774" s="1">
        <f t="shared" si="1760"/>
        <v>-9.4267143152119884E-2</v>
      </c>
      <c r="O774" s="1">
        <f t="shared" si="1730"/>
        <v>-9.4267143152119884E-2</v>
      </c>
      <c r="P774" s="1">
        <f t="shared" si="1740"/>
        <v>9.384736571724292E-2</v>
      </c>
      <c r="Q774" s="1">
        <f t="shared" si="1741"/>
        <v>0</v>
      </c>
      <c r="R774" s="1">
        <f t="shared" si="1742"/>
        <v>0.99111370572193769</v>
      </c>
      <c r="S774" s="1">
        <f t="shared" si="1743"/>
        <v>1.8324461340634088</v>
      </c>
      <c r="T774" s="1">
        <f t="shared" ref="T774:V774" si="1761">$S774*P774</f>
        <v>0.17197024250059667</v>
      </c>
      <c r="U774" s="1">
        <f t="shared" si="1761"/>
        <v>0</v>
      </c>
      <c r="V774" s="1">
        <f t="shared" si="1761"/>
        <v>1.8161624784674237</v>
      </c>
      <c r="W774" s="1">
        <f t="shared" si="1745"/>
        <v>-22.391568830049582</v>
      </c>
      <c r="X774" s="1">
        <f t="shared" si="1746"/>
        <v>0</v>
      </c>
      <c r="Y774" s="1">
        <f t="shared" si="1747"/>
        <v>-5.8539731226377629</v>
      </c>
    </row>
    <row r="775" spans="1:25">
      <c r="A775" s="1">
        <v>0.77300000000000002</v>
      </c>
      <c r="B775" s="1">
        <f t="shared" si="1748"/>
        <v>32.929080068618703</v>
      </c>
      <c r="C775" s="1">
        <f t="shared" si="1749"/>
        <v>0</v>
      </c>
      <c r="D775" s="1">
        <f t="shared" si="1750"/>
        <v>-0.2173594559477553</v>
      </c>
      <c r="E775" s="1">
        <f t="shared" si="1751"/>
        <v>23.471302624409006</v>
      </c>
      <c r="F775" s="1">
        <f t="shared" si="1752"/>
        <v>0</v>
      </c>
      <c r="G775" s="1">
        <f t="shared" si="1753"/>
        <v>-2.2304436425753029</v>
      </c>
      <c r="H775" s="1">
        <f t="shared" si="1728"/>
        <v>23.577042344816995</v>
      </c>
      <c r="I775" s="1">
        <f t="shared" si="1736"/>
        <v>-22.521268792261733</v>
      </c>
      <c r="J775" s="1">
        <f t="shared" si="1737"/>
        <v>0</v>
      </c>
      <c r="K775" s="1">
        <f t="shared" si="1738"/>
        <v>2.1401633136539466</v>
      </c>
      <c r="L775" s="1">
        <f t="shared" ref="L775:N775" si="1762">E775/$H775</f>
        <v>0.99551514058203172</v>
      </c>
      <c r="M775" s="1">
        <f t="shared" si="1762"/>
        <v>0</v>
      </c>
      <c r="N775" s="1">
        <f t="shared" si="1762"/>
        <v>-9.4602351302373058E-2</v>
      </c>
      <c r="O775" s="1">
        <f t="shared" si="1730"/>
        <v>-9.4602351302373058E-2</v>
      </c>
      <c r="P775" s="1">
        <f t="shared" si="1740"/>
        <v>9.4178073056172665E-2</v>
      </c>
      <c r="Q775" s="1">
        <f t="shared" si="1741"/>
        <v>0</v>
      </c>
      <c r="R775" s="1">
        <f t="shared" si="1742"/>
        <v>0.99105039512806237</v>
      </c>
      <c r="S775" s="1">
        <f t="shared" si="1743"/>
        <v>1.8290716699560901</v>
      </c>
      <c r="T775" s="1">
        <f t="shared" ref="T775:V775" si="1763">$S775*P775</f>
        <v>0.17225844535810039</v>
      </c>
      <c r="U775" s="1">
        <f t="shared" si="1763"/>
        <v>0</v>
      </c>
      <c r="V775" s="1">
        <f t="shared" si="1763"/>
        <v>1.812702201227528</v>
      </c>
      <c r="W775" s="1">
        <f t="shared" si="1745"/>
        <v>-22.349010346903633</v>
      </c>
      <c r="X775" s="1">
        <f t="shared" si="1746"/>
        <v>0</v>
      </c>
      <c r="Y775" s="1">
        <f t="shared" si="1747"/>
        <v>-5.853784485118525</v>
      </c>
    </row>
    <row r="776" spans="1:25">
      <c r="A776" s="1">
        <v>0.77400000000000002</v>
      </c>
      <c r="B776" s="1">
        <f t="shared" si="1748"/>
        <v>32.952529022232767</v>
      </c>
      <c r="C776" s="1">
        <f t="shared" si="1749"/>
        <v>0</v>
      </c>
      <c r="D776" s="1">
        <f t="shared" si="1750"/>
        <v>-0.21959575337481571</v>
      </c>
      <c r="E776" s="1">
        <f t="shared" si="1751"/>
        <v>23.448953614062102</v>
      </c>
      <c r="F776" s="1">
        <f t="shared" si="1752"/>
        <v>0</v>
      </c>
      <c r="G776" s="1">
        <f t="shared" si="1753"/>
        <v>-2.2362974270604212</v>
      </c>
      <c r="H776" s="1">
        <f t="shared" si="1728"/>
        <v>23.555348687224164</v>
      </c>
      <c r="I776" s="1">
        <f t="shared" si="1736"/>
        <v>-22.479121899275899</v>
      </c>
      <c r="J776" s="1">
        <f t="shared" si="1737"/>
        <v>0</v>
      </c>
      <c r="K776" s="1">
        <f t="shared" si="1738"/>
        <v>2.1438057873841267</v>
      </c>
      <c r="L776" s="1">
        <f t="shared" ref="L776:N776" si="1764">E776/$H776</f>
        <v>0.99548318835883898</v>
      </c>
      <c r="M776" s="1">
        <f t="shared" si="1764"/>
        <v>0</v>
      </c>
      <c r="N776" s="1">
        <f t="shared" si="1764"/>
        <v>-9.4937988681667584E-2</v>
      </c>
      <c r="O776" s="1">
        <f t="shared" si="1730"/>
        <v>-9.4937988681667584E-2</v>
      </c>
      <c r="P776" s="1">
        <f t="shared" si="1740"/>
        <v>9.4509171669201808E-2</v>
      </c>
      <c r="Q776" s="1">
        <f t="shared" si="1741"/>
        <v>0</v>
      </c>
      <c r="R776" s="1">
        <f t="shared" si="1742"/>
        <v>0.99098677830507953</v>
      </c>
      <c r="S776" s="1">
        <f t="shared" si="1743"/>
        <v>1.8257072954815075</v>
      </c>
      <c r="T776" s="1">
        <f t="shared" ref="T776:V776" si="1765">$S776*P776</f>
        <v>0.17254608420637593</v>
      </c>
      <c r="U776" s="1">
        <f t="shared" si="1765"/>
        <v>0</v>
      </c>
      <c r="V776" s="1">
        <f t="shared" si="1765"/>
        <v>1.8092517908772989</v>
      </c>
      <c r="W776" s="1">
        <f t="shared" si="1745"/>
        <v>-22.306575815069522</v>
      </c>
      <c r="X776" s="1">
        <f t="shared" si="1746"/>
        <v>0</v>
      </c>
      <c r="Y776" s="1">
        <f t="shared" si="1747"/>
        <v>-5.8535924217385737</v>
      </c>
    </row>
    <row r="777" spans="1:25">
      <c r="A777" s="1">
        <v>0.77500000000000002</v>
      </c>
      <c r="B777" s="1">
        <f t="shared" si="1748"/>
        <v>32.975955669271016</v>
      </c>
      <c r="C777" s="1">
        <f t="shared" si="1749"/>
        <v>0</v>
      </c>
      <c r="D777" s="1">
        <f t="shared" si="1750"/>
        <v>-0.22183790439429787</v>
      </c>
      <c r="E777" s="1">
        <f t="shared" si="1751"/>
        <v>23.426647038247033</v>
      </c>
      <c r="F777" s="1">
        <f t="shared" si="1752"/>
        <v>0</v>
      </c>
      <c r="G777" s="1">
        <f t="shared" si="1753"/>
        <v>-2.2421510194821597</v>
      </c>
      <c r="H777" s="1">
        <f t="shared" si="1728"/>
        <v>23.533699935385709</v>
      </c>
      <c r="I777" s="1">
        <f t="shared" si="1736"/>
        <v>-22.437097924328683</v>
      </c>
      <c r="J777" s="1">
        <f t="shared" si="1737"/>
        <v>0</v>
      </c>
      <c r="K777" s="1">
        <f t="shared" si="1738"/>
        <v>2.1474418384808258</v>
      </c>
      <c r="L777" s="1">
        <f t="shared" ref="L777:N777" si="1766">E777/$H777</f>
        <v>0.99545108089962053</v>
      </c>
      <c r="M777" s="1">
        <f t="shared" si="1766"/>
        <v>0</v>
      </c>
      <c r="N777" s="1">
        <f t="shared" si="1766"/>
        <v>-9.5274054893120297E-2</v>
      </c>
      <c r="O777" s="1">
        <f t="shared" si="1730"/>
        <v>-9.5274054893120297E-2</v>
      </c>
      <c r="P777" s="1">
        <f t="shared" si="1740"/>
        <v>9.484066092504638E-2</v>
      </c>
      <c r="Q777" s="1">
        <f t="shared" si="1741"/>
        <v>0</v>
      </c>
      <c r="R777" s="1">
        <f t="shared" si="1742"/>
        <v>0.99092285446422268</v>
      </c>
      <c r="S777" s="1">
        <f t="shared" si="1743"/>
        <v>1.8223529726801431</v>
      </c>
      <c r="T777" s="1">
        <f t="shared" ref="T777:V777" si="1767">$S777*P777</f>
        <v>0.17283316036770777</v>
      </c>
      <c r="U777" s="1">
        <f t="shared" si="1767"/>
        <v>0</v>
      </c>
      <c r="V777" s="1">
        <f t="shared" si="1767"/>
        <v>1.8058112095295691</v>
      </c>
      <c r="W777" s="1">
        <f t="shared" si="1745"/>
        <v>-22.264264763960973</v>
      </c>
      <c r="X777" s="1">
        <f t="shared" si="1746"/>
        <v>0</v>
      </c>
      <c r="Y777" s="1">
        <f t="shared" si="1747"/>
        <v>-5.8533969519896045</v>
      </c>
    </row>
    <row r="778" spans="1:25">
      <c r="A778" s="1">
        <v>0.77600000000000002</v>
      </c>
      <c r="B778" s="1">
        <f t="shared" si="1748"/>
        <v>32.999360052044501</v>
      </c>
      <c r="C778" s="1">
        <f t="shared" si="1749"/>
        <v>0</v>
      </c>
      <c r="D778" s="1">
        <f t="shared" si="1750"/>
        <v>-0.22408590881073204</v>
      </c>
      <c r="E778" s="1">
        <f t="shared" si="1751"/>
        <v>23.404382773483071</v>
      </c>
      <c r="F778" s="1">
        <f t="shared" si="1752"/>
        <v>0</v>
      </c>
      <c r="G778" s="1">
        <f t="shared" si="1753"/>
        <v>-2.2480044164341493</v>
      </c>
      <c r="H778" s="1">
        <f t="shared" si="1728"/>
        <v>23.512095969181875</v>
      </c>
      <c r="I778" s="1">
        <f t="shared" si="1736"/>
        <v>-22.395196400390731</v>
      </c>
      <c r="J778" s="1">
        <f t="shared" si="1737"/>
        <v>0</v>
      </c>
      <c r="K778" s="1">
        <f t="shared" si="1738"/>
        <v>2.1510714852958368</v>
      </c>
      <c r="L778" s="1">
        <f t="shared" ref="L778:N778" si="1768">E778/$H778</f>
        <v>0.99541881779319097</v>
      </c>
      <c r="M778" s="1">
        <f t="shared" si="1768"/>
        <v>0</v>
      </c>
      <c r="N778" s="1">
        <f t="shared" si="1768"/>
        <v>-9.5610549539296166E-2</v>
      </c>
      <c r="O778" s="1">
        <f t="shared" si="1730"/>
        <v>-9.5610549539296166E-2</v>
      </c>
      <c r="P778" s="1">
        <f t="shared" si="1740"/>
        <v>9.5172540190963509E-2</v>
      </c>
      <c r="Q778" s="1">
        <f t="shared" si="1741"/>
        <v>0</v>
      </c>
      <c r="R778" s="1">
        <f t="shared" si="1742"/>
        <v>0.99085862281679382</v>
      </c>
      <c r="S778" s="1">
        <f t="shared" si="1743"/>
        <v>1.8190086637731211</v>
      </c>
      <c r="T778" s="1">
        <f t="shared" ref="T778:V778" si="1769">$S778*P778</f>
        <v>0.17311967516065818</v>
      </c>
      <c r="U778" s="1">
        <f t="shared" si="1769"/>
        <v>0</v>
      </c>
      <c r="V778" s="1">
        <f t="shared" si="1769"/>
        <v>1.8023804194780511</v>
      </c>
      <c r="W778" s="1">
        <f t="shared" si="1745"/>
        <v>-22.222076725230071</v>
      </c>
      <c r="X778" s="1">
        <f t="shared" si="1746"/>
        <v>0</v>
      </c>
      <c r="Y778" s="1">
        <f t="shared" si="1747"/>
        <v>-5.8531980952261113</v>
      </c>
    </row>
    <row r="779" spans="1:25">
      <c r="A779" s="1">
        <v>0.77700000000000002</v>
      </c>
      <c r="B779" s="1">
        <f t="shared" si="1748"/>
        <v>33.022742212741257</v>
      </c>
      <c r="C779" s="1">
        <f t="shared" si="1749"/>
        <v>0</v>
      </c>
      <c r="D779" s="1">
        <f t="shared" si="1750"/>
        <v>-0.22633976642526141</v>
      </c>
      <c r="E779" s="1">
        <f t="shared" si="1751"/>
        <v>23.38216069675784</v>
      </c>
      <c r="F779" s="1">
        <f t="shared" si="1752"/>
        <v>0</v>
      </c>
      <c r="G779" s="1">
        <f t="shared" si="1753"/>
        <v>-2.2538576145293754</v>
      </c>
      <c r="H779" s="1">
        <f t="shared" si="1728"/>
        <v>23.49053666895627</v>
      </c>
      <c r="I779" s="1">
        <f t="shared" si="1736"/>
        <v>-22.353416862654587</v>
      </c>
      <c r="J779" s="1">
        <f t="shared" si="1737"/>
        <v>0</v>
      </c>
      <c r="K779" s="1">
        <f t="shared" si="1738"/>
        <v>2.1546947461373511</v>
      </c>
      <c r="L779" s="1">
        <f t="shared" ref="L779:N779" si="1770">E779/$H779</f>
        <v>0.99538639862827594</v>
      </c>
      <c r="M779" s="1">
        <f t="shared" si="1770"/>
        <v>0</v>
      </c>
      <c r="N779" s="1">
        <f t="shared" si="1770"/>
        <v>-9.5947472222205246E-2</v>
      </c>
      <c r="O779" s="1">
        <f t="shared" si="1730"/>
        <v>-9.5947472222205246E-2</v>
      </c>
      <c r="P779" s="1">
        <f t="shared" si="1740"/>
        <v>9.5504808832747423E-2</v>
      </c>
      <c r="Q779" s="1">
        <f t="shared" si="1741"/>
        <v>0</v>
      </c>
      <c r="R779" s="1">
        <f t="shared" si="1742"/>
        <v>0.99079408257416912</v>
      </c>
      <c r="S779" s="1">
        <f t="shared" si="1743"/>
        <v>1.8156743311611774</v>
      </c>
      <c r="T779" s="1">
        <f t="shared" ref="T779:V779" si="1771">$S779*P779</f>
        <v>0.17340562990007477</v>
      </c>
      <c r="U779" s="1">
        <f t="shared" si="1771"/>
        <v>0</v>
      </c>
      <c r="V779" s="1">
        <f t="shared" si="1771"/>
        <v>1.7989593831963069</v>
      </c>
      <c r="W779" s="1">
        <f t="shared" si="1745"/>
        <v>-22.180011232754513</v>
      </c>
      <c r="X779" s="1">
        <f t="shared" si="1746"/>
        <v>0</v>
      </c>
      <c r="Y779" s="1">
        <f t="shared" si="1747"/>
        <v>-5.8529958706663416</v>
      </c>
    </row>
    <row r="780" spans="1:25">
      <c r="A780" s="1">
        <v>0.77800000000000002</v>
      </c>
      <c r="B780" s="1">
        <f t="shared" si="1748"/>
        <v>33.046102193426783</v>
      </c>
      <c r="C780" s="1">
        <f t="shared" si="1749"/>
        <v>0</v>
      </c>
      <c r="D780" s="1">
        <f t="shared" si="1750"/>
        <v>-0.22859947703566144</v>
      </c>
      <c r="E780" s="1">
        <f t="shared" si="1751"/>
        <v>23.359980685525084</v>
      </c>
      <c r="F780" s="1">
        <f t="shared" si="1752"/>
        <v>0</v>
      </c>
      <c r="G780" s="1">
        <f t="shared" si="1753"/>
        <v>-2.2597106104000417</v>
      </c>
      <c r="H780" s="1">
        <f t="shared" si="1728"/>
        <v>23.469021915513636</v>
      </c>
      <c r="I780" s="1">
        <f t="shared" si="1736"/>
        <v>-22.311758848521961</v>
      </c>
      <c r="J780" s="1">
        <f t="shared" si="1737"/>
        <v>0</v>
      </c>
      <c r="K780" s="1">
        <f t="shared" si="1738"/>
        <v>2.158311639270039</v>
      </c>
      <c r="L780" s="1">
        <f t="shared" ref="L780:N780" si="1772">E780/$H780</f>
        <v>0.99535382299351505</v>
      </c>
      <c r="M780" s="1">
        <f t="shared" si="1772"/>
        <v>0</v>
      </c>
      <c r="N780" s="1">
        <f t="shared" si="1772"/>
        <v>-9.6284822543299689E-2</v>
      </c>
      <c r="O780" s="1">
        <f t="shared" si="1730"/>
        <v>-9.6284822543299689E-2</v>
      </c>
      <c r="P780" s="1">
        <f t="shared" si="1740"/>
        <v>9.5837466214725525E-2</v>
      </c>
      <c r="Q780" s="1">
        <f t="shared" si="1741"/>
        <v>0</v>
      </c>
      <c r="R780" s="1">
        <f t="shared" si="1742"/>
        <v>0.99072923294780524</v>
      </c>
      <c r="S780" s="1">
        <f t="shared" si="1743"/>
        <v>1.8123499374236314</v>
      </c>
      <c r="T780" s="1">
        <f t="shared" ref="T780:V780" si="1773">$S780*P780</f>
        <v>0.1736910258970972</v>
      </c>
      <c r="U780" s="1">
        <f t="shared" si="1773"/>
        <v>0</v>
      </c>
      <c r="V780" s="1">
        <f t="shared" si="1773"/>
        <v>1.7955480633367171</v>
      </c>
      <c r="W780" s="1">
        <f t="shared" si="1745"/>
        <v>-22.138067822624865</v>
      </c>
      <c r="X780" s="1">
        <f t="shared" si="1746"/>
        <v>0</v>
      </c>
      <c r="Y780" s="1">
        <f t="shared" si="1747"/>
        <v>-5.8527902973932431</v>
      </c>
    </row>
    <row r="781" spans="1:25">
      <c r="A781" s="1">
        <v>0.77900000000000003</v>
      </c>
      <c r="B781" s="1">
        <f t="shared" si="1748"/>
        <v>33.069440036044483</v>
      </c>
      <c r="C781" s="1">
        <f t="shared" si="1749"/>
        <v>0</v>
      </c>
      <c r="D781" s="1">
        <f t="shared" si="1750"/>
        <v>-0.23086504043635889</v>
      </c>
      <c r="E781" s="1">
        <f t="shared" si="1751"/>
        <v>23.33784261770246</v>
      </c>
      <c r="F781" s="1">
        <f t="shared" si="1752"/>
        <v>0</v>
      </c>
      <c r="G781" s="1">
        <f t="shared" si="1753"/>
        <v>-2.265563400697435</v>
      </c>
      <c r="H781" s="1">
        <f t="shared" si="1728"/>
        <v>23.447551590117655</v>
      </c>
      <c r="I781" s="1">
        <f t="shared" si="1736"/>
        <v>-22.270221897591171</v>
      </c>
      <c r="J781" s="1">
        <f t="shared" si="1737"/>
        <v>0</v>
      </c>
      <c r="K781" s="1">
        <f t="shared" si="1738"/>
        <v>2.1619221829151334</v>
      </c>
      <c r="L781" s="1">
        <f t="shared" ref="L781:N781" si="1774">E781/$H781</f>
        <v>0.99532109047746231</v>
      </c>
      <c r="M781" s="1">
        <f t="shared" si="1774"/>
        <v>0</v>
      </c>
      <c r="N781" s="1">
        <f t="shared" si="1774"/>
        <v>-9.6622600103470624E-2</v>
      </c>
      <c r="O781" s="1">
        <f t="shared" si="1730"/>
        <v>-9.6622600103470624E-2</v>
      </c>
      <c r="P781" s="1">
        <f t="shared" si="1740"/>
        <v>9.6170511699754144E-2</v>
      </c>
      <c r="Q781" s="1">
        <f t="shared" si="1741"/>
        <v>0</v>
      </c>
      <c r="R781" s="1">
        <f t="shared" si="1742"/>
        <v>0.99066407314924476</v>
      </c>
      <c r="S781" s="1">
        <f t="shared" si="1743"/>
        <v>1.8090354453173725</v>
      </c>
      <c r="T781" s="1">
        <f t="shared" ref="T781:V781" si="1775">$S781*P781</f>
        <v>0.17397586445916433</v>
      </c>
      <c r="U781" s="1">
        <f t="shared" si="1775"/>
        <v>0</v>
      </c>
      <c r="V781" s="1">
        <f t="shared" si="1775"/>
        <v>1.7921464227294661</v>
      </c>
      <c r="W781" s="1">
        <f t="shared" si="1745"/>
        <v>-22.096246033132005</v>
      </c>
      <c r="X781" s="1">
        <f t="shared" si="1746"/>
        <v>0</v>
      </c>
      <c r="Y781" s="1">
        <f t="shared" si="1747"/>
        <v>-5.8525813943553997</v>
      </c>
    </row>
    <row r="782" spans="1:25">
      <c r="A782" s="1">
        <v>0.78</v>
      </c>
      <c r="B782" s="1">
        <f t="shared" si="1748"/>
        <v>33.092755782416155</v>
      </c>
      <c r="C782" s="1">
        <f t="shared" si="1749"/>
        <v>0</v>
      </c>
      <c r="D782" s="1">
        <f t="shared" si="1750"/>
        <v>-0.23313645641845068</v>
      </c>
      <c r="E782" s="1">
        <f t="shared" si="1751"/>
        <v>23.315746371669327</v>
      </c>
      <c r="F782" s="1">
        <f t="shared" si="1752"/>
        <v>0</v>
      </c>
      <c r="G782" s="1">
        <f t="shared" si="1753"/>
        <v>-2.2714159820917903</v>
      </c>
      <c r="H782" s="1">
        <f t="shared" si="1728"/>
        <v>23.426125574488697</v>
      </c>
      <c r="I782" s="1">
        <f t="shared" si="1736"/>
        <v>-22.228805551644516</v>
      </c>
      <c r="J782" s="1">
        <f t="shared" si="1737"/>
        <v>0</v>
      </c>
      <c r="K782" s="1">
        <f t="shared" si="1738"/>
        <v>2.1655263952505028</v>
      </c>
      <c r="L782" s="1">
        <f t="shared" ref="L782:N782" si="1776">E782/$H782</f>
        <v>0.99528820066859136</v>
      </c>
      <c r="M782" s="1">
        <f t="shared" si="1776"/>
        <v>0</v>
      </c>
      <c r="N782" s="1">
        <f t="shared" si="1776"/>
        <v>-9.6960804503045381E-2</v>
      </c>
      <c r="O782" s="1">
        <f t="shared" si="1730"/>
        <v>-9.6960804503045381E-2</v>
      </c>
      <c r="P782" s="1">
        <f t="shared" si="1740"/>
        <v>9.6503944649215093E-2</v>
      </c>
      <c r="Q782" s="1">
        <f t="shared" si="1741"/>
        <v>0</v>
      </c>
      <c r="R782" s="1">
        <f t="shared" si="1742"/>
        <v>0.99059860239012221</v>
      </c>
      <c r="S782" s="1">
        <f t="shared" si="1743"/>
        <v>1.8057308177758395</v>
      </c>
      <c r="T782" s="1">
        <f t="shared" ref="T782:V782" si="1777">$S782*P782</f>
        <v>0.17426014689002153</v>
      </c>
      <c r="U782" s="1">
        <f t="shared" si="1777"/>
        <v>0</v>
      </c>
      <c r="V782" s="1">
        <f t="shared" si="1777"/>
        <v>1.788754424381519</v>
      </c>
      <c r="W782" s="1">
        <f t="shared" si="1745"/>
        <v>-22.054545404754496</v>
      </c>
      <c r="X782" s="1">
        <f t="shared" si="1746"/>
        <v>0</v>
      </c>
      <c r="Y782" s="1">
        <f t="shared" si="1747"/>
        <v>-5.8523691803679778</v>
      </c>
    </row>
    <row r="783" spans="1:25">
      <c r="A783" s="1">
        <v>0.78100000000000003</v>
      </c>
      <c r="B783" s="1">
        <f t="shared" si="1748"/>
        <v>33.116049474242423</v>
      </c>
      <c r="C783" s="1">
        <f t="shared" si="1749"/>
        <v>0</v>
      </c>
      <c r="D783" s="1">
        <f t="shared" si="1750"/>
        <v>-0.23541372476972283</v>
      </c>
      <c r="E783" s="1">
        <f t="shared" si="1751"/>
        <v>23.293691826264574</v>
      </c>
      <c r="F783" s="1">
        <f t="shared" si="1752"/>
        <v>0</v>
      </c>
      <c r="G783" s="1">
        <f t="shared" si="1753"/>
        <v>-2.2772683512721583</v>
      </c>
      <c r="H783" s="1">
        <f t="shared" si="1728"/>
        <v>23.404743750801689</v>
      </c>
      <c r="I783" s="1">
        <f t="shared" si="1736"/>
        <v>-22.187509354635946</v>
      </c>
      <c r="J783" s="1">
        <f t="shared" si="1737"/>
        <v>0</v>
      </c>
      <c r="K783" s="1">
        <f t="shared" si="1738"/>
        <v>2.1691242944107412</v>
      </c>
      <c r="L783" s="1">
        <f t="shared" ref="L783:N783" si="1778">E783/$H783</f>
        <v>0.99525515315529522</v>
      </c>
      <c r="M783" s="1">
        <f t="shared" si="1778"/>
        <v>0</v>
      </c>
      <c r="N783" s="1">
        <f t="shared" si="1778"/>
        <v>-9.7299435341784271E-2</v>
      </c>
      <c r="O783" s="1">
        <f t="shared" si="1730"/>
        <v>-9.7299435341784271E-2</v>
      </c>
      <c r="P783" s="1">
        <f t="shared" si="1740"/>
        <v>9.6837764423011244E-2</v>
      </c>
      <c r="Q783" s="1">
        <f t="shared" si="1741"/>
        <v>0</v>
      </c>
      <c r="R783" s="1">
        <f t="shared" si="1742"/>
        <v>0.9905328198821699</v>
      </c>
      <c r="S783" s="1">
        <f t="shared" si="1743"/>
        <v>1.8024360179080254</v>
      </c>
      <c r="T783" s="1">
        <f t="shared" ref="T783:V783" si="1779">$S783*P783</f>
        <v>0.17454387448972783</v>
      </c>
      <c r="U783" s="1">
        <f t="shared" si="1779"/>
        <v>0</v>
      </c>
      <c r="V783" s="1">
        <f t="shared" si="1779"/>
        <v>1.7853720314756256</v>
      </c>
      <c r="W783" s="1">
        <f t="shared" si="1745"/>
        <v>-22.012965480146217</v>
      </c>
      <c r="X783" s="1">
        <f t="shared" si="1746"/>
        <v>0</v>
      </c>
      <c r="Y783" s="1">
        <f t="shared" si="1747"/>
        <v>-5.8521536741136329</v>
      </c>
    </row>
    <row r="784" spans="1:25">
      <c r="A784" s="1">
        <v>0.78200000000000003</v>
      </c>
      <c r="B784" s="1">
        <f t="shared" si="1748"/>
        <v>33.139321153103211</v>
      </c>
      <c r="C784" s="1">
        <f t="shared" si="1749"/>
        <v>0</v>
      </c>
      <c r="D784" s="1">
        <f t="shared" si="1750"/>
        <v>-0.23769684527466911</v>
      </c>
      <c r="E784" s="1">
        <f t="shared" si="1751"/>
        <v>23.271678860784426</v>
      </c>
      <c r="F784" s="1">
        <f t="shared" si="1752"/>
        <v>0</v>
      </c>
      <c r="G784" s="1">
        <f t="shared" si="1753"/>
        <v>-2.2831205049462722</v>
      </c>
      <c r="H784" s="1">
        <f t="shared" si="1728"/>
        <v>23.383406001683905</v>
      </c>
      <c r="I784" s="1">
        <f t="shared" si="1736"/>
        <v>-22.146332852678611</v>
      </c>
      <c r="J784" s="1">
        <f t="shared" si="1737"/>
        <v>0</v>
      </c>
      <c r="K784" s="1">
        <f t="shared" si="1738"/>
        <v>2.1727158984872426</v>
      </c>
      <c r="L784" s="1">
        <f t="shared" ref="L784:N784" si="1780">E784/$H784</f>
        <v>0.99522194752588933</v>
      </c>
      <c r="M784" s="1">
        <f t="shared" si="1780"/>
        <v>0</v>
      </c>
      <c r="N784" s="1">
        <f t="shared" si="1780"/>
        <v>-9.7638492218877701E-2</v>
      </c>
      <c r="O784" s="1">
        <f t="shared" si="1730"/>
        <v>-9.7638492218877701E-2</v>
      </c>
      <c r="P784" s="1">
        <f t="shared" si="1740"/>
        <v>9.7171970379562864E-2</v>
      </c>
      <c r="Q784" s="1">
        <f t="shared" si="1741"/>
        <v>0</v>
      </c>
      <c r="R784" s="1">
        <f t="shared" si="1742"/>
        <v>0.9904667248372242</v>
      </c>
      <c r="S784" s="1">
        <f t="shared" si="1743"/>
        <v>1.7991510089974712</v>
      </c>
      <c r="T784" s="1">
        <f t="shared" ref="T784:V784" si="1781">$S784*P784</f>
        <v>0.17482704855466291</v>
      </c>
      <c r="U784" s="1">
        <f t="shared" si="1781"/>
        <v>0</v>
      </c>
      <c r="V784" s="1">
        <f t="shared" si="1781"/>
        <v>1.7819992073693125</v>
      </c>
      <c r="W784" s="1">
        <f t="shared" si="1745"/>
        <v>-21.97150580412395</v>
      </c>
      <c r="X784" s="1">
        <f t="shared" si="1746"/>
        <v>0</v>
      </c>
      <c r="Y784" s="1">
        <f t="shared" si="1747"/>
        <v>-5.8519348941434446</v>
      </c>
    </row>
    <row r="785" spans="1:25">
      <c r="A785" s="1">
        <v>0.78300000000000003</v>
      </c>
      <c r="B785" s="1">
        <f t="shared" si="1748"/>
        <v>33.162570860458189</v>
      </c>
      <c r="C785" s="1">
        <f t="shared" si="1749"/>
        <v>0</v>
      </c>
      <c r="D785" s="1">
        <f t="shared" si="1750"/>
        <v>-0.23998581771450953</v>
      </c>
      <c r="E785" s="1">
        <f t="shared" si="1751"/>
        <v>23.249707354980302</v>
      </c>
      <c r="F785" s="1">
        <f t="shared" si="1752"/>
        <v>0</v>
      </c>
      <c r="G785" s="1">
        <f t="shared" si="1753"/>
        <v>-2.2889724398404154</v>
      </c>
      <c r="H785" s="1">
        <f t="shared" si="1728"/>
        <v>23.362112210212803</v>
      </c>
      <c r="I785" s="1">
        <f t="shared" si="1736"/>
        <v>-22.105275594032626</v>
      </c>
      <c r="J785" s="1">
        <f t="shared" si="1737"/>
        <v>0</v>
      </c>
      <c r="K785" s="1">
        <f t="shared" si="1738"/>
        <v>2.1763012255282863</v>
      </c>
      <c r="L785" s="1">
        <f t="shared" ref="L785:N785" si="1782">E785/$H785</f>
        <v>0.99518858336861493</v>
      </c>
      <c r="M785" s="1">
        <f t="shared" si="1782"/>
        <v>0</v>
      </c>
      <c r="N785" s="1">
        <f t="shared" si="1782"/>
        <v>-9.7977974732943271E-2</v>
      </c>
      <c r="O785" s="1">
        <f t="shared" si="1730"/>
        <v>-9.7977974732943271E-2</v>
      </c>
      <c r="P785" s="1">
        <f t="shared" si="1740"/>
        <v>9.7506561875803768E-2</v>
      </c>
      <c r="Q785" s="1">
        <f t="shared" si="1741"/>
        <v>0</v>
      </c>
      <c r="R785" s="1">
        <f t="shared" si="1742"/>
        <v>0.9904003164672307</v>
      </c>
      <c r="S785" s="1">
        <f t="shared" si="1743"/>
        <v>1.795875754501278</v>
      </c>
      <c r="T785" s="1">
        <f t="shared" ref="T785:V785" si="1783">$S785*P785</f>
        <v>0.17510967037753464</v>
      </c>
      <c r="U785" s="1">
        <f t="shared" si="1783"/>
        <v>0</v>
      </c>
      <c r="V785" s="1">
        <f t="shared" si="1783"/>
        <v>1.7786359155938924</v>
      </c>
      <c r="W785" s="1">
        <f t="shared" si="1745"/>
        <v>-21.930165923655093</v>
      </c>
      <c r="X785" s="1">
        <f t="shared" si="1746"/>
        <v>0</v>
      </c>
      <c r="Y785" s="1">
        <f t="shared" si="1747"/>
        <v>-5.8517128588778204</v>
      </c>
    </row>
    <row r="786" spans="1:25">
      <c r="A786" s="1">
        <v>0.78400000000000003</v>
      </c>
      <c r="B786" s="1">
        <f t="shared" si="1748"/>
        <v>33.185798637647245</v>
      </c>
      <c r="C786" s="1">
        <f t="shared" si="1749"/>
        <v>0</v>
      </c>
      <c r="D786" s="1">
        <f t="shared" si="1750"/>
        <v>-0.24228064186720882</v>
      </c>
      <c r="E786" s="1">
        <f t="shared" si="1751"/>
        <v>23.227777189056646</v>
      </c>
      <c r="F786" s="1">
        <f t="shared" si="1752"/>
        <v>0</v>
      </c>
      <c r="G786" s="1">
        <f t="shared" si="1753"/>
        <v>-2.2948241526992934</v>
      </c>
      <c r="H786" s="1">
        <f t="shared" si="1728"/>
        <v>23.340862259913884</v>
      </c>
      <c r="I786" s="1">
        <f t="shared" si="1736"/>
        <v>-22.064337129092841</v>
      </c>
      <c r="J786" s="1">
        <f t="shared" si="1737"/>
        <v>0</v>
      </c>
      <c r="K786" s="1">
        <f t="shared" si="1738"/>
        <v>2.1798802935391182</v>
      </c>
      <c r="L786" s="1">
        <f t="shared" ref="L786:N786" si="1784">E786/$H786</f>
        <v>0.99515506027163991</v>
      </c>
      <c r="M786" s="1">
        <f t="shared" si="1784"/>
        <v>0</v>
      </c>
      <c r="N786" s="1">
        <f t="shared" si="1784"/>
        <v>-9.8317882482022764E-2</v>
      </c>
      <c r="O786" s="1">
        <f t="shared" si="1730"/>
        <v>-9.8317882482022764E-2</v>
      </c>
      <c r="P786" s="1">
        <f t="shared" si="1740"/>
        <v>9.7841538267177369E-2</v>
      </c>
      <c r="Q786" s="1">
        <f t="shared" si="1741"/>
        <v>0</v>
      </c>
      <c r="R786" s="1">
        <f t="shared" si="1742"/>
        <v>0.99033359398425114</v>
      </c>
      <c r="S786" s="1">
        <f t="shared" si="1743"/>
        <v>1.7926102180491199</v>
      </c>
      <c r="T786" s="1">
        <f t="shared" ref="T786:V786" si="1785">$S786*P786</f>
        <v>0.17539174124738613</v>
      </c>
      <c r="U786" s="1">
        <f t="shared" si="1785"/>
        <v>0</v>
      </c>
      <c r="V786" s="1">
        <f t="shared" si="1785"/>
        <v>1.7752821198534769</v>
      </c>
      <c r="W786" s="1">
        <f t="shared" si="1745"/>
        <v>-21.888945387845457</v>
      </c>
      <c r="X786" s="1">
        <f t="shared" si="1746"/>
        <v>0</v>
      </c>
      <c r="Y786" s="1">
        <f t="shared" si="1747"/>
        <v>-5.8514875866074041</v>
      </c>
    </row>
    <row r="787" spans="1:25">
      <c r="A787" s="1">
        <v>0.78500000000000003</v>
      </c>
      <c r="B787" s="1">
        <f t="shared" si="1748"/>
        <v>33.209004525890911</v>
      </c>
      <c r="C787" s="1">
        <f t="shared" si="1749"/>
        <v>0</v>
      </c>
      <c r="D787" s="1">
        <f t="shared" si="1750"/>
        <v>-0.24458131750749473</v>
      </c>
      <c r="E787" s="1">
        <f t="shared" si="1751"/>
        <v>23.205888243668799</v>
      </c>
      <c r="F787" s="1">
        <f t="shared" si="1752"/>
        <v>0</v>
      </c>
      <c r="G787" s="1">
        <f t="shared" si="1753"/>
        <v>-2.3006756402859008</v>
      </c>
      <c r="H787" s="1">
        <f t="shared" si="1728"/>
        <v>23.319656034758548</v>
      </c>
      <c r="I787" s="1">
        <f t="shared" si="1736"/>
        <v>-22.023517010376757</v>
      </c>
      <c r="J787" s="1">
        <f t="shared" si="1737"/>
        <v>0</v>
      </c>
      <c r="K787" s="1">
        <f t="shared" si="1738"/>
        <v>2.1834531204820333</v>
      </c>
      <c r="L787" s="1">
        <f t="shared" ref="L787:N787" si="1786">E787/$H787</f>
        <v>0.99512137782306154</v>
      </c>
      <c r="M787" s="1">
        <f t="shared" si="1786"/>
        <v>0</v>
      </c>
      <c r="N787" s="1">
        <f t="shared" si="1786"/>
        <v>-9.8658215063579177E-2</v>
      </c>
      <c r="O787" s="1">
        <f t="shared" si="1730"/>
        <v>-9.8658215063579177E-2</v>
      </c>
      <c r="P787" s="1">
        <f t="shared" si="1740"/>
        <v>9.8176898907632829E-2</v>
      </c>
      <c r="Q787" s="1">
        <f t="shared" si="1741"/>
        <v>0</v>
      </c>
      <c r="R787" s="1">
        <f t="shared" si="1742"/>
        <v>0.99026655660046858</v>
      </c>
      <c r="S787" s="1">
        <f t="shared" si="1743"/>
        <v>1.7893543634422668</v>
      </c>
      <c r="T787" s="1">
        <f t="shared" ref="T787:V787" si="1787">$S787*P787</f>
        <v>0.17567326244960313</v>
      </c>
      <c r="U787" s="1">
        <f t="shared" si="1787"/>
        <v>0</v>
      </c>
      <c r="V787" s="1">
        <f t="shared" si="1787"/>
        <v>1.7719377840239969</v>
      </c>
      <c r="W787" s="1">
        <f t="shared" si="1745"/>
        <v>-21.847843747927154</v>
      </c>
      <c r="X787" s="1">
        <f t="shared" si="1746"/>
        <v>0</v>
      </c>
      <c r="Y787" s="1">
        <f t="shared" si="1747"/>
        <v>-5.8512590954939689</v>
      </c>
    </row>
    <row r="788" spans="1:25">
      <c r="A788" s="1">
        <v>0.78600000000000003</v>
      </c>
      <c r="B788" s="1">
        <f t="shared" si="1748"/>
        <v>33.23218856629083</v>
      </c>
      <c r="C788" s="1">
        <f t="shared" si="1749"/>
        <v>0</v>
      </c>
      <c r="D788" s="1">
        <f t="shared" si="1750"/>
        <v>-0.24688784440687614</v>
      </c>
      <c r="E788" s="1">
        <f t="shared" si="1751"/>
        <v>23.184040399920871</v>
      </c>
      <c r="F788" s="1">
        <f t="shared" si="1752"/>
        <v>0</v>
      </c>
      <c r="G788" s="1">
        <f t="shared" si="1753"/>
        <v>-2.3065268993813945</v>
      </c>
      <c r="H788" s="1">
        <f t="shared" si="1728"/>
        <v>23.298493419161957</v>
      </c>
      <c r="I788" s="1">
        <f t="shared" si="1736"/>
        <v>-21.982814792512446</v>
      </c>
      <c r="J788" s="1">
        <f t="shared" si="1737"/>
        <v>0</v>
      </c>
      <c r="K788" s="1">
        <f t="shared" si="1738"/>
        <v>2.1870197242764573</v>
      </c>
      <c r="L788" s="1">
        <f t="shared" ref="L788:N788" si="1788">E788/$H788</f>
        <v>0.99508753561090979</v>
      </c>
      <c r="M788" s="1">
        <f t="shared" si="1788"/>
        <v>0</v>
      </c>
      <c r="N788" s="1">
        <f t="shared" si="1788"/>
        <v>-9.8998972074493902E-2</v>
      </c>
      <c r="O788" s="1">
        <f t="shared" si="1730"/>
        <v>-9.8998972074493902E-2</v>
      </c>
      <c r="P788" s="1">
        <f t="shared" si="1740"/>
        <v>9.8512643149621409E-2</v>
      </c>
      <c r="Q788" s="1">
        <f t="shared" si="1741"/>
        <v>0</v>
      </c>
      <c r="R788" s="1">
        <f t="shared" si="1742"/>
        <v>0.99019920352819357</v>
      </c>
      <c r="S788" s="1">
        <f t="shared" si="1743"/>
        <v>1.7861081546526094</v>
      </c>
      <c r="T788" s="1">
        <f t="shared" ref="T788:V788" si="1789">$S788*P788</f>
        <v>0.17595423526592133</v>
      </c>
      <c r="U788" s="1">
        <f t="shared" si="1789"/>
        <v>0</v>
      </c>
      <c r="V788" s="1">
        <f t="shared" si="1789"/>
        <v>1.7686028721522253</v>
      </c>
      <c r="W788" s="1">
        <f t="shared" si="1745"/>
        <v>-21.806860557246527</v>
      </c>
      <c r="X788" s="1">
        <f t="shared" si="1746"/>
        <v>0</v>
      </c>
      <c r="Y788" s="1">
        <f t="shared" si="1747"/>
        <v>-5.851027403571317</v>
      </c>
    </row>
    <row r="789" spans="1:25">
      <c r="A789" s="1">
        <v>0.78700000000000003</v>
      </c>
      <c r="B789" s="1">
        <f t="shared" si="1748"/>
        <v>33.255350799830197</v>
      </c>
      <c r="C789" s="1">
        <f t="shared" si="1749"/>
        <v>0</v>
      </c>
      <c r="D789" s="1">
        <f t="shared" si="1750"/>
        <v>-0.2492002223336611</v>
      </c>
      <c r="E789" s="1">
        <f t="shared" si="1751"/>
        <v>23.162233539363626</v>
      </c>
      <c r="F789" s="1">
        <f t="shared" si="1752"/>
        <v>0</v>
      </c>
      <c r="G789" s="1">
        <f t="shared" si="1753"/>
        <v>-2.3123779267849658</v>
      </c>
      <c r="H789" s="1">
        <f t="shared" si="1728"/>
        <v>23.277374297980941</v>
      </c>
      <c r="I789" s="1">
        <f t="shared" si="1736"/>
        <v>-21.942230032226632</v>
      </c>
      <c r="J789" s="1">
        <f t="shared" si="1737"/>
        <v>0</v>
      </c>
      <c r="K789" s="1">
        <f t="shared" si="1738"/>
        <v>2.1905801227990325</v>
      </c>
      <c r="L789" s="1">
        <f t="shared" ref="L789:N789" si="1790">E789/$H789</f>
        <v>0.99505353322314782</v>
      </c>
      <c r="M789" s="1">
        <f t="shared" si="1790"/>
        <v>0</v>
      </c>
      <c r="N789" s="1">
        <f t="shared" si="1790"/>
        <v>-9.9340153111063714E-2</v>
      </c>
      <c r="O789" s="1">
        <f t="shared" si="1730"/>
        <v>-9.9340153111063714E-2</v>
      </c>
      <c r="P789" s="1">
        <f t="shared" si="1740"/>
        <v>9.8848770344092424E-2</v>
      </c>
      <c r="Q789" s="1">
        <f t="shared" si="1741"/>
        <v>0</v>
      </c>
      <c r="R789" s="1">
        <f t="shared" si="1742"/>
        <v>0.99013153397987042</v>
      </c>
      <c r="S789" s="1">
        <f t="shared" si="1743"/>
        <v>1.7828715558216965</v>
      </c>
      <c r="T789" s="1">
        <f t="shared" ref="T789:V789" si="1791">$S789*P789</f>
        <v>0.17623466097443363</v>
      </c>
      <c r="U789" s="1">
        <f t="shared" si="1791"/>
        <v>0</v>
      </c>
      <c r="V789" s="1">
        <f t="shared" si="1791"/>
        <v>1.7652773484548145</v>
      </c>
      <c r="W789" s="1">
        <f t="shared" si="1745"/>
        <v>-21.765995371252199</v>
      </c>
      <c r="X789" s="1">
        <f t="shared" si="1746"/>
        <v>0</v>
      </c>
      <c r="Y789" s="1">
        <f t="shared" si="1747"/>
        <v>-5.8507925287461529</v>
      </c>
    </row>
    <row r="790" spans="1:25">
      <c r="A790" s="1">
        <v>0.78800000000000003</v>
      </c>
      <c r="B790" s="1">
        <f t="shared" si="1748"/>
        <v>33.278491267374186</v>
      </c>
      <c r="C790" s="1">
        <f t="shared" si="1749"/>
        <v>0</v>
      </c>
      <c r="D790" s="1">
        <f t="shared" si="1750"/>
        <v>-0.25151845105297482</v>
      </c>
      <c r="E790" s="1">
        <f t="shared" si="1751"/>
        <v>23.140467543992376</v>
      </c>
      <c r="F790" s="1">
        <f t="shared" si="1752"/>
        <v>0</v>
      </c>
      <c r="G790" s="1">
        <f t="shared" si="1753"/>
        <v>-2.3182287193137121</v>
      </c>
      <c r="H790" s="1">
        <f t="shared" si="1728"/>
        <v>23.256298556511855</v>
      </c>
      <c r="I790" s="1">
        <f t="shared" si="1736"/>
        <v>-21.901762288332765</v>
      </c>
      <c r="J790" s="1">
        <f t="shared" si="1737"/>
        <v>0</v>
      </c>
      <c r="K790" s="1">
        <f t="shared" si="1738"/>
        <v>2.1941343338836972</v>
      </c>
      <c r="L790" s="1">
        <f t="shared" ref="L790:N790" si="1792">E790/$H790</f>
        <v>0.99501937024767662</v>
      </c>
      <c r="M790" s="1">
        <f t="shared" si="1792"/>
        <v>0</v>
      </c>
      <c r="N790" s="1">
        <f t="shared" si="1792"/>
        <v>-9.9681757768997986E-2</v>
      </c>
      <c r="O790" s="1">
        <f t="shared" si="1730"/>
        <v>-9.9681757768997986E-2</v>
      </c>
      <c r="P790" s="1">
        <f t="shared" si="1740"/>
        <v>9.9185279840489818E-2</v>
      </c>
      <c r="Q790" s="1">
        <f t="shared" si="1741"/>
        <v>0</v>
      </c>
      <c r="R790" s="1">
        <f t="shared" si="1742"/>
        <v>0.99006354716808276</v>
      </c>
      <c r="S790" s="1">
        <f t="shared" si="1743"/>
        <v>1.7796445312597715</v>
      </c>
      <c r="T790" s="1">
        <f t="shared" ref="T790:V790" si="1793">$S790*P790</f>
        <v>0.17651454084959778</v>
      </c>
      <c r="U790" s="1">
        <f t="shared" si="1793"/>
        <v>0</v>
      </c>
      <c r="V790" s="1">
        <f t="shared" si="1793"/>
        <v>1.7619611773173294</v>
      </c>
      <c r="W790" s="1">
        <f t="shared" si="1745"/>
        <v>-21.725247747483166</v>
      </c>
      <c r="X790" s="1">
        <f t="shared" si="1746"/>
        <v>0</v>
      </c>
      <c r="Y790" s="1">
        <f t="shared" si="1747"/>
        <v>-5.8505544887989727</v>
      </c>
    </row>
    <row r="791" spans="1:25">
      <c r="A791" s="1">
        <v>0.78900000000000003</v>
      </c>
      <c r="B791" s="1">
        <f t="shared" si="1748"/>
        <v>33.301610009670433</v>
      </c>
      <c r="C791" s="1">
        <f t="shared" si="1749"/>
        <v>0</v>
      </c>
      <c r="D791" s="1">
        <f t="shared" si="1750"/>
        <v>-0.25384253032677734</v>
      </c>
      <c r="E791" s="1">
        <f t="shared" si="1751"/>
        <v>23.118742296244893</v>
      </c>
      <c r="F791" s="1">
        <f t="shared" si="1752"/>
        <v>0</v>
      </c>
      <c r="G791" s="1">
        <f t="shared" si="1753"/>
        <v>-2.3240792738025111</v>
      </c>
      <c r="H791" s="1">
        <f t="shared" si="1728"/>
        <v>23.235266080488532</v>
      </c>
      <c r="I791" s="1">
        <f t="shared" si="1736"/>
        <v>-21.861411121719264</v>
      </c>
      <c r="J791" s="1">
        <f t="shared" si="1737"/>
        <v>0</v>
      </c>
      <c r="K791" s="1">
        <f t="shared" si="1738"/>
        <v>2.197682375321774</v>
      </c>
      <c r="L791" s="1">
        <f t="shared" ref="L791:N791" si="1794">E791/$H791</f>
        <v>0.99498504627233475</v>
      </c>
      <c r="M791" s="1">
        <f t="shared" si="1794"/>
        <v>0</v>
      </c>
      <c r="N791" s="1">
        <f t="shared" si="1794"/>
        <v>-0.10002378564341563</v>
      </c>
      <c r="O791" s="1">
        <f t="shared" si="1730"/>
        <v>-0.10002378564341563</v>
      </c>
      <c r="P791" s="1">
        <f t="shared" si="1740"/>
        <v>9.9522170986747996E-2</v>
      </c>
      <c r="Q791" s="1">
        <f t="shared" si="1741"/>
        <v>0</v>
      </c>
      <c r="R791" s="1">
        <f t="shared" si="1742"/>
        <v>0.98999524230556002</v>
      </c>
      <c r="S791" s="1">
        <f t="shared" si="1743"/>
        <v>1.7764270454448237</v>
      </c>
      <c r="T791" s="1">
        <f t="shared" ref="T791:V791" si="1795">$S791*P791</f>
        <v>0.17679387616224329</v>
      </c>
      <c r="U791" s="1">
        <f t="shared" si="1795"/>
        <v>0</v>
      </c>
      <c r="V791" s="1">
        <f t="shared" si="1795"/>
        <v>1.7586543232932983</v>
      </c>
      <c r="W791" s="1">
        <f t="shared" si="1745"/>
        <v>-21.684617245557021</v>
      </c>
      <c r="X791" s="1">
        <f t="shared" si="1746"/>
        <v>0</v>
      </c>
      <c r="Y791" s="1">
        <f t="shared" si="1747"/>
        <v>-5.8503133013849276</v>
      </c>
    </row>
    <row r="792" spans="1:25">
      <c r="A792" s="1">
        <v>0.79</v>
      </c>
      <c r="B792" s="1">
        <f t="shared" si="1748"/>
        <v>33.324707067349436</v>
      </c>
      <c r="C792" s="1">
        <f t="shared" si="1749"/>
        <v>0</v>
      </c>
      <c r="D792" s="1">
        <f t="shared" si="1750"/>
        <v>-0.25617245991388121</v>
      </c>
      <c r="E792" s="1">
        <f t="shared" si="1751"/>
        <v>23.097057678999334</v>
      </c>
      <c r="F792" s="1">
        <f t="shared" si="1752"/>
        <v>0</v>
      </c>
      <c r="G792" s="1">
        <f t="shared" si="1753"/>
        <v>-2.3299295871038961</v>
      </c>
      <c r="H792" s="1">
        <f t="shared" si="1728"/>
        <v>23.214276756080174</v>
      </c>
      <c r="I792" s="1">
        <f t="shared" si="1736"/>
        <v>-21.821176095337751</v>
      </c>
      <c r="J792" s="1">
        <f t="shared" si="1737"/>
        <v>0</v>
      </c>
      <c r="K792" s="1">
        <f t="shared" si="1738"/>
        <v>2.2012242648620508</v>
      </c>
      <c r="L792" s="1">
        <f t="shared" ref="L792:N792" si="1796">E792/$H792</f>
        <v>0.99495056088490297</v>
      </c>
      <c r="M792" s="1">
        <f t="shared" si="1796"/>
        <v>0</v>
      </c>
      <c r="N792" s="1">
        <f t="shared" si="1796"/>
        <v>-0.10036623632884242</v>
      </c>
      <c r="O792" s="1">
        <f t="shared" si="1730"/>
        <v>-0.10036623632884242</v>
      </c>
      <c r="P792" s="1">
        <f t="shared" si="1740"/>
        <v>9.9859443129288489E-2</v>
      </c>
      <c r="Q792" s="1">
        <f t="shared" si="1741"/>
        <v>0</v>
      </c>
      <c r="R792" s="1">
        <f t="shared" si="1742"/>
        <v>0.98992661860518294</v>
      </c>
      <c r="S792" s="1">
        <f t="shared" si="1743"/>
        <v>1.7732190630216373</v>
      </c>
      <c r="T792" s="1">
        <f t="shared" ref="T792:V792" si="1797">$S792*P792</f>
        <v>0.17707266817957942</v>
      </c>
      <c r="U792" s="1">
        <f t="shared" si="1797"/>
        <v>0</v>
      </c>
      <c r="V792" s="1">
        <f t="shared" si="1797"/>
        <v>1.7553567511032602</v>
      </c>
      <c r="W792" s="1">
        <f t="shared" si="1745"/>
        <v>-21.644103427158171</v>
      </c>
      <c r="X792" s="1">
        <f t="shared" si="1746"/>
        <v>0</v>
      </c>
      <c r="Y792" s="1">
        <f t="shared" si="1747"/>
        <v>-5.8500689840346887</v>
      </c>
    </row>
    <row r="793" spans="1:25">
      <c r="A793" s="1">
        <v>0.79100000000000004</v>
      </c>
      <c r="B793" s="1">
        <f t="shared" si="1748"/>
        <v>33.347782480925005</v>
      </c>
      <c r="C793" s="1">
        <f t="shared" si="1749"/>
        <v>0</v>
      </c>
      <c r="D793" s="1">
        <f t="shared" si="1750"/>
        <v>-0.25850823956996916</v>
      </c>
      <c r="E793" s="1">
        <f t="shared" si="1751"/>
        <v>23.075413575572178</v>
      </c>
      <c r="F793" s="1">
        <f t="shared" si="1752"/>
        <v>0</v>
      </c>
      <c r="G793" s="1">
        <f t="shared" si="1753"/>
        <v>-2.3357796560879307</v>
      </c>
      <c r="H793" s="1">
        <f t="shared" si="1728"/>
        <v>23.19333046988929</v>
      </c>
      <c r="I793" s="1">
        <f t="shared" si="1736"/>
        <v>-21.781056774191445</v>
      </c>
      <c r="J793" s="1">
        <f t="shared" si="1737"/>
        <v>0</v>
      </c>
      <c r="K793" s="1">
        <f t="shared" si="1738"/>
        <v>2.2047600202108653</v>
      </c>
      <c r="L793" s="1">
        <f t="shared" ref="L793:N793" si="1798">E793/$H793</f>
        <v>0.99491591367310539</v>
      </c>
      <c r="M793" s="1">
        <f t="shared" si="1798"/>
        <v>0</v>
      </c>
      <c r="N793" s="1">
        <f t="shared" si="1798"/>
        <v>-0.10070910941920796</v>
      </c>
      <c r="O793" s="1">
        <f t="shared" si="1730"/>
        <v>-0.10070910941920796</v>
      </c>
      <c r="P793" s="1">
        <f t="shared" si="1740"/>
        <v>0.10019709561301604</v>
      </c>
      <c r="Q793" s="1">
        <f t="shared" si="1741"/>
        <v>0</v>
      </c>
      <c r="R793" s="1">
        <f t="shared" si="1742"/>
        <v>0.98985767527999002</v>
      </c>
      <c r="S793" s="1">
        <f t="shared" si="1743"/>
        <v>1.7700205488008529</v>
      </c>
      <c r="T793" s="1">
        <f t="shared" ref="T793:V793" si="1799">$S793*P793</f>
        <v>0.17735091816520218</v>
      </c>
      <c r="U793" s="1">
        <f t="shared" si="1799"/>
        <v>0</v>
      </c>
      <c r="V793" s="1">
        <f t="shared" si="1799"/>
        <v>1.7520684256338244</v>
      </c>
      <c r="W793" s="1">
        <f t="shared" si="1745"/>
        <v>-21.603705856026242</v>
      </c>
      <c r="X793" s="1">
        <f t="shared" si="1746"/>
        <v>0</v>
      </c>
      <c r="Y793" s="1">
        <f t="shared" si="1747"/>
        <v>-5.8498215541553096</v>
      </c>
    </row>
    <row r="794" spans="1:25">
      <c r="A794" s="1">
        <v>0.79200000000000004</v>
      </c>
      <c r="B794" s="1">
        <f t="shared" si="1748"/>
        <v>33.37083629079472</v>
      </c>
      <c r="C794" s="1">
        <f t="shared" si="1749"/>
        <v>0</v>
      </c>
      <c r="D794" s="1">
        <f t="shared" si="1750"/>
        <v>-0.26084986904761126</v>
      </c>
      <c r="E794" s="1">
        <f t="shared" si="1751"/>
        <v>23.053809869716151</v>
      </c>
      <c r="F794" s="1">
        <f t="shared" si="1752"/>
        <v>0</v>
      </c>
      <c r="G794" s="1">
        <f t="shared" si="1753"/>
        <v>-2.3416294776420861</v>
      </c>
      <c r="H794" s="1">
        <f t="shared" si="1728"/>
        <v>23.172427108949641</v>
      </c>
      <c r="I794" s="1">
        <f t="shared" si="1736"/>
        <v>-21.741052725323552</v>
      </c>
      <c r="J794" s="1">
        <f t="shared" si="1737"/>
        <v>0</v>
      </c>
      <c r="K794" s="1">
        <f t="shared" si="1738"/>
        <v>2.2082896590321912</v>
      </c>
      <c r="L794" s="1">
        <f t="shared" ref="L794:N794" si="1800">E794/$H794</f>
        <v>0.99488110422461196</v>
      </c>
      <c r="M794" s="1">
        <f t="shared" si="1800"/>
        <v>0</v>
      </c>
      <c r="N794" s="1">
        <f t="shared" si="1800"/>
        <v>-0.101052404507843</v>
      </c>
      <c r="O794" s="1">
        <f t="shared" si="1730"/>
        <v>-0.101052404507843</v>
      </c>
      <c r="P794" s="1">
        <f t="shared" si="1740"/>
        <v>0.100535127781315</v>
      </c>
      <c r="Q794" s="1">
        <f t="shared" si="1741"/>
        <v>0</v>
      </c>
      <c r="R794" s="1">
        <f t="shared" si="1742"/>
        <v>0.98978841154318331</v>
      </c>
      <c r="S794" s="1">
        <f t="shared" si="1743"/>
        <v>1.7668314677580335</v>
      </c>
      <c r="T794" s="1">
        <f t="shared" ref="T794:V794" si="1801">$S794*P794</f>
        <v>0.17762862737910223</v>
      </c>
      <c r="U794" s="1">
        <f t="shared" si="1801"/>
        <v>0</v>
      </c>
      <c r="V794" s="1">
        <f t="shared" si="1801"/>
        <v>1.748789311936735</v>
      </c>
      <c r="W794" s="1">
        <f t="shared" si="1745"/>
        <v>-21.563424097944448</v>
      </c>
      <c r="X794" s="1">
        <f t="shared" si="1746"/>
        <v>0</v>
      </c>
      <c r="Y794" s="1">
        <f t="shared" si="1747"/>
        <v>-5.8495710290310736</v>
      </c>
    </row>
    <row r="795" spans="1:25">
      <c r="A795" s="1">
        <v>0.79300000000000004</v>
      </c>
      <c r="B795" s="1">
        <f t="shared" si="1748"/>
        <v>33.393868537240337</v>
      </c>
      <c r="C795" s="1">
        <f t="shared" si="1749"/>
        <v>0</v>
      </c>
      <c r="D795" s="1">
        <f t="shared" si="1750"/>
        <v>-0.26319734809628237</v>
      </c>
      <c r="E795" s="1">
        <f t="shared" si="1751"/>
        <v>23.032246445618206</v>
      </c>
      <c r="F795" s="1">
        <f t="shared" si="1752"/>
        <v>0</v>
      </c>
      <c r="G795" s="1">
        <f t="shared" si="1753"/>
        <v>-2.3474790486711172</v>
      </c>
      <c r="H795" s="1">
        <f t="shared" si="1728"/>
        <v>23.151566560724188</v>
      </c>
      <c r="I795" s="1">
        <f t="shared" si="1736"/>
        <v>-21.701163517805792</v>
      </c>
      <c r="J795" s="1">
        <f t="shared" si="1737"/>
        <v>0</v>
      </c>
      <c r="K795" s="1">
        <f t="shared" si="1738"/>
        <v>2.2118131989477217</v>
      </c>
      <c r="L795" s="1">
        <f t="shared" ref="L795:N795" si="1802">E795/$H795</f>
        <v>0.99484613212704132</v>
      </c>
      <c r="M795" s="1">
        <f t="shared" si="1802"/>
        <v>0</v>
      </c>
      <c r="N795" s="1">
        <f t="shared" si="1802"/>
        <v>-0.10139612118747646</v>
      </c>
      <c r="O795" s="1">
        <f t="shared" si="1730"/>
        <v>-0.10139612118747646</v>
      </c>
      <c r="P795" s="1">
        <f t="shared" si="1740"/>
        <v>0.1008735389760457</v>
      </c>
      <c r="Q795" s="1">
        <f t="shared" si="1741"/>
        <v>0</v>
      </c>
      <c r="R795" s="1">
        <f t="shared" si="1742"/>
        <v>0.98971882660813459</v>
      </c>
      <c r="S795" s="1">
        <f t="shared" si="1743"/>
        <v>1.7636517850327327</v>
      </c>
      <c r="T795" s="1">
        <f t="shared" ref="T795:V795" si="1803">$S795*P795</f>
        <v>0.17790579707767193</v>
      </c>
      <c r="U795" s="1">
        <f t="shared" si="1803"/>
        <v>0</v>
      </c>
      <c r="V795" s="1">
        <f t="shared" si="1803"/>
        <v>1.7455193752279383</v>
      </c>
      <c r="W795" s="1">
        <f t="shared" si="1745"/>
        <v>-21.523257720728122</v>
      </c>
      <c r="X795" s="1">
        <f t="shared" si="1746"/>
        <v>0</v>
      </c>
      <c r="Y795" s="1">
        <f t="shared" si="1747"/>
        <v>-5.8493174258243394</v>
      </c>
    </row>
    <row r="796" spans="1:25">
      <c r="A796" s="1">
        <v>0.79400000000000004</v>
      </c>
      <c r="B796" s="1">
        <f t="shared" si="1748"/>
        <v>33.416879260428232</v>
      </c>
      <c r="C796" s="1">
        <f t="shared" si="1749"/>
        <v>0</v>
      </c>
      <c r="D796" s="1">
        <f t="shared" si="1750"/>
        <v>-0.26555067646237929</v>
      </c>
      <c r="E796" s="1">
        <f t="shared" si="1751"/>
        <v>23.010723187897479</v>
      </c>
      <c r="F796" s="1">
        <f t="shared" si="1752"/>
        <v>0</v>
      </c>
      <c r="G796" s="1">
        <f t="shared" si="1753"/>
        <v>-2.3533283660969415</v>
      </c>
      <c r="H796" s="1">
        <f t="shared" si="1728"/>
        <v>23.13074871310307</v>
      </c>
      <c r="I796" s="1">
        <f t="shared" si="1736"/>
        <v>-21.661388722726979</v>
      </c>
      <c r="J796" s="1">
        <f t="shared" si="1737"/>
        <v>0</v>
      </c>
      <c r="K796" s="1">
        <f t="shared" si="1738"/>
        <v>2.2153306575369558</v>
      </c>
      <c r="L796" s="1">
        <f t="shared" ref="L796:N796" si="1804">E796/$H796</f>
        <v>0.99481099696796238</v>
      </c>
      <c r="M796" s="1">
        <f t="shared" si="1804"/>
        <v>0</v>
      </c>
      <c r="N796" s="1">
        <f t="shared" si="1804"/>
        <v>-0.10174025905023264</v>
      </c>
      <c r="O796" s="1">
        <f t="shared" si="1730"/>
        <v>-0.10174025905023264</v>
      </c>
      <c r="P796" s="1">
        <f t="shared" si="1740"/>
        <v>0.10121232853754068</v>
      </c>
      <c r="Q796" s="1">
        <f t="shared" si="1741"/>
        <v>0</v>
      </c>
      <c r="R796" s="1">
        <f t="shared" si="1742"/>
        <v>0.98964891968839153</v>
      </c>
      <c r="S796" s="1">
        <f t="shared" si="1743"/>
        <v>1.7604814659275765</v>
      </c>
      <c r="T796" s="1">
        <f t="shared" ref="T796:V796" si="1805">$S796*P796</f>
        <v>0.1781824285137131</v>
      </c>
      <c r="U796" s="1">
        <f t="shared" si="1805"/>
        <v>0</v>
      </c>
      <c r="V796" s="1">
        <f t="shared" si="1805"/>
        <v>1.742258580886662</v>
      </c>
      <c r="W796" s="1">
        <f t="shared" si="1745"/>
        <v>-21.483206294213264</v>
      </c>
      <c r="X796" s="1">
        <f t="shared" si="1746"/>
        <v>0</v>
      </c>
      <c r="Y796" s="1">
        <f t="shared" si="1747"/>
        <v>-5.8490607615763821</v>
      </c>
    </row>
    <row r="797" spans="1:25">
      <c r="A797" s="1">
        <v>0.79500000000000004</v>
      </c>
      <c r="B797" s="1">
        <f t="shared" si="1748"/>
        <v>33.439868500409837</v>
      </c>
      <c r="C797" s="1">
        <f t="shared" si="1749"/>
        <v>0</v>
      </c>
      <c r="D797" s="1">
        <f t="shared" si="1750"/>
        <v>-0.26790985388923783</v>
      </c>
      <c r="E797" s="1">
        <f t="shared" si="1751"/>
        <v>22.989239981603266</v>
      </c>
      <c r="F797" s="1">
        <f t="shared" si="1752"/>
        <v>0</v>
      </c>
      <c r="G797" s="1">
        <f t="shared" si="1753"/>
        <v>-2.3591774268585177</v>
      </c>
      <c r="H797" s="1">
        <f t="shared" si="1728"/>
        <v>23.109973454401562</v>
      </c>
      <c r="I797" s="1">
        <f t="shared" si="1736"/>
        <v>-21.621727913181658</v>
      </c>
      <c r="J797" s="1">
        <f t="shared" si="1737"/>
        <v>0</v>
      </c>
      <c r="K797" s="1">
        <f t="shared" si="1738"/>
        <v>2.218842052337282</v>
      </c>
      <c r="L797" s="1">
        <f t="shared" ref="L797:N797" si="1806">E797/$H797</f>
        <v>0.99477569833489787</v>
      </c>
      <c r="M797" s="1">
        <f t="shared" si="1806"/>
        <v>0</v>
      </c>
      <c r="N797" s="1">
        <f t="shared" si="1806"/>
        <v>-0.1020848176876285</v>
      </c>
      <c r="O797" s="1">
        <f t="shared" si="1730"/>
        <v>-0.1020848176876285</v>
      </c>
      <c r="P797" s="1">
        <f t="shared" si="1740"/>
        <v>0.10155149580460138</v>
      </c>
      <c r="Q797" s="1">
        <f t="shared" si="1741"/>
        <v>0</v>
      </c>
      <c r="R797" s="1">
        <f t="shared" si="1742"/>
        <v>0.98957868999768361</v>
      </c>
      <c r="S797" s="1">
        <f t="shared" si="1743"/>
        <v>1.7573204759073433</v>
      </c>
      <c r="T797" s="1">
        <f t="shared" ref="T797:V797" si="1807">$S797*P797</f>
        <v>0.17845852293644468</v>
      </c>
      <c r="U797" s="1">
        <f t="shared" si="1807"/>
        <v>0</v>
      </c>
      <c r="V797" s="1">
        <f t="shared" si="1807"/>
        <v>1.7390068944544947</v>
      </c>
      <c r="W797" s="1">
        <f t="shared" si="1745"/>
        <v>-21.443269390245213</v>
      </c>
      <c r="X797" s="1">
        <f t="shared" si="1746"/>
        <v>0</v>
      </c>
      <c r="Y797" s="1">
        <f t="shared" si="1747"/>
        <v>-5.8488010532082226</v>
      </c>
    </row>
    <row r="798" spans="1:25">
      <c r="A798" s="1">
        <v>0.79600000000000004</v>
      </c>
      <c r="B798" s="1">
        <f t="shared" si="1748"/>
        <v>33.462836297122053</v>
      </c>
      <c r="C798" s="1">
        <f t="shared" si="1749"/>
        <v>0</v>
      </c>
      <c r="D798" s="1">
        <f t="shared" si="1750"/>
        <v>-0.27027488011714956</v>
      </c>
      <c r="E798" s="1">
        <f t="shared" si="1751"/>
        <v>22.967796712213019</v>
      </c>
      <c r="F798" s="1">
        <f t="shared" si="1752"/>
        <v>0</v>
      </c>
      <c r="G798" s="1">
        <f t="shared" si="1753"/>
        <v>-2.3650262279117258</v>
      </c>
      <c r="H798" s="1">
        <f t="shared" si="1728"/>
        <v>23.089240673358091</v>
      </c>
      <c r="I798" s="1">
        <f t="shared" si="1736"/>
        <v>-21.582180664258857</v>
      </c>
      <c r="J798" s="1">
        <f t="shared" si="1737"/>
        <v>0</v>
      </c>
      <c r="K798" s="1">
        <f t="shared" si="1738"/>
        <v>2.2223474008440669</v>
      </c>
      <c r="L798" s="1">
        <f t="shared" ref="L798:N798" si="1808">E798/$H798</f>
        <v>0.99474023581532489</v>
      </c>
      <c r="M798" s="1">
        <f t="shared" si="1808"/>
        <v>0</v>
      </c>
      <c r="N798" s="1">
        <f t="shared" si="1808"/>
        <v>-0.10242979669057073</v>
      </c>
      <c r="O798" s="1">
        <f t="shared" si="1730"/>
        <v>-0.10242979669057073</v>
      </c>
      <c r="P798" s="1">
        <f t="shared" si="1740"/>
        <v>0.10189104011449411</v>
      </c>
      <c r="Q798" s="1">
        <f t="shared" si="1741"/>
        <v>0</v>
      </c>
      <c r="R798" s="1">
        <f t="shared" si="1742"/>
        <v>0.98950813674992832</v>
      </c>
      <c r="S798" s="1">
        <f t="shared" si="1743"/>
        <v>1.7541687805980575</v>
      </c>
      <c r="T798" s="1">
        <f t="shared" ref="T798:V798" si="1809">$S798*P798</f>
        <v>0.17873408159150989</v>
      </c>
      <c r="U798" s="1">
        <f t="shared" si="1809"/>
        <v>0</v>
      </c>
      <c r="V798" s="1">
        <f t="shared" si="1809"/>
        <v>1.7357642816344776</v>
      </c>
      <c r="W798" s="1">
        <f t="shared" si="1745"/>
        <v>-21.403446582667346</v>
      </c>
      <c r="X798" s="1">
        <f t="shared" si="1746"/>
        <v>0</v>
      </c>
      <c r="Y798" s="1">
        <f t="shared" si="1747"/>
        <v>-5.8485383175214549</v>
      </c>
    </row>
    <row r="799" spans="1:25">
      <c r="A799" s="1">
        <v>0.79700000000000004</v>
      </c>
      <c r="B799" s="1">
        <f t="shared" si="1748"/>
        <v>33.48578269038768</v>
      </c>
      <c r="C799" s="1">
        <f t="shared" si="1749"/>
        <v>0</v>
      </c>
      <c r="D799" s="1">
        <f t="shared" si="1750"/>
        <v>-0.27264575488337883</v>
      </c>
      <c r="E799" s="1">
        <f t="shared" si="1751"/>
        <v>22.946393265630352</v>
      </c>
      <c r="F799" s="1">
        <f t="shared" si="1752"/>
        <v>0</v>
      </c>
      <c r="G799" s="1">
        <f t="shared" si="1753"/>
        <v>-2.3708747662292473</v>
      </c>
      <c r="H799" s="1">
        <f t="shared" si="1728"/>
        <v>23.068550259132206</v>
      </c>
      <c r="I799" s="1">
        <f t="shared" si="1736"/>
        <v>-21.542746553030881</v>
      </c>
      <c r="J799" s="1">
        <f t="shared" si="1737"/>
        <v>0</v>
      </c>
      <c r="K799" s="1">
        <f t="shared" si="1738"/>
        <v>2.2258467205107384</v>
      </c>
      <c r="L799" s="1">
        <f t="shared" ref="L799:N799" si="1810">E799/$H799</f>
        <v>0.99470460899667956</v>
      </c>
      <c r="M799" s="1">
        <f t="shared" si="1810"/>
        <v>0</v>
      </c>
      <c r="N799" s="1">
        <f t="shared" si="1810"/>
        <v>-0.10277519564935308</v>
      </c>
      <c r="O799" s="1">
        <f t="shared" si="1730"/>
        <v>-0.10277519564935308</v>
      </c>
      <c r="P799" s="1">
        <f t="shared" si="1740"/>
        <v>0.102230960802947</v>
      </c>
      <c r="Q799" s="1">
        <f t="shared" si="1741"/>
        <v>0</v>
      </c>
      <c r="R799" s="1">
        <f t="shared" si="1742"/>
        <v>0.98943725915923719</v>
      </c>
      <c r="S799" s="1">
        <f t="shared" si="1743"/>
        <v>1.7510263457860811</v>
      </c>
      <c r="T799" s="1">
        <f t="shared" ref="T799:V799" si="1811">$S799*P799</f>
        <v>0.17900910572098436</v>
      </c>
      <c r="U799" s="1">
        <f t="shared" si="1811"/>
        <v>0</v>
      </c>
      <c r="V799" s="1">
        <f t="shared" si="1811"/>
        <v>1.7325307082901948</v>
      </c>
      <c r="W799" s="1">
        <f t="shared" si="1745"/>
        <v>-21.363737447309898</v>
      </c>
      <c r="X799" s="1">
        <f t="shared" si="1746"/>
        <v>0</v>
      </c>
      <c r="Y799" s="1">
        <f t="shared" si="1747"/>
        <v>-5.8482725711990664</v>
      </c>
    </row>
    <row r="800" spans="1:25">
      <c r="A800" s="1">
        <v>0.79800000000000004</v>
      </c>
      <c r="B800" s="1">
        <f t="shared" si="1748"/>
        <v>33.508707719915861</v>
      </c>
      <c r="C800" s="1">
        <f t="shared" si="1749"/>
        <v>0</v>
      </c>
      <c r="D800" s="1">
        <f t="shared" si="1750"/>
        <v>-0.27502247792217926</v>
      </c>
      <c r="E800" s="1">
        <f t="shared" si="1751"/>
        <v>22.925029528183043</v>
      </c>
      <c r="F800" s="1">
        <f t="shared" si="1752"/>
        <v>0</v>
      </c>
      <c r="G800" s="1">
        <f t="shared" si="1753"/>
        <v>-2.3767230388004466</v>
      </c>
      <c r="H800" s="1">
        <f t="shared" si="1728"/>
        <v>23.047902101302611</v>
      </c>
      <c r="I800" s="1">
        <f t="shared" si="1736"/>
        <v>-21.503425158542182</v>
      </c>
      <c r="J800" s="1">
        <f t="shared" si="1737"/>
        <v>0</v>
      </c>
      <c r="K800" s="1">
        <f t="shared" si="1738"/>
        <v>2.2293400287488732</v>
      </c>
      <c r="L800" s="1">
        <f t="shared" ref="L800:N800" si="1812">E800/$H800</f>
        <v>0.99466881746635738</v>
      </c>
      <c r="M800" s="1">
        <f t="shared" si="1812"/>
        <v>0</v>
      </c>
      <c r="N800" s="1">
        <f t="shared" si="1812"/>
        <v>-0.10312101415365349</v>
      </c>
      <c r="O800" s="1">
        <f t="shared" si="1730"/>
        <v>-0.10312101415365349</v>
      </c>
      <c r="P800" s="1">
        <f t="shared" si="1740"/>
        <v>0.10257125720414602</v>
      </c>
      <c r="Q800" s="1">
        <f t="shared" si="1741"/>
        <v>0</v>
      </c>
      <c r="R800" s="1">
        <f t="shared" si="1742"/>
        <v>0.98936605643992204</v>
      </c>
      <c r="S800" s="1">
        <f t="shared" si="1743"/>
        <v>1.7478931374172191</v>
      </c>
      <c r="T800" s="1">
        <f t="shared" ref="T800:V800" si="1813">$S800*P800</f>
        <v>0.17928359656338333</v>
      </c>
      <c r="U800" s="1">
        <f t="shared" si="1813"/>
        <v>0</v>
      </c>
      <c r="V800" s="1">
        <f t="shared" si="1813"/>
        <v>1.7293061404448768</v>
      </c>
      <c r="W800" s="1">
        <f t="shared" si="1745"/>
        <v>-21.324141561978799</v>
      </c>
      <c r="X800" s="1">
        <f t="shared" si="1746"/>
        <v>0</v>
      </c>
      <c r="Y800" s="1">
        <f t="shared" si="1747"/>
        <v>-5.848003830806249</v>
      </c>
    </row>
    <row r="801" spans="1:25">
      <c r="A801" s="1">
        <v>0.79900000000000004</v>
      </c>
      <c r="B801" s="1">
        <f t="shared" si="1748"/>
        <v>33.531611425302479</v>
      </c>
      <c r="C801" s="1">
        <f t="shared" si="1749"/>
        <v>0</v>
      </c>
      <c r="D801" s="1">
        <f t="shared" si="1750"/>
        <v>-0.2774050489648105</v>
      </c>
      <c r="E801" s="1">
        <f t="shared" si="1751"/>
        <v>22.903705386621063</v>
      </c>
      <c r="F801" s="1">
        <f t="shared" si="1752"/>
        <v>0</v>
      </c>
      <c r="G801" s="1">
        <f t="shared" si="1753"/>
        <v>-2.3825710426312527</v>
      </c>
      <c r="H801" s="1">
        <f t="shared" si="1728"/>
        <v>23.027296089865168</v>
      </c>
      <c r="I801" s="1">
        <f t="shared" si="1736"/>
        <v>-21.464216061798307</v>
      </c>
      <c r="J801" s="1">
        <f t="shared" si="1737"/>
        <v>0</v>
      </c>
      <c r="K801" s="1">
        <f t="shared" si="1738"/>
        <v>2.2328273429282812</v>
      </c>
      <c r="L801" s="1">
        <f t="shared" ref="L801:N801" si="1814">E801/$H801</f>
        <v>0.99463286081171731</v>
      </c>
      <c r="M801" s="1">
        <f t="shared" si="1814"/>
        <v>0</v>
      </c>
      <c r="N801" s="1">
        <f t="shared" si="1814"/>
        <v>-0.10346725179253138</v>
      </c>
      <c r="O801" s="1">
        <f t="shared" si="1730"/>
        <v>-0.10346725179253138</v>
      </c>
      <c r="P801" s="1">
        <f t="shared" si="1740"/>
        <v>0.10291192865073177</v>
      </c>
      <c r="Q801" s="1">
        <f t="shared" si="1741"/>
        <v>0</v>
      </c>
      <c r="R801" s="1">
        <f t="shared" si="1742"/>
        <v>0.98929452780650096</v>
      </c>
      <c r="S801" s="1">
        <f t="shared" si="1743"/>
        <v>1.7447691215958216</v>
      </c>
      <c r="T801" s="1">
        <f t="shared" ref="T801:V801" si="1815">$S801*P801</f>
        <v>0.17955755535366916</v>
      </c>
      <c r="U801" s="1">
        <f t="shared" si="1815"/>
        <v>0</v>
      </c>
      <c r="V801" s="1">
        <f t="shared" si="1815"/>
        <v>1.7260905442805019</v>
      </c>
      <c r="W801" s="1">
        <f t="shared" si="1745"/>
        <v>-21.284658506444639</v>
      </c>
      <c r="X801" s="1">
        <f t="shared" si="1746"/>
        <v>0</v>
      </c>
      <c r="Y801" s="1">
        <f t="shared" si="1747"/>
        <v>-5.8477321127912161</v>
      </c>
    </row>
    <row r="802" spans="1:25">
      <c r="A802" s="1">
        <v>0.8</v>
      </c>
      <c r="B802" s="1">
        <f t="shared" si="1748"/>
        <v>33.554493846030596</v>
      </c>
      <c r="C802" s="1">
        <f t="shared" si="1749"/>
        <v>0</v>
      </c>
      <c r="D802" s="1">
        <f t="shared" si="1750"/>
        <v>-0.27979346773955455</v>
      </c>
      <c r="E802" s="1">
        <f t="shared" si="1751"/>
        <v>22.882420728114617</v>
      </c>
      <c r="F802" s="1">
        <f t="shared" si="1752"/>
        <v>0</v>
      </c>
      <c r="G802" s="1">
        <f t="shared" si="1753"/>
        <v>-2.3884187747440442</v>
      </c>
      <c r="H802" s="1">
        <f t="shared" si="1728"/>
        <v>23.006732115230957</v>
      </c>
      <c r="I802" s="1">
        <f t="shared" si="1736"/>
        <v>-21.425118845754948</v>
      </c>
      <c r="J802" s="1">
        <f t="shared" si="1737"/>
        <v>0</v>
      </c>
      <c r="K802" s="1">
        <f t="shared" si="1738"/>
        <v>2.2363086803770984</v>
      </c>
      <c r="L802" s="1">
        <f t="shared" ref="L802:N802" si="1816">E802/$H802</f>
        <v>0.99459673862008235</v>
      </c>
      <c r="M802" s="1">
        <f t="shared" si="1816"/>
        <v>0</v>
      </c>
      <c r="N802" s="1">
        <f t="shared" si="1816"/>
        <v>-0.1038139081544249</v>
      </c>
      <c r="O802" s="1">
        <f t="shared" si="1730"/>
        <v>-0.1038139081544249</v>
      </c>
      <c r="P802" s="1">
        <f t="shared" si="1740"/>
        <v>0.10325297447379578</v>
      </c>
      <c r="Q802" s="1">
        <f t="shared" si="1741"/>
        <v>0</v>
      </c>
      <c r="R802" s="1">
        <f t="shared" si="1742"/>
        <v>0.98922267247370466</v>
      </c>
      <c r="S802" s="1">
        <f t="shared" si="1743"/>
        <v>1.7416542645839059</v>
      </c>
      <c r="T802" s="1">
        <f t="shared" ref="T802:V802" si="1817">$S802*P802</f>
        <v>0.17983098332325959</v>
      </c>
      <c r="U802" s="1">
        <f t="shared" si="1817"/>
        <v>0</v>
      </c>
      <c r="V802" s="1">
        <f t="shared" si="1817"/>
        <v>1.7228838861369162</v>
      </c>
      <c r="W802" s="1">
        <f t="shared" si="1745"/>
        <v>-21.245287862431688</v>
      </c>
      <c r="X802" s="1">
        <f t="shared" si="1746"/>
        <v>0</v>
      </c>
      <c r="Y802" s="1">
        <f t="shared" si="1747"/>
        <v>-5.8474574334859852</v>
      </c>
    </row>
    <row r="803" spans="1:25">
      <c r="A803" s="1">
        <v>0.80100000000000005</v>
      </c>
      <c r="B803" s="1">
        <f t="shared" si="1748"/>
        <v>33.577355021470851</v>
      </c>
      <c r="C803" s="1">
        <f t="shared" si="1749"/>
        <v>0</v>
      </c>
      <c r="D803" s="1">
        <f t="shared" si="1750"/>
        <v>-0.28218773397173208</v>
      </c>
      <c r="E803" s="1">
        <f t="shared" si="1751"/>
        <v>22.861175440252186</v>
      </c>
      <c r="F803" s="1">
        <f t="shared" si="1752"/>
        <v>0</v>
      </c>
      <c r="G803" s="1">
        <f t="shared" si="1753"/>
        <v>-2.3942662321775301</v>
      </c>
      <c r="H803" s="1">
        <f t="shared" si="1728"/>
        <v>22.986210068224281</v>
      </c>
      <c r="I803" s="1">
        <f t="shared" si="1736"/>
        <v>-21.386133095306981</v>
      </c>
      <c r="J803" s="1">
        <f t="shared" si="1737"/>
        <v>0</v>
      </c>
      <c r="K803" s="1">
        <f t="shared" si="1738"/>
        <v>2.2397840583818631</v>
      </c>
      <c r="L803" s="1">
        <f t="shared" ref="L803:N803" si="1818">E803/$H803</f>
        <v>0.9945604504787442</v>
      </c>
      <c r="M803" s="1">
        <f t="shared" si="1818"/>
        <v>0</v>
      </c>
      <c r="N803" s="1">
        <f t="shared" si="1818"/>
        <v>-0.10416098282714818</v>
      </c>
      <c r="O803" s="1">
        <f t="shared" si="1730"/>
        <v>-0.10416098282714818</v>
      </c>
      <c r="P803" s="1">
        <f t="shared" si="1740"/>
        <v>0.10359439400287723</v>
      </c>
      <c r="Q803" s="1">
        <f t="shared" si="1741"/>
        <v>0</v>
      </c>
      <c r="R803" s="1">
        <f t="shared" si="1742"/>
        <v>0.98915048965648256</v>
      </c>
      <c r="S803" s="1">
        <f t="shared" si="1743"/>
        <v>1.7385485328002632</v>
      </c>
      <c r="T803" s="1">
        <f t="shared" ref="T803:V803" si="1819">$S803*P803</f>
        <v>0.18010388170003461</v>
      </c>
      <c r="U803" s="1">
        <f t="shared" si="1819"/>
        <v>0</v>
      </c>
      <c r="V803" s="1">
        <f t="shared" si="1819"/>
        <v>1.7196861325109396</v>
      </c>
      <c r="W803" s="1">
        <f t="shared" si="1745"/>
        <v>-21.206029213606946</v>
      </c>
      <c r="X803" s="1">
        <f t="shared" si="1746"/>
        <v>0</v>
      </c>
      <c r="Y803" s="1">
        <f t="shared" si="1747"/>
        <v>-5.8471798091071969</v>
      </c>
    </row>
    <row r="804" spans="1:25">
      <c r="A804" s="1">
        <v>0.80200000000000005</v>
      </c>
      <c r="B804" s="1">
        <f t="shared" si="1748"/>
        <v>33.600194990881889</v>
      </c>
      <c r="C804" s="1">
        <f t="shared" si="1749"/>
        <v>0</v>
      </c>
      <c r="D804" s="1">
        <f t="shared" si="1750"/>
        <v>-0.28458784738371873</v>
      </c>
      <c r="E804" s="1">
        <f t="shared" si="1751"/>
        <v>22.839969411038577</v>
      </c>
      <c r="F804" s="1">
        <f t="shared" si="1752"/>
        <v>0</v>
      </c>
      <c r="G804" s="1">
        <f t="shared" si="1753"/>
        <v>-2.4001134119866374</v>
      </c>
      <c r="H804" s="1">
        <f t="shared" si="1728"/>
        <v>22.965729840080762</v>
      </c>
      <c r="I804" s="1">
        <f t="shared" si="1736"/>
        <v>-21.347258397277677</v>
      </c>
      <c r="J804" s="1">
        <f t="shared" si="1737"/>
        <v>0</v>
      </c>
      <c r="K804" s="1">
        <f t="shared" si="1738"/>
        <v>2.2432534941876145</v>
      </c>
      <c r="L804" s="1">
        <f t="shared" ref="L804:N804" si="1820">E804/$H804</f>
        <v>0.99452399597496344</v>
      </c>
      <c r="M804" s="1">
        <f t="shared" si="1820"/>
        <v>0</v>
      </c>
      <c r="N804" s="1">
        <f t="shared" si="1820"/>
        <v>-0.10450847539788864</v>
      </c>
      <c r="O804" s="1">
        <f t="shared" si="1730"/>
        <v>-0.10450847539788864</v>
      </c>
      <c r="P804" s="1">
        <f t="shared" si="1740"/>
        <v>0.10393618656595936</v>
      </c>
      <c r="Q804" s="1">
        <f t="shared" si="1741"/>
        <v>0</v>
      </c>
      <c r="R804" s="1">
        <f t="shared" si="1742"/>
        <v>0.9890779785700089</v>
      </c>
      <c r="S804" s="1">
        <f t="shared" si="1743"/>
        <v>1.7354518928195963</v>
      </c>
      <c r="T804" s="1">
        <f t="shared" ref="T804:V804" si="1821">$S804*P804</f>
        <v>0.18037625170834487</v>
      </c>
      <c r="U804" s="1">
        <f t="shared" si="1821"/>
        <v>0</v>
      </c>
      <c r="V804" s="1">
        <f t="shared" si="1821"/>
        <v>1.716497250055502</v>
      </c>
      <c r="W804" s="1">
        <f t="shared" si="1745"/>
        <v>-21.166882145569332</v>
      </c>
      <c r="X804" s="1">
        <f t="shared" si="1746"/>
        <v>0</v>
      </c>
      <c r="Y804" s="1">
        <f t="shared" si="1747"/>
        <v>-5.8468992557568829</v>
      </c>
    </row>
    <row r="805" spans="1:25">
      <c r="A805" s="1">
        <v>0.80300000000000005</v>
      </c>
      <c r="B805" s="1">
        <f t="shared" si="1748"/>
        <v>33.623013793410784</v>
      </c>
      <c r="C805" s="1">
        <f t="shared" si="1749"/>
        <v>0</v>
      </c>
      <c r="D805" s="1">
        <f t="shared" si="1750"/>
        <v>-0.28699380769496113</v>
      </c>
      <c r="E805" s="1">
        <f t="shared" si="1751"/>
        <v>22.818802528893009</v>
      </c>
      <c r="F805" s="1">
        <f t="shared" si="1752"/>
        <v>0</v>
      </c>
      <c r="G805" s="1">
        <f t="shared" si="1753"/>
        <v>-2.4059603112423944</v>
      </c>
      <c r="H805" s="1">
        <f t="shared" si="1728"/>
        <v>22.945291322445389</v>
      </c>
      <c r="I805" s="1">
        <f t="shared" si="1736"/>
        <v>-21.308494340407933</v>
      </c>
      <c r="J805" s="1">
        <f t="shared" si="1737"/>
        <v>0</v>
      </c>
      <c r="K805" s="1">
        <f t="shared" si="1738"/>
        <v>2.246717004997973</v>
      </c>
      <c r="L805" s="1">
        <f t="shared" ref="L805:N805" si="1822">E805/$H805</f>
        <v>0.99448737469597315</v>
      </c>
      <c r="M805" s="1">
        <f t="shared" si="1822"/>
        <v>0</v>
      </c>
      <c r="N805" s="1">
        <f t="shared" si="1822"/>
        <v>-0.10485638545320417</v>
      </c>
      <c r="O805" s="1">
        <f t="shared" si="1730"/>
        <v>-0.10485638545320417</v>
      </c>
      <c r="P805" s="1">
        <f t="shared" si="1740"/>
        <v>0.10427835148946604</v>
      </c>
      <c r="Q805" s="1">
        <f t="shared" si="1741"/>
        <v>0</v>
      </c>
      <c r="R805" s="1">
        <f t="shared" si="1742"/>
        <v>0.98900513842968907</v>
      </c>
      <c r="S805" s="1">
        <f t="shared" si="1743"/>
        <v>1.7323643113716423</v>
      </c>
      <c r="T805" s="1">
        <f t="shared" ref="T805:V805" si="1823">$S805*P805</f>
        <v>0.1806480945690189</v>
      </c>
      <c r="U805" s="1">
        <f t="shared" si="1823"/>
        <v>0</v>
      </c>
      <c r="V805" s="1">
        <f t="shared" si="1823"/>
        <v>1.713317205578764</v>
      </c>
      <c r="W805" s="1">
        <f t="shared" si="1745"/>
        <v>-21.127846245838914</v>
      </c>
      <c r="X805" s="1">
        <f t="shared" si="1746"/>
        <v>0</v>
      </c>
      <c r="Y805" s="1">
        <f t="shared" si="1747"/>
        <v>-5.8466157894232627</v>
      </c>
    </row>
    <row r="806" spans="1:25">
      <c r="A806" s="1">
        <v>0.80400000000000005</v>
      </c>
      <c r="B806" s="1">
        <f t="shared" si="1748"/>
        <v>33.645811468093434</v>
      </c>
      <c r="C806" s="1">
        <f t="shared" si="1749"/>
        <v>0</v>
      </c>
      <c r="D806" s="1">
        <f t="shared" si="1750"/>
        <v>-0.28940561462199293</v>
      </c>
      <c r="E806" s="1">
        <f t="shared" si="1751"/>
        <v>22.79767468264717</v>
      </c>
      <c r="F806" s="1">
        <f t="shared" si="1752"/>
        <v>0</v>
      </c>
      <c r="G806" s="1">
        <f t="shared" si="1753"/>
        <v>-2.4118069270318179</v>
      </c>
      <c r="H806" s="1">
        <f t="shared" si="1728"/>
        <v>22.924894407370569</v>
      </c>
      <c r="I806" s="1">
        <f t="shared" si="1736"/>
        <v>-21.269840515345525</v>
      </c>
      <c r="J806" s="1">
        <f t="shared" si="1737"/>
        <v>0</v>
      </c>
      <c r="K806" s="1">
        <f t="shared" si="1738"/>
        <v>2.2501746079752269</v>
      </c>
      <c r="L806" s="1">
        <f t="shared" ref="L806:N806" si="1824">E806/$H806</f>
        <v>0.99445058622898186</v>
      </c>
      <c r="M806" s="1">
        <f t="shared" si="1824"/>
        <v>0</v>
      </c>
      <c r="N806" s="1">
        <f t="shared" si="1824"/>
        <v>-0.10520471257902062</v>
      </c>
      <c r="O806" s="1">
        <f t="shared" si="1730"/>
        <v>-0.10520471257902062</v>
      </c>
      <c r="P806" s="1">
        <f t="shared" si="1740"/>
        <v>0.10462088809825859</v>
      </c>
      <c r="Q806" s="1">
        <f t="shared" si="1741"/>
        <v>0</v>
      </c>
      <c r="R806" s="1">
        <f t="shared" si="1742"/>
        <v>0.98893196845116571</v>
      </c>
      <c r="S806" s="1">
        <f t="shared" si="1743"/>
        <v>1.7292857553403069</v>
      </c>
      <c r="T806" s="1">
        <f t="shared" ref="T806:V806" si="1825">$S806*P806</f>
        <v>0.18091941149937082</v>
      </c>
      <c r="U806" s="1">
        <f t="shared" si="1825"/>
        <v>0</v>
      </c>
      <c r="V806" s="1">
        <f t="shared" si="1825"/>
        <v>1.7101459660432508</v>
      </c>
      <c r="W806" s="1">
        <f t="shared" si="1745"/>
        <v>-21.088921103846154</v>
      </c>
      <c r="X806" s="1">
        <f t="shared" si="1746"/>
        <v>0</v>
      </c>
      <c r="Y806" s="1">
        <f t="shared" si="1747"/>
        <v>-5.8463294259815219</v>
      </c>
    </row>
    <row r="807" spans="1:25">
      <c r="A807" s="1">
        <v>0.80500000000000005</v>
      </c>
      <c r="B807" s="1">
        <f t="shared" si="1748"/>
        <v>33.668588053854975</v>
      </c>
      <c r="C807" s="1">
        <f t="shared" si="1749"/>
        <v>0</v>
      </c>
      <c r="D807" s="1">
        <f t="shared" si="1750"/>
        <v>-0.29182326787845075</v>
      </c>
      <c r="E807" s="1">
        <f t="shared" si="1751"/>
        <v>22.776585761543323</v>
      </c>
      <c r="F807" s="1">
        <f t="shared" si="1752"/>
        <v>0</v>
      </c>
      <c r="G807" s="1">
        <f t="shared" si="1753"/>
        <v>-2.4176532564577995</v>
      </c>
      <c r="H807" s="1">
        <f t="shared" si="1728"/>
        <v>22.904538987314261</v>
      </c>
      <c r="I807" s="1">
        <f t="shared" si="1736"/>
        <v>-21.231296514634554</v>
      </c>
      <c r="J807" s="1">
        <f t="shared" si="1737"/>
        <v>0</v>
      </c>
      <c r="K807" s="1">
        <f t="shared" si="1738"/>
        <v>2.2536263202404259</v>
      </c>
      <c r="L807" s="1">
        <f t="shared" ref="L807:N807" si="1826">E807/$H807</f>
        <v>0.99441363016117434</v>
      </c>
      <c r="M807" s="1">
        <f t="shared" si="1826"/>
        <v>0</v>
      </c>
      <c r="N807" s="1">
        <f t="shared" si="1826"/>
        <v>-0.10555345636062892</v>
      </c>
      <c r="O807" s="1">
        <f t="shared" si="1730"/>
        <v>-0.10555345636062892</v>
      </c>
      <c r="P807" s="1">
        <f t="shared" si="1740"/>
        <v>0.10496379571563211</v>
      </c>
      <c r="Q807" s="1">
        <f t="shared" si="1741"/>
        <v>0</v>
      </c>
      <c r="R807" s="1">
        <f t="shared" si="1742"/>
        <v>0.98885846785032483</v>
      </c>
      <c r="S807" s="1">
        <f t="shared" si="1743"/>
        <v>1.7262161917628136</v>
      </c>
      <c r="T807" s="1">
        <f t="shared" ref="T807:V807" si="1827">$S807*P807</f>
        <v>0.18119020371320838</v>
      </c>
      <c r="U807" s="1">
        <f t="shared" si="1827"/>
        <v>0</v>
      </c>
      <c r="V807" s="1">
        <f t="shared" si="1827"/>
        <v>1.7069834985649983</v>
      </c>
      <c r="W807" s="1">
        <f t="shared" si="1745"/>
        <v>-21.050106310921347</v>
      </c>
      <c r="X807" s="1">
        <f t="shared" si="1746"/>
        <v>0</v>
      </c>
      <c r="Y807" s="1">
        <f t="shared" si="1747"/>
        <v>-5.8460401811945752</v>
      </c>
    </row>
    <row r="808" spans="1:25">
      <c r="A808" s="1">
        <v>0.80600000000000005</v>
      </c>
      <c r="B808" s="1">
        <f t="shared" si="1748"/>
        <v>33.691343589510211</v>
      </c>
      <c r="C808" s="1">
        <f t="shared" si="1749"/>
        <v>0</v>
      </c>
      <c r="D808" s="1">
        <f t="shared" si="1750"/>
        <v>-0.29424676717508974</v>
      </c>
      <c r="E808" s="1">
        <f t="shared" si="1751"/>
        <v>22.755535655232404</v>
      </c>
      <c r="F808" s="1">
        <f t="shared" si="1752"/>
        <v>0</v>
      </c>
      <c r="G808" s="1">
        <f t="shared" si="1753"/>
        <v>-2.4234992966389939</v>
      </c>
      <c r="H808" s="1">
        <f t="shared" si="1728"/>
        <v>22.884224955138045</v>
      </c>
      <c r="I808" s="1">
        <f t="shared" si="1736"/>
        <v>-21.19286193270483</v>
      </c>
      <c r="J808" s="1">
        <f t="shared" si="1737"/>
        <v>0</v>
      </c>
      <c r="K808" s="1">
        <f t="shared" si="1738"/>
        <v>2.2570721588734632</v>
      </c>
      <c r="L808" s="1">
        <f t="shared" ref="L808:N808" si="1828">E808/$H808</f>
        <v>0.99437650607971551</v>
      </c>
      <c r="M808" s="1">
        <f t="shared" si="1828"/>
        <v>0</v>
      </c>
      <c r="N808" s="1">
        <f t="shared" si="1828"/>
        <v>-0.1059026163826825</v>
      </c>
      <c r="O808" s="1">
        <f t="shared" si="1730"/>
        <v>-0.1059026163826825</v>
      </c>
      <c r="P808" s="1">
        <f t="shared" si="1740"/>
        <v>0.10530707366331227</v>
      </c>
      <c r="Q808" s="1">
        <f t="shared" si="1741"/>
        <v>0</v>
      </c>
      <c r="R808" s="1">
        <f t="shared" si="1742"/>
        <v>0.98878463584330234</v>
      </c>
      <c r="S808" s="1">
        <f t="shared" si="1743"/>
        <v>1.7231555878288458</v>
      </c>
      <c r="T808" s="1">
        <f t="shared" ref="T808:V808" si="1829">$S808*P808</f>
        <v>0.18146047242084043</v>
      </c>
      <c r="U808" s="1">
        <f t="shared" si="1829"/>
        <v>0</v>
      </c>
      <c r="V808" s="1">
        <f t="shared" si="1829"/>
        <v>1.7038297704126968</v>
      </c>
      <c r="W808" s="1">
        <f t="shared" si="1745"/>
        <v>-21.011401460283988</v>
      </c>
      <c r="X808" s="1">
        <f t="shared" si="1746"/>
        <v>0</v>
      </c>
      <c r="Y808" s="1">
        <f t="shared" si="1747"/>
        <v>-5.8457480707138396</v>
      </c>
    </row>
    <row r="809" spans="1:25">
      <c r="A809" s="1">
        <v>0.80700000000000005</v>
      </c>
      <c r="B809" s="1">
        <f t="shared" si="1748"/>
        <v>33.714078113763982</v>
      </c>
      <c r="C809" s="1">
        <f t="shared" si="1749"/>
        <v>0</v>
      </c>
      <c r="D809" s="1">
        <f t="shared" si="1750"/>
        <v>-0.29667611221979945</v>
      </c>
      <c r="E809" s="1">
        <f t="shared" si="1751"/>
        <v>22.734524253772118</v>
      </c>
      <c r="F809" s="1">
        <f t="shared" si="1752"/>
        <v>0</v>
      </c>
      <c r="G809" s="1">
        <f t="shared" si="1753"/>
        <v>-2.4293450447097076</v>
      </c>
      <c r="H809" s="1">
        <f t="shared" si="1728"/>
        <v>22.863952204105228</v>
      </c>
      <c r="I809" s="1">
        <f t="shared" si="1736"/>
        <v>-21.154536365861414</v>
      </c>
      <c r="J809" s="1">
        <f t="shared" si="1737"/>
        <v>0</v>
      </c>
      <c r="K809" s="1">
        <f t="shared" si="1738"/>
        <v>2.2605121409131672</v>
      </c>
      <c r="L809" s="1">
        <f t="shared" ref="L809:N809" si="1830">E809/$H809</f>
        <v>0.99433921357175203</v>
      </c>
      <c r="M809" s="1">
        <f t="shared" si="1830"/>
        <v>0</v>
      </c>
      <c r="N809" s="1">
        <f t="shared" si="1830"/>
        <v>-0.10625219222919466</v>
      </c>
      <c r="O809" s="1">
        <f t="shared" si="1730"/>
        <v>-0.10625219222919466</v>
      </c>
      <c r="P809" s="1">
        <f t="shared" si="1740"/>
        <v>0.10565072126145204</v>
      </c>
      <c r="Q809" s="1">
        <f t="shared" si="1741"/>
        <v>0</v>
      </c>
      <c r="R809" s="1">
        <f t="shared" si="1742"/>
        <v>0.98871047164649029</v>
      </c>
      <c r="S809" s="1">
        <f t="shared" si="1743"/>
        <v>1.7201039108797005</v>
      </c>
      <c r="T809" s="1">
        <f t="shared" ref="T809:V809" si="1831">$S809*P809</f>
        <v>0.18173021882908477</v>
      </c>
      <c r="U809" s="1">
        <f t="shared" si="1831"/>
        <v>0</v>
      </c>
      <c r="V809" s="1">
        <f t="shared" si="1831"/>
        <v>1.7006847490068411</v>
      </c>
      <c r="W809" s="1">
        <f t="shared" si="1745"/>
        <v>-20.97280614703233</v>
      </c>
      <c r="X809" s="1">
        <f t="shared" si="1746"/>
        <v>0</v>
      </c>
      <c r="Y809" s="1">
        <f t="shared" si="1747"/>
        <v>-5.8454531100799914</v>
      </c>
    </row>
    <row r="810" spans="1:25">
      <c r="A810" s="1">
        <v>0.80800000000000005</v>
      </c>
      <c r="B810" s="1">
        <f t="shared" si="1748"/>
        <v>33.736791665211605</v>
      </c>
      <c r="C810" s="1">
        <f t="shared" si="1749"/>
        <v>0</v>
      </c>
      <c r="D810" s="1">
        <f t="shared" si="1750"/>
        <v>-0.29911130271761921</v>
      </c>
      <c r="E810" s="1">
        <f t="shared" si="1751"/>
        <v>22.713551447625086</v>
      </c>
      <c r="F810" s="1">
        <f t="shared" si="1752"/>
        <v>0</v>
      </c>
      <c r="G810" s="1">
        <f t="shared" si="1753"/>
        <v>-2.4351904978197876</v>
      </c>
      <c r="H810" s="1">
        <f t="shared" si="1728"/>
        <v>22.843720627878977</v>
      </c>
      <c r="I810" s="1">
        <f t="shared" si="1736"/>
        <v>-21.116319412274194</v>
      </c>
      <c r="J810" s="1">
        <f t="shared" si="1737"/>
        <v>0</v>
      </c>
      <c r="K810" s="1">
        <f t="shared" si="1738"/>
        <v>2.263946283357388</v>
      </c>
      <c r="L810" s="1">
        <f t="shared" ref="L810:N810" si="1832">E810/$H810</f>
        <v>0.9943017522244153</v>
      </c>
      <c r="M810" s="1">
        <f t="shared" si="1832"/>
        <v>0</v>
      </c>
      <c r="N810" s="1">
        <f t="shared" si="1832"/>
        <v>-0.10660218348353585</v>
      </c>
      <c r="O810" s="1">
        <f t="shared" si="1730"/>
        <v>-0.10660218348353585</v>
      </c>
      <c r="P810" s="1">
        <f t="shared" si="1740"/>
        <v>0.10599473782862832</v>
      </c>
      <c r="Q810" s="1">
        <f t="shared" si="1741"/>
        <v>0</v>
      </c>
      <c r="R810" s="1">
        <f t="shared" si="1742"/>
        <v>0.9886359744765425</v>
      </c>
      <c r="S810" s="1">
        <f t="shared" si="1743"/>
        <v>1.7170611284074468</v>
      </c>
      <c r="T810" s="1">
        <f t="shared" ref="T810:V810" si="1833">$S810*P810</f>
        <v>0.18199944414127606</v>
      </c>
      <c r="U810" s="1">
        <f t="shared" si="1833"/>
        <v>0</v>
      </c>
      <c r="V810" s="1">
        <f t="shared" si="1833"/>
        <v>1.6975484019188878</v>
      </c>
      <c r="W810" s="1">
        <f t="shared" si="1745"/>
        <v>-20.934319968132918</v>
      </c>
      <c r="X810" s="1">
        <f t="shared" si="1746"/>
        <v>0</v>
      </c>
      <c r="Y810" s="1">
        <f t="shared" si="1747"/>
        <v>-5.8451553147237236</v>
      </c>
    </row>
    <row r="811" spans="1:25">
      <c r="A811" s="1">
        <v>0.80900000000000005</v>
      </c>
      <c r="B811" s="1">
        <f t="shared" si="1748"/>
        <v>33.759484282339265</v>
      </c>
      <c r="C811" s="1">
        <f t="shared" si="1749"/>
        <v>0</v>
      </c>
      <c r="D811" s="1">
        <f t="shared" si="1750"/>
        <v>-0.30155233837075374</v>
      </c>
      <c r="E811" s="1">
        <f t="shared" si="1751"/>
        <v>22.692617127656952</v>
      </c>
      <c r="F811" s="1">
        <f t="shared" si="1752"/>
        <v>0</v>
      </c>
      <c r="G811" s="1">
        <f t="shared" si="1753"/>
        <v>-2.4410356531345112</v>
      </c>
      <c r="H811" s="1">
        <f t="shared" si="1728"/>
        <v>22.823530120520434</v>
      </c>
      <c r="I811" s="1">
        <f t="shared" si="1736"/>
        <v>-21.078210671967508</v>
      </c>
      <c r="J811" s="1">
        <f t="shared" si="1737"/>
        <v>0</v>
      </c>
      <c r="K811" s="1">
        <f t="shared" si="1738"/>
        <v>2.2673746031630859</v>
      </c>
      <c r="L811" s="1">
        <f t="shared" ref="L811:N811" si="1834">E811/$H811</f>
        <v>0.99426412162482347</v>
      </c>
      <c r="M811" s="1">
        <f t="shared" si="1834"/>
        <v>0</v>
      </c>
      <c r="N811" s="1">
        <f t="shared" si="1834"/>
        <v>-0.10695258972843108</v>
      </c>
      <c r="O811" s="1">
        <f t="shared" si="1730"/>
        <v>-0.10695258972843108</v>
      </c>
      <c r="P811" s="1">
        <f t="shared" si="1740"/>
        <v>0.10633912268183865</v>
      </c>
      <c r="Q811" s="1">
        <f t="shared" si="1741"/>
        <v>0</v>
      </c>
      <c r="R811" s="1">
        <f t="shared" si="1742"/>
        <v>0.98856114355038194</v>
      </c>
      <c r="S811" s="1">
        <f t="shared" si="1743"/>
        <v>1.714027208054089</v>
      </c>
      <c r="T811" s="1">
        <f t="shared" ref="T811:V811" si="1835">$S811*P811</f>
        <v>0.18226814955727316</v>
      </c>
      <c r="U811" s="1">
        <f t="shared" si="1835"/>
        <v>0</v>
      </c>
      <c r="V811" s="1">
        <f t="shared" si="1835"/>
        <v>1.6944206968704187</v>
      </c>
      <c r="W811" s="1">
        <f t="shared" si="1745"/>
        <v>-20.895942522410234</v>
      </c>
      <c r="X811" s="1">
        <f t="shared" si="1746"/>
        <v>0</v>
      </c>
      <c r="Y811" s="1">
        <f t="shared" si="1747"/>
        <v>-5.8448546999664952</v>
      </c>
    </row>
    <row r="812" spans="1:25">
      <c r="A812" s="1">
        <v>0.81</v>
      </c>
      <c r="B812" s="1">
        <f t="shared" si="1748"/>
        <v>33.782156003524399</v>
      </c>
      <c r="C812" s="1">
        <f t="shared" si="1749"/>
        <v>0</v>
      </c>
      <c r="D812" s="1">
        <f t="shared" si="1750"/>
        <v>-0.30399921887858822</v>
      </c>
      <c r="E812" s="1">
        <f t="shared" si="1751"/>
        <v>22.67172118513454</v>
      </c>
      <c r="F812" s="1">
        <f t="shared" si="1752"/>
        <v>0</v>
      </c>
      <c r="G812" s="1">
        <f t="shared" si="1753"/>
        <v>-2.4468805078344777</v>
      </c>
      <c r="H812" s="1">
        <f t="shared" si="1728"/>
        <v>22.80338057648687</v>
      </c>
      <c r="I812" s="1">
        <f t="shared" si="1736"/>
        <v>-21.040209746809897</v>
      </c>
      <c r="J812" s="1">
        <f t="shared" si="1737"/>
        <v>0</v>
      </c>
      <c r="K812" s="1">
        <f t="shared" si="1738"/>
        <v>2.270797117246421</v>
      </c>
      <c r="L812" s="1">
        <f t="shared" ref="L812:N812" si="1836">E812/$H812</f>
        <v>0.99422632136008438</v>
      </c>
      <c r="M812" s="1">
        <f t="shared" si="1836"/>
        <v>0</v>
      </c>
      <c r="N812" s="1">
        <f t="shared" si="1836"/>
        <v>-0.10730341054595724</v>
      </c>
      <c r="O812" s="1">
        <f t="shared" si="1730"/>
        <v>-0.10730341054595724</v>
      </c>
      <c r="P812" s="1">
        <f t="shared" si="1740"/>
        <v>0.10668387513649795</v>
      </c>
      <c r="Q812" s="1">
        <f t="shared" si="1741"/>
        <v>0</v>
      </c>
      <c r="R812" s="1">
        <f t="shared" si="1742"/>
        <v>0.98848597808520577</v>
      </c>
      <c r="S812" s="1">
        <f t="shared" si="1743"/>
        <v>1.7110021176107379</v>
      </c>
      <c r="T812" s="1">
        <f t="shared" ref="T812:V812" si="1837">$S812*P812</f>
        <v>0.18253633627346755</v>
      </c>
      <c r="U812" s="1">
        <f t="shared" si="1837"/>
        <v>0</v>
      </c>
      <c r="V812" s="1">
        <f t="shared" si="1837"/>
        <v>1.6913016017323086</v>
      </c>
      <c r="W812" s="1">
        <f t="shared" si="1745"/>
        <v>-20.857673410536428</v>
      </c>
      <c r="X812" s="1">
        <f t="shared" si="1746"/>
        <v>0</v>
      </c>
      <c r="Y812" s="1">
        <f t="shared" si="1747"/>
        <v>-5.8445512810212694</v>
      </c>
    </row>
    <row r="813" spans="1:25">
      <c r="A813" s="1">
        <v>0.81100000000000005</v>
      </c>
      <c r="B813" s="1">
        <f t="shared" si="1748"/>
        <v>33.80480686703612</v>
      </c>
      <c r="C813" s="1">
        <f t="shared" si="1749"/>
        <v>0</v>
      </c>
      <c r="D813" s="1">
        <f t="shared" si="1750"/>
        <v>-0.3064519439377037</v>
      </c>
      <c r="E813" s="1">
        <f t="shared" si="1751"/>
        <v>22.650863511724005</v>
      </c>
      <c r="F813" s="1">
        <f t="shared" si="1752"/>
        <v>0</v>
      </c>
      <c r="G813" s="1">
        <f t="shared" si="1753"/>
        <v>-2.4527250591154992</v>
      </c>
      <c r="H813" s="1">
        <f t="shared" si="1728"/>
        <v>22.783271890629823</v>
      </c>
      <c r="I813" s="1">
        <f t="shared" si="1736"/>
        <v>-21.002316240503845</v>
      </c>
      <c r="J813" s="1">
        <f t="shared" si="1737"/>
        <v>0</v>
      </c>
      <c r="K813" s="1">
        <f t="shared" si="1738"/>
        <v>2.27421384248284</v>
      </c>
      <c r="L813" s="1">
        <f t="shared" ref="L813:N813" si="1838">E813/$H813</f>
        <v>0.9941883510172973</v>
      </c>
      <c r="M813" s="1">
        <f t="shared" si="1838"/>
        <v>0</v>
      </c>
      <c r="N813" s="1">
        <f t="shared" si="1838"/>
        <v>-0.10765464551754053</v>
      </c>
      <c r="O813" s="1">
        <f t="shared" si="1730"/>
        <v>-0.10765464551754053</v>
      </c>
      <c r="P813" s="1">
        <f t="shared" si="1740"/>
        <v>0.1070289945064353</v>
      </c>
      <c r="Q813" s="1">
        <f t="shared" si="1741"/>
        <v>0</v>
      </c>
      <c r="R813" s="1">
        <f t="shared" si="1742"/>
        <v>0.98841047729849274</v>
      </c>
      <c r="S813" s="1">
        <f t="shared" si="1743"/>
        <v>1.707985825016783</v>
      </c>
      <c r="T813" s="1">
        <f t="shared" ref="T813:V813" si="1839">$S813*P813</f>
        <v>0.18280400548279063</v>
      </c>
      <c r="U813" s="1">
        <f t="shared" si="1839"/>
        <v>0</v>
      </c>
      <c r="V813" s="1">
        <f t="shared" si="1839"/>
        <v>1.6881910845238983</v>
      </c>
      <c r="W813" s="1">
        <f t="shared" si="1745"/>
        <v>-20.819512235021055</v>
      </c>
      <c r="X813" s="1">
        <f t="shared" si="1746"/>
        <v>0</v>
      </c>
      <c r="Y813" s="1">
        <f t="shared" si="1747"/>
        <v>-5.8442450729932611</v>
      </c>
    </row>
    <row r="814" spans="1:25">
      <c r="A814" s="1">
        <v>0.81200000000000006</v>
      </c>
      <c r="B814" s="1">
        <f t="shared" si="1748"/>
        <v>33.827436911035612</v>
      </c>
      <c r="C814" s="1">
        <f t="shared" si="1749"/>
        <v>0</v>
      </c>
      <c r="D814" s="1">
        <f t="shared" si="1750"/>
        <v>-0.30891051324189217</v>
      </c>
      <c r="E814" s="1">
        <f t="shared" si="1751"/>
        <v>22.630043999488983</v>
      </c>
      <c r="F814" s="1">
        <f t="shared" si="1752"/>
        <v>0</v>
      </c>
      <c r="G814" s="1">
        <f t="shared" si="1753"/>
        <v>-2.4585693041884924</v>
      </c>
      <c r="H814" s="1">
        <f t="shared" si="1728"/>
        <v>22.763203958193255</v>
      </c>
      <c r="I814" s="1">
        <f t="shared" si="1736"/>
        <v>-20.964529758575644</v>
      </c>
      <c r="J814" s="1">
        <f t="shared" si="1737"/>
        <v>0</v>
      </c>
      <c r="K814" s="1">
        <f t="shared" si="1738"/>
        <v>2.2776247957071654</v>
      </c>
      <c r="L814" s="1">
        <f t="shared" ref="L814:N814" si="1840">E814/$H814</f>
        <v>0.9941502101835562</v>
      </c>
      <c r="M814" s="1">
        <f t="shared" si="1840"/>
        <v>0</v>
      </c>
      <c r="N814" s="1">
        <f t="shared" si="1840"/>
        <v>-0.10800629422395389</v>
      </c>
      <c r="O814" s="1">
        <f t="shared" si="1730"/>
        <v>-0.10800629422395389</v>
      </c>
      <c r="P814" s="1">
        <f t="shared" si="1740"/>
        <v>0.10737448010389077</v>
      </c>
      <c r="Q814" s="1">
        <f t="shared" si="1741"/>
        <v>0</v>
      </c>
      <c r="R814" s="1">
        <f t="shared" si="1742"/>
        <v>0.98833464040800867</v>
      </c>
      <c r="S814" s="1">
        <f t="shared" si="1743"/>
        <v>1.704978298359072</v>
      </c>
      <c r="T814" s="1">
        <f t="shared" ref="T814:V814" si="1841">$S814*P814</f>
        <v>0.18307115837472171</v>
      </c>
      <c r="U814" s="1">
        <f t="shared" si="1841"/>
        <v>0</v>
      </c>
      <c r="V814" s="1">
        <f t="shared" si="1841"/>
        <v>1.6850891134121719</v>
      </c>
      <c r="W814" s="1">
        <f t="shared" si="1745"/>
        <v>-20.781458600200921</v>
      </c>
      <c r="X814" s="1">
        <f t="shared" si="1746"/>
        <v>0</v>
      </c>
      <c r="Y814" s="1">
        <f t="shared" si="1747"/>
        <v>-5.8439360908806623</v>
      </c>
    </row>
    <row r="815" spans="1:25">
      <c r="A815" s="1">
        <v>0.81299999999999994</v>
      </c>
      <c r="B815" s="1">
        <f t="shared" si="1748"/>
        <v>33.850046173576501</v>
      </c>
      <c r="C815" s="1">
        <f t="shared" si="1749"/>
        <v>0</v>
      </c>
      <c r="D815" s="1">
        <f t="shared" si="1750"/>
        <v>-0.31137492648217152</v>
      </c>
      <c r="E815" s="1">
        <f t="shared" si="1751"/>
        <v>22.609262540888782</v>
      </c>
      <c r="F815" s="1">
        <f t="shared" si="1752"/>
        <v>0</v>
      </c>
      <c r="G815" s="1">
        <f t="shared" si="1753"/>
        <v>-2.4644132402793733</v>
      </c>
      <c r="H815" s="1">
        <f t="shared" si="1728"/>
        <v>22.743176674811743</v>
      </c>
      <c r="I815" s="1">
        <f t="shared" si="1736"/>
        <v>-20.926849908365313</v>
      </c>
      <c r="J815" s="1">
        <f t="shared" si="1737"/>
        <v>0</v>
      </c>
      <c r="K815" s="1">
        <f t="shared" si="1738"/>
        <v>2.281029993713688</v>
      </c>
      <c r="L815" s="1">
        <f t="shared" ref="L815:N815" si="1842">E815/$H815</f>
        <v>0.99411189844595138</v>
      </c>
      <c r="M815" s="1">
        <f t="shared" si="1842"/>
        <v>0</v>
      </c>
      <c r="N815" s="1">
        <f t="shared" si="1842"/>
        <v>-0.10835835624531429</v>
      </c>
      <c r="O815" s="1">
        <f t="shared" si="1730"/>
        <v>-0.10835835624531429</v>
      </c>
      <c r="P815" s="1">
        <f t="shared" si="1740"/>
        <v>0.10772033123951209</v>
      </c>
      <c r="Q815" s="1">
        <f t="shared" si="1741"/>
        <v>0</v>
      </c>
      <c r="R815" s="1">
        <f t="shared" si="1742"/>
        <v>0.9882584666318136</v>
      </c>
      <c r="S815" s="1">
        <f t="shared" si="1743"/>
        <v>1.7019795058710996</v>
      </c>
      <c r="T815" s="1">
        <f t="shared" ref="T815:V815" si="1843">$S815*P815</f>
        <v>0.18333779613529597</v>
      </c>
      <c r="U815" s="1">
        <f t="shared" si="1843"/>
        <v>0</v>
      </c>
      <c r="V815" s="1">
        <f t="shared" si="1843"/>
        <v>1.6819956567109446</v>
      </c>
      <c r="W815" s="1">
        <f t="shared" si="1745"/>
        <v>-20.743512112230018</v>
      </c>
      <c r="X815" s="1">
        <f t="shared" si="1746"/>
        <v>0</v>
      </c>
      <c r="Y815" s="1">
        <f t="shared" si="1747"/>
        <v>-5.843624349575367</v>
      </c>
    </row>
    <row r="816" spans="1:25">
      <c r="A816" s="1">
        <v>0.81399999999999995</v>
      </c>
      <c r="B816" s="1">
        <f t="shared" si="1748"/>
        <v>33.872634692605281</v>
      </c>
      <c r="C816" s="1">
        <f t="shared" si="1749"/>
        <v>0</v>
      </c>
      <c r="D816" s="1">
        <f t="shared" si="1750"/>
        <v>-0.31384518334680045</v>
      </c>
      <c r="E816" s="1">
        <f t="shared" si="1751"/>
        <v>22.588519028776552</v>
      </c>
      <c r="F816" s="1">
        <f t="shared" si="1752"/>
        <v>0</v>
      </c>
      <c r="G816" s="1">
        <f t="shared" si="1753"/>
        <v>-2.4702568646289484</v>
      </c>
      <c r="H816" s="1">
        <f t="shared" si="1728"/>
        <v>22.723189936508625</v>
      </c>
      <c r="I816" s="1">
        <f t="shared" si="1736"/>
        <v>-20.889276299016551</v>
      </c>
      <c r="J816" s="1">
        <f t="shared" si="1737"/>
        <v>0</v>
      </c>
      <c r="K816" s="1">
        <f t="shared" si="1738"/>
        <v>2.2844294532562506</v>
      </c>
      <c r="L816" s="1">
        <f t="shared" ref="L816:N816" si="1844">E816/$H816</f>
        <v>0.99407341539157312</v>
      </c>
      <c r="M816" s="1">
        <f t="shared" si="1844"/>
        <v>0</v>
      </c>
      <c r="N816" s="1">
        <f t="shared" si="1844"/>
        <v>-0.10871083116108031</v>
      </c>
      <c r="O816" s="1">
        <f t="shared" si="1730"/>
        <v>-0.10871083116108031</v>
      </c>
      <c r="P816" s="1">
        <f t="shared" si="1740"/>
        <v>0.10806654722235176</v>
      </c>
      <c r="Q816" s="1">
        <f t="shared" si="1741"/>
        <v>0</v>
      </c>
      <c r="R816" s="1">
        <f t="shared" si="1742"/>
        <v>0.98818195518826712</v>
      </c>
      <c r="S816" s="1">
        <f t="shared" si="1743"/>
        <v>1.6989894159321925</v>
      </c>
      <c r="T816" s="1">
        <f t="shared" ref="T816:V816" si="1845">$S816*P816</f>
        <v>0.18360391994711212</v>
      </c>
      <c r="U816" s="1">
        <f t="shared" si="1845"/>
        <v>0</v>
      </c>
      <c r="V816" s="1">
        <f t="shared" si="1845"/>
        <v>1.678910682880046</v>
      </c>
      <c r="W816" s="1">
        <f t="shared" si="1745"/>
        <v>-20.705672379069437</v>
      </c>
      <c r="X816" s="1">
        <f t="shared" si="1746"/>
        <v>0</v>
      </c>
      <c r="Y816" s="1">
        <f t="shared" si="1747"/>
        <v>-5.8433098638637029</v>
      </c>
    </row>
    <row r="817" spans="1:25">
      <c r="A817" s="1">
        <v>0.81499999999999995</v>
      </c>
      <c r="B817" s="1">
        <f t="shared" si="1748"/>
        <v>33.895202505961677</v>
      </c>
      <c r="C817" s="1">
        <f t="shared" si="1749"/>
        <v>0</v>
      </c>
      <c r="D817" s="1">
        <f t="shared" si="1750"/>
        <v>-0.31632128352129324</v>
      </c>
      <c r="E817" s="1">
        <f t="shared" si="1751"/>
        <v>22.567813356397483</v>
      </c>
      <c r="F817" s="1">
        <f t="shared" si="1752"/>
        <v>0</v>
      </c>
      <c r="G817" s="1">
        <f t="shared" si="1753"/>
        <v>-2.4761001744928119</v>
      </c>
      <c r="H817" s="1">
        <f t="shared" si="1728"/>
        <v>22.703243639694218</v>
      </c>
      <c r="I817" s="1">
        <f t="shared" si="1736"/>
        <v>-20.851808541466788</v>
      </c>
      <c r="J817" s="1">
        <f t="shared" si="1737"/>
        <v>0</v>
      </c>
      <c r="K817" s="1">
        <f t="shared" si="1738"/>
        <v>2.2878231910483393</v>
      </c>
      <c r="L817" s="1">
        <f t="shared" ref="L817:N817" si="1846">E817/$H817</f>
        <v>0.99403476060751295</v>
      </c>
      <c r="M817" s="1">
        <f t="shared" si="1846"/>
        <v>0</v>
      </c>
      <c r="N817" s="1">
        <f t="shared" si="1846"/>
        <v>-0.10906371855004951</v>
      </c>
      <c r="O817" s="1">
        <f t="shared" si="1730"/>
        <v>-0.10906371855004951</v>
      </c>
      <c r="P817" s="1">
        <f t="shared" si="1740"/>
        <v>0.10841312735986364</v>
      </c>
      <c r="Q817" s="1">
        <f t="shared" si="1741"/>
        <v>0</v>
      </c>
      <c r="R817" s="1">
        <f t="shared" si="1742"/>
        <v>0.98810510529603557</v>
      </c>
      <c r="S817" s="1">
        <f t="shared" si="1743"/>
        <v>1.6960079970667092</v>
      </c>
      <c r="T817" s="1">
        <f t="shared" ref="T817:V817" si="1847">$S817*P817</f>
        <v>0.18386953098934039</v>
      </c>
      <c r="U817" s="1">
        <f t="shared" si="1847"/>
        <v>0</v>
      </c>
      <c r="V817" s="1">
        <f t="shared" si="1847"/>
        <v>1.6758341605245191</v>
      </c>
      <c r="W817" s="1">
        <f t="shared" si="1745"/>
        <v>-20.667939010477447</v>
      </c>
      <c r="X817" s="1">
        <f t="shared" si="1746"/>
        <v>0</v>
      </c>
      <c r="Y817" s="1">
        <f t="shared" si="1747"/>
        <v>-5.8429926484271411</v>
      </c>
    </row>
    <row r="818" spans="1:25">
      <c r="A818" s="1">
        <v>0.81599999999999995</v>
      </c>
      <c r="B818" s="1">
        <f t="shared" si="1748"/>
        <v>33.917749651379062</v>
      </c>
      <c r="C818" s="1">
        <f t="shared" si="1749"/>
        <v>0</v>
      </c>
      <c r="D818" s="1">
        <f t="shared" si="1750"/>
        <v>-0.31880322668843447</v>
      </c>
      <c r="E818" s="1">
        <f t="shared" si="1751"/>
        <v>22.547145417387007</v>
      </c>
      <c r="F818" s="1">
        <f t="shared" si="1752"/>
        <v>0</v>
      </c>
      <c r="G818" s="1">
        <f t="shared" si="1753"/>
        <v>-2.4819431671412393</v>
      </c>
      <c r="H818" s="1">
        <f t="shared" si="1728"/>
        <v>22.683337681164009</v>
      </c>
      <c r="I818" s="1">
        <f t="shared" si="1736"/>
        <v>-20.814446248437303</v>
      </c>
      <c r="J818" s="1">
        <f t="shared" si="1737"/>
        <v>0</v>
      </c>
      <c r="K818" s="1">
        <f t="shared" si="1738"/>
        <v>2.2912112237631757</v>
      </c>
      <c r="L818" s="1">
        <f t="shared" ref="L818:N818" si="1848">E818/$H818</f>
        <v>0.99399593368086681</v>
      </c>
      <c r="M818" s="1">
        <f t="shared" si="1848"/>
        <v>0</v>
      </c>
      <c r="N818" s="1">
        <f t="shared" si="1848"/>
        <v>-0.10941701799035586</v>
      </c>
      <c r="O818" s="1">
        <f t="shared" si="1730"/>
        <v>-0.10941701799035586</v>
      </c>
      <c r="P818" s="1">
        <f t="shared" si="1740"/>
        <v>0.10876007095789997</v>
      </c>
      <c r="Q818" s="1">
        <f t="shared" si="1741"/>
        <v>0</v>
      </c>
      <c r="R818" s="1">
        <f t="shared" si="1742"/>
        <v>0.98802791617409813</v>
      </c>
      <c r="S818" s="1">
        <f t="shared" si="1743"/>
        <v>1.6930352179432391</v>
      </c>
      <c r="T818" s="1">
        <f t="shared" ref="T818:V818" si="1849">$S818*P818</f>
        <v>0.18413463043773032</v>
      </c>
      <c r="U818" s="1">
        <f t="shared" si="1849"/>
        <v>0</v>
      </c>
      <c r="V818" s="1">
        <f t="shared" si="1849"/>
        <v>1.6727660583938186</v>
      </c>
      <c r="W818" s="1">
        <f t="shared" si="1745"/>
        <v>-20.630311617999574</v>
      </c>
      <c r="X818" s="1">
        <f t="shared" si="1746"/>
        <v>0</v>
      </c>
      <c r="Y818" s="1">
        <f t="shared" si="1747"/>
        <v>-5.8426727178430049</v>
      </c>
    </row>
    <row r="819" spans="1:25">
      <c r="A819" s="1">
        <v>0.81699999999999995</v>
      </c>
      <c r="B819" s="1">
        <f t="shared" si="1748"/>
        <v>33.940276166484828</v>
      </c>
      <c r="C819" s="1">
        <f t="shared" si="1749"/>
        <v>0</v>
      </c>
      <c r="D819" s="1">
        <f t="shared" si="1750"/>
        <v>-0.32129101252829356</v>
      </c>
      <c r="E819" s="1">
        <f t="shared" si="1751"/>
        <v>22.526515105769008</v>
      </c>
      <c r="F819" s="1">
        <f t="shared" si="1752"/>
        <v>0</v>
      </c>
      <c r="G819" s="1">
        <f t="shared" si="1753"/>
        <v>-2.4877858398590824</v>
      </c>
      <c r="H819" s="1">
        <f t="shared" si="1728"/>
        <v>22.663471958096856</v>
      </c>
      <c r="I819" s="1">
        <f t="shared" si="1736"/>
        <v>-20.777189034423369</v>
      </c>
      <c r="J819" s="1">
        <f t="shared" si="1737"/>
        <v>0</v>
      </c>
      <c r="K819" s="1">
        <f t="shared" si="1738"/>
        <v>2.2945935680338025</v>
      </c>
      <c r="L819" s="1">
        <f t="shared" ref="L819:N819" si="1850">E819/$H819</f>
        <v>0.99395693419873743</v>
      </c>
      <c r="M819" s="1">
        <f t="shared" si="1850"/>
        <v>0</v>
      </c>
      <c r="N819" s="1">
        <f t="shared" si="1850"/>
        <v>-0.10977072905946719</v>
      </c>
      <c r="O819" s="1">
        <f t="shared" si="1730"/>
        <v>-0.10977072905946719</v>
      </c>
      <c r="P819" s="1">
        <f t="shared" si="1740"/>
        <v>0.10910737732070827</v>
      </c>
      <c r="Q819" s="1">
        <f t="shared" si="1741"/>
        <v>0</v>
      </c>
      <c r="R819" s="1">
        <f t="shared" si="1742"/>
        <v>0.98795038704175309</v>
      </c>
      <c r="S819" s="1">
        <f t="shared" si="1743"/>
        <v>1.6900710473738079</v>
      </c>
      <c r="T819" s="1">
        <f t="shared" ref="T819:V819" si="1851">$S819*P819</f>
        <v>0.18439921946461868</v>
      </c>
      <c r="U819" s="1">
        <f t="shared" si="1851"/>
        <v>0</v>
      </c>
      <c r="V819" s="1">
        <f t="shared" si="1851"/>
        <v>1.6697063453810146</v>
      </c>
      <c r="W819" s="1">
        <f t="shared" si="1745"/>
        <v>-20.592789814958749</v>
      </c>
      <c r="X819" s="1">
        <f t="shared" si="1746"/>
        <v>0</v>
      </c>
      <c r="Y819" s="1">
        <f t="shared" si="1747"/>
        <v>-5.8423500865851823</v>
      </c>
    </row>
    <row r="820" spans="1:25">
      <c r="A820" s="1">
        <v>0.81799999999999995</v>
      </c>
      <c r="B820" s="1">
        <f t="shared" si="1748"/>
        <v>33.962782088800779</v>
      </c>
      <c r="C820" s="1">
        <f t="shared" si="1749"/>
        <v>0</v>
      </c>
      <c r="D820" s="1">
        <f t="shared" si="1750"/>
        <v>-0.3237846407182392</v>
      </c>
      <c r="E820" s="1">
        <f t="shared" si="1751"/>
        <v>22.505922315954049</v>
      </c>
      <c r="F820" s="1">
        <f t="shared" si="1752"/>
        <v>0</v>
      </c>
      <c r="G820" s="1">
        <f t="shared" si="1753"/>
        <v>-2.4936281899456678</v>
      </c>
      <c r="H820" s="1">
        <f t="shared" si="1728"/>
        <v>22.643646368053229</v>
      </c>
      <c r="I820" s="1">
        <f t="shared" si="1736"/>
        <v>-20.740036515684494</v>
      </c>
      <c r="J820" s="1">
        <f t="shared" si="1737"/>
        <v>0</v>
      </c>
      <c r="K820" s="1">
        <f t="shared" si="1738"/>
        <v>2.2979702404531741</v>
      </c>
      <c r="L820" s="1">
        <f t="shared" ref="L820:N820" si="1852">E820/$H820</f>
        <v>0.99391776174823643</v>
      </c>
      <c r="M820" s="1">
        <f t="shared" si="1852"/>
        <v>0</v>
      </c>
      <c r="N820" s="1">
        <f t="shared" si="1852"/>
        <v>-0.11012485133418269</v>
      </c>
      <c r="O820" s="1">
        <f t="shared" si="1730"/>
        <v>-0.11012485133418269</v>
      </c>
      <c r="P820" s="1">
        <f t="shared" si="1740"/>
        <v>0.10945504575092815</v>
      </c>
      <c r="Q820" s="1">
        <f t="shared" si="1741"/>
        <v>0</v>
      </c>
      <c r="R820" s="1">
        <f t="shared" si="1742"/>
        <v>0.98787251711862412</v>
      </c>
      <c r="S820" s="1">
        <f t="shared" si="1743"/>
        <v>1.6871154543130897</v>
      </c>
      <c r="T820" s="1">
        <f t="shared" ref="T820:V820" si="1853">$S820*P820</f>
        <v>0.18466329923893718</v>
      </c>
      <c r="U820" s="1">
        <f t="shared" si="1853"/>
        <v>0</v>
      </c>
      <c r="V820" s="1">
        <f t="shared" si="1853"/>
        <v>1.6666549905220029</v>
      </c>
      <c r="W820" s="1">
        <f t="shared" si="1745"/>
        <v>-20.555373216445556</v>
      </c>
      <c r="X820" s="1">
        <f t="shared" si="1746"/>
        <v>0</v>
      </c>
      <c r="Y820" s="1">
        <f t="shared" si="1747"/>
        <v>-5.8420247690248228</v>
      </c>
    </row>
    <row r="821" spans="1:25">
      <c r="A821" s="1">
        <v>0.81899999999999995</v>
      </c>
      <c r="B821" s="1">
        <f t="shared" si="1748"/>
        <v>33.985267455743518</v>
      </c>
      <c r="C821" s="1">
        <f t="shared" si="1749"/>
        <v>0</v>
      </c>
      <c r="D821" s="1">
        <f t="shared" si="1750"/>
        <v>-0.3262841109329539</v>
      </c>
      <c r="E821" s="1">
        <f t="shared" si="1751"/>
        <v>22.485366942737603</v>
      </c>
      <c r="F821" s="1">
        <f t="shared" si="1752"/>
        <v>0</v>
      </c>
      <c r="G821" s="1">
        <f t="shared" si="1753"/>
        <v>-2.4994702147146928</v>
      </c>
      <c r="H821" s="1">
        <f t="shared" si="1728"/>
        <v>22.623860808973408</v>
      </c>
      <c r="I821" s="1">
        <f t="shared" si="1736"/>
        <v>-20.702988310234723</v>
      </c>
      <c r="J821" s="1">
        <f t="shared" si="1737"/>
        <v>0</v>
      </c>
      <c r="K821" s="1">
        <f t="shared" si="1738"/>
        <v>2.3013412575742471</v>
      </c>
      <c r="L821" s="1">
        <f t="shared" ref="L821:N821" si="1854">E821/$H821</f>
        <v>0.99387841591648785</v>
      </c>
      <c r="M821" s="1">
        <f t="shared" si="1854"/>
        <v>0</v>
      </c>
      <c r="N821" s="1">
        <f t="shared" si="1854"/>
        <v>-0.11047938439063046</v>
      </c>
      <c r="O821" s="1">
        <f t="shared" si="1730"/>
        <v>-0.11047938439063046</v>
      </c>
      <c r="P821" s="1">
        <f t="shared" si="1740"/>
        <v>0.10980307554958856</v>
      </c>
      <c r="Q821" s="1">
        <f t="shared" si="1741"/>
        <v>0</v>
      </c>
      <c r="R821" s="1">
        <f t="shared" si="1742"/>
        <v>0.9877943056246673</v>
      </c>
      <c r="S821" s="1">
        <f t="shared" si="1743"/>
        <v>1.6841684078576218</v>
      </c>
      <c r="T821" s="1">
        <f t="shared" ref="T821:V821" si="1855">$S821*P821</f>
        <v>0.1849268709262207</v>
      </c>
      <c r="U821" s="1">
        <f t="shared" si="1855"/>
        <v>0</v>
      </c>
      <c r="V821" s="1">
        <f t="shared" si="1855"/>
        <v>1.663611962994721</v>
      </c>
      <c r="W821" s="1">
        <f t="shared" si="1745"/>
        <v>-20.518061439308504</v>
      </c>
      <c r="X821" s="1">
        <f t="shared" si="1746"/>
        <v>0</v>
      </c>
      <c r="Y821" s="1">
        <f t="shared" si="1747"/>
        <v>-5.8416967794310315</v>
      </c>
    </row>
    <row r="822" spans="1:25">
      <c r="A822" s="1">
        <v>0.82</v>
      </c>
      <c r="B822" s="1">
        <f t="shared" si="1748"/>
        <v>34.007732304624817</v>
      </c>
      <c r="C822" s="1">
        <f t="shared" si="1749"/>
        <v>0</v>
      </c>
      <c r="D822" s="1">
        <f t="shared" si="1750"/>
        <v>-0.32878942284444801</v>
      </c>
      <c r="E822" s="1">
        <f t="shared" si="1751"/>
        <v>22.464848881298295</v>
      </c>
      <c r="F822" s="1">
        <f t="shared" si="1752"/>
        <v>0</v>
      </c>
      <c r="G822" s="1">
        <f t="shared" si="1753"/>
        <v>-2.505311911494124</v>
      </c>
      <c r="H822" s="1">
        <f t="shared" si="1728"/>
        <v>22.60411517917575</v>
      </c>
      <c r="I822" s="1">
        <f t="shared" si="1736"/>
        <v>-20.666044037832982</v>
      </c>
      <c r="J822" s="1">
        <f t="shared" si="1737"/>
        <v>0</v>
      </c>
      <c r="K822" s="1">
        <f t="shared" si="1738"/>
        <v>2.3047066359100699</v>
      </c>
      <c r="L822" s="1">
        <f t="shared" ref="L822:N822" si="1856">E822/$H822</f>
        <v>0.9938388962906296</v>
      </c>
      <c r="M822" s="1">
        <f t="shared" si="1856"/>
        <v>0</v>
      </c>
      <c r="N822" s="1">
        <f t="shared" si="1856"/>
        <v>-0.11083432780426485</v>
      </c>
      <c r="O822" s="1">
        <f t="shared" si="1730"/>
        <v>-0.11083432780426485</v>
      </c>
      <c r="P822" s="1">
        <f t="shared" si="1740"/>
        <v>0.11015146601610441</v>
      </c>
      <c r="Q822" s="1">
        <f t="shared" si="1741"/>
        <v>0</v>
      </c>
      <c r="R822" s="1">
        <f t="shared" si="1742"/>
        <v>0.98771575178017679</v>
      </c>
      <c r="S822" s="1">
        <f t="shared" si="1743"/>
        <v>1.6812298772450269</v>
      </c>
      <c r="T822" s="1">
        <f t="shared" ref="T822:V822" si="1857">$S822*P822</f>
        <v>0.18518993568861497</v>
      </c>
      <c r="U822" s="1">
        <f t="shared" si="1857"/>
        <v>0</v>
      </c>
      <c r="V822" s="1">
        <f t="shared" si="1857"/>
        <v>1.6605772321183661</v>
      </c>
      <c r="W822" s="1">
        <f t="shared" si="1745"/>
        <v>-20.480854102144367</v>
      </c>
      <c r="X822" s="1">
        <f t="shared" si="1746"/>
        <v>0</v>
      </c>
      <c r="Y822" s="1">
        <f t="shared" si="1747"/>
        <v>-5.8413661319715633</v>
      </c>
    </row>
    <row r="823" spans="1:25">
      <c r="A823" s="1">
        <v>0.82099999999999995</v>
      </c>
      <c r="B823" s="1">
        <f t="shared" si="1748"/>
        <v>34.030176672652011</v>
      </c>
      <c r="C823" s="1">
        <f t="shared" si="1749"/>
        <v>0</v>
      </c>
      <c r="D823" s="1">
        <f t="shared" si="1750"/>
        <v>-0.33130057612207409</v>
      </c>
      <c r="E823" s="1">
        <f t="shared" si="1751"/>
        <v>22.444368027196152</v>
      </c>
      <c r="F823" s="1">
        <f t="shared" si="1752"/>
        <v>0</v>
      </c>
      <c r="G823" s="1">
        <f t="shared" si="1753"/>
        <v>-2.5111532776260956</v>
      </c>
      <c r="H823" s="1">
        <f t="shared" si="1728"/>
        <v>22.584409377354927</v>
      </c>
      <c r="I823" s="1">
        <f t="shared" si="1736"/>
        <v>-20.629203319973499</v>
      </c>
      <c r="J823" s="1">
        <f t="shared" si="1737"/>
        <v>0</v>
      </c>
      <c r="K823" s="1">
        <f t="shared" si="1738"/>
        <v>2.3080663919338722</v>
      </c>
      <c r="L823" s="1">
        <f t="shared" ref="L823:N823" si="1858">E823/$H823</f>
        <v>0.99379920245781617</v>
      </c>
      <c r="M823" s="1">
        <f t="shared" si="1858"/>
        <v>0</v>
      </c>
      <c r="N823" s="1">
        <f t="shared" si="1858"/>
        <v>-0.11118968114986412</v>
      </c>
      <c r="O823" s="1">
        <f t="shared" si="1730"/>
        <v>-0.11118968114986412</v>
      </c>
      <c r="P823" s="1">
        <f t="shared" si="1740"/>
        <v>0.11050021644827383</v>
      </c>
      <c r="Q823" s="1">
        <f t="shared" si="1741"/>
        <v>0</v>
      </c>
      <c r="R823" s="1">
        <f t="shared" si="1742"/>
        <v>0.98763685480579155</v>
      </c>
      <c r="S823" s="1">
        <f t="shared" si="1743"/>
        <v>1.6782998318532392</v>
      </c>
      <c r="T823" s="1">
        <f t="shared" ref="T823:V823" si="1859">$S823*P823</f>
        <v>0.18545249468488451</v>
      </c>
      <c r="U823" s="1">
        <f t="shared" si="1859"/>
        <v>0</v>
      </c>
      <c r="V823" s="1">
        <f t="shared" si="1859"/>
        <v>1.657550767352622</v>
      </c>
      <c r="W823" s="1">
        <f t="shared" si="1745"/>
        <v>-20.443750825288614</v>
      </c>
      <c r="X823" s="1">
        <f t="shared" si="1746"/>
        <v>0</v>
      </c>
      <c r="Y823" s="1">
        <f t="shared" si="1747"/>
        <v>-5.8410328407135053</v>
      </c>
    </row>
    <row r="824" spans="1:25">
      <c r="A824" s="1">
        <v>0.82199999999999995</v>
      </c>
      <c r="B824" s="1">
        <f t="shared" si="1748"/>
        <v>34.052600596928386</v>
      </c>
      <c r="C824" s="1">
        <f t="shared" si="1749"/>
        <v>0</v>
      </c>
      <c r="D824" s="1">
        <f t="shared" si="1750"/>
        <v>-0.3338175704325409</v>
      </c>
      <c r="E824" s="1">
        <f t="shared" si="1751"/>
        <v>22.423924276370862</v>
      </c>
      <c r="F824" s="1">
        <f t="shared" si="1752"/>
        <v>0</v>
      </c>
      <c r="G824" s="1">
        <f t="shared" si="1753"/>
        <v>-2.5169943104668091</v>
      </c>
      <c r="H824" s="1">
        <f t="shared" si="1728"/>
        <v>22.564743302580172</v>
      </c>
      <c r="I824" s="1">
        <f t="shared" si="1736"/>
        <v>-20.592465779876278</v>
      </c>
      <c r="J824" s="1">
        <f t="shared" si="1737"/>
        <v>0</v>
      </c>
      <c r="K824" s="1">
        <f t="shared" si="1738"/>
        <v>2.3114205420791545</v>
      </c>
      <c r="L824" s="1">
        <f t="shared" ref="L824:N824" si="1860">E824/$H824</f>
        <v>0.99375933400522187</v>
      </c>
      <c r="M824" s="1">
        <f t="shared" si="1860"/>
        <v>0</v>
      </c>
      <c r="N824" s="1">
        <f t="shared" si="1860"/>
        <v>-0.11154544400152794</v>
      </c>
      <c r="O824" s="1">
        <f t="shared" si="1730"/>
        <v>-0.11154544400152794</v>
      </c>
      <c r="P824" s="1">
        <f t="shared" si="1740"/>
        <v>0.11084932614227518</v>
      </c>
      <c r="Q824" s="1">
        <f t="shared" si="1741"/>
        <v>0</v>
      </c>
      <c r="R824" s="1">
        <f t="shared" si="1742"/>
        <v>0.98755761392250196</v>
      </c>
      <c r="S824" s="1">
        <f t="shared" si="1743"/>
        <v>1.6753782411997327</v>
      </c>
      <c r="T824" s="1">
        <f t="shared" ref="T824:V824" si="1861">$S824*P824</f>
        <v>0.18571454907042054</v>
      </c>
      <c r="U824" s="1">
        <f t="shared" si="1861"/>
        <v>0</v>
      </c>
      <c r="V824" s="1">
        <f t="shared" si="1861"/>
        <v>1.6545325382968861</v>
      </c>
      <c r="W824" s="1">
        <f t="shared" si="1745"/>
        <v>-20.406751230805856</v>
      </c>
      <c r="X824" s="1">
        <f t="shared" si="1746"/>
        <v>0</v>
      </c>
      <c r="Y824" s="1">
        <f t="shared" si="1747"/>
        <v>-5.8406969196239586</v>
      </c>
    </row>
    <row r="825" spans="1:25">
      <c r="A825" s="1">
        <v>0.82299999999999995</v>
      </c>
      <c r="B825" s="1">
        <f t="shared" si="1748"/>
        <v>34.075004114453527</v>
      </c>
      <c r="C825" s="1">
        <f t="shared" si="1749"/>
        <v>0</v>
      </c>
      <c r="D825" s="1">
        <f t="shared" si="1750"/>
        <v>-0.33634040543992733</v>
      </c>
      <c r="E825" s="1">
        <f t="shared" si="1751"/>
        <v>22.403517525140057</v>
      </c>
      <c r="F825" s="1">
        <f t="shared" si="1752"/>
        <v>0</v>
      </c>
      <c r="G825" s="1">
        <f t="shared" si="1753"/>
        <v>-2.522835007386433</v>
      </c>
      <c r="H825" s="1">
        <f t="shared" si="1728"/>
        <v>22.545116854293575</v>
      </c>
      <c r="I825" s="1">
        <f t="shared" si="1736"/>
        <v>-20.555831042477653</v>
      </c>
      <c r="J825" s="1">
        <f t="shared" si="1737"/>
        <v>0</v>
      </c>
      <c r="K825" s="1">
        <f t="shared" si="1738"/>
        <v>2.3147691027397794</v>
      </c>
      <c r="L825" s="1">
        <f t="shared" ref="L825:N825" si="1862">E825/$H825</f>
        <v>0.99371929052004215</v>
      </c>
      <c r="M825" s="1">
        <f t="shared" si="1862"/>
        <v>0</v>
      </c>
      <c r="N825" s="1">
        <f t="shared" si="1862"/>
        <v>-0.11190161593267479</v>
      </c>
      <c r="O825" s="1">
        <f t="shared" si="1730"/>
        <v>-0.11190161593267479</v>
      </c>
      <c r="P825" s="1">
        <f t="shared" si="1740"/>
        <v>0.11119879439266384</v>
      </c>
      <c r="Q825" s="1">
        <f t="shared" si="1741"/>
        <v>0</v>
      </c>
      <c r="R825" s="1">
        <f t="shared" si="1742"/>
        <v>0.9874780283516561</v>
      </c>
      <c r="S825" s="1">
        <f t="shared" si="1743"/>
        <v>1.6724650749407612</v>
      </c>
      <c r="T825" s="1">
        <f t="shared" ref="T825:V825" si="1863">$S825*P825</f>
        <v>0.18597609999724882</v>
      </c>
      <c r="U825" s="1">
        <f t="shared" si="1863"/>
        <v>0</v>
      </c>
      <c r="V825" s="1">
        <f t="shared" si="1863"/>
        <v>1.6515225146895076</v>
      </c>
      <c r="W825" s="1">
        <f t="shared" si="1745"/>
        <v>-20.369854942480405</v>
      </c>
      <c r="X825" s="1">
        <f t="shared" si="1746"/>
        <v>0</v>
      </c>
      <c r="Y825" s="1">
        <f t="shared" si="1747"/>
        <v>-5.8403583825707122</v>
      </c>
    </row>
    <row r="826" spans="1:25">
      <c r="A826" s="1">
        <v>0.82399999999999995</v>
      </c>
      <c r="B826" s="1">
        <f t="shared" si="1748"/>
        <v>34.097387262123725</v>
      </c>
      <c r="C826" s="1">
        <f t="shared" si="1749"/>
        <v>0</v>
      </c>
      <c r="D826" s="1">
        <f t="shared" si="1750"/>
        <v>-0.33886908080569633</v>
      </c>
      <c r="E826" s="1">
        <f t="shared" si="1751"/>
        <v>22.383147670197577</v>
      </c>
      <c r="F826" s="1">
        <f t="shared" si="1752"/>
        <v>0</v>
      </c>
      <c r="G826" s="1">
        <f t="shared" si="1753"/>
        <v>-2.5286753657690038</v>
      </c>
      <c r="H826" s="1">
        <f t="shared" si="1728"/>
        <v>22.525529932308324</v>
      </c>
      <c r="I826" s="1">
        <f t="shared" si="1736"/>
        <v>-20.519298734420868</v>
      </c>
      <c r="J826" s="1">
        <f t="shared" si="1737"/>
        <v>0</v>
      </c>
      <c r="K826" s="1">
        <f t="shared" si="1738"/>
        <v>2.3181120902700609</v>
      </c>
      <c r="L826" s="1">
        <f t="shared" ref="L826:N826" si="1864">E826/$H826</f>
        <v>0.99367907158949775</v>
      </c>
      <c r="M826" s="1">
        <f t="shared" si="1864"/>
        <v>0</v>
      </c>
      <c r="N826" s="1">
        <f t="shared" si="1864"/>
        <v>-0.11225819651603977</v>
      </c>
      <c r="O826" s="1">
        <f t="shared" si="1730"/>
        <v>-0.11225819651603977</v>
      </c>
      <c r="P826" s="1">
        <f t="shared" si="1740"/>
        <v>0.11154862049236978</v>
      </c>
      <c r="Q826" s="1">
        <f t="shared" si="1741"/>
        <v>0</v>
      </c>
      <c r="R826" s="1">
        <f t="shared" si="1742"/>
        <v>0.98739809731496619</v>
      </c>
      <c r="S826" s="1">
        <f t="shared" si="1743"/>
        <v>1.6695603028705956</v>
      </c>
      <c r="T826" s="1">
        <f t="shared" ref="T826:V826" si="1865">$S826*P826</f>
        <v>0.18623714861403803</v>
      </c>
      <c r="U826" s="1">
        <f t="shared" si="1865"/>
        <v>0</v>
      </c>
      <c r="V826" s="1">
        <f t="shared" si="1865"/>
        <v>1.6485206664070249</v>
      </c>
      <c r="W826" s="1">
        <f t="shared" si="1745"/>
        <v>-20.333061585806831</v>
      </c>
      <c r="X826" s="1">
        <f t="shared" si="1746"/>
        <v>0</v>
      </c>
      <c r="Y826" s="1">
        <f t="shared" si="1747"/>
        <v>-5.8400172433229134</v>
      </c>
    </row>
    <row r="827" spans="1:25">
      <c r="A827" s="1">
        <v>0.82499999999999996</v>
      </c>
      <c r="B827" s="1">
        <f t="shared" si="1748"/>
        <v>34.119750076732338</v>
      </c>
      <c r="C827" s="1">
        <f t="shared" si="1749"/>
        <v>0</v>
      </c>
      <c r="D827" s="1">
        <f t="shared" si="1750"/>
        <v>-0.34140359618870864</v>
      </c>
      <c r="E827" s="1">
        <f t="shared" si="1751"/>
        <v>22.362814608611771</v>
      </c>
      <c r="F827" s="1">
        <f t="shared" si="1752"/>
        <v>0</v>
      </c>
      <c r="G827" s="1">
        <f t="shared" si="1753"/>
        <v>-2.5345153830123266</v>
      </c>
      <c r="H827" s="1">
        <f t="shared" si="1728"/>
        <v>22.505982436807024</v>
      </c>
      <c r="I827" s="1">
        <f t="shared" si="1736"/>
        <v>-20.482868484046762</v>
      </c>
      <c r="J827" s="1">
        <f t="shared" si="1737"/>
        <v>0</v>
      </c>
      <c r="K827" s="1">
        <f t="shared" si="1738"/>
        <v>2.3214495209848542</v>
      </c>
      <c r="L827" s="1">
        <f t="shared" ref="L827:N827" si="1866">E827/$H827</f>
        <v>0.9936386768008354</v>
      </c>
      <c r="M827" s="1">
        <f t="shared" si="1866"/>
        <v>0</v>
      </c>
      <c r="N827" s="1">
        <f t="shared" si="1866"/>
        <v>-0.11261518532367185</v>
      </c>
      <c r="O827" s="1">
        <f t="shared" si="1730"/>
        <v>-0.11261518532367185</v>
      </c>
      <c r="P827" s="1">
        <f t="shared" si="1740"/>
        <v>0.11189880373269415</v>
      </c>
      <c r="Q827" s="1">
        <f t="shared" si="1741"/>
        <v>0</v>
      </c>
      <c r="R827" s="1">
        <f t="shared" si="1742"/>
        <v>0.98731782003451507</v>
      </c>
      <c r="S827" s="1">
        <f t="shared" si="1743"/>
        <v>1.6666638949207717</v>
      </c>
      <c r="T827" s="1">
        <f t="shared" ref="T827:V827" si="1867">$S827*P827</f>
        <v>0.18649769606610703</v>
      </c>
      <c r="U827" s="1">
        <f t="shared" si="1867"/>
        <v>0</v>
      </c>
      <c r="V827" s="1">
        <f t="shared" si="1867"/>
        <v>1.6455269634634104</v>
      </c>
      <c r="W827" s="1">
        <f t="shared" si="1745"/>
        <v>-20.296370787980656</v>
      </c>
      <c r="X827" s="1">
        <f t="shared" si="1746"/>
        <v>0</v>
      </c>
      <c r="Y827" s="1">
        <f t="shared" si="1747"/>
        <v>-5.839673515551735</v>
      </c>
    </row>
    <row r="828" spans="1:25">
      <c r="A828" s="1">
        <v>0.82599999999999996</v>
      </c>
      <c r="B828" s="1">
        <f t="shared" si="1748"/>
        <v>34.142092594970158</v>
      </c>
      <c r="C828" s="1">
        <f t="shared" si="1749"/>
        <v>0</v>
      </c>
      <c r="D828" s="1">
        <f t="shared" si="1750"/>
        <v>-0.34394395124523652</v>
      </c>
      <c r="E828" s="1">
        <f t="shared" si="1751"/>
        <v>22.342518237823789</v>
      </c>
      <c r="F828" s="1">
        <f t="shared" si="1752"/>
        <v>0</v>
      </c>
      <c r="G828" s="1">
        <f t="shared" si="1753"/>
        <v>-2.5403550565278783</v>
      </c>
      <c r="H828" s="1">
        <f t="shared" si="1728"/>
        <v>22.486474268339965</v>
      </c>
      <c r="I828" s="1">
        <f t="shared" si="1736"/>
        <v>-20.446539921384449</v>
      </c>
      <c r="J828" s="1">
        <f t="shared" si="1737"/>
        <v>0</v>
      </c>
      <c r="K828" s="1">
        <f t="shared" si="1738"/>
        <v>2.3247814111596461</v>
      </c>
      <c r="L828" s="1">
        <f t="shared" ref="L828:N828" si="1868">E828/$H828</f>
        <v>0.99359810574133178</v>
      </c>
      <c r="M828" s="1">
        <f t="shared" si="1868"/>
        <v>0</v>
      </c>
      <c r="N828" s="1">
        <f t="shared" si="1868"/>
        <v>-0.1129725819269317</v>
      </c>
      <c r="O828" s="1">
        <f t="shared" si="1730"/>
        <v>-0.1129725819269317</v>
      </c>
      <c r="P828" s="1">
        <f t="shared" si="1740"/>
        <v>0.11224934340330675</v>
      </c>
      <c r="Q828" s="1">
        <f t="shared" si="1741"/>
        <v>0</v>
      </c>
      <c r="R828" s="1">
        <f t="shared" si="1742"/>
        <v>0.9872371957327627</v>
      </c>
      <c r="S828" s="1">
        <f t="shared" si="1743"/>
        <v>1.6637758211593379</v>
      </c>
      <c r="T828" s="1">
        <f t="shared" ref="T828:V828" si="1869">$S828*P828</f>
        <v>0.1867577434954332</v>
      </c>
      <c r="U828" s="1">
        <f t="shared" si="1869"/>
        <v>0</v>
      </c>
      <c r="V828" s="1">
        <f t="shared" si="1869"/>
        <v>1.6425413760093193</v>
      </c>
      <c r="W828" s="1">
        <f t="shared" si="1745"/>
        <v>-20.259782177889015</v>
      </c>
      <c r="X828" s="1">
        <f t="shared" si="1746"/>
        <v>0</v>
      </c>
      <c r="Y828" s="1">
        <f t="shared" si="1747"/>
        <v>-5.8393272128310336</v>
      </c>
    </row>
    <row r="829" spans="1:25">
      <c r="A829" s="1">
        <v>0.82699999999999996</v>
      </c>
      <c r="B829" s="1">
        <f t="shared" si="1748"/>
        <v>34.164414853425804</v>
      </c>
      <c r="C829" s="1">
        <f t="shared" si="1749"/>
        <v>0</v>
      </c>
      <c r="D829" s="1">
        <f t="shared" si="1750"/>
        <v>-0.34649014562897723</v>
      </c>
      <c r="E829" s="1">
        <f t="shared" si="1751"/>
        <v>22.322258455645901</v>
      </c>
      <c r="F829" s="1">
        <f t="shared" si="1752"/>
        <v>0</v>
      </c>
      <c r="G829" s="1">
        <f t="shared" si="1753"/>
        <v>-2.5461943837407093</v>
      </c>
      <c r="H829" s="1">
        <f t="shared" si="1728"/>
        <v>22.467005327823458</v>
      </c>
      <c r="I829" s="1">
        <f t="shared" si="1736"/>
        <v>-20.410312678142152</v>
      </c>
      <c r="J829" s="1">
        <f t="shared" si="1737"/>
        <v>0</v>
      </c>
      <c r="K829" s="1">
        <f t="shared" si="1738"/>
        <v>2.3281077770306471</v>
      </c>
      <c r="L829" s="1">
        <f t="shared" ref="L829:N829" si="1870">E829/$H829</f>
        <v>0.99355735799829537</v>
      </c>
      <c r="M829" s="1">
        <f t="shared" si="1870"/>
        <v>0</v>
      </c>
      <c r="N829" s="1">
        <f t="shared" si="1870"/>
        <v>-0.11333038589648911</v>
      </c>
      <c r="O829" s="1">
        <f t="shared" si="1730"/>
        <v>-0.11333038589648911</v>
      </c>
      <c r="P829" s="1">
        <f t="shared" si="1740"/>
        <v>0.112600238792243</v>
      </c>
      <c r="Q829" s="1">
        <f t="shared" si="1741"/>
        <v>0</v>
      </c>
      <c r="R829" s="1">
        <f t="shared" si="1742"/>
        <v>0.98715622363255284</v>
      </c>
      <c r="S829" s="1">
        <f t="shared" si="1743"/>
        <v>1.660896051790115</v>
      </c>
      <c r="T829" s="1">
        <f t="shared" ref="T829:V829" si="1871">$S829*P829</f>
        <v>0.18701729204066053</v>
      </c>
      <c r="U829" s="1">
        <f t="shared" si="1871"/>
        <v>0</v>
      </c>
      <c r="V829" s="1">
        <f t="shared" si="1871"/>
        <v>1.6395638743313468</v>
      </c>
      <c r="W829" s="1">
        <f t="shared" si="1745"/>
        <v>-20.223295386101491</v>
      </c>
      <c r="X829" s="1">
        <f t="shared" si="1746"/>
        <v>0</v>
      </c>
      <c r="Y829" s="1">
        <f t="shared" si="1747"/>
        <v>-5.8389783486380056</v>
      </c>
    </row>
    <row r="830" spans="1:25">
      <c r="A830" s="1">
        <v>0.82799999999999996</v>
      </c>
      <c r="B830" s="1">
        <f t="shared" si="1748"/>
        <v>34.186716888586062</v>
      </c>
      <c r="C830" s="1">
        <f t="shared" si="1749"/>
        <v>0</v>
      </c>
      <c r="D830" s="1">
        <f t="shared" si="1750"/>
        <v>-0.3490421789910666</v>
      </c>
      <c r="E830" s="1">
        <f t="shared" si="1751"/>
        <v>22.302035160259798</v>
      </c>
      <c r="F830" s="1">
        <f t="shared" si="1752"/>
        <v>0</v>
      </c>
      <c r="G830" s="1">
        <f t="shared" si="1753"/>
        <v>-2.5520333620893472</v>
      </c>
      <c r="H830" s="1">
        <f t="shared" si="1728"/>
        <v>22.447575516538112</v>
      </c>
      <c r="I830" s="1">
        <f t="shared" si="1736"/>
        <v>-20.374186387697975</v>
      </c>
      <c r="J830" s="1">
        <f t="shared" si="1737"/>
        <v>0</v>
      </c>
      <c r="K830" s="1">
        <f t="shared" si="1738"/>
        <v>2.3314286347948783</v>
      </c>
      <c r="L830" s="1">
        <f t="shared" ref="L830:N830" si="1872">E830/$H830</f>
        <v>0.99351643315906935</v>
      </c>
      <c r="M830" s="1">
        <f t="shared" si="1872"/>
        <v>0</v>
      </c>
      <c r="N830" s="1">
        <f t="shared" si="1872"/>
        <v>-0.1136885968023207</v>
      </c>
      <c r="O830" s="1">
        <f t="shared" si="1730"/>
        <v>-0.1136885968023207</v>
      </c>
      <c r="P830" s="1">
        <f t="shared" si="1740"/>
        <v>0.11295148918590124</v>
      </c>
      <c r="Q830" s="1">
        <f t="shared" si="1741"/>
        <v>0</v>
      </c>
      <c r="R830" s="1">
        <f t="shared" si="1742"/>
        <v>0.9870749029571193</v>
      </c>
      <c r="S830" s="1">
        <f t="shared" si="1743"/>
        <v>1.6580245571519505</v>
      </c>
      <c r="T830" s="1">
        <f t="shared" ref="T830:V830" si="1873">$S830*P830</f>
        <v>0.18727634283710723</v>
      </c>
      <c r="U830" s="1">
        <f t="shared" si="1873"/>
        <v>0</v>
      </c>
      <c r="V830" s="1">
        <f t="shared" si="1873"/>
        <v>1.6365944288512824</v>
      </c>
      <c r="W830" s="1">
        <f t="shared" si="1745"/>
        <v>-20.186910044860866</v>
      </c>
      <c r="X830" s="1">
        <f t="shared" si="1746"/>
        <v>0</v>
      </c>
      <c r="Y830" s="1">
        <f t="shared" si="1747"/>
        <v>-5.8386269363538386</v>
      </c>
    </row>
    <row r="831" spans="1:25">
      <c r="A831" s="1">
        <v>0.82899999999999996</v>
      </c>
      <c r="B831" s="1">
        <f t="shared" si="1748"/>
        <v>34.208998736836278</v>
      </c>
      <c r="C831" s="1">
        <f t="shared" si="1749"/>
        <v>0</v>
      </c>
      <c r="D831" s="1">
        <f t="shared" si="1750"/>
        <v>-0.35160005098009228</v>
      </c>
      <c r="E831" s="1">
        <f t="shared" si="1751"/>
        <v>22.281848250214939</v>
      </c>
      <c r="F831" s="1">
        <f t="shared" si="1752"/>
        <v>0</v>
      </c>
      <c r="G831" s="1">
        <f t="shared" si="1753"/>
        <v>-2.5578719890257009</v>
      </c>
      <c r="H831" s="1">
        <f t="shared" si="1728"/>
        <v>22.428184736127193</v>
      </c>
      <c r="I831" s="1">
        <f t="shared" si="1736"/>
        <v>-20.33816068509087</v>
      </c>
      <c r="J831" s="1">
        <f t="shared" si="1737"/>
        <v>0</v>
      </c>
      <c r="K831" s="1">
        <f t="shared" si="1738"/>
        <v>2.3347440006102662</v>
      </c>
      <c r="L831" s="1">
        <f t="shared" ref="L831:N831" si="1874">E831/$H831</f>
        <v>0.99347533081103367</v>
      </c>
      <c r="M831" s="1">
        <f t="shared" si="1874"/>
        <v>0</v>
      </c>
      <c r="N831" s="1">
        <f t="shared" si="1874"/>
        <v>-0.11404721421370742</v>
      </c>
      <c r="O831" s="1">
        <f t="shared" si="1730"/>
        <v>-0.11404721421370742</v>
      </c>
      <c r="P831" s="1">
        <f t="shared" si="1740"/>
        <v>0.11330309386903981</v>
      </c>
      <c r="Q831" s="1">
        <f t="shared" si="1741"/>
        <v>0</v>
      </c>
      <c r="R831" s="1">
        <f t="shared" si="1742"/>
        <v>0.98699323293009278</v>
      </c>
      <c r="S831" s="1">
        <f t="shared" si="1743"/>
        <v>1.6551613077179879</v>
      </c>
      <c r="T831" s="1">
        <f t="shared" ref="T831:V831" si="1875">$S831*P831</f>
        <v>0.18753489701677387</v>
      </c>
      <c r="U831" s="1">
        <f t="shared" si="1875"/>
        <v>0</v>
      </c>
      <c r="V831" s="1">
        <f t="shared" si="1875"/>
        <v>1.6336330101253769</v>
      </c>
      <c r="W831" s="1">
        <f t="shared" si="1745"/>
        <v>-20.150625788074095</v>
      </c>
      <c r="X831" s="1">
        <f t="shared" si="1746"/>
        <v>0</v>
      </c>
      <c r="Y831" s="1">
        <f t="shared" si="1747"/>
        <v>-5.8382729892643566</v>
      </c>
    </row>
    <row r="832" spans="1:25">
      <c r="A832" s="1">
        <v>0.83</v>
      </c>
      <c r="B832" s="1">
        <f t="shared" si="1748"/>
        <v>34.231260434460708</v>
      </c>
      <c r="C832" s="1">
        <f t="shared" si="1749"/>
        <v>0</v>
      </c>
      <c r="D832" s="1">
        <f t="shared" si="1750"/>
        <v>-0.35416376124210724</v>
      </c>
      <c r="E832" s="1">
        <f t="shared" si="1751"/>
        <v>22.261697624426866</v>
      </c>
      <c r="F832" s="1">
        <f t="shared" si="1752"/>
        <v>0</v>
      </c>
      <c r="G832" s="1">
        <f t="shared" si="1753"/>
        <v>-2.5637102620149652</v>
      </c>
      <c r="H832" s="1">
        <f t="shared" si="1728"/>
        <v>22.408832888594926</v>
      </c>
      <c r="I832" s="1">
        <f t="shared" si="1736"/>
        <v>-20.302235207011517</v>
      </c>
      <c r="J832" s="1">
        <f t="shared" si="1737"/>
        <v>0</v>
      </c>
      <c r="K832" s="1">
        <f t="shared" si="1738"/>
        <v>2.3380538905957295</v>
      </c>
      <c r="L832" s="1">
        <f t="shared" ref="L832:N832" si="1876">E832/$H832</f>
        <v>0.99343405054160827</v>
      </c>
      <c r="M832" s="1">
        <f t="shared" si="1876"/>
        <v>0</v>
      </c>
      <c r="N832" s="1">
        <f t="shared" si="1876"/>
        <v>-0.11440623769923229</v>
      </c>
      <c r="O832" s="1">
        <f t="shared" si="1730"/>
        <v>-0.11440623769923229</v>
      </c>
      <c r="P832" s="1">
        <f t="shared" si="1740"/>
        <v>0.11365505212477438</v>
      </c>
      <c r="Q832" s="1">
        <f t="shared" si="1741"/>
        <v>0</v>
      </c>
      <c r="R832" s="1">
        <f t="shared" si="1742"/>
        <v>0.98691121277550675</v>
      </c>
      <c r="S832" s="1">
        <f t="shared" si="1743"/>
        <v>1.6523062740949326</v>
      </c>
      <c r="T832" s="1">
        <f t="shared" ref="T832:V832" si="1877">$S832*P832</f>
        <v>0.18779295570835131</v>
      </c>
      <c r="U832" s="1">
        <f t="shared" si="1877"/>
        <v>0</v>
      </c>
      <c r="V832" s="1">
        <f t="shared" si="1877"/>
        <v>1.6306795888436088</v>
      </c>
      <c r="W832" s="1">
        <f t="shared" si="1745"/>
        <v>-20.114442251303167</v>
      </c>
      <c r="X832" s="1">
        <f t="shared" si="1746"/>
        <v>0</v>
      </c>
      <c r="Y832" s="1">
        <f t="shared" si="1747"/>
        <v>-5.8379165205606611</v>
      </c>
    </row>
    <row r="833" spans="1:25">
      <c r="A833" s="1">
        <v>0.83099999999999996</v>
      </c>
      <c r="B833" s="1">
        <f t="shared" si="1748"/>
        <v>34.25350201764288</v>
      </c>
      <c r="C833" s="1">
        <f t="shared" si="1749"/>
        <v>0</v>
      </c>
      <c r="D833" s="1">
        <f t="shared" si="1750"/>
        <v>-0.3567333094206428</v>
      </c>
      <c r="E833" s="1">
        <f t="shared" si="1751"/>
        <v>22.241583182175564</v>
      </c>
      <c r="F833" s="1">
        <f t="shared" si="1752"/>
        <v>0</v>
      </c>
      <c r="G833" s="1">
        <f t="shared" si="1753"/>
        <v>-2.5695481785355261</v>
      </c>
      <c r="H833" s="1">
        <f t="shared" si="1728"/>
        <v>22.389519876304853</v>
      </c>
      <c r="I833" s="1">
        <f t="shared" si="1736"/>
        <v>-20.26640959179338</v>
      </c>
      <c r="J833" s="1">
        <f t="shared" si="1737"/>
        <v>0</v>
      </c>
      <c r="K833" s="1">
        <f t="shared" si="1738"/>
        <v>2.34135832083127</v>
      </c>
      <c r="L833" s="1">
        <f t="shared" ref="L833:N833" si="1878">E833/$H833</f>
        <v>0.99339259193825535</v>
      </c>
      <c r="M833" s="1">
        <f t="shared" si="1878"/>
        <v>0</v>
      </c>
      <c r="N833" s="1">
        <f t="shared" si="1878"/>
        <v>-0.11476566682677798</v>
      </c>
      <c r="O833" s="1">
        <f t="shared" si="1730"/>
        <v>-0.11476566682677798</v>
      </c>
      <c r="P833" s="1">
        <f t="shared" si="1740"/>
        <v>0.11400736323457523</v>
      </c>
      <c r="Q833" s="1">
        <f t="shared" si="1741"/>
        <v>0</v>
      </c>
      <c r="R833" s="1">
        <f t="shared" si="1742"/>
        <v>0.98682884171780494</v>
      </c>
      <c r="S833" s="1">
        <f t="shared" si="1743"/>
        <v>1.6494594270223271</v>
      </c>
      <c r="T833" s="1">
        <f t="shared" ref="T833:V833" si="1879">$S833*P833</f>
        <v>0.18805052003722877</v>
      </c>
      <c r="U833" s="1">
        <f t="shared" si="1879"/>
        <v>0</v>
      </c>
      <c r="V833" s="1">
        <f t="shared" si="1879"/>
        <v>1.6277341358289572</v>
      </c>
      <c r="W833" s="1">
        <f t="shared" si="1745"/>
        <v>-20.07835907175615</v>
      </c>
      <c r="X833" s="1">
        <f t="shared" si="1746"/>
        <v>0</v>
      </c>
      <c r="Y833" s="1">
        <f t="shared" si="1747"/>
        <v>-5.8375575433397717</v>
      </c>
    </row>
    <row r="834" spans="1:25">
      <c r="A834" s="1">
        <v>0.83199999999999996</v>
      </c>
      <c r="B834" s="1">
        <f t="shared" si="1748"/>
        <v>34.275723522465981</v>
      </c>
      <c r="C834" s="1">
        <f t="shared" si="1749"/>
        <v>0</v>
      </c>
      <c r="D834" s="1">
        <f t="shared" si="1750"/>
        <v>-0.35930869515672165</v>
      </c>
      <c r="E834" s="1">
        <f t="shared" si="1751"/>
        <v>22.221504823103807</v>
      </c>
      <c r="F834" s="1">
        <f t="shared" si="1752"/>
        <v>0</v>
      </c>
      <c r="G834" s="1">
        <f t="shared" si="1753"/>
        <v>-2.5753857360788657</v>
      </c>
      <c r="H834" s="1">
        <f t="shared" si="1728"/>
        <v>22.370245601978183</v>
      </c>
      <c r="I834" s="1">
        <f t="shared" ref="I834:I897" si="1880">-K_drag*$H834*E834</f>
        <v>-20.230683479403776</v>
      </c>
      <c r="J834" s="1">
        <f t="shared" ref="J834:J897" si="1881">-K_drag*$H834*F834</f>
        <v>0</v>
      </c>
      <c r="K834" s="1">
        <f t="shared" ref="K834:K897" si="1882">-K_drag*$H834*G834</f>
        <v>2.3446573073580659</v>
      </c>
      <c r="L834" s="1">
        <f t="shared" ref="L834:N834" si="1883">E834/$H834</f>
        <v>0.99335095458848144</v>
      </c>
      <c r="M834" s="1">
        <f t="shared" si="1883"/>
        <v>0</v>
      </c>
      <c r="N834" s="1">
        <f t="shared" si="1883"/>
        <v>-0.11512550116352439</v>
      </c>
      <c r="O834" s="1">
        <f t="shared" si="1730"/>
        <v>-0.11512550116352439</v>
      </c>
      <c r="P834" s="1">
        <f t="shared" ref="P834:P897" si="1884">u_axis_f-$O834*L834</f>
        <v>0.11436002647826429</v>
      </c>
      <c r="Q834" s="1">
        <f t="shared" ref="Q834:Q897" si="1885">u_axis_r-$O834*M834</f>
        <v>0</v>
      </c>
      <c r="R834" s="1">
        <f t="shared" ref="R834:R897" si="1886">u_axis_u-$O834*N834</f>
        <v>0.98674611898184739</v>
      </c>
      <c r="S834" s="1">
        <f t="shared" ref="S834:S897" si="1887">K_lift*H834^2</f>
        <v>1.6466207373718302</v>
      </c>
      <c r="T834" s="1">
        <f t="shared" ref="T834:V834" si="1888">$S834*P834</f>
        <v>0.18830759112550158</v>
      </c>
      <c r="U834" s="1">
        <f t="shared" si="1888"/>
        <v>0</v>
      </c>
      <c r="V834" s="1">
        <f t="shared" si="1888"/>
        <v>1.6247966220366812</v>
      </c>
      <c r="W834" s="1">
        <f t="shared" ref="W834:W897" si="1889">I834+T834+g_f</f>
        <v>-20.042375888278276</v>
      </c>
      <c r="X834" s="1">
        <f t="shared" ref="X834:X897" si="1890">J834+U834+g_r</f>
        <v>0</v>
      </c>
      <c r="Y834" s="1">
        <f t="shared" ref="Y834:Y897" si="1891">K834+V834+g_u</f>
        <v>-5.8371960706052519</v>
      </c>
    </row>
    <row r="835" spans="1:25">
      <c r="A835" s="1">
        <v>0.83299999999999996</v>
      </c>
      <c r="B835" s="1">
        <f t="shared" ref="B835:B898" si="1892">B834+E835*dt</f>
        <v>34.297924984913195</v>
      </c>
      <c r="C835" s="1">
        <f t="shared" ref="C835:C898" si="1893">C834+F835*dt</f>
        <v>0</v>
      </c>
      <c r="D835" s="1">
        <f t="shared" ref="D835:D898" si="1894">D834+G835*dt</f>
        <v>-0.36188991808887111</v>
      </c>
      <c r="E835" s="1">
        <f t="shared" ref="E835:E898" si="1895">E834+W834*dt</f>
        <v>22.20146244721553</v>
      </c>
      <c r="F835" s="1">
        <f t="shared" ref="F835:F898" si="1896">F834+X834*dt</f>
        <v>0</v>
      </c>
      <c r="G835" s="1">
        <f t="shared" ref="G835:G898" si="1897">G834+Y834*dt</f>
        <v>-2.5812229321494709</v>
      </c>
      <c r="H835" s="1">
        <f t="shared" si="1728"/>
        <v>22.351009968692146</v>
      </c>
      <c r="I835" s="1">
        <f t="shared" si="1880"/>
        <v>-20.195056511434974</v>
      </c>
      <c r="J835" s="1">
        <f t="shared" si="1881"/>
        <v>0</v>
      </c>
      <c r="K835" s="1">
        <f t="shared" si="1882"/>
        <v>2.3479508661785586</v>
      </c>
      <c r="L835" s="1">
        <f t="shared" ref="L835:N835" si="1898">E835/$H835</f>
        <v>0.993309138079841</v>
      </c>
      <c r="M835" s="1">
        <f t="shared" si="1898"/>
        <v>0</v>
      </c>
      <c r="N835" s="1">
        <f t="shared" si="1898"/>
        <v>-0.11548574027594644</v>
      </c>
      <c r="O835" s="1">
        <f t="shared" si="1730"/>
        <v>-0.11548574027594644</v>
      </c>
      <c r="P835" s="1">
        <f t="shared" si="1884"/>
        <v>0.11471304113401273</v>
      </c>
      <c r="Q835" s="1">
        <f t="shared" si="1885"/>
        <v>0</v>
      </c>
      <c r="R835" s="1">
        <f t="shared" si="1886"/>
        <v>0.98666304379291669</v>
      </c>
      <c r="S835" s="1">
        <f t="shared" si="1887"/>
        <v>1.6437901761464995</v>
      </c>
      <c r="T835" s="1">
        <f t="shared" ref="T835:V835" si="1899">$S835*P835</f>
        <v>0.18856417009197943</v>
      </c>
      <c r="U835" s="1">
        <f t="shared" si="1899"/>
        <v>0</v>
      </c>
      <c r="V835" s="1">
        <f t="shared" si="1899"/>
        <v>1.6218670185535999</v>
      </c>
      <c r="W835" s="1">
        <f t="shared" si="1889"/>
        <v>-20.006492341342994</v>
      </c>
      <c r="X835" s="1">
        <f t="shared" si="1890"/>
        <v>0</v>
      </c>
      <c r="Y835" s="1">
        <f t="shared" si="1891"/>
        <v>-5.8368321152678408</v>
      </c>
    </row>
    <row r="836" spans="1:25">
      <c r="A836" s="1">
        <v>0.83399999999999996</v>
      </c>
      <c r="B836" s="1">
        <f t="shared" si="1892"/>
        <v>34.320106440868066</v>
      </c>
      <c r="C836" s="1">
        <f t="shared" si="1893"/>
        <v>0</v>
      </c>
      <c r="D836" s="1">
        <f t="shared" si="1894"/>
        <v>-0.36447697785313588</v>
      </c>
      <c r="E836" s="1">
        <f t="shared" si="1895"/>
        <v>22.181455954874188</v>
      </c>
      <c r="F836" s="1">
        <f t="shared" si="1896"/>
        <v>0</v>
      </c>
      <c r="G836" s="1">
        <f t="shared" si="1897"/>
        <v>-2.5870597642647386</v>
      </c>
      <c r="H836" s="1">
        <f t="shared" si="1728"/>
        <v>22.331812879878363</v>
      </c>
      <c r="I836" s="1">
        <f t="shared" si="1880"/>
        <v>-20.159528331095387</v>
      </c>
      <c r="J836" s="1">
        <f t="shared" si="1881"/>
        <v>0</v>
      </c>
      <c r="K836" s="1">
        <f t="shared" si="1882"/>
        <v>2.3512390132565475</v>
      </c>
      <c r="L836" s="1">
        <f t="shared" ref="L836:N836" si="1900">E836/$H836</f>
        <v>0.99326714199993804</v>
      </c>
      <c r="M836" s="1">
        <f t="shared" si="1900"/>
        <v>0</v>
      </c>
      <c r="N836" s="1">
        <f t="shared" si="1900"/>
        <v>-0.11584638372981163</v>
      </c>
      <c r="O836" s="1">
        <f t="shared" si="1730"/>
        <v>-0.11584638372981163</v>
      </c>
      <c r="P836" s="1">
        <f t="shared" si="1884"/>
        <v>0.11506640647833812</v>
      </c>
      <c r="Q836" s="1">
        <f t="shared" si="1885"/>
        <v>0</v>
      </c>
      <c r="R836" s="1">
        <f t="shared" si="1886"/>
        <v>0.98657961537672523</v>
      </c>
      <c r="S836" s="1">
        <f t="shared" si="1887"/>
        <v>1.6409677144800778</v>
      </c>
      <c r="T836" s="1">
        <f t="shared" ref="T836:V836" si="1901">$S836*P836</f>
        <v>0.18882025805219413</v>
      </c>
      <c r="U836" s="1">
        <f t="shared" si="1901"/>
        <v>0</v>
      </c>
      <c r="V836" s="1">
        <f t="shared" si="1901"/>
        <v>1.618945296597379</v>
      </c>
      <c r="W836" s="1">
        <f t="shared" si="1889"/>
        <v>-19.970708073043195</v>
      </c>
      <c r="X836" s="1">
        <f t="shared" si="1890"/>
        <v>0</v>
      </c>
      <c r="Y836" s="1">
        <f t="shared" si="1891"/>
        <v>-5.8364656901460732</v>
      </c>
    </row>
    <row r="837" spans="1:25">
      <c r="A837" s="1">
        <v>0.83499999999999996</v>
      </c>
      <c r="B837" s="1">
        <f t="shared" si="1892"/>
        <v>34.342267926114864</v>
      </c>
      <c r="C837" s="1">
        <f t="shared" si="1893"/>
        <v>0</v>
      </c>
      <c r="D837" s="1">
        <f t="shared" si="1894"/>
        <v>-0.36706987408309077</v>
      </c>
      <c r="E837" s="1">
        <f t="shared" si="1895"/>
        <v>22.161485246801146</v>
      </c>
      <c r="F837" s="1">
        <f t="shared" si="1896"/>
        <v>0</v>
      </c>
      <c r="G837" s="1">
        <f t="shared" si="1897"/>
        <v>-2.5928962299548846</v>
      </c>
      <c r="H837" s="1">
        <f t="shared" si="1728"/>
        <v>22.312654239321215</v>
      </c>
      <c r="I837" s="1">
        <f t="shared" si="1880"/>
        <v>-20.124098583200809</v>
      </c>
      <c r="J837" s="1">
        <f t="shared" si="1881"/>
        <v>0</v>
      </c>
      <c r="K837" s="1">
        <f t="shared" si="1882"/>
        <v>2.3545217645172762</v>
      </c>
      <c r="L837" s="1">
        <f t="shared" ref="L837:N837" si="1902">E837/$H837</f>
        <v>0.99322496593642962</v>
      </c>
      <c r="M837" s="1">
        <f t="shared" si="1902"/>
        <v>0</v>
      </c>
      <c r="N837" s="1">
        <f t="shared" si="1902"/>
        <v>-0.11620743109017784</v>
      </c>
      <c r="O837" s="1">
        <f t="shared" si="1730"/>
        <v>-0.11620743109017784</v>
      </c>
      <c r="P837" s="1">
        <f t="shared" si="1884"/>
        <v>0.11542012178610188</v>
      </c>
      <c r="Q837" s="1">
        <f t="shared" si="1885"/>
        <v>0</v>
      </c>
      <c r="R837" s="1">
        <f t="shared" si="1886"/>
        <v>0.98649583295942156</v>
      </c>
      <c r="S837" s="1">
        <f t="shared" si="1887"/>
        <v>1.6381533236362864</v>
      </c>
      <c r="T837" s="1">
        <f t="shared" ref="T837:V837" si="1903">$S837*P837</f>
        <v>0.18907585611840774</v>
      </c>
      <c r="U837" s="1">
        <f t="shared" si="1903"/>
        <v>0</v>
      </c>
      <c r="V837" s="1">
        <f t="shared" si="1903"/>
        <v>1.6160314275158232</v>
      </c>
      <c r="W837" s="1">
        <f t="shared" si="1889"/>
        <v>-19.935022727082401</v>
      </c>
      <c r="X837" s="1">
        <f t="shared" si="1890"/>
        <v>0</v>
      </c>
      <c r="Y837" s="1">
        <f t="shared" si="1891"/>
        <v>-5.8360968079669</v>
      </c>
    </row>
    <row r="838" spans="1:25">
      <c r="A838" s="1">
        <v>0.83599999999999997</v>
      </c>
      <c r="B838" s="1">
        <f t="shared" si="1892"/>
        <v>34.364409476338942</v>
      </c>
      <c r="C838" s="1">
        <f t="shared" si="1893"/>
        <v>0</v>
      </c>
      <c r="D838" s="1">
        <f t="shared" si="1894"/>
        <v>-0.36966860640985361</v>
      </c>
      <c r="E838" s="1">
        <f t="shared" si="1895"/>
        <v>22.141550224074063</v>
      </c>
      <c r="F838" s="1">
        <f t="shared" si="1896"/>
        <v>0</v>
      </c>
      <c r="G838" s="1">
        <f t="shared" si="1897"/>
        <v>-2.5987323267628515</v>
      </c>
      <c r="H838" s="1">
        <f t="shared" si="1728"/>
        <v>22.293533951156252</v>
      </c>
      <c r="I838" s="1">
        <f t="shared" si="1880"/>
        <v>-20.088766914165713</v>
      </c>
      <c r="J838" s="1">
        <f t="shared" si="1881"/>
        <v>0</v>
      </c>
      <c r="K838" s="1">
        <f t="shared" si="1882"/>
        <v>2.3577991358475274</v>
      </c>
      <c r="L838" s="1">
        <f t="shared" ref="L838:N838" si="1904">E838/$H838</f>
        <v>0.99318260947702697</v>
      </c>
      <c r="M838" s="1">
        <f t="shared" si="1904"/>
        <v>0</v>
      </c>
      <c r="N838" s="1">
        <f t="shared" si="1904"/>
        <v>-0.11656888192139087</v>
      </c>
      <c r="O838" s="1">
        <f t="shared" si="1730"/>
        <v>-0.11656888192139087</v>
      </c>
      <c r="P838" s="1">
        <f t="shared" si="1884"/>
        <v>0.11577418633050642</v>
      </c>
      <c r="Q838" s="1">
        <f t="shared" si="1885"/>
        <v>0</v>
      </c>
      <c r="R838" s="1">
        <f t="shared" si="1886"/>
        <v>0.9864116957675968</v>
      </c>
      <c r="S838" s="1">
        <f t="shared" si="1887"/>
        <v>1.6353469750081229</v>
      </c>
      <c r="T838" s="1">
        <f t="shared" ref="T838:V838" si="1905">$S838*P838</f>
        <v>0.18933096539962044</v>
      </c>
      <c r="U838" s="1">
        <f t="shared" si="1905"/>
        <v>0</v>
      </c>
      <c r="V838" s="1">
        <f t="shared" si="1905"/>
        <v>1.6131253827861722</v>
      </c>
      <c r="W838" s="1">
        <f t="shared" si="1889"/>
        <v>-19.899435948766094</v>
      </c>
      <c r="X838" s="1">
        <f t="shared" si="1890"/>
        <v>0</v>
      </c>
      <c r="Y838" s="1">
        <f t="shared" si="1891"/>
        <v>-5.8357254813662998</v>
      </c>
    </row>
    <row r="839" spans="1:25">
      <c r="A839" s="1">
        <v>0.83699999999999997</v>
      </c>
      <c r="B839" s="1">
        <f t="shared" si="1892"/>
        <v>34.386531127127064</v>
      </c>
      <c r="C839" s="1">
        <f t="shared" si="1893"/>
        <v>0</v>
      </c>
      <c r="D839" s="1">
        <f t="shared" si="1894"/>
        <v>-0.37227317446209784</v>
      </c>
      <c r="E839" s="1">
        <f t="shared" si="1895"/>
        <v>22.121650788125297</v>
      </c>
      <c r="F839" s="1">
        <f t="shared" si="1896"/>
        <v>0</v>
      </c>
      <c r="G839" s="1">
        <f t="shared" si="1897"/>
        <v>-2.6045680522442178</v>
      </c>
      <c r="H839" s="1">
        <f t="shared" si="1728"/>
        <v>22.274451919868554</v>
      </c>
      <c r="I839" s="1">
        <f t="shared" si="1880"/>
        <v>-20.053532971994574</v>
      </c>
      <c r="J839" s="1">
        <f t="shared" si="1881"/>
        <v>0</v>
      </c>
      <c r="K839" s="1">
        <f t="shared" si="1882"/>
        <v>2.3610711430957103</v>
      </c>
      <c r="L839" s="1">
        <f t="shared" ref="L839:N839" si="1906">E839/$H839</f>
        <v>0.99314007220950029</v>
      </c>
      <c r="M839" s="1">
        <f t="shared" si="1906"/>
        <v>0</v>
      </c>
      <c r="N839" s="1">
        <f t="shared" si="1906"/>
        <v>-0.1169307357870823</v>
      </c>
      <c r="O839" s="1">
        <f t="shared" si="1730"/>
        <v>-0.1169307357870823</v>
      </c>
      <c r="P839" s="1">
        <f t="shared" si="1884"/>
        <v>0.11612859938309292</v>
      </c>
      <c r="Q839" s="1">
        <f t="shared" si="1885"/>
        <v>0</v>
      </c>
      <c r="R839" s="1">
        <f t="shared" si="1886"/>
        <v>0.98632720302829158</v>
      </c>
      <c r="S839" s="1">
        <f t="shared" si="1887"/>
        <v>1.6325486401171587</v>
      </c>
      <c r="T839" s="1">
        <f t="shared" ref="T839:V839" si="1907">$S839*P839</f>
        <v>0.18958558700157865</v>
      </c>
      <c r="U839" s="1">
        <f t="shared" si="1907"/>
        <v>0</v>
      </c>
      <c r="V839" s="1">
        <f t="shared" si="1907"/>
        <v>1.6102271340143981</v>
      </c>
      <c r="W839" s="1">
        <f t="shared" si="1889"/>
        <v>-19.863947384992997</v>
      </c>
      <c r="X839" s="1">
        <f t="shared" si="1890"/>
        <v>0</v>
      </c>
      <c r="Y839" s="1">
        <f t="shared" si="1891"/>
        <v>-5.8353517228898912</v>
      </c>
    </row>
    <row r="840" spans="1:25">
      <c r="A840" s="1">
        <v>0.83799999999999997</v>
      </c>
      <c r="B840" s="1">
        <f t="shared" si="1892"/>
        <v>34.408632913967807</v>
      </c>
      <c r="C840" s="1">
        <f t="shared" si="1893"/>
        <v>0</v>
      </c>
      <c r="D840" s="1">
        <f t="shared" si="1894"/>
        <v>-0.37488357786606497</v>
      </c>
      <c r="E840" s="1">
        <f t="shared" si="1895"/>
        <v>22.101786840740303</v>
      </c>
      <c r="F840" s="1">
        <f t="shared" si="1896"/>
        <v>0</v>
      </c>
      <c r="G840" s="1">
        <f t="shared" si="1897"/>
        <v>-2.6104034039671076</v>
      </c>
      <c r="H840" s="1">
        <f t="shared" si="1728"/>
        <v>22.255408050291152</v>
      </c>
      <c r="I840" s="1">
        <f t="shared" si="1880"/>
        <v>-20.018396406273293</v>
      </c>
      <c r="J840" s="1">
        <f t="shared" si="1881"/>
        <v>0</v>
      </c>
      <c r="K840" s="1">
        <f t="shared" si="1882"/>
        <v>2.3643378020719519</v>
      </c>
      <c r="L840" s="1">
        <f t="shared" ref="L840:N840" si="1908">E840/$H840</f>
        <v>0.9930973537216794</v>
      </c>
      <c r="M840" s="1">
        <f t="shared" si="1908"/>
        <v>0</v>
      </c>
      <c r="N840" s="1">
        <f t="shared" si="1908"/>
        <v>-0.11729299225016715</v>
      </c>
      <c r="O840" s="1">
        <f t="shared" si="1730"/>
        <v>-0.11729299225016715</v>
      </c>
      <c r="P840" s="1">
        <f t="shared" si="1884"/>
        <v>0.11648336021373845</v>
      </c>
      <c r="Q840" s="1">
        <f t="shared" si="1885"/>
        <v>0</v>
      </c>
      <c r="R840" s="1">
        <f t="shared" si="1886"/>
        <v>0.98624235396900228</v>
      </c>
      <c r="S840" s="1">
        <f t="shared" si="1887"/>
        <v>1.6297582906128463</v>
      </c>
      <c r="T840" s="1">
        <f t="shared" ref="T840:V840" si="1909">$S840*P840</f>
        <v>0.18983972202678281</v>
      </c>
      <c r="U840" s="1">
        <f t="shared" si="1909"/>
        <v>0</v>
      </c>
      <c r="V840" s="1">
        <f t="shared" si="1909"/>
        <v>1.6073366529345108</v>
      </c>
      <c r="W840" s="1">
        <f t="shared" si="1889"/>
        <v>-19.828556684246511</v>
      </c>
      <c r="X840" s="1">
        <f t="shared" si="1890"/>
        <v>0</v>
      </c>
      <c r="Y840" s="1">
        <f t="shared" si="1891"/>
        <v>-5.8349755449935365</v>
      </c>
    </row>
    <row r="841" spans="1:25">
      <c r="A841" s="1">
        <v>0.83899999999999997</v>
      </c>
      <c r="B841" s="1">
        <f t="shared" si="1892"/>
        <v>34.430714872251862</v>
      </c>
      <c r="C841" s="1">
        <f t="shared" si="1893"/>
        <v>0</v>
      </c>
      <c r="D841" s="1">
        <f t="shared" si="1894"/>
        <v>-0.37749981624557705</v>
      </c>
      <c r="E841" s="1">
        <f t="shared" si="1895"/>
        <v>22.081958284056057</v>
      </c>
      <c r="F841" s="1">
        <f t="shared" si="1896"/>
        <v>0</v>
      </c>
      <c r="G841" s="1">
        <f t="shared" si="1897"/>
        <v>-2.6162383795121009</v>
      </c>
      <c r="H841" s="1">
        <f t="shared" si="1728"/>
        <v>22.236402247603458</v>
      </c>
      <c r="I841" s="1">
        <f t="shared" si="1880"/>
        <v>-19.983356868160651</v>
      </c>
      <c r="J841" s="1">
        <f t="shared" si="1881"/>
        <v>0</v>
      </c>
      <c r="K841" s="1">
        <f t="shared" si="1882"/>
        <v>2.3675991285481914</v>
      </c>
      <c r="L841" s="1">
        <f t="shared" ref="L841:N841" si="1910">E841/$H841</f>
        <v>0.99305445360145672</v>
      </c>
      <c r="M841" s="1">
        <f t="shared" si="1910"/>
        <v>0</v>
      </c>
      <c r="N841" s="1">
        <f t="shared" si="1910"/>
        <v>-0.11765565087284152</v>
      </c>
      <c r="O841" s="1">
        <f t="shared" si="1730"/>
        <v>-0.11765565087284152</v>
      </c>
      <c r="P841" s="1">
        <f t="shared" si="1884"/>
        <v>0.11683846809065339</v>
      </c>
      <c r="Q841" s="1">
        <f t="shared" si="1885"/>
        <v>0</v>
      </c>
      <c r="R841" s="1">
        <f t="shared" si="1886"/>
        <v>0.98615714781768804</v>
      </c>
      <c r="S841" s="1">
        <f t="shared" si="1887"/>
        <v>1.6269758982718323</v>
      </c>
      <c r="T841" s="1">
        <f t="shared" ref="T841:V841" si="1911">$S841*P841</f>
        <v>0.1900933715744956</v>
      </c>
      <c r="U841" s="1">
        <f t="shared" si="1911"/>
        <v>0</v>
      </c>
      <c r="V841" s="1">
        <f t="shared" si="1911"/>
        <v>1.6044539114078711</v>
      </c>
      <c r="W841" s="1">
        <f t="shared" si="1889"/>
        <v>-19.793263496586157</v>
      </c>
      <c r="X841" s="1">
        <f t="shared" si="1890"/>
        <v>0</v>
      </c>
      <c r="Y841" s="1">
        <f t="shared" si="1891"/>
        <v>-5.8345969600439371</v>
      </c>
    </row>
    <row r="842" spans="1:25">
      <c r="A842" s="1">
        <v>0.84</v>
      </c>
      <c r="B842" s="1">
        <f t="shared" si="1892"/>
        <v>34.452777037272419</v>
      </c>
      <c r="C842" s="1">
        <f t="shared" si="1893"/>
        <v>0</v>
      </c>
      <c r="D842" s="1">
        <f t="shared" si="1894"/>
        <v>-0.3801218892220492</v>
      </c>
      <c r="E842" s="1">
        <f t="shared" si="1895"/>
        <v>22.062165020559473</v>
      </c>
      <c r="F842" s="1">
        <f t="shared" si="1896"/>
        <v>0</v>
      </c>
      <c r="G842" s="1">
        <f t="shared" si="1897"/>
        <v>-2.6220729764721447</v>
      </c>
      <c r="H842" s="1">
        <f t="shared" si="1728"/>
        <v>22.217434417329635</v>
      </c>
      <c r="I842" s="1">
        <f t="shared" si="1880"/>
        <v>-19.948414010379786</v>
      </c>
      <c r="J842" s="1">
        <f t="shared" si="1881"/>
        <v>0</v>
      </c>
      <c r="K842" s="1">
        <f t="shared" si="1882"/>
        <v>2.3708551382582637</v>
      </c>
      <c r="L842" s="1">
        <f t="shared" ref="L842:N842" si="1912">E842/$H842</f>
        <v>0.99301137143679152</v>
      </c>
      <c r="M842" s="1">
        <f t="shared" si="1912"/>
        <v>0</v>
      </c>
      <c r="N842" s="1">
        <f t="shared" si="1912"/>
        <v>-0.11801871121658059</v>
      </c>
      <c r="O842" s="1">
        <f t="shared" si="1730"/>
        <v>-0.11801871121658059</v>
      </c>
      <c r="P842" s="1">
        <f t="shared" si="1884"/>
        <v>0.11719392228037934</v>
      </c>
      <c r="Q842" s="1">
        <f t="shared" si="1885"/>
        <v>0</v>
      </c>
      <c r="R842" s="1">
        <f t="shared" si="1886"/>
        <v>0.98607158380277737</v>
      </c>
      <c r="S842" s="1">
        <f t="shared" si="1887"/>
        <v>1.624201434997264</v>
      </c>
      <c r="T842" s="1">
        <f t="shared" ref="T842:V842" si="1913">$S842*P842</f>
        <v>0.19034653674074994</v>
      </c>
      <c r="U842" s="1">
        <f t="shared" si="1913"/>
        <v>0</v>
      </c>
      <c r="V842" s="1">
        <f t="shared" si="1913"/>
        <v>1.6015788814224958</v>
      </c>
      <c r="W842" s="1">
        <f t="shared" si="1889"/>
        <v>-19.758067473639034</v>
      </c>
      <c r="X842" s="1">
        <f t="shared" si="1890"/>
        <v>0</v>
      </c>
      <c r="Y842" s="1">
        <f t="shared" si="1891"/>
        <v>-5.8342159803192395</v>
      </c>
    </row>
    <row r="843" spans="1:25">
      <c r="A843" s="1">
        <v>0.84099999999999997</v>
      </c>
      <c r="B843" s="1">
        <f t="shared" si="1892"/>
        <v>34.474819444225503</v>
      </c>
      <c r="C843" s="1">
        <f t="shared" si="1893"/>
        <v>0</v>
      </c>
      <c r="D843" s="1">
        <f t="shared" si="1894"/>
        <v>-0.38274979641450169</v>
      </c>
      <c r="E843" s="1">
        <f t="shared" si="1895"/>
        <v>22.042406953085834</v>
      </c>
      <c r="F843" s="1">
        <f t="shared" si="1896"/>
        <v>0</v>
      </c>
      <c r="G843" s="1">
        <f t="shared" si="1897"/>
        <v>-2.6279071924524637</v>
      </c>
      <c r="H843" s="1">
        <f t="shared" si="1728"/>
        <v>22.198504465337077</v>
      </c>
      <c r="I843" s="1">
        <f t="shared" si="1880"/>
        <v>-19.9135674872098</v>
      </c>
      <c r="J843" s="1">
        <f t="shared" si="1881"/>
        <v>0</v>
      </c>
      <c r="K843" s="1">
        <f t="shared" si="1882"/>
        <v>2.3741058468979981</v>
      </c>
      <c r="L843" s="1">
        <f t="shared" ref="L843:N843" si="1914">E843/$H843</f>
        <v>0.99296810681570968</v>
      </c>
      <c r="M843" s="1">
        <f t="shared" si="1914"/>
        <v>0</v>
      </c>
      <c r="N843" s="1">
        <f t="shared" si="1914"/>
        <v>-0.11838217284213609</v>
      </c>
      <c r="O843" s="1">
        <f t="shared" si="1730"/>
        <v>-0.11838217284213609</v>
      </c>
      <c r="P843" s="1">
        <f t="shared" si="1884"/>
        <v>0.11754972204778599</v>
      </c>
      <c r="Q843" s="1">
        <f t="shared" si="1885"/>
        <v>0</v>
      </c>
      <c r="R843" s="1">
        <f t="shared" si="1886"/>
        <v>0.98598566115317465</v>
      </c>
      <c r="S843" s="1">
        <f t="shared" si="1887"/>
        <v>1.6214348728181156</v>
      </c>
      <c r="T843" s="1">
        <f t="shared" ref="T843:V843" si="1915">$S843*P843</f>
        <v>0.19059921861835671</v>
      </c>
      <c r="U843" s="1">
        <f t="shared" si="1915"/>
        <v>0</v>
      </c>
      <c r="V843" s="1">
        <f t="shared" si="1915"/>
        <v>1.5987115350923833</v>
      </c>
      <c r="W843" s="1">
        <f t="shared" si="1889"/>
        <v>-19.722968268591444</v>
      </c>
      <c r="X843" s="1">
        <f t="shared" si="1890"/>
        <v>0</v>
      </c>
      <c r="Y843" s="1">
        <f t="shared" si="1891"/>
        <v>-5.8338326180096178</v>
      </c>
    </row>
    <row r="844" spans="1:25">
      <c r="A844" s="1">
        <v>0.84199999999999997</v>
      </c>
      <c r="B844" s="1">
        <f t="shared" si="1892"/>
        <v>34.496842128210318</v>
      </c>
      <c r="C844" s="1">
        <f t="shared" si="1893"/>
        <v>0</v>
      </c>
      <c r="D844" s="1">
        <f t="shared" si="1894"/>
        <v>-0.38538353743957215</v>
      </c>
      <c r="E844" s="1">
        <f t="shared" si="1895"/>
        <v>22.022683984817242</v>
      </c>
      <c r="F844" s="1">
        <f t="shared" si="1896"/>
        <v>0</v>
      </c>
      <c r="G844" s="1">
        <f t="shared" si="1897"/>
        <v>-2.6337410250704734</v>
      </c>
      <c r="H844" s="1">
        <f t="shared" si="1728"/>
        <v>22.179612297834808</v>
      </c>
      <c r="I844" s="1">
        <f t="shared" si="1880"/>
        <v>-19.878816954477326</v>
      </c>
      <c r="J844" s="1">
        <f t="shared" si="1881"/>
        <v>0</v>
      </c>
      <c r="K844" s="1">
        <f t="shared" si="1882"/>
        <v>2.3773512701253021</v>
      </c>
      <c r="L844" s="1">
        <f t="shared" ref="L844:N844" si="1916">E844/$H844</f>
        <v>0.99292465932630902</v>
      </c>
      <c r="M844" s="1">
        <f t="shared" si="1916"/>
        <v>0</v>
      </c>
      <c r="N844" s="1">
        <f t="shared" si="1916"/>
        <v>-0.1187460353095343</v>
      </c>
      <c r="O844" s="1">
        <f t="shared" si="1730"/>
        <v>-0.1187460353095343</v>
      </c>
      <c r="P844" s="1">
        <f t="shared" si="1884"/>
        <v>0.11790586665606921</v>
      </c>
      <c r="Q844" s="1">
        <f t="shared" si="1885"/>
        <v>0</v>
      </c>
      <c r="R844" s="1">
        <f t="shared" si="1886"/>
        <v>0.98589937909826686</v>
      </c>
      <c r="S844" s="1">
        <f t="shared" si="1887"/>
        <v>1.618676183888504</v>
      </c>
      <c r="T844" s="1">
        <f t="shared" ref="T844:V844" si="1917">$S844*P844</f>
        <v>0.19085141829691291</v>
      </c>
      <c r="U844" s="1">
        <f t="shared" si="1917"/>
        <v>0</v>
      </c>
      <c r="V844" s="1">
        <f t="shared" si="1917"/>
        <v>1.5958518446568282</v>
      </c>
      <c r="W844" s="1">
        <f t="shared" si="1889"/>
        <v>-19.687965536180414</v>
      </c>
      <c r="X844" s="1">
        <f t="shared" si="1890"/>
        <v>0</v>
      </c>
      <c r="Y844" s="1">
        <f t="shared" si="1891"/>
        <v>-5.8334468852178691</v>
      </c>
    </row>
    <row r="845" spans="1:25">
      <c r="A845" s="1">
        <v>0.84299999999999997</v>
      </c>
      <c r="B845" s="1">
        <f t="shared" si="1892"/>
        <v>34.5188451242296</v>
      </c>
      <c r="C845" s="1">
        <f t="shared" si="1893"/>
        <v>0</v>
      </c>
      <c r="D845" s="1">
        <f t="shared" si="1894"/>
        <v>-0.38802311191152783</v>
      </c>
      <c r="E845" s="1">
        <f t="shared" si="1895"/>
        <v>22.00299601928106</v>
      </c>
      <c r="F845" s="1">
        <f t="shared" si="1896"/>
        <v>0</v>
      </c>
      <c r="G845" s="1">
        <f t="shared" si="1897"/>
        <v>-2.6395744719556911</v>
      </c>
      <c r="H845" s="1">
        <f t="shared" si="1728"/>
        <v>22.160757821371956</v>
      </c>
      <c r="I845" s="1">
        <f t="shared" si="1880"/>
        <v>-19.844162069548247</v>
      </c>
      <c r="J845" s="1">
        <f t="shared" si="1881"/>
        <v>0</v>
      </c>
      <c r="K845" s="1">
        <f t="shared" si="1882"/>
        <v>2.380591423560257</v>
      </c>
      <c r="L845" s="1">
        <f t="shared" ref="L845:N845" si="1918">E845/$H845</f>
        <v>0.99288102855676041</v>
      </c>
      <c r="M845" s="1">
        <f t="shared" si="1918"/>
        <v>0</v>
      </c>
      <c r="N845" s="1">
        <f t="shared" si="1918"/>
        <v>-0.11911029817807363</v>
      </c>
      <c r="O845" s="1">
        <f t="shared" si="1730"/>
        <v>-0.11911029817807363</v>
      </c>
      <c r="P845" s="1">
        <f t="shared" si="1884"/>
        <v>0.11826235536674817</v>
      </c>
      <c r="Q845" s="1">
        <f t="shared" si="1885"/>
        <v>0</v>
      </c>
      <c r="R845" s="1">
        <f t="shared" si="1886"/>
        <v>0.98581273686793036</v>
      </c>
      <c r="S845" s="1">
        <f t="shared" si="1887"/>
        <v>1.6159253404870222</v>
      </c>
      <c r="T845" s="1">
        <f t="shared" ref="T845:V845" si="1919">$S845*P845</f>
        <v>0.19110313686280975</v>
      </c>
      <c r="U845" s="1">
        <f t="shared" si="1919"/>
        <v>0</v>
      </c>
      <c r="V845" s="1">
        <f t="shared" si="1919"/>
        <v>1.5929997824797535</v>
      </c>
      <c r="W845" s="1">
        <f t="shared" si="1889"/>
        <v>-19.653058932685436</v>
      </c>
      <c r="X845" s="1">
        <f t="shared" si="1890"/>
        <v>0</v>
      </c>
      <c r="Y845" s="1">
        <f t="shared" si="1891"/>
        <v>-5.8330587939599887</v>
      </c>
    </row>
    <row r="846" spans="1:25">
      <c r="A846" s="1">
        <v>0.84399999999999997</v>
      </c>
      <c r="B846" s="1">
        <f t="shared" si="1892"/>
        <v>34.540828467189947</v>
      </c>
      <c r="C846" s="1">
        <f t="shared" si="1893"/>
        <v>0</v>
      </c>
      <c r="D846" s="1">
        <f t="shared" si="1894"/>
        <v>-0.39066851944227748</v>
      </c>
      <c r="E846" s="1">
        <f t="shared" si="1895"/>
        <v>21.983342960348374</v>
      </c>
      <c r="F846" s="1">
        <f t="shared" si="1896"/>
        <v>0</v>
      </c>
      <c r="G846" s="1">
        <f t="shared" si="1897"/>
        <v>-2.645407530749651</v>
      </c>
      <c r="H846" s="1">
        <f t="shared" si="1728"/>
        <v>22.141940942836186</v>
      </c>
      <c r="I846" s="1">
        <f t="shared" si="1880"/>
        <v>-19.809602491319374</v>
      </c>
      <c r="J846" s="1">
        <f t="shared" si="1881"/>
        <v>0</v>
      </c>
      <c r="K846" s="1">
        <f t="shared" si="1882"/>
        <v>2.3838263227852066</v>
      </c>
      <c r="L846" s="1">
        <f t="shared" ref="L846:N846" si="1920">E846/$H846</f>
        <v>0.99283721409531056</v>
      </c>
      <c r="M846" s="1">
        <f t="shared" si="1920"/>
        <v>0</v>
      </c>
      <c r="N846" s="1">
        <f t="shared" si="1920"/>
        <v>-0.11947496100632259</v>
      </c>
      <c r="O846" s="1">
        <f t="shared" si="1730"/>
        <v>-0.11947496100632259</v>
      </c>
      <c r="P846" s="1">
        <f t="shared" si="1884"/>
        <v>0.11861918743966318</v>
      </c>
      <c r="Q846" s="1">
        <f t="shared" si="1885"/>
        <v>0</v>
      </c>
      <c r="R846" s="1">
        <f t="shared" si="1886"/>
        <v>0.98572573369253769</v>
      </c>
      <c r="S846" s="1">
        <f t="shared" si="1887"/>
        <v>1.6131823150160665</v>
      </c>
      <c r="T846" s="1">
        <f t="shared" ref="T846:V846" si="1921">$S846*P846</f>
        <v>0.19135437539924058</v>
      </c>
      <c r="U846" s="1">
        <f t="shared" si="1921"/>
        <v>0</v>
      </c>
      <c r="V846" s="1">
        <f t="shared" si="1921"/>
        <v>1.5901553210490387</v>
      </c>
      <c r="W846" s="1">
        <f t="shared" si="1889"/>
        <v>-19.618248115920135</v>
      </c>
      <c r="X846" s="1">
        <f t="shared" si="1890"/>
        <v>0</v>
      </c>
      <c r="Y846" s="1">
        <f t="shared" si="1891"/>
        <v>-5.8326683561657546</v>
      </c>
    </row>
    <row r="847" spans="1:25">
      <c r="A847" s="1">
        <v>0.84499999999999997</v>
      </c>
      <c r="B847" s="1">
        <f t="shared" si="1892"/>
        <v>34.562792191902176</v>
      </c>
      <c r="C847" s="1">
        <f t="shared" si="1893"/>
        <v>0</v>
      </c>
      <c r="D847" s="1">
        <f t="shared" si="1894"/>
        <v>-0.39331975964138333</v>
      </c>
      <c r="E847" s="1">
        <f t="shared" si="1895"/>
        <v>21.963724712232455</v>
      </c>
      <c r="F847" s="1">
        <f t="shared" si="1896"/>
        <v>0</v>
      </c>
      <c r="G847" s="1">
        <f t="shared" si="1897"/>
        <v>-2.6512401991058168</v>
      </c>
      <c r="H847" s="1">
        <f t="shared" si="1728"/>
        <v>22.123161569452169</v>
      </c>
      <c r="I847" s="1">
        <f t="shared" si="1880"/>
        <v>-19.775137880210242</v>
      </c>
      <c r="J847" s="1">
        <f t="shared" si="1881"/>
        <v>0</v>
      </c>
      <c r="K847" s="1">
        <f t="shared" si="1882"/>
        <v>2.3870559833448479</v>
      </c>
      <c r="L847" s="1">
        <f t="shared" ref="L847:N847" si="1922">E847/$H847</f>
        <v>0.99279321553028543</v>
      </c>
      <c r="M847" s="1">
        <f t="shared" si="1922"/>
        <v>0</v>
      </c>
      <c r="N847" s="1">
        <f t="shared" si="1922"/>
        <v>-0.11984002335211752</v>
      </c>
      <c r="O847" s="1">
        <f t="shared" si="1730"/>
        <v>-0.11984002335211752</v>
      </c>
      <c r="P847" s="1">
        <f t="shared" si="1884"/>
        <v>0.11897636213297325</v>
      </c>
      <c r="Q847" s="1">
        <f t="shared" si="1885"/>
        <v>0</v>
      </c>
      <c r="R847" s="1">
        <f t="shared" si="1886"/>
        <v>0.98563836880296396</v>
      </c>
      <c r="S847" s="1">
        <f t="shared" si="1887"/>
        <v>1.6104470800011712</v>
      </c>
      <c r="T847" s="1">
        <f t="shared" ref="T847:V847" si="1923">$S847*P847</f>
        <v>0.19160513498620868</v>
      </c>
      <c r="U847" s="1">
        <f t="shared" si="1923"/>
        <v>0</v>
      </c>
      <c r="V847" s="1">
        <f t="shared" si="1923"/>
        <v>1.5873184329758507</v>
      </c>
      <c r="W847" s="1">
        <f t="shared" si="1889"/>
        <v>-19.583532745224034</v>
      </c>
      <c r="X847" s="1">
        <f t="shared" si="1890"/>
        <v>0</v>
      </c>
      <c r="Y847" s="1">
        <f t="shared" si="1891"/>
        <v>-5.8322755836793005</v>
      </c>
    </row>
    <row r="848" spans="1:25">
      <c r="A848" s="1">
        <v>0.84599999999999997</v>
      </c>
      <c r="B848" s="1">
        <f t="shared" si="1892"/>
        <v>34.584736333081665</v>
      </c>
      <c r="C848" s="1">
        <f t="shared" si="1893"/>
        <v>0</v>
      </c>
      <c r="D848" s="1">
        <f t="shared" si="1894"/>
        <v>-0.39597683211607282</v>
      </c>
      <c r="E848" s="1">
        <f t="shared" si="1895"/>
        <v>21.944141179487232</v>
      </c>
      <c r="F848" s="1">
        <f t="shared" si="1896"/>
        <v>0</v>
      </c>
      <c r="G848" s="1">
        <f t="shared" si="1897"/>
        <v>-2.657072474689496</v>
      </c>
      <c r="H848" s="1">
        <f t="shared" si="1728"/>
        <v>22.104419608780049</v>
      </c>
      <c r="I848" s="1">
        <f t="shared" si="1880"/>
        <v>-19.740767898154907</v>
      </c>
      <c r="J848" s="1">
        <f t="shared" si="1881"/>
        <v>0</v>
      </c>
      <c r="K848" s="1">
        <f t="shared" si="1882"/>
        <v>2.3902804207463215</v>
      </c>
      <c r="L848" s="1">
        <f t="shared" ref="L848:N848" si="1924">E848/$H848</f>
        <v>0.99274903245009194</v>
      </c>
      <c r="M848" s="1">
        <f t="shared" si="1924"/>
        <v>0</v>
      </c>
      <c r="N848" s="1">
        <f t="shared" si="1924"/>
        <v>-0.12020548477256042</v>
      </c>
      <c r="O848" s="1">
        <f t="shared" si="1730"/>
        <v>-0.12020548477256042</v>
      </c>
      <c r="P848" s="1">
        <f t="shared" si="1884"/>
        <v>0.11933387870315362</v>
      </c>
      <c r="Q848" s="1">
        <f t="shared" si="1885"/>
        <v>0</v>
      </c>
      <c r="R848" s="1">
        <f t="shared" si="1886"/>
        <v>0.98555064143059379</v>
      </c>
      <c r="S848" s="1">
        <f t="shared" si="1887"/>
        <v>1.6077196080903511</v>
      </c>
      <c r="T848" s="1">
        <f t="shared" ref="T848:V848" si="1925">$S848*P848</f>
        <v>0.19185541670053563</v>
      </c>
      <c r="U848" s="1">
        <f t="shared" si="1925"/>
        <v>0</v>
      </c>
      <c r="V848" s="1">
        <f t="shared" si="1925"/>
        <v>1.5844890909939884</v>
      </c>
      <c r="W848" s="1">
        <f t="shared" si="1889"/>
        <v>-19.548912481454373</v>
      </c>
      <c r="X848" s="1">
        <f t="shared" si="1890"/>
        <v>0</v>
      </c>
      <c r="Y848" s="1">
        <f t="shared" si="1891"/>
        <v>-5.8318804882596895</v>
      </c>
    </row>
    <row r="849" spans="1:25">
      <c r="A849" s="1">
        <v>0.84699999999999998</v>
      </c>
      <c r="B849" s="1">
        <f t="shared" si="1892"/>
        <v>34.60666092534867</v>
      </c>
      <c r="C849" s="1">
        <f t="shared" si="1893"/>
        <v>0</v>
      </c>
      <c r="D849" s="1">
        <f t="shared" si="1894"/>
        <v>-0.39863973647125056</v>
      </c>
      <c r="E849" s="1">
        <f t="shared" si="1895"/>
        <v>21.924592267005778</v>
      </c>
      <c r="F849" s="1">
        <f t="shared" si="1896"/>
        <v>0</v>
      </c>
      <c r="G849" s="1">
        <f t="shared" si="1897"/>
        <v>-2.6629043551777558</v>
      </c>
      <c r="H849" s="1">
        <f t="shared" si="1728"/>
        <v>22.085714968713923</v>
      </c>
      <c r="I849" s="1">
        <f t="shared" si="1880"/>
        <v>-19.706492208593836</v>
      </c>
      <c r="J849" s="1">
        <f t="shared" si="1881"/>
        <v>0</v>
      </c>
      <c r="K849" s="1">
        <f t="shared" si="1882"/>
        <v>2.3934996504593018</v>
      </c>
      <c r="L849" s="1">
        <f t="shared" ref="L849:N849" si="1926">E849/$H849</f>
        <v>0.99270466444322103</v>
      </c>
      <c r="M849" s="1">
        <f t="shared" si="1926"/>
        <v>0</v>
      </c>
      <c r="N849" s="1">
        <f t="shared" si="1926"/>
        <v>-0.1205713448240168</v>
      </c>
      <c r="O849" s="1">
        <f t="shared" si="1730"/>
        <v>-0.1205713448240168</v>
      </c>
      <c r="P849" s="1">
        <f t="shared" si="1884"/>
        <v>0.11969173640499349</v>
      </c>
      <c r="Q849" s="1">
        <f t="shared" si="1885"/>
        <v>0</v>
      </c>
      <c r="R849" s="1">
        <f t="shared" si="1886"/>
        <v>0.98546255080732803</v>
      </c>
      <c r="S849" s="1">
        <f t="shared" si="1887"/>
        <v>1.6049998720534422</v>
      </c>
      <c r="T849" s="1">
        <f t="shared" ref="T849:V849" si="1927">$S849*P849</f>
        <v>0.19210522161586888</v>
      </c>
      <c r="U849" s="1">
        <f t="shared" si="1927"/>
        <v>0</v>
      </c>
      <c r="V849" s="1">
        <f t="shared" si="1927"/>
        <v>1.5816672679592203</v>
      </c>
      <c r="W849" s="1">
        <f t="shared" si="1889"/>
        <v>-19.514386986977968</v>
      </c>
      <c r="X849" s="1">
        <f t="shared" si="1890"/>
        <v>0</v>
      </c>
      <c r="Y849" s="1">
        <f t="shared" si="1891"/>
        <v>-5.8314830815814771</v>
      </c>
    </row>
    <row r="850" spans="1:25">
      <c r="A850" s="1">
        <v>0.84799999999999998</v>
      </c>
      <c r="B850" s="1">
        <f t="shared" si="1892"/>
        <v>34.628566003228691</v>
      </c>
      <c r="C850" s="1">
        <f t="shared" si="1893"/>
        <v>0</v>
      </c>
      <c r="D850" s="1">
        <f t="shared" si="1894"/>
        <v>-0.40130847230950989</v>
      </c>
      <c r="E850" s="1">
        <f t="shared" si="1895"/>
        <v>21.905077880018801</v>
      </c>
      <c r="F850" s="1">
        <f t="shared" si="1896"/>
        <v>0</v>
      </c>
      <c r="G850" s="1">
        <f t="shared" si="1897"/>
        <v>-2.6687358382593374</v>
      </c>
      <c r="H850" s="1">
        <f t="shared" si="1728"/>
        <v>22.067047557480333</v>
      </c>
      <c r="I850" s="1">
        <f t="shared" si="1880"/>
        <v>-19.672310476465849</v>
      </c>
      <c r="J850" s="1">
        <f t="shared" si="1881"/>
        <v>0</v>
      </c>
      <c r="K850" s="1">
        <f t="shared" si="1882"/>
        <v>2.3967136879160904</v>
      </c>
      <c r="L850" s="1">
        <f t="shared" ref="L850:N850" si="1928">E850/$H850</f>
        <v>0.99266011109825036</v>
      </c>
      <c r="M850" s="1">
        <f t="shared" si="1928"/>
        <v>0</v>
      </c>
      <c r="N850" s="1">
        <f t="shared" si="1928"/>
        <v>-0.12093760306211349</v>
      </c>
      <c r="O850" s="1">
        <f t="shared" si="1730"/>
        <v>-0.12093760306211349</v>
      </c>
      <c r="P850" s="1">
        <f t="shared" si="1884"/>
        <v>0.12004993449159368</v>
      </c>
      <c r="Q850" s="1">
        <f t="shared" si="1885"/>
        <v>0</v>
      </c>
      <c r="R850" s="1">
        <f t="shared" si="1886"/>
        <v>0.98537409616559068</v>
      </c>
      <c r="S850" s="1">
        <f t="shared" si="1887"/>
        <v>1.6022878447814524</v>
      </c>
      <c r="T850" s="1">
        <f t="shared" ref="T850:V850" si="1929">$S850*P850</f>
        <v>0.19235455080269018</v>
      </c>
      <c r="U850" s="1">
        <f t="shared" si="1929"/>
        <v>0</v>
      </c>
      <c r="V850" s="1">
        <f t="shared" si="1929"/>
        <v>1.5788529368486359</v>
      </c>
      <c r="W850" s="1">
        <f t="shared" si="1889"/>
        <v>-19.479955925663159</v>
      </c>
      <c r="X850" s="1">
        <f t="shared" si="1890"/>
        <v>0</v>
      </c>
      <c r="Y850" s="1">
        <f t="shared" si="1891"/>
        <v>-5.8310833752352735</v>
      </c>
    </row>
    <row r="851" spans="1:25">
      <c r="A851" s="1">
        <v>0.84899999999999998</v>
      </c>
      <c r="B851" s="1">
        <f t="shared" si="1892"/>
        <v>34.650451601152781</v>
      </c>
      <c r="C851" s="1">
        <f t="shared" si="1893"/>
        <v>0</v>
      </c>
      <c r="D851" s="1">
        <f t="shared" si="1894"/>
        <v>-0.40398303923114448</v>
      </c>
      <c r="E851" s="1">
        <f t="shared" si="1895"/>
        <v>21.885597924093137</v>
      </c>
      <c r="F851" s="1">
        <f t="shared" si="1896"/>
        <v>0</v>
      </c>
      <c r="G851" s="1">
        <f t="shared" si="1897"/>
        <v>-2.6745669216345727</v>
      </c>
      <c r="H851" s="1">
        <f t="shared" si="1728"/>
        <v>22.048417283636748</v>
      </c>
      <c r="I851" s="1">
        <f t="shared" si="1880"/>
        <v>-19.638222368200061</v>
      </c>
      <c r="J851" s="1">
        <f t="shared" si="1881"/>
        <v>0</v>
      </c>
      <c r="K851" s="1">
        <f t="shared" si="1882"/>
        <v>2.3999225485117033</v>
      </c>
      <c r="L851" s="1">
        <f t="shared" ref="L851:N851" si="1930">E851/$H851</f>
        <v>0.99261537200384686</v>
      </c>
      <c r="M851" s="1">
        <f t="shared" si="1930"/>
        <v>0</v>
      </c>
      <c r="N851" s="1">
        <f t="shared" si="1930"/>
        <v>-0.12130425904173651</v>
      </c>
      <c r="O851" s="1">
        <f t="shared" si="1730"/>
        <v>-0.12130425904173651</v>
      </c>
      <c r="P851" s="1">
        <f t="shared" si="1884"/>
        <v>0.12040847221436429</v>
      </c>
      <c r="Q851" s="1">
        <f t="shared" si="1885"/>
        <v>0</v>
      </c>
      <c r="R851" s="1">
        <f t="shared" si="1886"/>
        <v>0.98528527673833532</v>
      </c>
      <c r="S851" s="1">
        <f t="shared" si="1887"/>
        <v>1.5995834992859101</v>
      </c>
      <c r="T851" s="1">
        <f t="shared" ref="T851:V851" si="1931">$S851*P851</f>
        <v>0.19260340532832312</v>
      </c>
      <c r="U851" s="1">
        <f t="shared" si="1931"/>
        <v>0</v>
      </c>
      <c r="V851" s="1">
        <f t="shared" si="1931"/>
        <v>1.5760460707599928</v>
      </c>
      <c r="W851" s="1">
        <f t="shared" si="1889"/>
        <v>-19.445618962871738</v>
      </c>
      <c r="X851" s="1">
        <f t="shared" si="1890"/>
        <v>0</v>
      </c>
      <c r="Y851" s="1">
        <f t="shared" si="1891"/>
        <v>-5.8306813807283033</v>
      </c>
    </row>
    <row r="852" spans="1:25">
      <c r="A852" s="1">
        <v>0.85</v>
      </c>
      <c r="B852" s="1">
        <f t="shared" si="1892"/>
        <v>34.672317753457911</v>
      </c>
      <c r="C852" s="1">
        <f t="shared" si="1893"/>
        <v>0</v>
      </c>
      <c r="D852" s="1">
        <f t="shared" si="1894"/>
        <v>-0.40666343683415979</v>
      </c>
      <c r="E852" s="1">
        <f t="shared" si="1895"/>
        <v>21.866152305130264</v>
      </c>
      <c r="F852" s="1">
        <f t="shared" si="1896"/>
        <v>0</v>
      </c>
      <c r="G852" s="1">
        <f t="shared" si="1897"/>
        <v>-2.6803976030153009</v>
      </c>
      <c r="H852" s="1">
        <f t="shared" si="1728"/>
        <v>22.029824056070073</v>
      </c>
      <c r="I852" s="1">
        <f t="shared" si="1880"/>
        <v>-19.604227551707922</v>
      </c>
      <c r="J852" s="1">
        <f t="shared" si="1881"/>
        <v>0</v>
      </c>
      <c r="K852" s="1">
        <f t="shared" si="1882"/>
        <v>2.403126247603963</v>
      </c>
      <c r="L852" s="1">
        <f t="shared" ref="L852:N852" si="1932">E852/$H852</f>
        <v>0.9925704467487696</v>
      </c>
      <c r="M852" s="1">
        <f t="shared" si="1932"/>
        <v>0</v>
      </c>
      <c r="N852" s="1">
        <f t="shared" si="1932"/>
        <v>-0.12167131231702903</v>
      </c>
      <c r="O852" s="1">
        <f t="shared" si="1730"/>
        <v>-0.12167131231702903</v>
      </c>
      <c r="P852" s="1">
        <f t="shared" si="1884"/>
        <v>0.12076734882302258</v>
      </c>
      <c r="Q852" s="1">
        <f t="shared" si="1885"/>
        <v>0</v>
      </c>
      <c r="R852" s="1">
        <f t="shared" si="1886"/>
        <v>0.98519609175905198</v>
      </c>
      <c r="S852" s="1">
        <f t="shared" si="1887"/>
        <v>1.5968868086982215</v>
      </c>
      <c r="T852" s="1">
        <f t="shared" ref="T852:V852" si="1933">$S852*P852</f>
        <v>0.19285178625694144</v>
      </c>
      <c r="U852" s="1">
        <f t="shared" si="1933"/>
        <v>0</v>
      </c>
      <c r="V852" s="1">
        <f t="shared" si="1933"/>
        <v>1.5732466429110727</v>
      </c>
      <c r="W852" s="1">
        <f t="shared" si="1889"/>
        <v>-19.41137576545098</v>
      </c>
      <c r="X852" s="1">
        <f t="shared" si="1890"/>
        <v>0</v>
      </c>
      <c r="Y852" s="1">
        <f t="shared" si="1891"/>
        <v>-5.8302771094849639</v>
      </c>
    </row>
    <row r="853" spans="1:25">
      <c r="A853" s="1">
        <v>0.85099999999999998</v>
      </c>
      <c r="B853" s="1">
        <f t="shared" si="1892"/>
        <v>34.694164494387273</v>
      </c>
      <c r="C853" s="1">
        <f t="shared" si="1893"/>
        <v>0</v>
      </c>
      <c r="D853" s="1">
        <f t="shared" si="1894"/>
        <v>-0.40934966471428458</v>
      </c>
      <c r="E853" s="1">
        <f t="shared" si="1895"/>
        <v>21.846740929364813</v>
      </c>
      <c r="F853" s="1">
        <f t="shared" si="1896"/>
        <v>0</v>
      </c>
      <c r="G853" s="1">
        <f t="shared" si="1897"/>
        <v>-2.6862278801247861</v>
      </c>
      <c r="H853" s="1">
        <f t="shared" si="1728"/>
        <v>22.011267783995166</v>
      </c>
      <c r="I853" s="1">
        <f t="shared" si="1880"/>
        <v>-19.570325696375306</v>
      </c>
      <c r="J853" s="1">
        <f t="shared" si="1881"/>
        <v>0</v>
      </c>
      <c r="K853" s="1">
        <f t="shared" si="1882"/>
        <v>2.4063248005135902</v>
      </c>
      <c r="L853" s="1">
        <f t="shared" ref="L853:N853" si="1934">E853/$H853</f>
        <v>0.992525334921872</v>
      </c>
      <c r="M853" s="1">
        <f t="shared" si="1934"/>
        <v>0</v>
      </c>
      <c r="N853" s="1">
        <f t="shared" si="1934"/>
        <v>-0.12203876244138906</v>
      </c>
      <c r="O853" s="1">
        <f t="shared" si="1730"/>
        <v>-0.12203876244138906</v>
      </c>
      <c r="P853" s="1">
        <f t="shared" si="1884"/>
        <v>0.12112656356559046</v>
      </c>
      <c r="Q853" s="1">
        <f t="shared" si="1885"/>
        <v>0</v>
      </c>
      <c r="R853" s="1">
        <f t="shared" si="1886"/>
        <v>0.98510654046177426</v>
      </c>
      <c r="S853" s="1">
        <f t="shared" si="1887"/>
        <v>1.5941977462690329</v>
      </c>
      <c r="T853" s="1">
        <f t="shared" ref="T853:V853" si="1935">$S853*P853</f>
        <v>0.19309969464957705</v>
      </c>
      <c r="U853" s="1">
        <f t="shared" si="1935"/>
        <v>0</v>
      </c>
      <c r="V853" s="1">
        <f t="shared" si="1935"/>
        <v>1.5704546266390444</v>
      </c>
      <c r="W853" s="1">
        <f t="shared" si="1889"/>
        <v>-19.377226001725731</v>
      </c>
      <c r="X853" s="1">
        <f t="shared" si="1890"/>
        <v>0</v>
      </c>
      <c r="Y853" s="1">
        <f t="shared" si="1891"/>
        <v>-5.8298705728473648</v>
      </c>
    </row>
    <row r="854" spans="1:25">
      <c r="A854" s="1">
        <v>0.85199999999999998</v>
      </c>
      <c r="B854" s="1">
        <f t="shared" si="1892"/>
        <v>34.715991858090639</v>
      </c>
      <c r="C854" s="1">
        <f t="shared" si="1893"/>
        <v>0</v>
      </c>
      <c r="D854" s="1">
        <f t="shared" si="1894"/>
        <v>-0.41204172246498222</v>
      </c>
      <c r="E854" s="1">
        <f t="shared" si="1895"/>
        <v>21.827363703363087</v>
      </c>
      <c r="F854" s="1">
        <f t="shared" si="1896"/>
        <v>0</v>
      </c>
      <c r="G854" s="1">
        <f t="shared" si="1897"/>
        <v>-2.6920577506976335</v>
      </c>
      <c r="H854" s="1">
        <f t="shared" si="1728"/>
        <v>21.992748376953333</v>
      </c>
      <c r="I854" s="1">
        <f t="shared" si="1880"/>
        <v>-19.536516473054597</v>
      </c>
      <c r="J854" s="1">
        <f t="shared" si="1881"/>
        <v>0</v>
      </c>
      <c r="K854" s="1">
        <f t="shared" si="1882"/>
        <v>2.4095182225242899</v>
      </c>
      <c r="L854" s="1">
        <f t="shared" ref="L854:N854" si="1936">E854/$H854</f>
        <v>0.99248003611210522</v>
      </c>
      <c r="M854" s="1">
        <f t="shared" si="1936"/>
        <v>0</v>
      </c>
      <c r="N854" s="1">
        <f t="shared" si="1936"/>
        <v>-0.12240660896746756</v>
      </c>
      <c r="O854" s="1">
        <f t="shared" si="1730"/>
        <v>-0.12240660896746756</v>
      </c>
      <c r="P854" s="1">
        <f t="shared" si="1884"/>
        <v>0.12148611568839256</v>
      </c>
      <c r="Q854" s="1">
        <f t="shared" si="1885"/>
        <v>0</v>
      </c>
      <c r="R854" s="1">
        <f t="shared" si="1886"/>
        <v>0.98501662208108554</v>
      </c>
      <c r="S854" s="1">
        <f t="shared" si="1887"/>
        <v>1.5915162853675877</v>
      </c>
      <c r="T854" s="1">
        <f t="shared" ref="T854:V854" si="1937">$S854*P854</f>
        <v>0.19334713156412756</v>
      </c>
      <c r="U854" s="1">
        <f t="shared" si="1937"/>
        <v>0</v>
      </c>
      <c r="V854" s="1">
        <f t="shared" si="1937"/>
        <v>1.5676699953998183</v>
      </c>
      <c r="W854" s="1">
        <f t="shared" si="1889"/>
        <v>-19.343169341490469</v>
      </c>
      <c r="X854" s="1">
        <f t="shared" si="1890"/>
        <v>0</v>
      </c>
      <c r="Y854" s="1">
        <f t="shared" si="1891"/>
        <v>-5.8294617820758914</v>
      </c>
    </row>
    <row r="855" spans="1:25">
      <c r="A855" s="1">
        <v>0.85299999999999998</v>
      </c>
      <c r="B855" s="1">
        <f t="shared" si="1892"/>
        <v>34.737799878624664</v>
      </c>
      <c r="C855" s="1">
        <f t="shared" si="1893"/>
        <v>0</v>
      </c>
      <c r="D855" s="1">
        <f t="shared" si="1894"/>
        <v>-0.41473960967746193</v>
      </c>
      <c r="E855" s="1">
        <f t="shared" si="1895"/>
        <v>21.808020534021598</v>
      </c>
      <c r="F855" s="1">
        <f t="shared" si="1896"/>
        <v>0</v>
      </c>
      <c r="G855" s="1">
        <f t="shared" si="1897"/>
        <v>-2.6978872124797095</v>
      </c>
      <c r="H855" s="1">
        <f t="shared" si="1728"/>
        <v>21.974265744810889</v>
      </c>
      <c r="I855" s="1">
        <f t="shared" si="1880"/>
        <v>-19.50279955405691</v>
      </c>
      <c r="J855" s="1">
        <f t="shared" si="1881"/>
        <v>0</v>
      </c>
      <c r="K855" s="1">
        <f t="shared" si="1882"/>
        <v>2.4127065288828478</v>
      </c>
      <c r="L855" s="1">
        <f t="shared" ref="L855:N855" si="1938">E855/$H855</f>
        <v>0.99243454990851976</v>
      </c>
      <c r="M855" s="1">
        <f t="shared" si="1938"/>
        <v>0</v>
      </c>
      <c r="N855" s="1">
        <f t="shared" si="1938"/>
        <v>-0.12277485144716618</v>
      </c>
      <c r="O855" s="1">
        <f t="shared" si="1730"/>
        <v>-0.12277485144716618</v>
      </c>
      <c r="P855" s="1">
        <f t="shared" si="1884"/>
        <v>0.12184600443605374</v>
      </c>
      <c r="Q855" s="1">
        <f t="shared" si="1885"/>
        <v>0</v>
      </c>
      <c r="R855" s="1">
        <f t="shared" si="1886"/>
        <v>0.9849263358521263</v>
      </c>
      <c r="S855" s="1">
        <f t="shared" si="1887"/>
        <v>1.5888423994811032</v>
      </c>
      <c r="T855" s="1">
        <f t="shared" ref="T855:V855" si="1939">$S855*P855</f>
        <v>0.19359409805536476</v>
      </c>
      <c r="U855" s="1">
        <f t="shared" si="1939"/>
        <v>0</v>
      </c>
      <c r="V855" s="1">
        <f t="shared" si="1939"/>
        <v>1.5648927227674232</v>
      </c>
      <c r="W855" s="1">
        <f t="shared" si="1889"/>
        <v>-19.309205456001546</v>
      </c>
      <c r="X855" s="1">
        <f t="shared" si="1890"/>
        <v>0</v>
      </c>
      <c r="Y855" s="1">
        <f t="shared" si="1891"/>
        <v>-5.8290507483497285</v>
      </c>
    </row>
    <row r="856" spans="1:25">
      <c r="A856" s="1">
        <v>0.85399999999999998</v>
      </c>
      <c r="B856" s="1">
        <f t="shared" si="1892"/>
        <v>34.759588589953232</v>
      </c>
      <c r="C856" s="1">
        <f t="shared" si="1893"/>
        <v>0</v>
      </c>
      <c r="D856" s="1">
        <f t="shared" si="1894"/>
        <v>-0.41744332594069</v>
      </c>
      <c r="E856" s="1">
        <f t="shared" si="1895"/>
        <v>21.788711328565597</v>
      </c>
      <c r="F856" s="1">
        <f t="shared" si="1896"/>
        <v>0</v>
      </c>
      <c r="G856" s="1">
        <f t="shared" si="1897"/>
        <v>-2.7037162632280594</v>
      </c>
      <c r="H856" s="1">
        <f t="shared" si="1728"/>
        <v>21.955819797757648</v>
      </c>
      <c r="I856" s="1">
        <f t="shared" si="1880"/>
        <v>-19.469174613144261</v>
      </c>
      <c r="J856" s="1">
        <f t="shared" si="1881"/>
        <v>0</v>
      </c>
      <c r="K856" s="1">
        <f t="shared" si="1882"/>
        <v>2.4158897347992156</v>
      </c>
      <c r="L856" s="1">
        <f t="shared" ref="L856:N856" si="1940">E856/$H856</f>
        <v>0.99238887590026958</v>
      </c>
      <c r="M856" s="1">
        <f t="shared" si="1940"/>
        <v>0</v>
      </c>
      <c r="N856" s="1">
        <f t="shared" si="1940"/>
        <v>-0.12314348943163536</v>
      </c>
      <c r="O856" s="1">
        <f t="shared" si="1730"/>
        <v>-0.12314348943163536</v>
      </c>
      <c r="P856" s="1">
        <f t="shared" si="1884"/>
        <v>0.12220622905149735</v>
      </c>
      <c r="Q856" s="1">
        <f t="shared" si="1885"/>
        <v>0</v>
      </c>
      <c r="R856" s="1">
        <f t="shared" si="1886"/>
        <v>0.98483568101060071</v>
      </c>
      <c r="S856" s="1">
        <f t="shared" si="1887"/>
        <v>1.5861760622141334</v>
      </c>
      <c r="T856" s="1">
        <f t="shared" ref="T856:V856" si="1941">$S856*P856</f>
        <v>0.19384059517494251</v>
      </c>
      <c r="U856" s="1">
        <f t="shared" si="1941"/>
        <v>0</v>
      </c>
      <c r="V856" s="1">
        <f t="shared" si="1941"/>
        <v>1.562122782433369</v>
      </c>
      <c r="W856" s="1">
        <f t="shared" si="1889"/>
        <v>-19.275334017969318</v>
      </c>
      <c r="X856" s="1">
        <f t="shared" si="1890"/>
        <v>0</v>
      </c>
      <c r="Y856" s="1">
        <f t="shared" si="1891"/>
        <v>-5.828637482767415</v>
      </c>
    </row>
    <row r="857" spans="1:25">
      <c r="A857" s="1">
        <v>0.85499999999999998</v>
      </c>
      <c r="B857" s="1">
        <f t="shared" si="1892"/>
        <v>34.781358025947782</v>
      </c>
      <c r="C857" s="1">
        <f t="shared" si="1893"/>
        <v>0</v>
      </c>
      <c r="D857" s="1">
        <f t="shared" si="1894"/>
        <v>-0.42015287084140085</v>
      </c>
      <c r="E857" s="1">
        <f t="shared" si="1895"/>
        <v>21.769435994547628</v>
      </c>
      <c r="F857" s="1">
        <f t="shared" si="1896"/>
        <v>0</v>
      </c>
      <c r="G857" s="1">
        <f t="shared" si="1897"/>
        <v>-2.709544900710827</v>
      </c>
      <c r="H857" s="1">
        <f t="shared" si="1728"/>
        <v>21.937410446305506</v>
      </c>
      <c r="I857" s="1">
        <f t="shared" si="1880"/>
        <v>-19.435641325521885</v>
      </c>
      <c r="J857" s="1">
        <f t="shared" si="1881"/>
        <v>0</v>
      </c>
      <c r="K857" s="1">
        <f t="shared" si="1882"/>
        <v>2.4190678554466043</v>
      </c>
      <c r="L857" s="1">
        <f t="shared" ref="L857:N857" si="1942">E857/$H857</f>
        <v>0.99234301367661348</v>
      </c>
      <c r="M857" s="1">
        <f t="shared" si="1942"/>
        <v>0</v>
      </c>
      <c r="N857" s="1">
        <f t="shared" si="1942"/>
        <v>-0.12351252247127205</v>
      </c>
      <c r="O857" s="1">
        <f t="shared" si="1730"/>
        <v>-0.12351252247127205</v>
      </c>
      <c r="P857" s="1">
        <f t="shared" si="1884"/>
        <v>0.12256678877594254</v>
      </c>
      <c r="Q857" s="1">
        <f t="shared" si="1885"/>
        <v>0</v>
      </c>
      <c r="R857" s="1">
        <f t="shared" si="1886"/>
        <v>0.98474465679278356</v>
      </c>
      <c r="S857" s="1">
        <f t="shared" si="1887"/>
        <v>1.5835172472879511</v>
      </c>
      <c r="T857" s="1">
        <f t="shared" ref="T857:V857" si="1943">$S857*P857</f>
        <v>0.19408662397140428</v>
      </c>
      <c r="U857" s="1">
        <f t="shared" si="1943"/>
        <v>0</v>
      </c>
      <c r="V857" s="1">
        <f t="shared" si="1943"/>
        <v>1.5593601482060266</v>
      </c>
      <c r="W857" s="1">
        <f t="shared" si="1889"/>
        <v>-19.241554701550481</v>
      </c>
      <c r="X857" s="1">
        <f t="shared" si="1890"/>
        <v>0</v>
      </c>
      <c r="Y857" s="1">
        <f t="shared" si="1891"/>
        <v>-5.8282219963473683</v>
      </c>
    </row>
    <row r="858" spans="1:25">
      <c r="A858" s="1">
        <v>0.85599999999999998</v>
      </c>
      <c r="B858" s="1">
        <f t="shared" si="1892"/>
        <v>34.803108220387628</v>
      </c>
      <c r="C858" s="1">
        <f t="shared" si="1893"/>
        <v>0</v>
      </c>
      <c r="D858" s="1">
        <f t="shared" si="1894"/>
        <v>-0.42286824396410805</v>
      </c>
      <c r="E858" s="1">
        <f t="shared" si="1895"/>
        <v>21.750194439846076</v>
      </c>
      <c r="F858" s="1">
        <f t="shared" si="1896"/>
        <v>0</v>
      </c>
      <c r="G858" s="1">
        <f t="shared" si="1897"/>
        <v>-2.7153731227071742</v>
      </c>
      <c r="H858" s="1">
        <f t="shared" si="1728"/>
        <v>21.919037601286963</v>
      </c>
      <c r="I858" s="1">
        <f t="shared" si="1880"/>
        <v>-19.402199367830523</v>
      </c>
      <c r="J858" s="1">
        <f t="shared" si="1881"/>
        <v>0</v>
      </c>
      <c r="K858" s="1">
        <f t="shared" si="1882"/>
        <v>2.4222409059615733</v>
      </c>
      <c r="L858" s="1">
        <f t="shared" ref="L858:N858" si="1944">E858/$H858</f>
        <v>0.99229696282691837</v>
      </c>
      <c r="M858" s="1">
        <f t="shared" si="1944"/>
        <v>0</v>
      </c>
      <c r="N858" s="1">
        <f t="shared" si="1944"/>
        <v>-0.1238819501157178</v>
      </c>
      <c r="O858" s="1">
        <f t="shared" si="1730"/>
        <v>-0.1238819501157178</v>
      </c>
      <c r="P858" s="1">
        <f t="shared" si="1884"/>
        <v>0.12292768284890258</v>
      </c>
      <c r="Q858" s="1">
        <f t="shared" si="1885"/>
        <v>0</v>
      </c>
      <c r="R858" s="1">
        <f t="shared" si="1886"/>
        <v>0.98465326243552675</v>
      </c>
      <c r="S858" s="1">
        <f t="shared" si="1887"/>
        <v>1.5808659285399245</v>
      </c>
      <c r="T858" s="1">
        <f t="shared" ref="T858:V858" si="1945">$S858*P858</f>
        <v>0.19433218549019174</v>
      </c>
      <c r="U858" s="1">
        <f t="shared" si="1945"/>
        <v>0</v>
      </c>
      <c r="V858" s="1">
        <f t="shared" si="1945"/>
        <v>1.556604794010005</v>
      </c>
      <c r="W858" s="1">
        <f t="shared" si="1889"/>
        <v>-19.20786718234033</v>
      </c>
      <c r="X858" s="1">
        <f t="shared" si="1890"/>
        <v>0</v>
      </c>
      <c r="Y858" s="1">
        <f t="shared" si="1891"/>
        <v>-5.8278043000284212</v>
      </c>
    </row>
    <row r="859" spans="1:25">
      <c r="A859" s="1">
        <v>0.85699999999999998</v>
      </c>
      <c r="B859" s="1">
        <f t="shared" si="1892"/>
        <v>34.824839206960291</v>
      </c>
      <c r="C859" s="1">
        <f t="shared" si="1893"/>
        <v>0</v>
      </c>
      <c r="D859" s="1">
        <f t="shared" si="1894"/>
        <v>-0.42558944489111528</v>
      </c>
      <c r="E859" s="1">
        <f t="shared" si="1895"/>
        <v>21.730986572663735</v>
      </c>
      <c r="F859" s="1">
        <f t="shared" si="1896"/>
        <v>0</v>
      </c>
      <c r="G859" s="1">
        <f t="shared" si="1897"/>
        <v>-2.7212009270072026</v>
      </c>
      <c r="H859" s="1">
        <f t="shared" si="1728"/>
        <v>21.90070117385369</v>
      </c>
      <c r="I859" s="1">
        <f t="shared" si="1880"/>
        <v>-19.3688484181388</v>
      </c>
      <c r="J859" s="1">
        <f t="shared" si="1881"/>
        <v>0</v>
      </c>
      <c r="K859" s="1">
        <f t="shared" si="1882"/>
        <v>2.4254089014441211</v>
      </c>
      <c r="L859" s="1">
        <f t="shared" ref="L859:N859" si="1946">E859/$H859</f>
        <v>0.9922507229406623</v>
      </c>
      <c r="M859" s="1">
        <f t="shared" si="1946"/>
        <v>0</v>
      </c>
      <c r="N859" s="1">
        <f t="shared" si="1946"/>
        <v>-0.12425177191385671</v>
      </c>
      <c r="O859" s="1">
        <f t="shared" si="1730"/>
        <v>-0.12425177191385671</v>
      </c>
      <c r="P859" s="1">
        <f t="shared" si="1884"/>
        <v>0.12328891050818259</v>
      </c>
      <c r="Q859" s="1">
        <f t="shared" si="1885"/>
        <v>0</v>
      </c>
      <c r="R859" s="1">
        <f t="shared" si="1886"/>
        <v>0.98456149717626695</v>
      </c>
      <c r="S859" s="1">
        <f t="shared" si="1887"/>
        <v>1.5782220799229003</v>
      </c>
      <c r="T859" s="1">
        <f t="shared" ref="T859:V859" si="1947">$S859*P859</f>
        <v>0.19457728077365224</v>
      </c>
      <c r="U859" s="1">
        <f t="shared" si="1947"/>
        <v>0</v>
      </c>
      <c r="V859" s="1">
        <f t="shared" si="1947"/>
        <v>1.5538566938855327</v>
      </c>
      <c r="W859" s="1">
        <f t="shared" si="1889"/>
        <v>-19.174271137365146</v>
      </c>
      <c r="X859" s="1">
        <f t="shared" si="1890"/>
        <v>0</v>
      </c>
      <c r="Y859" s="1">
        <f t="shared" si="1891"/>
        <v>-5.8273844046703456</v>
      </c>
    </row>
    <row r="860" spans="1:25">
      <c r="A860" s="1">
        <v>0.85799999999999998</v>
      </c>
      <c r="B860" s="1">
        <f t="shared" si="1892"/>
        <v>34.846551019261817</v>
      </c>
      <c r="C860" s="1">
        <f t="shared" si="1893"/>
        <v>0</v>
      </c>
      <c r="D860" s="1">
        <f t="shared" si="1894"/>
        <v>-0.42831647320252714</v>
      </c>
      <c r="E860" s="1">
        <f t="shared" si="1895"/>
        <v>21.711812301526368</v>
      </c>
      <c r="F860" s="1">
        <f t="shared" si="1896"/>
        <v>0</v>
      </c>
      <c r="G860" s="1">
        <f t="shared" si="1897"/>
        <v>-2.727028311411873</v>
      </c>
      <c r="H860" s="1">
        <f t="shared" si="1728"/>
        <v>21.882401075475098</v>
      </c>
      <c r="I860" s="1">
        <f t="shared" si="1880"/>
        <v>-19.335588155935632</v>
      </c>
      <c r="J860" s="1">
        <f t="shared" si="1881"/>
        <v>0</v>
      </c>
      <c r="K860" s="1">
        <f t="shared" si="1882"/>
        <v>2.4285718569577752</v>
      </c>
      <c r="L860" s="1">
        <f t="shared" ref="L860:N860" si="1948">E860/$H860</f>
        <v>0.99220429360743601</v>
      </c>
      <c r="M860" s="1">
        <f t="shared" si="1948"/>
        <v>0</v>
      </c>
      <c r="N860" s="1">
        <f t="shared" si="1948"/>
        <v>-0.12462198741381333</v>
      </c>
      <c r="O860" s="1">
        <f t="shared" si="1730"/>
        <v>-0.12462198741381333</v>
      </c>
      <c r="P860" s="1">
        <f t="shared" si="1884"/>
        <v>0.12365047098987744</v>
      </c>
      <c r="Q860" s="1">
        <f t="shared" si="1885"/>
        <v>0</v>
      </c>
      <c r="R860" s="1">
        <f t="shared" si="1886"/>
        <v>0.98446936025303133</v>
      </c>
      <c r="S860" s="1">
        <f t="shared" si="1887"/>
        <v>1.5755856755045932</v>
      </c>
      <c r="T860" s="1">
        <f t="shared" ref="T860:V860" si="1949">$S860*P860</f>
        <v>0.19482191086104714</v>
      </c>
      <c r="U860" s="1">
        <f t="shared" si="1949"/>
        <v>0</v>
      </c>
      <c r="V860" s="1">
        <f t="shared" si="1949"/>
        <v>1.5511158219878471</v>
      </c>
      <c r="W860" s="1">
        <f t="shared" si="1889"/>
        <v>-19.140766245074584</v>
      </c>
      <c r="X860" s="1">
        <f t="shared" si="1890"/>
        <v>0</v>
      </c>
      <c r="Y860" s="1">
        <f t="shared" si="1891"/>
        <v>-5.8269623210543768</v>
      </c>
    </row>
    <row r="861" spans="1:25">
      <c r="A861" s="1">
        <v>0.85899999999999999</v>
      </c>
      <c r="B861" s="1">
        <f t="shared" si="1892"/>
        <v>34.868243690797101</v>
      </c>
      <c r="C861" s="1">
        <f t="shared" si="1893"/>
        <v>0</v>
      </c>
      <c r="D861" s="1">
        <f t="shared" si="1894"/>
        <v>-0.43104932847626004</v>
      </c>
      <c r="E861" s="1">
        <f t="shared" si="1895"/>
        <v>21.692671535281296</v>
      </c>
      <c r="F861" s="1">
        <f t="shared" si="1896"/>
        <v>0</v>
      </c>
      <c r="G861" s="1">
        <f t="shared" si="1897"/>
        <v>-2.7328552737329272</v>
      </c>
      <c r="H861" s="1">
        <f t="shared" si="1728"/>
        <v>21.864137217936893</v>
      </c>
      <c r="I861" s="1">
        <f t="shared" si="1880"/>
        <v>-19.302418262122693</v>
      </c>
      <c r="J861" s="1">
        <f t="shared" si="1881"/>
        <v>0</v>
      </c>
      <c r="K861" s="1">
        <f t="shared" si="1882"/>
        <v>2.4317297875296817</v>
      </c>
      <c r="L861" s="1">
        <f t="shared" ref="L861:N861" si="1950">E861/$H861</f>
        <v>0.99215767441694747</v>
      </c>
      <c r="M861" s="1">
        <f t="shared" si="1950"/>
        <v>0</v>
      </c>
      <c r="N861" s="1">
        <f t="shared" si="1950"/>
        <v>-0.12499259616295073</v>
      </c>
      <c r="O861" s="1">
        <f t="shared" si="1730"/>
        <v>-0.12499259616295073</v>
      </c>
      <c r="P861" s="1">
        <f t="shared" si="1884"/>
        <v>0.12401236352836988</v>
      </c>
      <c r="Q861" s="1">
        <f t="shared" si="1885"/>
        <v>0</v>
      </c>
      <c r="R861" s="1">
        <f t="shared" si="1886"/>
        <v>0.98437685090444549</v>
      </c>
      <c r="S861" s="1">
        <f t="shared" si="1887"/>
        <v>1.5729566894669729</v>
      </c>
      <c r="T861" s="1">
        <f t="shared" ref="T861:V861" si="1951">$S861*P861</f>
        <v>0.19506607678855944</v>
      </c>
      <c r="U861" s="1">
        <f t="shared" si="1951"/>
        <v>0</v>
      </c>
      <c r="V861" s="1">
        <f t="shared" si="1951"/>
        <v>1.5483821525865804</v>
      </c>
      <c r="W861" s="1">
        <f t="shared" si="1889"/>
        <v>-19.107352185334133</v>
      </c>
      <c r="X861" s="1">
        <f t="shared" si="1890"/>
        <v>0</v>
      </c>
      <c r="Y861" s="1">
        <f t="shared" si="1891"/>
        <v>-5.8265380598837373</v>
      </c>
    </row>
    <row r="862" spans="1:25">
      <c r="A862" s="1">
        <v>0.86</v>
      </c>
      <c r="B862" s="1">
        <f t="shared" si="1892"/>
        <v>34.889917254980197</v>
      </c>
      <c r="C862" s="1">
        <f t="shared" si="1893"/>
        <v>0</v>
      </c>
      <c r="D862" s="1">
        <f t="shared" si="1894"/>
        <v>-0.43378801028805286</v>
      </c>
      <c r="E862" s="1">
        <f t="shared" si="1895"/>
        <v>21.673564183095962</v>
      </c>
      <c r="F862" s="1">
        <f t="shared" si="1896"/>
        <v>0</v>
      </c>
      <c r="G862" s="1">
        <f t="shared" si="1897"/>
        <v>-2.7386818117928109</v>
      </c>
      <c r="H862" s="1">
        <f t="shared" si="1728"/>
        <v>21.845909513339674</v>
      </c>
      <c r="I862" s="1">
        <f t="shared" si="1880"/>
        <v>-19.2693384190069</v>
      </c>
      <c r="J862" s="1">
        <f t="shared" si="1881"/>
        <v>0</v>
      </c>
      <c r="K862" s="1">
        <f t="shared" si="1882"/>
        <v>2.4348827081506967</v>
      </c>
      <c r="L862" s="1">
        <f t="shared" ref="L862:N862" si="1952">E862/$H862</f>
        <v>0.99211086495902256</v>
      </c>
      <c r="M862" s="1">
        <f t="shared" si="1952"/>
        <v>0</v>
      </c>
      <c r="N862" s="1">
        <f t="shared" si="1952"/>
        <v>-0.12536359770786845</v>
      </c>
      <c r="O862" s="1">
        <f t="shared" si="1730"/>
        <v>-0.12536359770786845</v>
      </c>
      <c r="P862" s="1">
        <f t="shared" si="1884"/>
        <v>0.12437458735632831</v>
      </c>
      <c r="Q862" s="1">
        <f t="shared" si="1885"/>
        <v>0</v>
      </c>
      <c r="R862" s="1">
        <f t="shared" si="1886"/>
        <v>0.98428396836973975</v>
      </c>
      <c r="S862" s="1">
        <f t="shared" si="1887"/>
        <v>1.5703350961056624</v>
      </c>
      <c r="T862" s="1">
        <f t="shared" ref="T862:V862" si="1953">$S862*P862</f>
        <v>0.1953097795893019</v>
      </c>
      <c r="U862" s="1">
        <f t="shared" si="1953"/>
        <v>0</v>
      </c>
      <c r="V862" s="1">
        <f t="shared" si="1953"/>
        <v>1.5456556600651581</v>
      </c>
      <c r="W862" s="1">
        <f t="shared" si="1889"/>
        <v>-19.074028639417598</v>
      </c>
      <c r="X862" s="1">
        <f t="shared" si="1890"/>
        <v>0</v>
      </c>
      <c r="Y862" s="1">
        <f t="shared" si="1891"/>
        <v>-5.8261116317841442</v>
      </c>
    </row>
    <row r="863" spans="1:25">
      <c r="A863" s="1">
        <v>0.86099999999999999</v>
      </c>
      <c r="B863" s="1">
        <f t="shared" si="1892"/>
        <v>34.911571745134651</v>
      </c>
      <c r="C863" s="1">
        <f t="shared" si="1893"/>
        <v>0</v>
      </c>
      <c r="D863" s="1">
        <f t="shared" si="1894"/>
        <v>-0.43653251821147748</v>
      </c>
      <c r="E863" s="1">
        <f t="shared" si="1895"/>
        <v>21.654490154456546</v>
      </c>
      <c r="F863" s="1">
        <f t="shared" si="1896"/>
        <v>0</v>
      </c>
      <c r="G863" s="1">
        <f t="shared" si="1897"/>
        <v>-2.744507923424595</v>
      </c>
      <c r="H863" s="1">
        <f t="shared" si="1728"/>
        <v>21.827717874097509</v>
      </c>
      <c r="I863" s="1">
        <f t="shared" si="1880"/>
        <v>-19.236348310293007</v>
      </c>
      <c r="J863" s="1">
        <f t="shared" si="1881"/>
        <v>0</v>
      </c>
      <c r="K863" s="1">
        <f t="shared" si="1882"/>
        <v>2.4380306337754747</v>
      </c>
      <c r="L863" s="1">
        <f t="shared" ref="L863:N863" si="1954">E863/$H863</f>
        <v>0.99206386482360909</v>
      </c>
      <c r="M863" s="1">
        <f t="shared" si="1954"/>
        <v>0</v>
      </c>
      <c r="N863" s="1">
        <f t="shared" si="1954"/>
        <v>-0.12573499159440046</v>
      </c>
      <c r="O863" s="1">
        <f t="shared" si="1730"/>
        <v>-0.12573499159440046</v>
      </c>
      <c r="P863" s="1">
        <f t="shared" si="1884"/>
        <v>0.12473714170470493</v>
      </c>
      <c r="Q863" s="1">
        <f t="shared" si="1885"/>
        <v>0</v>
      </c>
      <c r="R863" s="1">
        <f t="shared" si="1886"/>
        <v>0.98419071188875606</v>
      </c>
      <c r="S863" s="1">
        <f t="shared" si="1887"/>
        <v>1.5677208698293343</v>
      </c>
      <c r="T863" s="1">
        <f t="shared" ref="T863:V863" si="1955">$S863*P863</f>
        <v>0.19555302029332494</v>
      </c>
      <c r="U863" s="1">
        <f t="shared" si="1955"/>
        <v>0</v>
      </c>
      <c r="V863" s="1">
        <f t="shared" si="1955"/>
        <v>1.5429363189201923</v>
      </c>
      <c r="W863" s="1">
        <f t="shared" si="1889"/>
        <v>-19.040795289999682</v>
      </c>
      <c r="X863" s="1">
        <f t="shared" si="1890"/>
        <v>0</v>
      </c>
      <c r="Y863" s="1">
        <f t="shared" si="1891"/>
        <v>-5.8256830473043326</v>
      </c>
    </row>
    <row r="864" spans="1:25">
      <c r="A864" s="1">
        <v>0.86199999999999999</v>
      </c>
      <c r="B864" s="1">
        <f t="shared" si="1892"/>
        <v>34.933207194493818</v>
      </c>
      <c r="C864" s="1">
        <f t="shared" si="1893"/>
        <v>0</v>
      </c>
      <c r="D864" s="1">
        <f t="shared" si="1894"/>
        <v>-0.4392828518179494</v>
      </c>
      <c r="E864" s="1">
        <f t="shared" si="1895"/>
        <v>21.635449359166547</v>
      </c>
      <c r="F864" s="1">
        <f t="shared" si="1896"/>
        <v>0</v>
      </c>
      <c r="G864" s="1">
        <f t="shared" si="1897"/>
        <v>-2.7503336064718993</v>
      </c>
      <c r="H864" s="1">
        <f t="shared" si="1728"/>
        <v>21.809562212936527</v>
      </c>
      <c r="I864" s="1">
        <f t="shared" si="1880"/>
        <v>-19.203447621076144</v>
      </c>
      <c r="J864" s="1">
        <f t="shared" si="1881"/>
        <v>0</v>
      </c>
      <c r="K864" s="1">
        <f t="shared" si="1882"/>
        <v>2.4411735793225589</v>
      </c>
      <c r="L864" s="1">
        <f t="shared" ref="L864:N864" si="1956">E864/$H864</f>
        <v>0.99201667360077939</v>
      </c>
      <c r="M864" s="1">
        <f t="shared" si="1956"/>
        <v>0</v>
      </c>
      <c r="N864" s="1">
        <f t="shared" si="1956"/>
        <v>-0.12610677736761336</v>
      </c>
      <c r="O864" s="1">
        <f t="shared" si="1730"/>
        <v>-0.12610677736761336</v>
      </c>
      <c r="P864" s="1">
        <f t="shared" si="1884"/>
        <v>0.12510002580273386</v>
      </c>
      <c r="Q864" s="1">
        <f t="shared" si="1885"/>
        <v>0</v>
      </c>
      <c r="R864" s="1">
        <f t="shared" si="1886"/>
        <v>0.98409708070195523</v>
      </c>
      <c r="S864" s="1">
        <f t="shared" si="1887"/>
        <v>1.5651139851591132</v>
      </c>
      <c r="T864" s="1">
        <f t="shared" ref="T864:V864" si="1957">$S864*P864</f>
        <v>0.19579579992762466</v>
      </c>
      <c r="U864" s="1">
        <f t="shared" si="1957"/>
        <v>0</v>
      </c>
      <c r="V864" s="1">
        <f t="shared" si="1957"/>
        <v>1.5402241037608866</v>
      </c>
      <c r="W864" s="1">
        <f t="shared" si="1889"/>
        <v>-19.007651821148521</v>
      </c>
      <c r="X864" s="1">
        <f t="shared" si="1890"/>
        <v>0</v>
      </c>
      <c r="Y864" s="1">
        <f t="shared" si="1891"/>
        <v>-5.8252523169165542</v>
      </c>
    </row>
    <row r="865" spans="1:25">
      <c r="A865" s="1">
        <v>0.86299999999999999</v>
      </c>
      <c r="B865" s="1">
        <f t="shared" si="1892"/>
        <v>34.954823636201162</v>
      </c>
      <c r="C865" s="1">
        <f t="shared" si="1893"/>
        <v>0</v>
      </c>
      <c r="D865" s="1">
        <f t="shared" si="1894"/>
        <v>-0.44203901067673823</v>
      </c>
      <c r="E865" s="1">
        <f t="shared" si="1895"/>
        <v>21.616441707345398</v>
      </c>
      <c r="F865" s="1">
        <f t="shared" si="1896"/>
        <v>0</v>
      </c>
      <c r="G865" s="1">
        <f t="shared" si="1897"/>
        <v>-2.7561588587888157</v>
      </c>
      <c r="H865" s="1">
        <f t="shared" si="1728"/>
        <v>21.791442442893533</v>
      </c>
      <c r="I865" s="1">
        <f t="shared" si="1880"/>
        <v>-19.17063603783452</v>
      </c>
      <c r="J865" s="1">
        <f t="shared" si="1881"/>
        <v>0</v>
      </c>
      <c r="K865" s="1">
        <f t="shared" si="1882"/>
        <v>2.444311559674472</v>
      </c>
      <c r="L865" s="1">
        <f t="shared" ref="L865:N865" si="1958">E865/$H865</f>
        <v>0.9919692908807326</v>
      </c>
      <c r="M865" s="1">
        <f t="shared" si="1958"/>
        <v>0</v>
      </c>
      <c r="N865" s="1">
        <f t="shared" si="1958"/>
        <v>-0.12647895457180414</v>
      </c>
      <c r="O865" s="1">
        <f t="shared" si="1730"/>
        <v>-0.12647895457180414</v>
      </c>
      <c r="P865" s="1">
        <f t="shared" si="1884"/>
        <v>0.12546323887792893</v>
      </c>
      <c r="Q865" s="1">
        <f t="shared" si="1885"/>
        <v>0</v>
      </c>
      <c r="R865" s="1">
        <f t="shared" si="1886"/>
        <v>0.98400307405042353</v>
      </c>
      <c r="S865" s="1">
        <f t="shared" si="1887"/>
        <v>1.5625144167279823</v>
      </c>
      <c r="T865" s="1">
        <f t="shared" ref="T865:V865" si="1959">$S865*P865</f>
        <v>0.19603811951615063</v>
      </c>
      <c r="U865" s="1">
        <f t="shared" si="1959"/>
        <v>0</v>
      </c>
      <c r="V865" s="1">
        <f t="shared" si="1959"/>
        <v>1.5375189893084391</v>
      </c>
      <c r="W865" s="1">
        <f t="shared" si="1889"/>
        <v>-18.97459791831837</v>
      </c>
      <c r="X865" s="1">
        <f t="shared" si="1890"/>
        <v>0</v>
      </c>
      <c r="Y865" s="1">
        <f t="shared" si="1891"/>
        <v>-5.8248194510170883</v>
      </c>
    </row>
    <row r="866" spans="1:25">
      <c r="A866" s="1">
        <v>0.86399999999999999</v>
      </c>
      <c r="B866" s="1">
        <f t="shared" si="1892"/>
        <v>34.976421103310592</v>
      </c>
      <c r="C866" s="1">
        <f t="shared" si="1893"/>
        <v>0</v>
      </c>
      <c r="D866" s="1">
        <f t="shared" si="1894"/>
        <v>-0.44480099435497805</v>
      </c>
      <c r="E866" s="1">
        <f t="shared" si="1895"/>
        <v>21.597467109427079</v>
      </c>
      <c r="F866" s="1">
        <f t="shared" si="1896"/>
        <v>0</v>
      </c>
      <c r="G866" s="1">
        <f t="shared" si="1897"/>
        <v>-2.7619836782398326</v>
      </c>
      <c r="H866" s="1">
        <f t="shared" si="1728"/>
        <v>21.773358477314602</v>
      </c>
      <c r="I866" s="1">
        <f t="shared" si="1880"/>
        <v>-19.137913248422073</v>
      </c>
      <c r="J866" s="1">
        <f t="shared" si="1881"/>
        <v>0</v>
      </c>
      <c r="K866" s="1">
        <f t="shared" si="1882"/>
        <v>2.4474445896778039</v>
      </c>
      <c r="L866" s="1">
        <f t="shared" ref="L866:N866" si="1960">E866/$H866</f>
        <v>0.99192171625379788</v>
      </c>
      <c r="M866" s="1">
        <f t="shared" si="1960"/>
        <v>0</v>
      </c>
      <c r="N866" s="1">
        <f t="shared" si="1960"/>
        <v>-0.12685152275049849</v>
      </c>
      <c r="O866" s="1">
        <f t="shared" si="1730"/>
        <v>-0.12685152275049849</v>
      </c>
      <c r="P866" s="1">
        <f t="shared" si="1884"/>
        <v>0.12582678015608215</v>
      </c>
      <c r="Q866" s="1">
        <f t="shared" si="1885"/>
        <v>0</v>
      </c>
      <c r="R866" s="1">
        <f t="shared" si="1886"/>
        <v>0.98390869117587976</v>
      </c>
      <c r="S866" s="1">
        <f t="shared" si="1887"/>
        <v>1.5599221392801919</v>
      </c>
      <c r="T866" s="1">
        <f t="shared" ref="T866:V866" si="1961">$S866*P866</f>
        <v>0.19627998007981406</v>
      </c>
      <c r="U866" s="1">
        <f t="shared" si="1961"/>
        <v>0</v>
      </c>
      <c r="V866" s="1">
        <f t="shared" si="1961"/>
        <v>1.534820950395452</v>
      </c>
      <c r="W866" s="1">
        <f t="shared" si="1889"/>
        <v>-18.941633268342258</v>
      </c>
      <c r="X866" s="1">
        <f t="shared" si="1890"/>
        <v>0</v>
      </c>
      <c r="Y866" s="1">
        <f t="shared" si="1891"/>
        <v>-5.824384459926744</v>
      </c>
    </row>
    <row r="867" spans="1:25">
      <c r="A867" s="1">
        <v>0.86499999999999999</v>
      </c>
      <c r="B867" s="1">
        <f t="shared" si="1892"/>
        <v>34.997999628786751</v>
      </c>
      <c r="C867" s="1">
        <f t="shared" si="1893"/>
        <v>0</v>
      </c>
      <c r="D867" s="1">
        <f t="shared" si="1894"/>
        <v>-0.44756880241767782</v>
      </c>
      <c r="E867" s="1">
        <f t="shared" si="1895"/>
        <v>21.578525476158738</v>
      </c>
      <c r="F867" s="1">
        <f t="shared" si="1896"/>
        <v>0</v>
      </c>
      <c r="G867" s="1">
        <f t="shared" si="1897"/>
        <v>-2.7678080626997592</v>
      </c>
      <c r="H867" s="1">
        <f t="shared" si="1728"/>
        <v>21.755310229853713</v>
      </c>
      <c r="I867" s="1">
        <f t="shared" si="1880"/>
        <v>-19.105278942061236</v>
      </c>
      <c r="J867" s="1">
        <f t="shared" si="1881"/>
        <v>0</v>
      </c>
      <c r="K867" s="1">
        <f t="shared" si="1882"/>
        <v>2.4505726841433053</v>
      </c>
      <c r="L867" s="1">
        <f t="shared" ref="L867:N867" si="1962">E867/$H867</f>
        <v>0.99187394931043638</v>
      </c>
      <c r="M867" s="1">
        <f t="shared" si="1962"/>
        <v>0</v>
      </c>
      <c r="N867" s="1">
        <f t="shared" si="1962"/>
        <v>-0.12722448144644868</v>
      </c>
      <c r="O867" s="1">
        <f t="shared" si="1730"/>
        <v>-0.12722448144644868</v>
      </c>
      <c r="P867" s="1">
        <f t="shared" si="1884"/>
        <v>0.12619064886126138</v>
      </c>
      <c r="Q867" s="1">
        <f t="shared" si="1885"/>
        <v>0</v>
      </c>
      <c r="R867" s="1">
        <f t="shared" si="1886"/>
        <v>0.98381393132068218</v>
      </c>
      <c r="S867" s="1">
        <f t="shared" si="1887"/>
        <v>1.5573371276706744</v>
      </c>
      <c r="T867" s="1">
        <f t="shared" ref="T867:V867" si="1963">$S867*P867</f>
        <v>0.19652138263649546</v>
      </c>
      <c r="U867" s="1">
        <f t="shared" si="1963"/>
        <v>0</v>
      </c>
      <c r="V867" s="1">
        <f t="shared" si="1963"/>
        <v>1.5321299619653455</v>
      </c>
      <c r="W867" s="1">
        <f t="shared" si="1889"/>
        <v>-18.908757559424743</v>
      </c>
      <c r="X867" s="1">
        <f t="shared" si="1890"/>
        <v>0</v>
      </c>
      <c r="Y867" s="1">
        <f t="shared" si="1891"/>
        <v>-5.8239473538913487</v>
      </c>
    </row>
    <row r="868" spans="1:25">
      <c r="A868" s="1">
        <v>0.86599999999999999</v>
      </c>
      <c r="B868" s="1">
        <f t="shared" si="1892"/>
        <v>35.019559245505349</v>
      </c>
      <c r="C868" s="1">
        <f t="shared" si="1893"/>
        <v>0</v>
      </c>
      <c r="D868" s="1">
        <f t="shared" si="1894"/>
        <v>-0.45034243442773148</v>
      </c>
      <c r="E868" s="1">
        <f t="shared" si="1895"/>
        <v>21.559616718599312</v>
      </c>
      <c r="F868" s="1">
        <f t="shared" si="1896"/>
        <v>0</v>
      </c>
      <c r="G868" s="1">
        <f t="shared" si="1897"/>
        <v>-2.7736320100536505</v>
      </c>
      <c r="H868" s="1">
        <f t="shared" si="1728"/>
        <v>21.737297614471334</v>
      </c>
      <c r="I868" s="1">
        <f t="shared" si="1880"/>
        <v>-19.072732809335662</v>
      </c>
      <c r="J868" s="1">
        <f t="shared" si="1881"/>
        <v>0</v>
      </c>
      <c r="K868" s="1">
        <f t="shared" si="1882"/>
        <v>2.4536958578459709</v>
      </c>
      <c r="L868" s="1">
        <f t="shared" ref="L868:N868" si="1964">E868/$H868</f>
        <v>0.99182598964124535</v>
      </c>
      <c r="M868" s="1">
        <f t="shared" si="1964"/>
        <v>0</v>
      </c>
      <c r="N868" s="1">
        <f t="shared" si="1964"/>
        <v>-0.12759783020163185</v>
      </c>
      <c r="O868" s="1">
        <f t="shared" si="1730"/>
        <v>-0.12759783020163185</v>
      </c>
      <c r="P868" s="1">
        <f t="shared" si="1884"/>
        <v>0.12655484421580909</v>
      </c>
      <c r="Q868" s="1">
        <f t="shared" si="1885"/>
        <v>0</v>
      </c>
      <c r="R868" s="1">
        <f t="shared" si="1886"/>
        <v>0.98371879372783555</v>
      </c>
      <c r="S868" s="1">
        <f t="shared" si="1887"/>
        <v>1.5547593568644553</v>
      </c>
      <c r="T868" s="1">
        <f t="shared" ref="T868:V868" si="1965">$S868*P868</f>
        <v>0.19676232820105269</v>
      </c>
      <c r="U868" s="1">
        <f t="shared" si="1965"/>
        <v>0</v>
      </c>
      <c r="V868" s="1">
        <f t="shared" si="1965"/>
        <v>1.5294459990717675</v>
      </c>
      <c r="W868" s="1">
        <f t="shared" si="1889"/>
        <v>-18.875970481134608</v>
      </c>
      <c r="X868" s="1">
        <f t="shared" si="1890"/>
        <v>0</v>
      </c>
      <c r="Y868" s="1">
        <f t="shared" si="1891"/>
        <v>-5.8235081430822611</v>
      </c>
    </row>
    <row r="869" spans="1:25">
      <c r="A869" s="1">
        <v>0.86699999999999999</v>
      </c>
      <c r="B869" s="1">
        <f t="shared" si="1892"/>
        <v>35.041099986253464</v>
      </c>
      <c r="C869" s="1">
        <f t="shared" si="1893"/>
        <v>0</v>
      </c>
      <c r="D869" s="1">
        <f t="shared" si="1894"/>
        <v>-0.45312188994592822</v>
      </c>
      <c r="E869" s="1">
        <f t="shared" si="1895"/>
        <v>21.540740748118179</v>
      </c>
      <c r="F869" s="1">
        <f t="shared" si="1896"/>
        <v>0</v>
      </c>
      <c r="G869" s="1">
        <f t="shared" si="1897"/>
        <v>-2.7794555181967326</v>
      </c>
      <c r="H869" s="1">
        <f t="shared" si="1728"/>
        <v>21.719320545433117</v>
      </c>
      <c r="I869" s="1">
        <f t="shared" si="1880"/>
        <v>-19.040274542183116</v>
      </c>
      <c r="J869" s="1">
        <f t="shared" si="1881"/>
        <v>0</v>
      </c>
      <c r="K869" s="1">
        <f t="shared" si="1882"/>
        <v>2.4568141255251361</v>
      </c>
      <c r="L869" s="1">
        <f t="shared" ref="L869:N869" si="1966">E869/$H869</f>
        <v>0.99177783683695908</v>
      </c>
      <c r="M869" s="1">
        <f t="shared" si="1966"/>
        <v>0</v>
      </c>
      <c r="N869" s="1">
        <f t="shared" si="1966"/>
        <v>-0.1279715685572477</v>
      </c>
      <c r="O869" s="1">
        <f t="shared" si="1730"/>
        <v>-0.1279715685572477</v>
      </c>
      <c r="P869" s="1">
        <f t="shared" si="1884"/>
        <v>0.12691936544033974</v>
      </c>
      <c r="Q869" s="1">
        <f t="shared" si="1885"/>
        <v>0</v>
      </c>
      <c r="R869" s="1">
        <f t="shared" si="1886"/>
        <v>0.98362327764099766</v>
      </c>
      <c r="S869" s="1">
        <f t="shared" si="1887"/>
        <v>1.5521888019360834</v>
      </c>
      <c r="T869" s="1">
        <f t="shared" ref="T869:V869" si="1967">$S869*P869</f>
        <v>0.19700281778532891</v>
      </c>
      <c r="U869" s="1">
        <f t="shared" si="1967"/>
        <v>0</v>
      </c>
      <c r="V869" s="1">
        <f t="shared" si="1967"/>
        <v>1.5267690368780238</v>
      </c>
      <c r="W869" s="1">
        <f t="shared" si="1889"/>
        <v>-18.843271724397788</v>
      </c>
      <c r="X869" s="1">
        <f t="shared" si="1890"/>
        <v>0</v>
      </c>
      <c r="Y869" s="1">
        <f t="shared" si="1891"/>
        <v>-5.8230668375968397</v>
      </c>
    </row>
    <row r="870" spans="1:25">
      <c r="A870" s="1">
        <v>0.86799999999999999</v>
      </c>
      <c r="B870" s="1">
        <f t="shared" si="1892"/>
        <v>35.062621883729861</v>
      </c>
      <c r="C870" s="1">
        <f t="shared" si="1893"/>
        <v>0</v>
      </c>
      <c r="D870" s="1">
        <f t="shared" si="1894"/>
        <v>-0.45590716853096258</v>
      </c>
      <c r="E870" s="1">
        <f t="shared" si="1895"/>
        <v>21.521897476393782</v>
      </c>
      <c r="F870" s="1">
        <f t="shared" si="1896"/>
        <v>0</v>
      </c>
      <c r="G870" s="1">
        <f t="shared" si="1897"/>
        <v>-2.7852785850343293</v>
      </c>
      <c r="H870" s="1">
        <f t="shared" si="1728"/>
        <v>21.701378937308473</v>
      </c>
      <c r="I870" s="1">
        <f t="shared" si="1880"/>
        <v>-19.007903833888292</v>
      </c>
      <c r="J870" s="1">
        <f t="shared" si="1881"/>
        <v>0</v>
      </c>
      <c r="K870" s="1">
        <f t="shared" si="1882"/>
        <v>2.4599275018845606</v>
      </c>
      <c r="L870" s="1">
        <f t="shared" ref="L870:N870" si="1968">E870/$H870</f>
        <v>0.99172949048845327</v>
      </c>
      <c r="M870" s="1">
        <f t="shared" si="1968"/>
        <v>0</v>
      </c>
      <c r="N870" s="1">
        <f t="shared" si="1968"/>
        <v>-0.12834569605371701</v>
      </c>
      <c r="O870" s="1">
        <f t="shared" si="1730"/>
        <v>-0.12834569605371701</v>
      </c>
      <c r="P870" s="1">
        <f t="shared" si="1884"/>
        <v>0.12728421175373866</v>
      </c>
      <c r="Q870" s="1">
        <f t="shared" si="1885"/>
        <v>0</v>
      </c>
      <c r="R870" s="1">
        <f t="shared" si="1886"/>
        <v>0.98352738230448689</v>
      </c>
      <c r="S870" s="1">
        <f t="shared" si="1887"/>
        <v>1.5496254380690446</v>
      </c>
      <c r="T870" s="1">
        <f t="shared" ref="T870:V870" si="1969">$S870*P870</f>
        <v>0.19724285239816031</v>
      </c>
      <c r="U870" s="1">
        <f t="shared" si="1969"/>
        <v>0</v>
      </c>
      <c r="V870" s="1">
        <f t="shared" si="1969"/>
        <v>1.5240990506564913</v>
      </c>
      <c r="W870" s="1">
        <f t="shared" si="1889"/>
        <v>-18.81066098149013</v>
      </c>
      <c r="X870" s="1">
        <f t="shared" si="1890"/>
        <v>0</v>
      </c>
      <c r="Y870" s="1">
        <f t="shared" si="1891"/>
        <v>-5.8226234474589473</v>
      </c>
    </row>
    <row r="871" spans="1:25">
      <c r="A871" s="1">
        <v>0.86899999999999999</v>
      </c>
      <c r="B871" s="1">
        <f t="shared" si="1892"/>
        <v>35.084124970545275</v>
      </c>
      <c r="C871" s="1">
        <f t="shared" si="1893"/>
        <v>0</v>
      </c>
      <c r="D871" s="1">
        <f t="shared" si="1894"/>
        <v>-0.45869826973944439</v>
      </c>
      <c r="E871" s="1">
        <f t="shared" si="1895"/>
        <v>21.503086815412292</v>
      </c>
      <c r="F871" s="1">
        <f t="shared" si="1896"/>
        <v>0</v>
      </c>
      <c r="G871" s="1">
        <f t="shared" si="1897"/>
        <v>-2.7911012084817881</v>
      </c>
      <c r="H871" s="1">
        <f t="shared" si="1728"/>
        <v>21.683472704969248</v>
      </c>
      <c r="I871" s="1">
        <f t="shared" si="1880"/>
        <v>-18.975620379075739</v>
      </c>
      <c r="J871" s="1">
        <f t="shared" si="1881"/>
        <v>0</v>
      </c>
      <c r="K871" s="1">
        <f t="shared" si="1882"/>
        <v>2.4630360015925206</v>
      </c>
      <c r="L871" s="1">
        <f t="shared" ref="L871:N871" si="1970">E871/$H871</f>
        <v>0.99168095018674685</v>
      </c>
      <c r="M871" s="1">
        <f t="shared" si="1970"/>
        <v>0</v>
      </c>
      <c r="N871" s="1">
        <f t="shared" si="1970"/>
        <v>-0.12872021223067953</v>
      </c>
      <c r="O871" s="1">
        <f t="shared" si="1730"/>
        <v>-0.12872021223067953</v>
      </c>
      <c r="P871" s="1">
        <f t="shared" si="1884"/>
        <v>0.12764938237315998</v>
      </c>
      <c r="Q871" s="1">
        <f t="shared" si="1885"/>
        <v>0</v>
      </c>
      <c r="R871" s="1">
        <f t="shared" si="1886"/>
        <v>0.98343110696328884</v>
      </c>
      <c r="S871" s="1">
        <f t="shared" si="1887"/>
        <v>1.5470692405551945</v>
      </c>
      <c r="T871" s="1">
        <f t="shared" ref="T871:V871" si="1971">$S871*P871</f>
        <v>0.19748243304538424</v>
      </c>
      <c r="U871" s="1">
        <f t="shared" si="1971"/>
        <v>0</v>
      </c>
      <c r="V871" s="1">
        <f t="shared" si="1971"/>
        <v>1.5214360157880495</v>
      </c>
      <c r="W871" s="1">
        <f t="shared" si="1889"/>
        <v>-18.778137946030355</v>
      </c>
      <c r="X871" s="1">
        <f t="shared" si="1890"/>
        <v>0</v>
      </c>
      <c r="Y871" s="1">
        <f t="shared" si="1891"/>
        <v>-5.8221779826194293</v>
      </c>
    </row>
    <row r="872" spans="1:25">
      <c r="A872" s="1">
        <v>0.87</v>
      </c>
      <c r="B872" s="1">
        <f t="shared" si="1892"/>
        <v>35.10560927922274</v>
      </c>
      <c r="C872" s="1">
        <f t="shared" si="1893"/>
        <v>0</v>
      </c>
      <c r="D872" s="1">
        <f t="shared" si="1894"/>
        <v>-0.46149519312590881</v>
      </c>
      <c r="E872" s="1">
        <f t="shared" si="1895"/>
        <v>21.484308677466263</v>
      </c>
      <c r="F872" s="1">
        <f t="shared" si="1896"/>
        <v>0</v>
      </c>
      <c r="G872" s="1">
        <f t="shared" si="1897"/>
        <v>-2.7969233864644076</v>
      </c>
      <c r="H872" s="1">
        <f t="shared" si="1728"/>
        <v>21.665601763588374</v>
      </c>
      <c r="I872" s="1">
        <f t="shared" si="1880"/>
        <v>-18.943423873702823</v>
      </c>
      <c r="J872" s="1">
        <f t="shared" si="1881"/>
        <v>0</v>
      </c>
      <c r="K872" s="1">
        <f t="shared" si="1882"/>
        <v>2.4661396392818982</v>
      </c>
      <c r="L872" s="1">
        <f t="shared" ref="L872:N872" si="1972">E872/$H872</f>
        <v>0.99163221552300496</v>
      </c>
      <c r="M872" s="1">
        <f t="shared" si="1972"/>
        <v>0</v>
      </c>
      <c r="N872" s="1">
        <f t="shared" si="1972"/>
        <v>-0.12909511662699213</v>
      </c>
      <c r="O872" s="1">
        <f t="shared" si="1730"/>
        <v>-0.12909511662699213</v>
      </c>
      <c r="P872" s="1">
        <f t="shared" si="1884"/>
        <v>0.12801487651402493</v>
      </c>
      <c r="Q872" s="1">
        <f t="shared" si="1885"/>
        <v>0</v>
      </c>
      <c r="R872" s="1">
        <f t="shared" si="1886"/>
        <v>0.98333445086306326</v>
      </c>
      <c r="S872" s="1">
        <f t="shared" si="1887"/>
        <v>1.5445201847941885</v>
      </c>
      <c r="T872" s="1">
        <f t="shared" ref="T872:V872" si="1973">$S872*P872</f>
        <v>0.19772156072984701</v>
      </c>
      <c r="U872" s="1">
        <f t="shared" si="1973"/>
        <v>0</v>
      </c>
      <c r="V872" s="1">
        <f t="shared" si="1973"/>
        <v>1.5187799077615103</v>
      </c>
      <c r="W872" s="1">
        <f t="shared" si="1889"/>
        <v>-18.745702312972977</v>
      </c>
      <c r="X872" s="1">
        <f t="shared" si="1890"/>
        <v>0</v>
      </c>
      <c r="Y872" s="1">
        <f t="shared" si="1891"/>
        <v>-5.821730452956591</v>
      </c>
    </row>
    <row r="873" spans="1:25">
      <c r="A873" s="1">
        <v>0.871</v>
      </c>
      <c r="B873" s="1">
        <f t="shared" si="1892"/>
        <v>35.127074842197892</v>
      </c>
      <c r="C873" s="1">
        <f t="shared" si="1893"/>
        <v>0</v>
      </c>
      <c r="D873" s="1">
        <f t="shared" si="1894"/>
        <v>-0.46429793824282617</v>
      </c>
      <c r="E873" s="1">
        <f t="shared" si="1895"/>
        <v>21.46556297515329</v>
      </c>
      <c r="F873" s="1">
        <f t="shared" si="1896"/>
        <v>0</v>
      </c>
      <c r="G873" s="1">
        <f t="shared" si="1897"/>
        <v>-2.8027451169173641</v>
      </c>
      <c r="H873" s="1">
        <f t="shared" si="1728"/>
        <v>21.647766028638518</v>
      </c>
      <c r="I873" s="1">
        <f t="shared" si="1880"/>
        <v>-18.91131401505271</v>
      </c>
      <c r="J873" s="1">
        <f t="shared" si="1881"/>
        <v>0</v>
      </c>
      <c r="K873" s="1">
        <f t="shared" si="1882"/>
        <v>2.4692384295502681</v>
      </c>
      <c r="L873" s="1">
        <f t="shared" ref="L873:N873" si="1974">E873/$H873</f>
        <v>0.99158328608854207</v>
      </c>
      <c r="M873" s="1">
        <f t="shared" si="1974"/>
        <v>0</v>
      </c>
      <c r="N873" s="1">
        <f t="shared" si="1974"/>
        <v>-0.12947040878072699</v>
      </c>
      <c r="O873" s="1">
        <f t="shared" si="1730"/>
        <v>-0.12947040878072699</v>
      </c>
      <c r="P873" s="1">
        <f t="shared" si="1884"/>
        <v>0.12838069339002009</v>
      </c>
      <c r="Q873" s="1">
        <f t="shared" si="1885"/>
        <v>0</v>
      </c>
      <c r="R873" s="1">
        <f t="shared" si="1886"/>
        <v>0.98323741325015146</v>
      </c>
      <c r="S873" s="1">
        <f t="shared" si="1887"/>
        <v>1.5419782462929157</v>
      </c>
      <c r="T873" s="1">
        <f t="shared" ref="T873:V873" si="1975">$S873*P873</f>
        <v>0.1979602364514117</v>
      </c>
      <c r="U873" s="1">
        <f t="shared" si="1975"/>
        <v>0</v>
      </c>
      <c r="V873" s="1">
        <f t="shared" si="1975"/>
        <v>1.5161307021730515</v>
      </c>
      <c r="W873" s="1">
        <f t="shared" si="1889"/>
        <v>-18.713353778601299</v>
      </c>
      <c r="X873" s="1">
        <f t="shared" si="1890"/>
        <v>0</v>
      </c>
      <c r="Y873" s="1">
        <f t="shared" si="1891"/>
        <v>-5.8212808682766797</v>
      </c>
    </row>
    <row r="874" spans="1:25">
      <c r="A874" s="1">
        <v>0.872</v>
      </c>
      <c r="B874" s="1">
        <f t="shared" si="1892"/>
        <v>35.148521691819269</v>
      </c>
      <c r="C874" s="1">
        <f t="shared" si="1893"/>
        <v>0</v>
      </c>
      <c r="D874" s="1">
        <f t="shared" si="1894"/>
        <v>-0.46710650464061182</v>
      </c>
      <c r="E874" s="1">
        <f t="shared" si="1895"/>
        <v>21.446849621374689</v>
      </c>
      <c r="F874" s="1">
        <f t="shared" si="1896"/>
        <v>0</v>
      </c>
      <c r="G874" s="1">
        <f t="shared" si="1897"/>
        <v>-2.8085663977856408</v>
      </c>
      <c r="H874" s="1">
        <f t="shared" si="1728"/>
        <v>21.629965415890759</v>
      </c>
      <c r="I874" s="1">
        <f t="shared" si="1880"/>
        <v>-18.879290501727422</v>
      </c>
      <c r="J874" s="1">
        <f t="shared" si="1881"/>
        <v>0</v>
      </c>
      <c r="K874" s="1">
        <f t="shared" si="1882"/>
        <v>2.47233238695999</v>
      </c>
      <c r="L874" s="1">
        <f t="shared" ref="L874:N874" si="1976">E874/$H874</f>
        <v>0.99153416147482409</v>
      </c>
      <c r="M874" s="1">
        <f t="shared" si="1976"/>
        <v>0</v>
      </c>
      <c r="N874" s="1">
        <f t="shared" si="1976"/>
        <v>-0.12984608822916971</v>
      </c>
      <c r="O874" s="1">
        <f t="shared" si="1730"/>
        <v>-0.12984608822916971</v>
      </c>
      <c r="P874" s="1">
        <f t="shared" si="1884"/>
        <v>0.12874683221309582</v>
      </c>
      <c r="Q874" s="1">
        <f t="shared" si="1885"/>
        <v>0</v>
      </c>
      <c r="R874" s="1">
        <f t="shared" si="1886"/>
        <v>0.98313999337158264</v>
      </c>
      <c r="S874" s="1">
        <f t="shared" si="1887"/>
        <v>1.5394434006649365</v>
      </c>
      <c r="T874" s="1">
        <f t="shared" ref="T874:V874" si="1977">$S874*P874</f>
        <v>0.19819846120696621</v>
      </c>
      <c r="U874" s="1">
        <f t="shared" si="1977"/>
        <v>0</v>
      </c>
      <c r="V874" s="1">
        <f t="shared" si="1977"/>
        <v>1.5134883747256522</v>
      </c>
      <c r="W874" s="1">
        <f t="shared" si="1889"/>
        <v>-18.681092040520454</v>
      </c>
      <c r="X874" s="1">
        <f t="shared" si="1890"/>
        <v>0</v>
      </c>
      <c r="Y874" s="1">
        <f t="shared" si="1891"/>
        <v>-5.8208292383143574</v>
      </c>
    </row>
    <row r="875" spans="1:25">
      <c r="A875" s="1">
        <v>0.873</v>
      </c>
      <c r="B875" s="1">
        <f t="shared" si="1892"/>
        <v>35.169949860348602</v>
      </c>
      <c r="C875" s="1">
        <f t="shared" si="1893"/>
        <v>0</v>
      </c>
      <c r="D875" s="1">
        <f t="shared" si="1894"/>
        <v>-0.46992089186763575</v>
      </c>
      <c r="E875" s="1">
        <f t="shared" si="1895"/>
        <v>21.428168529334169</v>
      </c>
      <c r="F875" s="1">
        <f t="shared" si="1896"/>
        <v>0</v>
      </c>
      <c r="G875" s="1">
        <f t="shared" si="1897"/>
        <v>-2.8143872270239552</v>
      </c>
      <c r="H875" s="1">
        <f t="shared" si="1728"/>
        <v>21.612199841413251</v>
      </c>
      <c r="I875" s="1">
        <f t="shared" si="1880"/>
        <v>-18.847353033640903</v>
      </c>
      <c r="J875" s="1">
        <f t="shared" si="1881"/>
        <v>0</v>
      </c>
      <c r="K875" s="1">
        <f t="shared" si="1882"/>
        <v>2.475421526038295</v>
      </c>
      <c r="L875" s="1">
        <f t="shared" ref="L875:N875" si="1978">E875/$H875</f>
        <v>0.99148484127347181</v>
      </c>
      <c r="M875" s="1">
        <f t="shared" si="1978"/>
        <v>0</v>
      </c>
      <c r="N875" s="1">
        <f t="shared" si="1978"/>
        <v>-0.13022215450881738</v>
      </c>
      <c r="O875" s="1">
        <f t="shared" si="1730"/>
        <v>-0.13022215450881738</v>
      </c>
      <c r="P875" s="1">
        <f t="shared" si="1884"/>
        <v>0.12911329219346432</v>
      </c>
      <c r="Q875" s="1">
        <f t="shared" si="1885"/>
        <v>0</v>
      </c>
      <c r="R875" s="1">
        <f t="shared" si="1886"/>
        <v>0.98304219047508168</v>
      </c>
      <c r="S875" s="1">
        <f t="shared" si="1887"/>
        <v>1.5369156236299246</v>
      </c>
      <c r="T875" s="1">
        <f t="shared" ref="T875:V875" si="1979">$S875*P875</f>
        <v>0.19843623599043089</v>
      </c>
      <c r="U875" s="1">
        <f t="shared" si="1979"/>
        <v>0</v>
      </c>
      <c r="V875" s="1">
        <f t="shared" si="1979"/>
        <v>1.5108529012285372</v>
      </c>
      <c r="W875" s="1">
        <f t="shared" si="1889"/>
        <v>-18.648916797650472</v>
      </c>
      <c r="X875" s="1">
        <f t="shared" si="1890"/>
        <v>0</v>
      </c>
      <c r="Y875" s="1">
        <f t="shared" si="1891"/>
        <v>-5.820375572733167</v>
      </c>
    </row>
    <row r="876" spans="1:25">
      <c r="A876" s="1">
        <v>0.874</v>
      </c>
      <c r="B876" s="1">
        <f t="shared" si="1892"/>
        <v>35.191359379961142</v>
      </c>
      <c r="C876" s="1">
        <f t="shared" si="1893"/>
        <v>0</v>
      </c>
      <c r="D876" s="1">
        <f t="shared" si="1894"/>
        <v>-0.47274109947023246</v>
      </c>
      <c r="E876" s="1">
        <f t="shared" si="1895"/>
        <v>21.409519612536517</v>
      </c>
      <c r="F876" s="1">
        <f t="shared" si="1896"/>
        <v>0</v>
      </c>
      <c r="G876" s="1">
        <f t="shared" si="1897"/>
        <v>-2.8202076025966885</v>
      </c>
      <c r="H876" s="1">
        <f t="shared" si="1728"/>
        <v>21.594469221569906</v>
      </c>
      <c r="I876" s="1">
        <f t="shared" si="1880"/>
        <v>-18.815501312012152</v>
      </c>
      <c r="J876" s="1">
        <f t="shared" si="1881"/>
        <v>0</v>
      </c>
      <c r="K876" s="1">
        <f t="shared" si="1882"/>
        <v>2.4785058612773732</v>
      </c>
      <c r="L876" s="1">
        <f t="shared" ref="L876:N876" si="1980">E876/$H876</f>
        <v>0.99143532507626309</v>
      </c>
      <c r="M876" s="1">
        <f t="shared" si="1980"/>
        <v>0</v>
      </c>
      <c r="N876" s="1">
        <f t="shared" si="1980"/>
        <v>-0.13059860715537702</v>
      </c>
      <c r="O876" s="1">
        <f t="shared" si="1730"/>
        <v>-0.13059860715537702</v>
      </c>
      <c r="P876" s="1">
        <f t="shared" si="1884"/>
        <v>0.1294800725395984</v>
      </c>
      <c r="Q876" s="1">
        <f t="shared" si="1885"/>
        <v>0</v>
      </c>
      <c r="R876" s="1">
        <f t="shared" si="1886"/>
        <v>0.98294400380907554</v>
      </c>
      <c r="S876" s="1">
        <f t="shared" si="1887"/>
        <v>1.53439489101311</v>
      </c>
      <c r="T876" s="1">
        <f t="shared" ref="T876:V876" si="1981">$S876*P876</f>
        <v>0.19867356179276666</v>
      </c>
      <c r="U876" s="1">
        <f t="shared" si="1981"/>
        <v>0</v>
      </c>
      <c r="V876" s="1">
        <f t="shared" si="1981"/>
        <v>1.5082242575966165</v>
      </c>
      <c r="W876" s="1">
        <f t="shared" si="1889"/>
        <v>-18.616827750219386</v>
      </c>
      <c r="X876" s="1">
        <f t="shared" si="1890"/>
        <v>0</v>
      </c>
      <c r="Y876" s="1">
        <f t="shared" si="1891"/>
        <v>-5.81991988112601</v>
      </c>
    </row>
    <row r="877" spans="1:25">
      <c r="A877" s="1">
        <v>0.875</v>
      </c>
      <c r="B877" s="1">
        <f t="shared" si="1892"/>
        <v>35.21275028274593</v>
      </c>
      <c r="C877" s="1">
        <f t="shared" si="1893"/>
        <v>0</v>
      </c>
      <c r="D877" s="1">
        <f t="shared" si="1894"/>
        <v>-0.47556712699271025</v>
      </c>
      <c r="E877" s="1">
        <f t="shared" si="1895"/>
        <v>21.390902784786299</v>
      </c>
      <c r="F877" s="1">
        <f t="shared" si="1896"/>
        <v>0</v>
      </c>
      <c r="G877" s="1">
        <f t="shared" si="1897"/>
        <v>-2.8260275224778146</v>
      </c>
      <c r="H877" s="1">
        <f t="shared" si="1728"/>
        <v>21.576773473019092</v>
      </c>
      <c r="I877" s="1">
        <f t="shared" si="1880"/>
        <v>-18.783735039358408</v>
      </c>
      <c r="J877" s="1">
        <f t="shared" si="1881"/>
        <v>0</v>
      </c>
      <c r="K877" s="1">
        <f t="shared" si="1882"/>
        <v>2.4815854071344692</v>
      </c>
      <c r="L877" s="1">
        <f t="shared" ref="L877:N877" si="1982">E877/$H877</f>
        <v>0.99138561247513601</v>
      </c>
      <c r="M877" s="1">
        <f t="shared" si="1982"/>
        <v>0</v>
      </c>
      <c r="N877" s="1">
        <f t="shared" si="1982"/>
        <v>-0.1309754457037634</v>
      </c>
      <c r="O877" s="1">
        <f t="shared" si="1730"/>
        <v>-0.1309754457037634</v>
      </c>
      <c r="P877" s="1">
        <f t="shared" si="1884"/>
        <v>0.12984717245822941</v>
      </c>
      <c r="Q877" s="1">
        <f t="shared" si="1885"/>
        <v>0</v>
      </c>
      <c r="R877" s="1">
        <f t="shared" si="1886"/>
        <v>0.98284543262270052</v>
      </c>
      <c r="S877" s="1">
        <f t="shared" si="1887"/>
        <v>1.5318811787447302</v>
      </c>
      <c r="T877" s="1">
        <f t="shared" ref="T877:V877" si="1983">$S877*P877</f>
        <v>0.19891043960198274</v>
      </c>
      <c r="U877" s="1">
        <f t="shared" si="1983"/>
        <v>0</v>
      </c>
      <c r="V877" s="1">
        <f t="shared" si="1983"/>
        <v>1.5056024198499367</v>
      </c>
      <c r="W877" s="1">
        <f t="shared" si="1889"/>
        <v>-18.584824599756427</v>
      </c>
      <c r="X877" s="1">
        <f t="shared" si="1890"/>
        <v>0</v>
      </c>
      <c r="Y877" s="1">
        <f t="shared" si="1891"/>
        <v>-5.8194621730155935</v>
      </c>
    </row>
    <row r="878" spans="1:25">
      <c r="A878" s="1">
        <v>0.876</v>
      </c>
      <c r="B878" s="1">
        <f t="shared" si="1892"/>
        <v>35.234122600706115</v>
      </c>
      <c r="C878" s="1">
        <f t="shared" si="1893"/>
        <v>0</v>
      </c>
      <c r="D878" s="1">
        <f t="shared" si="1894"/>
        <v>-0.47839897397736109</v>
      </c>
      <c r="E878" s="1">
        <f t="shared" si="1895"/>
        <v>21.372317960186543</v>
      </c>
      <c r="F878" s="1">
        <f t="shared" si="1896"/>
        <v>0</v>
      </c>
      <c r="G878" s="1">
        <f t="shared" si="1897"/>
        <v>-2.8318469846508303</v>
      </c>
      <c r="H878" s="1">
        <f t="shared" si="1728"/>
        <v>21.559112512712304</v>
      </c>
      <c r="I878" s="1">
        <f t="shared" si="1880"/>
        <v>-18.752053919488311</v>
      </c>
      <c r="J878" s="1">
        <f t="shared" si="1881"/>
        <v>0</v>
      </c>
      <c r="K878" s="1">
        <f t="shared" si="1882"/>
        <v>2.4846601780319602</v>
      </c>
      <c r="L878" s="1">
        <f t="shared" ref="L878:N878" si="1984">E878/$H878</f>
        <v>0.99133570306219154</v>
      </c>
      <c r="M878" s="1">
        <f t="shared" si="1984"/>
        <v>0</v>
      </c>
      <c r="N878" s="1">
        <f t="shared" si="1984"/>
        <v>-0.13135266968809756</v>
      </c>
      <c r="O878" s="1">
        <f t="shared" si="1730"/>
        <v>-0.13135266968809756</v>
      </c>
      <c r="P878" s="1">
        <f t="shared" si="1884"/>
        <v>0.130214591154346</v>
      </c>
      <c r="Q878" s="1">
        <f t="shared" si="1885"/>
        <v>0</v>
      </c>
      <c r="R878" s="1">
        <f t="shared" si="1886"/>
        <v>0.98274647616580957</v>
      </c>
      <c r="S878" s="1">
        <f t="shared" si="1887"/>
        <v>1.529374462859477</v>
      </c>
      <c r="T878" s="1">
        <f t="shared" ref="T878:V878" si="1985">$S878*P878</f>
        <v>0.19914687040314433</v>
      </c>
      <c r="U878" s="1">
        <f t="shared" si="1985"/>
        <v>0</v>
      </c>
      <c r="V878" s="1">
        <f t="shared" si="1985"/>
        <v>1.5029873641131288</v>
      </c>
      <c r="W878" s="1">
        <f t="shared" si="1889"/>
        <v>-18.552907049085167</v>
      </c>
      <c r="X878" s="1">
        <f t="shared" si="1890"/>
        <v>0</v>
      </c>
      <c r="Y878" s="1">
        <f t="shared" si="1891"/>
        <v>-5.8190024578549107</v>
      </c>
    </row>
    <row r="879" spans="1:25">
      <c r="A879" s="1">
        <v>0.877</v>
      </c>
      <c r="B879" s="1">
        <f t="shared" si="1892"/>
        <v>35.25547636575925</v>
      </c>
      <c r="C879" s="1">
        <f t="shared" si="1893"/>
        <v>0</v>
      </c>
      <c r="D879" s="1">
        <f t="shared" si="1894"/>
        <v>-0.48123663996446975</v>
      </c>
      <c r="E879" s="1">
        <f t="shared" si="1895"/>
        <v>21.353765053137458</v>
      </c>
      <c r="F879" s="1">
        <f t="shared" si="1896"/>
        <v>0</v>
      </c>
      <c r="G879" s="1">
        <f t="shared" si="1897"/>
        <v>-2.8376659871086853</v>
      </c>
      <c r="H879" s="1">
        <f t="shared" si="1728"/>
        <v>21.541486257892888</v>
      </c>
      <c r="I879" s="1">
        <f t="shared" si="1880"/>
        <v>-18.72045765749521</v>
      </c>
      <c r="J879" s="1">
        <f t="shared" si="1881"/>
        <v>0</v>
      </c>
      <c r="K879" s="1">
        <f t="shared" si="1882"/>
        <v>2.4877301883574554</v>
      </c>
      <c r="L879" s="1">
        <f t="shared" ref="L879:N879" si="1986">E879/$H879</f>
        <v>0.99128559642969627</v>
      </c>
      <c r="M879" s="1">
        <f t="shared" si="1986"/>
        <v>0</v>
      </c>
      <c r="N879" s="1">
        <f t="shared" si="1986"/>
        <v>-0.13173027864170481</v>
      </c>
      <c r="O879" s="1">
        <f t="shared" si="1730"/>
        <v>-0.13173027864170481</v>
      </c>
      <c r="P879" s="1">
        <f t="shared" si="1884"/>
        <v>0.13058232783119242</v>
      </c>
      <c r="Q879" s="1">
        <f t="shared" si="1885"/>
        <v>0</v>
      </c>
      <c r="R879" s="1">
        <f t="shared" si="1886"/>
        <v>0.98264713368897882</v>
      </c>
      <c r="S879" s="1">
        <f t="shared" si="1887"/>
        <v>1.5268747194959564</v>
      </c>
      <c r="T879" s="1">
        <f t="shared" ref="T879:V879" si="1987">$S879*P879</f>
        <v>0.19938285517838095</v>
      </c>
      <c r="U879" s="1">
        <f t="shared" si="1987"/>
        <v>0</v>
      </c>
      <c r="V879" s="1">
        <f t="shared" si="1987"/>
        <v>1.5003790666148651</v>
      </c>
      <c r="W879" s="1">
        <f t="shared" si="1889"/>
        <v>-18.521074802316829</v>
      </c>
      <c r="X879" s="1">
        <f t="shared" si="1890"/>
        <v>0</v>
      </c>
      <c r="Y879" s="1">
        <f t="shared" si="1891"/>
        <v>-5.8185407450276792</v>
      </c>
    </row>
    <row r="880" spans="1:25">
      <c r="A880" s="1">
        <v>0.878</v>
      </c>
      <c r="B880" s="1">
        <f t="shared" si="1892"/>
        <v>35.276811609737585</v>
      </c>
      <c r="C880" s="1">
        <f t="shared" si="1893"/>
        <v>0</v>
      </c>
      <c r="D880" s="1">
        <f t="shared" si="1894"/>
        <v>-0.48408012449232346</v>
      </c>
      <c r="E880" s="1">
        <f t="shared" si="1895"/>
        <v>21.335243978335143</v>
      </c>
      <c r="F880" s="1">
        <f t="shared" si="1896"/>
        <v>0</v>
      </c>
      <c r="G880" s="1">
        <f t="shared" si="1897"/>
        <v>-2.8434845278537129</v>
      </c>
      <c r="H880" s="1">
        <f t="shared" si="1728"/>
        <v>21.523894626094727</v>
      </c>
      <c r="I880" s="1">
        <f t="shared" si="1880"/>
        <v>-18.688945959750402</v>
      </c>
      <c r="J880" s="1">
        <f t="shared" si="1881"/>
        <v>0</v>
      </c>
      <c r="K880" s="1">
        <f t="shared" si="1882"/>
        <v>2.4907954524638742</v>
      </c>
      <c r="L880" s="1">
        <f t="shared" ref="L880:N880" si="1988">E880/$H880</f>
        <v>0.99123529217008566</v>
      </c>
      <c r="M880" s="1">
        <f t="shared" si="1988"/>
        <v>0</v>
      </c>
      <c r="N880" s="1">
        <f t="shared" si="1988"/>
        <v>-0.13210827209711312</v>
      </c>
      <c r="O880" s="1">
        <f t="shared" si="1730"/>
        <v>-0.13210827209711312</v>
      </c>
      <c r="P880" s="1">
        <f t="shared" si="1884"/>
        <v>0.1309503816902671</v>
      </c>
      <c r="Q880" s="1">
        <f t="shared" si="1885"/>
        <v>0</v>
      </c>
      <c r="R880" s="1">
        <f t="shared" si="1886"/>
        <v>0.98254740444351507</v>
      </c>
      <c r="S880" s="1">
        <f t="shared" si="1887"/>
        <v>1.5243819248961412</v>
      </c>
      <c r="T880" s="1">
        <f t="shared" ref="T880:V880" si="1989">$S880*P880</f>
        <v>0.19961839490689376</v>
      </c>
      <c r="U880" s="1">
        <f t="shared" si="1989"/>
        <v>0</v>
      </c>
      <c r="V880" s="1">
        <f t="shared" si="1989"/>
        <v>1.4977775036873129</v>
      </c>
      <c r="W880" s="1">
        <f t="shared" si="1889"/>
        <v>-18.48932756484351</v>
      </c>
      <c r="X880" s="1">
        <f t="shared" si="1890"/>
        <v>0</v>
      </c>
      <c r="Y880" s="1">
        <f t="shared" si="1891"/>
        <v>-5.8180770438488123</v>
      </c>
    </row>
    <row r="881" spans="1:25">
      <c r="A881" s="1">
        <v>0.879</v>
      </c>
      <c r="B881" s="1">
        <f t="shared" si="1892"/>
        <v>35.298128364388354</v>
      </c>
      <c r="C881" s="1">
        <f t="shared" si="1893"/>
        <v>0</v>
      </c>
      <c r="D881" s="1">
        <f t="shared" si="1894"/>
        <v>-0.48692942709722103</v>
      </c>
      <c r="E881" s="1">
        <f t="shared" si="1895"/>
        <v>21.316754650770299</v>
      </c>
      <c r="F881" s="1">
        <f t="shared" si="1896"/>
        <v>0</v>
      </c>
      <c r="G881" s="1">
        <f t="shared" si="1897"/>
        <v>-2.8493026048975616</v>
      </c>
      <c r="H881" s="1">
        <f t="shared" si="1728"/>
        <v>21.506337535140968</v>
      </c>
      <c r="I881" s="1">
        <f t="shared" si="1880"/>
        <v>-18.6575185338965</v>
      </c>
      <c r="J881" s="1">
        <f t="shared" si="1881"/>
        <v>0</v>
      </c>
      <c r="K881" s="1">
        <f t="shared" si="1882"/>
        <v>2.4938559846695432</v>
      </c>
      <c r="L881" s="1">
        <f t="shared" ref="L881:N881" si="1990">E881/$H881</f>
        <v>0.99118478987596592</v>
      </c>
      <c r="M881" s="1">
        <f t="shared" si="1990"/>
        <v>0</v>
      </c>
      <c r="N881" s="1">
        <f t="shared" si="1990"/>
        <v>-0.13248664958605119</v>
      </c>
      <c r="O881" s="1">
        <f t="shared" si="1730"/>
        <v>-0.13248664958605119</v>
      </c>
      <c r="P881" s="1">
        <f t="shared" si="1884"/>
        <v>0.13131875193132087</v>
      </c>
      <c r="Q881" s="1">
        <f t="shared" si="1885"/>
        <v>0</v>
      </c>
      <c r="R881" s="1">
        <f t="shared" si="1886"/>
        <v>0.98244728768146283</v>
      </c>
      <c r="S881" s="1">
        <f t="shared" si="1887"/>
        <v>1.5218960554048364</v>
      </c>
      <c r="T881" s="1">
        <f t="shared" ref="T881:V881" si="1991">$S881*P881</f>
        <v>0.19985349056496346</v>
      </c>
      <c r="U881" s="1">
        <f t="shared" si="1991"/>
        <v>0</v>
      </c>
      <c r="V881" s="1">
        <f t="shared" si="1991"/>
        <v>1.4951826517655988</v>
      </c>
      <c r="W881" s="1">
        <f t="shared" si="1889"/>
        <v>-18.457665043331538</v>
      </c>
      <c r="X881" s="1">
        <f t="shared" si="1890"/>
        <v>0</v>
      </c>
      <c r="Y881" s="1">
        <f t="shared" si="1891"/>
        <v>-5.8176113635648576</v>
      </c>
    </row>
    <row r="882" spans="1:25">
      <c r="A882" s="1">
        <v>0.88</v>
      </c>
      <c r="B882" s="1">
        <f t="shared" si="1892"/>
        <v>35.319426661374081</v>
      </c>
      <c r="C882" s="1">
        <f t="shared" si="1893"/>
        <v>0</v>
      </c>
      <c r="D882" s="1">
        <f t="shared" si="1894"/>
        <v>-0.48978454731348214</v>
      </c>
      <c r="E882" s="1">
        <f t="shared" si="1895"/>
        <v>21.298296985726967</v>
      </c>
      <c r="F882" s="1">
        <f t="shared" si="1896"/>
        <v>0</v>
      </c>
      <c r="G882" s="1">
        <f t="shared" si="1897"/>
        <v>-2.8551202162611267</v>
      </c>
      <c r="H882" s="1">
        <f t="shared" si="1728"/>
        <v>21.488814903142739</v>
      </c>
      <c r="I882" s="1">
        <f t="shared" si="1880"/>
        <v>-18.626175088840785</v>
      </c>
      <c r="J882" s="1">
        <f t="shared" si="1881"/>
        <v>0</v>
      </c>
      <c r="K882" s="1">
        <f t="shared" si="1882"/>
        <v>2.4969117992582794</v>
      </c>
      <c r="L882" s="1">
        <f t="shared" ref="L882:N882" si="1992">E882/$H882</f>
        <v>0.9911340891401178</v>
      </c>
      <c r="M882" s="1">
        <f t="shared" si="1992"/>
        <v>0</v>
      </c>
      <c r="N882" s="1">
        <f t="shared" si="1992"/>
        <v>-0.1328654106394469</v>
      </c>
      <c r="O882" s="1">
        <f t="shared" si="1730"/>
        <v>-0.1328654106394469</v>
      </c>
      <c r="P882" s="1">
        <f t="shared" si="1884"/>
        <v>0.13168743775235592</v>
      </c>
      <c r="Q882" s="1">
        <f t="shared" si="1885"/>
        <v>0</v>
      </c>
      <c r="R882" s="1">
        <f t="shared" si="1886"/>
        <v>0.98234678265561115</v>
      </c>
      <c r="S882" s="1">
        <f t="shared" si="1887"/>
        <v>1.5194170874691424</v>
      </c>
      <c r="T882" s="1">
        <f t="shared" ref="T882:V882" si="1993">$S882*P882</f>
        <v>0.20008814312595863</v>
      </c>
      <c r="U882" s="1">
        <f t="shared" si="1993"/>
        <v>0</v>
      </c>
      <c r="V882" s="1">
        <f t="shared" si="1993"/>
        <v>1.4925944873872714</v>
      </c>
      <c r="W882" s="1">
        <f t="shared" si="1889"/>
        <v>-18.426086945714825</v>
      </c>
      <c r="X882" s="1">
        <f t="shared" si="1890"/>
        <v>0</v>
      </c>
      <c r="Y882" s="1">
        <f t="shared" si="1891"/>
        <v>-5.817143713354449</v>
      </c>
    </row>
    <row r="883" spans="1:25">
      <c r="A883" s="1">
        <v>0.88100000000000001</v>
      </c>
      <c r="B883" s="1">
        <f t="shared" si="1892"/>
        <v>35.340706532272861</v>
      </c>
      <c r="C883" s="1">
        <f t="shared" si="1893"/>
        <v>0</v>
      </c>
      <c r="D883" s="1">
        <f t="shared" si="1894"/>
        <v>-0.49264548467345665</v>
      </c>
      <c r="E883" s="1">
        <f t="shared" si="1895"/>
        <v>21.279870898781251</v>
      </c>
      <c r="F883" s="1">
        <f t="shared" si="1896"/>
        <v>0</v>
      </c>
      <c r="G883" s="1">
        <f t="shared" si="1897"/>
        <v>-2.8609373599744812</v>
      </c>
      <c r="H883" s="1">
        <f t="shared" si="1728"/>
        <v>21.471326648497872</v>
      </c>
      <c r="I883" s="1">
        <f t="shared" si="1880"/>
        <v>-18.594915334748624</v>
      </c>
      <c r="J883" s="1">
        <f t="shared" si="1881"/>
        <v>0</v>
      </c>
      <c r="K883" s="1">
        <f t="shared" si="1882"/>
        <v>2.4999629104794781</v>
      </c>
      <c r="L883" s="1">
        <f t="shared" ref="L883:N883" si="1994">E883/$H883</f>
        <v>0.9910831895554989</v>
      </c>
      <c r="M883" s="1">
        <f t="shared" si="1994"/>
        <v>0</v>
      </c>
      <c r="N883" s="1">
        <f t="shared" si="1994"/>
        <v>-0.13324455478742539</v>
      </c>
      <c r="O883" s="1">
        <f t="shared" si="1730"/>
        <v>-0.13324455478742539</v>
      </c>
      <c r="P883" s="1">
        <f t="shared" si="1884"/>
        <v>0.13205643834962397</v>
      </c>
      <c r="Q883" s="1">
        <f t="shared" si="1885"/>
        <v>0</v>
      </c>
      <c r="R883" s="1">
        <f t="shared" si="1886"/>
        <v>0.9822458886195008</v>
      </c>
      <c r="S883" s="1">
        <f t="shared" si="1887"/>
        <v>1.5169449976379219</v>
      </c>
      <c r="T883" s="1">
        <f t="shared" ref="T883:V883" si="1995">$S883*P883</f>
        <v>0.2003223535603427</v>
      </c>
      <c r="U883" s="1">
        <f t="shared" si="1995"/>
        <v>0</v>
      </c>
      <c r="V883" s="1">
        <f t="shared" si="1995"/>
        <v>1.4900129871917671</v>
      </c>
      <c r="W883" s="1">
        <f t="shared" si="1889"/>
        <v>-18.394592981188282</v>
      </c>
      <c r="X883" s="1">
        <f t="shared" si="1890"/>
        <v>0</v>
      </c>
      <c r="Y883" s="1">
        <f t="shared" si="1891"/>
        <v>-5.8166741023287543</v>
      </c>
    </row>
    <row r="884" spans="1:25">
      <c r="A884" s="1">
        <v>0.88200000000000001</v>
      </c>
      <c r="B884" s="1">
        <f t="shared" si="1892"/>
        <v>35.361968008578664</v>
      </c>
      <c r="C884" s="1">
        <f t="shared" si="1893"/>
        <v>0</v>
      </c>
      <c r="D884" s="1">
        <f t="shared" si="1894"/>
        <v>-0.49551223870753347</v>
      </c>
      <c r="E884" s="1">
        <f t="shared" si="1895"/>
        <v>21.261476305800063</v>
      </c>
      <c r="F884" s="1">
        <f t="shared" si="1896"/>
        <v>0</v>
      </c>
      <c r="G884" s="1">
        <f t="shared" si="1897"/>
        <v>-2.8667540340768101</v>
      </c>
      <c r="H884" s="1">
        <f t="shared" si="1728"/>
        <v>21.453872689889653</v>
      </c>
      <c r="I884" s="1">
        <f t="shared" si="1880"/>
        <v>-18.563738983036938</v>
      </c>
      <c r="J884" s="1">
        <f t="shared" si="1881"/>
        <v>0</v>
      </c>
      <c r="K884" s="1">
        <f t="shared" si="1882"/>
        <v>2.5030093325482046</v>
      </c>
      <c r="L884" s="1">
        <f t="shared" ref="L884:N884" si="1996">E884/$H884</f>
        <v>0.99103209071524601</v>
      </c>
      <c r="M884" s="1">
        <f t="shared" si="1996"/>
        <v>0</v>
      </c>
      <c r="N884" s="1">
        <f t="shared" si="1996"/>
        <v>-0.13362408155930727</v>
      </c>
      <c r="O884" s="1">
        <f t="shared" si="1730"/>
        <v>-0.13362408155930727</v>
      </c>
      <c r="P884" s="1">
        <f t="shared" si="1884"/>
        <v>0.13242575291762484</v>
      </c>
      <c r="Q884" s="1">
        <f t="shared" si="1885"/>
        <v>0</v>
      </c>
      <c r="R884" s="1">
        <f t="shared" si="1886"/>
        <v>0.9821446048274316</v>
      </c>
      <c r="S884" s="1">
        <f t="shared" si="1887"/>
        <v>1.5144797625612743</v>
      </c>
      <c r="T884" s="1">
        <f t="shared" ref="T884:V884" si="1997">$S884*P884</f>
        <v>0.20055612283568244</v>
      </c>
      <c r="U884" s="1">
        <f t="shared" si="1997"/>
        <v>0</v>
      </c>
      <c r="V884" s="1">
        <f t="shared" si="1997"/>
        <v>1.4874381279198852</v>
      </c>
      <c r="W884" s="1">
        <f t="shared" si="1889"/>
        <v>-18.363182860201256</v>
      </c>
      <c r="X884" s="1">
        <f t="shared" si="1890"/>
        <v>0</v>
      </c>
      <c r="Y884" s="1">
        <f t="shared" si="1891"/>
        <v>-5.8162025395319095</v>
      </c>
    </row>
    <row r="885" spans="1:25">
      <c r="A885" s="1">
        <v>0.88300000000000001</v>
      </c>
      <c r="B885" s="1">
        <f t="shared" si="1892"/>
        <v>35.383211121701606</v>
      </c>
      <c r="C885" s="1">
        <f t="shared" si="1893"/>
        <v>0</v>
      </c>
      <c r="D885" s="1">
        <f t="shared" si="1894"/>
        <v>-0.49838480894414983</v>
      </c>
      <c r="E885" s="1">
        <f t="shared" si="1895"/>
        <v>21.24311312293986</v>
      </c>
      <c r="F885" s="1">
        <f t="shared" si="1896"/>
        <v>0</v>
      </c>
      <c r="G885" s="1">
        <f t="shared" si="1897"/>
        <v>-2.8725702366163421</v>
      </c>
      <c r="H885" s="1">
        <f t="shared" si="1728"/>
        <v>21.436452946285534</v>
      </c>
      <c r="I885" s="1">
        <f t="shared" si="1880"/>
        <v>-18.53264574636766</v>
      </c>
      <c r="J885" s="1">
        <f t="shared" si="1881"/>
        <v>0</v>
      </c>
      <c r="K885" s="1">
        <f t="shared" si="1882"/>
        <v>2.5060510796452773</v>
      </c>
      <c r="L885" s="1">
        <f t="shared" ref="L885:N885" si="1998">E885/$H885</f>
        <v>0.99098079221267921</v>
      </c>
      <c r="M885" s="1">
        <f t="shared" si="1998"/>
        <v>0</v>
      </c>
      <c r="N885" s="1">
        <f t="shared" si="1998"/>
        <v>-0.13400399048360728</v>
      </c>
      <c r="O885" s="1">
        <f t="shared" si="1730"/>
        <v>-0.13400399048360728</v>
      </c>
      <c r="P885" s="1">
        <f t="shared" si="1884"/>
        <v>0.13279538064910548</v>
      </c>
      <c r="Q885" s="1">
        <f t="shared" si="1885"/>
        <v>0</v>
      </c>
      <c r="R885" s="1">
        <f t="shared" si="1886"/>
        <v>0.98204293053446934</v>
      </c>
      <c r="S885" s="1">
        <f t="shared" si="1887"/>
        <v>1.5120213589900044</v>
      </c>
      <c r="T885" s="1">
        <f t="shared" ref="T885:V885" si="1999">$S885*P885</f>
        <v>0.2007894519166554</v>
      </c>
      <c r="U885" s="1">
        <f t="shared" si="1999"/>
        <v>0</v>
      </c>
      <c r="V885" s="1">
        <f t="shared" si="1999"/>
        <v>1.4848698864132548</v>
      </c>
      <c r="W885" s="1">
        <f t="shared" si="1889"/>
        <v>-18.331856294451004</v>
      </c>
      <c r="X885" s="1">
        <f t="shared" si="1890"/>
        <v>0</v>
      </c>
      <c r="Y885" s="1">
        <f t="shared" si="1891"/>
        <v>-5.8157290339414676</v>
      </c>
    </row>
    <row r="886" spans="1:25">
      <c r="A886" s="1">
        <v>0.88400000000000001</v>
      </c>
      <c r="B886" s="1">
        <f t="shared" si="1892"/>
        <v>35.404435902968252</v>
      </c>
      <c r="C886" s="1">
        <f t="shared" si="1893"/>
        <v>0</v>
      </c>
      <c r="D886" s="1">
        <f t="shared" si="1894"/>
        <v>-0.50126319490980009</v>
      </c>
      <c r="E886" s="1">
        <f t="shared" si="1895"/>
        <v>21.224781266645408</v>
      </c>
      <c r="F886" s="1">
        <f t="shared" si="1896"/>
        <v>0</v>
      </c>
      <c r="G886" s="1">
        <f t="shared" si="1897"/>
        <v>-2.8783859656502835</v>
      </c>
      <c r="H886" s="1">
        <f t="shared" si="1728"/>
        <v>21.4190673369359</v>
      </c>
      <c r="I886" s="1">
        <f t="shared" si="1880"/>
        <v>-18.501635338641297</v>
      </c>
      <c r="J886" s="1">
        <f t="shared" si="1881"/>
        <v>0</v>
      </c>
      <c r="K886" s="1">
        <f t="shared" si="1882"/>
        <v>2.5090881659173587</v>
      </c>
      <c r="L886" s="1">
        <f t="shared" ref="L886:N886" si="2000">E886/$H886</f>
        <v>0.99092929364130355</v>
      </c>
      <c r="M886" s="1">
        <f t="shared" si="2000"/>
        <v>0</v>
      </c>
      <c r="N886" s="1">
        <f t="shared" si="2000"/>
        <v>-0.13438428108803221</v>
      </c>
      <c r="O886" s="1">
        <f t="shared" si="1730"/>
        <v>-0.13438428108803221</v>
      </c>
      <c r="P886" s="1">
        <f t="shared" si="1884"/>
        <v>0.13316532073505816</v>
      </c>
      <c r="Q886" s="1">
        <f t="shared" si="1885"/>
        <v>0</v>
      </c>
      <c r="R886" s="1">
        <f t="shared" si="1886"/>
        <v>0.98194086499645272</v>
      </c>
      <c r="S886" s="1">
        <f t="shared" si="1887"/>
        <v>1.5095697637751051</v>
      </c>
      <c r="T886" s="1">
        <f t="shared" ref="T886:V886" si="2001">$S886*P886</f>
        <v>0.20102234176505784</v>
      </c>
      <c r="U886" s="1">
        <f t="shared" si="2001"/>
        <v>0</v>
      </c>
      <c r="V886" s="1">
        <f t="shared" si="2001"/>
        <v>1.4823082396138174</v>
      </c>
      <c r="W886" s="1">
        <f t="shared" si="1889"/>
        <v>-18.300612996876239</v>
      </c>
      <c r="X886" s="1">
        <f t="shared" si="1890"/>
        <v>0</v>
      </c>
      <c r="Y886" s="1">
        <f t="shared" si="1891"/>
        <v>-5.8152535944688228</v>
      </c>
    </row>
    <row r="887" spans="1:25">
      <c r="A887" s="1">
        <v>0.88500000000000001</v>
      </c>
      <c r="B887" s="1">
        <f t="shared" si="1892"/>
        <v>35.425642383621899</v>
      </c>
      <c r="C887" s="1">
        <f t="shared" si="1893"/>
        <v>0</v>
      </c>
      <c r="D887" s="1">
        <f t="shared" si="1894"/>
        <v>-0.5041473961290448</v>
      </c>
      <c r="E887" s="1">
        <f t="shared" si="1895"/>
        <v>21.206480653648534</v>
      </c>
      <c r="F887" s="1">
        <f t="shared" si="1896"/>
        <v>0</v>
      </c>
      <c r="G887" s="1">
        <f t="shared" si="1897"/>
        <v>-2.8842012192447521</v>
      </c>
      <c r="H887" s="1">
        <f t="shared" si="1728"/>
        <v>21.401715781372818</v>
      </c>
      <c r="I887" s="1">
        <f t="shared" si="1880"/>
        <v>-18.470707474990483</v>
      </c>
      <c r="J887" s="1">
        <f t="shared" si="1881"/>
        <v>0</v>
      </c>
      <c r="K887" s="1">
        <f t="shared" si="1882"/>
        <v>2.5121206054770409</v>
      </c>
      <c r="L887" s="1">
        <f t="shared" ref="L887:N887" si="2002">E887/$H887</f>
        <v>0.99087759459481239</v>
      </c>
      <c r="M887" s="1">
        <f t="shared" si="2002"/>
        <v>0</v>
      </c>
      <c r="N887" s="1">
        <f t="shared" si="2002"/>
        <v>-0.13476495289947937</v>
      </c>
      <c r="O887" s="1">
        <f t="shared" si="1730"/>
        <v>-0.13476495289947937</v>
      </c>
      <c r="P887" s="1">
        <f t="shared" si="1884"/>
        <v>0.1335355723647193</v>
      </c>
      <c r="Q887" s="1">
        <f t="shared" si="1885"/>
        <v>0</v>
      </c>
      <c r="R887" s="1">
        <f t="shared" si="1886"/>
        <v>0.98183840747000106</v>
      </c>
      <c r="S887" s="1">
        <f t="shared" si="1887"/>
        <v>1.5071249538672353</v>
      </c>
      <c r="T887" s="1">
        <f t="shared" ref="T887:V887" si="2003">$S887*P887</f>
        <v>0.20125479333981244</v>
      </c>
      <c r="U887" s="1">
        <f t="shared" si="2003"/>
        <v>0</v>
      </c>
      <c r="V887" s="1">
        <f t="shared" si="2003"/>
        <v>1.4797531645633051</v>
      </c>
      <c r="W887" s="1">
        <f t="shared" si="1889"/>
        <v>-18.269452681650669</v>
      </c>
      <c r="X887" s="1">
        <f t="shared" si="1890"/>
        <v>0</v>
      </c>
      <c r="Y887" s="1">
        <f t="shared" si="1891"/>
        <v>-5.8147762299596533</v>
      </c>
    </row>
    <row r="888" spans="1:25">
      <c r="A888" s="1">
        <v>0.88600000000000001</v>
      </c>
      <c r="B888" s="1">
        <f t="shared" si="1892"/>
        <v>35.446830594822863</v>
      </c>
      <c r="C888" s="1">
        <f t="shared" si="1893"/>
        <v>0</v>
      </c>
      <c r="D888" s="1">
        <f t="shared" si="1894"/>
        <v>-0.50703741212451947</v>
      </c>
      <c r="E888" s="1">
        <f t="shared" si="1895"/>
        <v>21.188211200966883</v>
      </c>
      <c r="F888" s="1">
        <f t="shared" si="1896"/>
        <v>0</v>
      </c>
      <c r="G888" s="1">
        <f t="shared" si="1897"/>
        <v>-2.890015995474712</v>
      </c>
      <c r="H888" s="1">
        <f t="shared" si="1728"/>
        <v>21.384398199408796</v>
      </c>
      <c r="I888" s="1">
        <f t="shared" si="1880"/>
        <v>-18.439861871773598</v>
      </c>
      <c r="J888" s="1">
        <f t="shared" si="1881"/>
        <v>0</v>
      </c>
      <c r="K888" s="1">
        <f t="shared" si="1882"/>
        <v>2.5151484124029357</v>
      </c>
      <c r="L888" s="1">
        <f t="shared" ref="L888:N888" si="2004">E888/$H888</f>
        <v>0.9908256946670897</v>
      </c>
      <c r="M888" s="1">
        <f t="shared" si="2004"/>
        <v>0</v>
      </c>
      <c r="N888" s="1">
        <f t="shared" si="2004"/>
        <v>-0.13514600544403493</v>
      </c>
      <c r="O888" s="1">
        <f t="shared" si="1730"/>
        <v>-0.13514600544403493</v>
      </c>
      <c r="P888" s="1">
        <f t="shared" si="1884"/>
        <v>0.1339061347255682</v>
      </c>
      <c r="Q888" s="1">
        <f t="shared" si="1885"/>
        <v>0</v>
      </c>
      <c r="R888" s="1">
        <f t="shared" si="1886"/>
        <v>0.98173555721252093</v>
      </c>
      <c r="S888" s="1">
        <f t="shared" si="1887"/>
        <v>1.5046869063162041</v>
      </c>
      <c r="T888" s="1">
        <f t="shared" ref="T888:V888" si="2005">$S888*P888</f>
        <v>0.20148680759697604</v>
      </c>
      <c r="U888" s="1">
        <f t="shared" si="2005"/>
        <v>0</v>
      </c>
      <c r="V888" s="1">
        <f t="shared" si="2005"/>
        <v>1.4772046384027229</v>
      </c>
      <c r="W888" s="1">
        <f t="shared" si="1889"/>
        <v>-18.238375064176623</v>
      </c>
      <c r="X888" s="1">
        <f t="shared" si="1890"/>
        <v>0</v>
      </c>
      <c r="Y888" s="1">
        <f t="shared" si="1891"/>
        <v>-5.8142969491943406</v>
      </c>
    </row>
    <row r="889" spans="1:25">
      <c r="A889" s="1">
        <v>0.88700000000000001</v>
      </c>
      <c r="B889" s="1">
        <f t="shared" si="1892"/>
        <v>35.468000567648765</v>
      </c>
      <c r="C889" s="1">
        <f t="shared" si="1893"/>
        <v>0</v>
      </c>
      <c r="D889" s="1">
        <f t="shared" si="1894"/>
        <v>-0.50993324241694338</v>
      </c>
      <c r="E889" s="1">
        <f t="shared" si="1895"/>
        <v>21.169972825902708</v>
      </c>
      <c r="F889" s="1">
        <f t="shared" si="1896"/>
        <v>0</v>
      </c>
      <c r="G889" s="1">
        <f t="shared" si="1897"/>
        <v>-2.8958302924239065</v>
      </c>
      <c r="H889" s="1">
        <f t="shared" si="1728"/>
        <v>21.36711451113554</v>
      </c>
      <c r="I889" s="1">
        <f t="shared" si="1880"/>
        <v>-18.409098246568401</v>
      </c>
      <c r="J889" s="1">
        <f t="shared" si="1881"/>
        <v>0</v>
      </c>
      <c r="K889" s="1">
        <f t="shared" si="1882"/>
        <v>2.5181716007397581</v>
      </c>
      <c r="L889" s="1">
        <f t="shared" ref="L889:N889" si="2006">E889/$H889</f>
        <v>0.99077359345221405</v>
      </c>
      <c r="M889" s="1">
        <f t="shared" si="2006"/>
        <v>0</v>
      </c>
      <c r="N889" s="1">
        <f t="shared" si="2006"/>
        <v>-0.13552743824697225</v>
      </c>
      <c r="O889" s="1">
        <f t="shared" si="1730"/>
        <v>-0.13552743824697225</v>
      </c>
      <c r="P889" s="1">
        <f t="shared" si="1884"/>
        <v>0.13427700700332573</v>
      </c>
      <c r="Q889" s="1">
        <f t="shared" si="1885"/>
        <v>0</v>
      </c>
      <c r="R889" s="1">
        <f t="shared" si="1886"/>
        <v>0.98163231348221314</v>
      </c>
      <c r="S889" s="1">
        <f t="shared" si="1887"/>
        <v>1.5022555982704566</v>
      </c>
      <c r="T889" s="1">
        <f t="shared" ref="T889:V889" si="2007">$S889*P889</f>
        <v>0.20171838548974738</v>
      </c>
      <c r="U889" s="1">
        <f t="shared" si="2007"/>
        <v>0</v>
      </c>
      <c r="V889" s="1">
        <f t="shared" si="2007"/>
        <v>1.4746626383718344</v>
      </c>
      <c r="W889" s="1">
        <f t="shared" si="1889"/>
        <v>-18.207379861078653</v>
      </c>
      <c r="X889" s="1">
        <f t="shared" si="1890"/>
        <v>0</v>
      </c>
      <c r="Y889" s="1">
        <f t="shared" si="1891"/>
        <v>-5.8138157608884065</v>
      </c>
    </row>
    <row r="890" spans="1:25">
      <c r="A890" s="1">
        <v>0.88800000000000001</v>
      </c>
      <c r="B890" s="1">
        <f t="shared" si="1892"/>
        <v>35.489152333094808</v>
      </c>
      <c r="C890" s="1">
        <f t="shared" si="1893"/>
        <v>0</v>
      </c>
      <c r="D890" s="1">
        <f t="shared" si="1894"/>
        <v>-0.51283488652512821</v>
      </c>
      <c r="E890" s="1">
        <f t="shared" si="1895"/>
        <v>21.15176544604163</v>
      </c>
      <c r="F890" s="1">
        <f t="shared" si="1896"/>
        <v>0</v>
      </c>
      <c r="G890" s="1">
        <f t="shared" si="1897"/>
        <v>-2.901644108184795</v>
      </c>
      <c r="H890" s="1">
        <f t="shared" si="1728"/>
        <v>21.349864636922742</v>
      </c>
      <c r="I890" s="1">
        <f t="shared" si="1880"/>
        <v>-18.378416318165744</v>
      </c>
      <c r="J890" s="1">
        <f t="shared" si="1881"/>
        <v>0</v>
      </c>
      <c r="K890" s="1">
        <f t="shared" si="1882"/>
        <v>2.5211901844984164</v>
      </c>
      <c r="L890" s="1">
        <f t="shared" ref="L890:N890" si="2008">E890/$H890</f>
        <v>0.99072129054446012</v>
      </c>
      <c r="M890" s="1">
        <f t="shared" si="2008"/>
        <v>0</v>
      </c>
      <c r="N890" s="1">
        <f t="shared" si="2008"/>
        <v>-0.13590925083275013</v>
      </c>
      <c r="O890" s="1">
        <f t="shared" si="1730"/>
        <v>-0.13590925083275013</v>
      </c>
      <c r="P890" s="1">
        <f t="shared" si="1884"/>
        <v>0.13464818838195294</v>
      </c>
      <c r="Q890" s="1">
        <f t="shared" si="1885"/>
        <v>0</v>
      </c>
      <c r="R890" s="1">
        <f t="shared" si="1886"/>
        <v>0.98152867553808065</v>
      </c>
      <c r="S890" s="1">
        <f t="shared" si="1887"/>
        <v>1.4998310069765672</v>
      </c>
      <c r="T890" s="1">
        <f t="shared" ref="T890:V890" si="2009">$S890*P890</f>
        <v>0.20194952796847501</v>
      </c>
      <c r="U890" s="1">
        <f t="shared" si="2009"/>
        <v>0</v>
      </c>
      <c r="V890" s="1">
        <f t="shared" si="2009"/>
        <v>1.4721271418086559</v>
      </c>
      <c r="W890" s="1">
        <f t="shared" si="1889"/>
        <v>-18.176466790197271</v>
      </c>
      <c r="X890" s="1">
        <f t="shared" si="1890"/>
        <v>0</v>
      </c>
      <c r="Y890" s="1">
        <f t="shared" si="1891"/>
        <v>-5.8133326736929272</v>
      </c>
    </row>
    <row r="891" spans="1:25">
      <c r="A891" s="1">
        <v>0.88900000000000001</v>
      </c>
      <c r="B891" s="1">
        <f t="shared" si="1892"/>
        <v>35.510285922074061</v>
      </c>
      <c r="C891" s="1">
        <f t="shared" si="1893"/>
        <v>0</v>
      </c>
      <c r="D891" s="1">
        <f t="shared" si="1894"/>
        <v>-0.51574234396598673</v>
      </c>
      <c r="E891" s="1">
        <f t="shared" si="1895"/>
        <v>21.133588979251432</v>
      </c>
      <c r="F891" s="1">
        <f t="shared" si="1896"/>
        <v>0</v>
      </c>
      <c r="G891" s="1">
        <f t="shared" si="1897"/>
        <v>-2.9074574408584879</v>
      </c>
      <c r="H891" s="1">
        <f t="shared" si="1728"/>
        <v>21.332648497416841</v>
      </c>
      <c r="I891" s="1">
        <f t="shared" si="1880"/>
        <v>-18.347815806563254</v>
      </c>
      <c r="J891" s="1">
        <f t="shared" si="1881"/>
        <v>0</v>
      </c>
      <c r="K891" s="1">
        <f t="shared" si="1882"/>
        <v>2.5242041776560966</v>
      </c>
      <c r="L891" s="1">
        <f t="shared" ref="L891:N891" si="2010">E891/$H891</f>
        <v>0.99066878553830229</v>
      </c>
      <c r="M891" s="1">
        <f t="shared" si="2010"/>
        <v>0</v>
      </c>
      <c r="N891" s="1">
        <f t="shared" si="2010"/>
        <v>-0.1362914427250114</v>
      </c>
      <c r="O891" s="1">
        <f t="shared" si="1730"/>
        <v>-0.1362914427250114</v>
      </c>
      <c r="P891" s="1">
        <f t="shared" si="1884"/>
        <v>0.13501967804365012</v>
      </c>
      <c r="Q891" s="1">
        <f t="shared" si="1885"/>
        <v>0</v>
      </c>
      <c r="R891" s="1">
        <f t="shared" si="1886"/>
        <v>0.9814246426399349</v>
      </c>
      <c r="S891" s="1">
        <f t="shared" si="1887"/>
        <v>1.4974131097787278</v>
      </c>
      <c r="T891" s="1">
        <f t="shared" ref="T891:V891" si="2011">$S891*P891</f>
        <v>0.20218023598066473</v>
      </c>
      <c r="U891" s="1">
        <f t="shared" si="2011"/>
        <v>0</v>
      </c>
      <c r="V891" s="1">
        <f t="shared" si="2011"/>
        <v>1.4695981261489415</v>
      </c>
      <c r="W891" s="1">
        <f t="shared" si="1889"/>
        <v>-18.145635570582588</v>
      </c>
      <c r="X891" s="1">
        <f t="shared" si="1890"/>
        <v>0</v>
      </c>
      <c r="Y891" s="1">
        <f t="shared" si="1891"/>
        <v>-5.8128476961949609</v>
      </c>
    </row>
    <row r="892" spans="1:25">
      <c r="A892" s="1">
        <v>0.89</v>
      </c>
      <c r="B892" s="1">
        <f t="shared" si="1892"/>
        <v>35.531401365417743</v>
      </c>
      <c r="C892" s="1">
        <f t="shared" si="1893"/>
        <v>0</v>
      </c>
      <c r="D892" s="1">
        <f t="shared" si="1894"/>
        <v>-0.51865561425454143</v>
      </c>
      <c r="E892" s="1">
        <f t="shared" si="1895"/>
        <v>21.115443343680848</v>
      </c>
      <c r="F892" s="1">
        <f t="shared" si="1896"/>
        <v>0</v>
      </c>
      <c r="G892" s="1">
        <f t="shared" si="1897"/>
        <v>-2.9132702885546831</v>
      </c>
      <c r="H892" s="1">
        <f t="shared" si="1728"/>
        <v>21.315466013539822</v>
      </c>
      <c r="I892" s="1">
        <f t="shared" si="1880"/>
        <v>-18.317296432959139</v>
      </c>
      <c r="J892" s="1">
        <f t="shared" si="1881"/>
        <v>0</v>
      </c>
      <c r="K892" s="1">
        <f t="shared" si="1882"/>
        <v>2.527213594156354</v>
      </c>
      <c r="L892" s="1">
        <f t="shared" ref="L892:N892" si="2012">E892/$H892</f>
        <v>0.99061607802841756</v>
      </c>
      <c r="M892" s="1">
        <f t="shared" si="2012"/>
        <v>0</v>
      </c>
      <c r="N892" s="1">
        <f t="shared" si="2012"/>
        <v>-0.13667401344658106</v>
      </c>
      <c r="O892" s="1">
        <f t="shared" si="1730"/>
        <v>-0.13667401344658106</v>
      </c>
      <c r="P892" s="1">
        <f t="shared" si="1884"/>
        <v>0.13539147516885533</v>
      </c>
      <c r="Q892" s="1">
        <f t="shared" si="1885"/>
        <v>0</v>
      </c>
      <c r="R892" s="1">
        <f t="shared" si="1886"/>
        <v>0.98132021404840375</v>
      </c>
      <c r="S892" s="1">
        <f t="shared" si="1887"/>
        <v>1.4950018841182477</v>
      </c>
      <c r="T892" s="1">
        <f t="shared" ref="T892:V892" si="2013">$S892*P892</f>
        <v>0.20241051047098768</v>
      </c>
      <c r="U892" s="1">
        <f t="shared" si="2013"/>
        <v>0</v>
      </c>
      <c r="V892" s="1">
        <f t="shared" si="2013"/>
        <v>1.4670755689256858</v>
      </c>
      <c r="W892" s="1">
        <f t="shared" si="1889"/>
        <v>-18.114885922488153</v>
      </c>
      <c r="X892" s="1">
        <f t="shared" si="1890"/>
        <v>0</v>
      </c>
      <c r="Y892" s="1">
        <f t="shared" si="1891"/>
        <v>-5.8123608369179598</v>
      </c>
    </row>
    <row r="893" spans="1:25">
      <c r="A893" s="1">
        <v>0.89100000000000001</v>
      </c>
      <c r="B893" s="1">
        <f t="shared" si="1892"/>
        <v>35.552498693875499</v>
      </c>
      <c r="C893" s="1">
        <f t="shared" si="1893"/>
        <v>0</v>
      </c>
      <c r="D893" s="1">
        <f t="shared" si="1894"/>
        <v>-0.52157469690393299</v>
      </c>
      <c r="E893" s="1">
        <f t="shared" si="1895"/>
        <v>21.097328457758358</v>
      </c>
      <c r="F893" s="1">
        <f t="shared" si="1896"/>
        <v>0</v>
      </c>
      <c r="G893" s="1">
        <f t="shared" si="1897"/>
        <v>-2.9190826493916009</v>
      </c>
      <c r="H893" s="1">
        <f t="shared" si="1728"/>
        <v>21.29831710648801</v>
      </c>
      <c r="I893" s="1">
        <f t="shared" si="1880"/>
        <v>-18.28685791974597</v>
      </c>
      <c r="J893" s="1">
        <f t="shared" si="1881"/>
        <v>0</v>
      </c>
      <c r="K893" s="1">
        <f t="shared" si="1882"/>
        <v>2.5302184479091951</v>
      </c>
      <c r="L893" s="1">
        <f t="shared" ref="L893:N893" si="2014">E893/$H893</f>
        <v>0.99056316760968754</v>
      </c>
      <c r="M893" s="1">
        <f t="shared" si="2014"/>
        <v>0</v>
      </c>
      <c r="N893" s="1">
        <f t="shared" si="2014"/>
        <v>-0.1370569625194647</v>
      </c>
      <c r="O893" s="1">
        <f t="shared" si="1730"/>
        <v>-0.1370569625194647</v>
      </c>
      <c r="P893" s="1">
        <f t="shared" si="1884"/>
        <v>0.13576357893624316</v>
      </c>
      <c r="Q893" s="1">
        <f t="shared" si="1885"/>
        <v>0</v>
      </c>
      <c r="R893" s="1">
        <f t="shared" si="1886"/>
        <v>0.9812153890249381</v>
      </c>
      <c r="S893" s="1">
        <f t="shared" si="1887"/>
        <v>1.4925973075330528</v>
      </c>
      <c r="T893" s="1">
        <f t="shared" ref="T893:V893" si="2015">$S893*P893</f>
        <v>0.20264035238128761</v>
      </c>
      <c r="U893" s="1">
        <f t="shared" si="2015"/>
        <v>0</v>
      </c>
      <c r="V893" s="1">
        <f t="shared" si="2015"/>
        <v>1.4645594477686195</v>
      </c>
      <c r="W893" s="1">
        <f t="shared" si="1889"/>
        <v>-18.084217567364682</v>
      </c>
      <c r="X893" s="1">
        <f t="shared" si="1890"/>
        <v>0</v>
      </c>
      <c r="Y893" s="1">
        <f t="shared" si="1891"/>
        <v>-5.8118721043221848</v>
      </c>
    </row>
    <row r="894" spans="1:25">
      <c r="A894" s="1">
        <v>0.89200000000000002</v>
      </c>
      <c r="B894" s="1">
        <f t="shared" si="1892"/>
        <v>35.57357793811569</v>
      </c>
      <c r="C894" s="1">
        <f t="shared" si="1893"/>
        <v>0</v>
      </c>
      <c r="D894" s="1">
        <f t="shared" si="1894"/>
        <v>-0.5244995914254289</v>
      </c>
      <c r="E894" s="1">
        <f t="shared" si="1895"/>
        <v>21.079244240190995</v>
      </c>
      <c r="F894" s="1">
        <f t="shared" si="1896"/>
        <v>0</v>
      </c>
      <c r="G894" s="1">
        <f t="shared" si="1897"/>
        <v>-2.924894521495923</v>
      </c>
      <c r="H894" s="1">
        <f t="shared" si="1728"/>
        <v>21.281201697730843</v>
      </c>
      <c r="I894" s="1">
        <f t="shared" si="1880"/>
        <v>-18.256499990504501</v>
      </c>
      <c r="J894" s="1">
        <f t="shared" si="1881"/>
        <v>0</v>
      </c>
      <c r="K894" s="1">
        <f t="shared" si="1882"/>
        <v>2.5332187527911652</v>
      </c>
      <c r="L894" s="1">
        <f t="shared" ref="L894:N894" si="2016">E894/$H894</f>
        <v>0.9905100538772027</v>
      </c>
      <c r="M894" s="1">
        <f t="shared" si="2016"/>
        <v>0</v>
      </c>
      <c r="N894" s="1">
        <f t="shared" si="2016"/>
        <v>-0.13744028946484713</v>
      </c>
      <c r="O894" s="1">
        <f t="shared" si="1730"/>
        <v>-0.13744028946484713</v>
      </c>
      <c r="P894" s="1">
        <f t="shared" si="1884"/>
        <v>0.13613598852272407</v>
      </c>
      <c r="Q894" s="1">
        <f t="shared" si="1885"/>
        <v>0</v>
      </c>
      <c r="R894" s="1">
        <f t="shared" si="1886"/>
        <v>0.98111016683181906</v>
      </c>
      <c r="S894" s="1">
        <f t="shared" si="1887"/>
        <v>1.4901993576571833</v>
      </c>
      <c r="T894" s="1">
        <f t="shared" ref="T894:V894" si="2017">$S894*P894</f>
        <v>0.20286976265058909</v>
      </c>
      <c r="U894" s="1">
        <f t="shared" si="2017"/>
        <v>0</v>
      </c>
      <c r="V894" s="1">
        <f t="shared" si="2017"/>
        <v>1.4620497404037087</v>
      </c>
      <c r="W894" s="1">
        <f t="shared" si="1889"/>
        <v>-18.053630227853912</v>
      </c>
      <c r="X894" s="1">
        <f t="shared" si="1890"/>
        <v>0</v>
      </c>
      <c r="Y894" s="1">
        <f t="shared" si="1891"/>
        <v>-5.8113815068051258</v>
      </c>
    </row>
    <row r="895" spans="1:25">
      <c r="A895" s="1">
        <v>0.89300000000000002</v>
      </c>
      <c r="B895" s="1">
        <f t="shared" si="1892"/>
        <v>35.594639128725653</v>
      </c>
      <c r="C895" s="1">
        <f t="shared" si="1893"/>
        <v>0</v>
      </c>
      <c r="D895" s="1">
        <f t="shared" si="1894"/>
        <v>-0.52743029732843161</v>
      </c>
      <c r="E895" s="1">
        <f t="shared" si="1895"/>
        <v>21.061190609963141</v>
      </c>
      <c r="F895" s="1">
        <f t="shared" si="1896"/>
        <v>0</v>
      </c>
      <c r="G895" s="1">
        <f t="shared" si="1897"/>
        <v>-2.9307059030027283</v>
      </c>
      <c r="H895" s="1">
        <f t="shared" si="1728"/>
        <v>21.264119709009698</v>
      </c>
      <c r="I895" s="1">
        <f t="shared" si="1880"/>
        <v>-18.226222369997565</v>
      </c>
      <c r="J895" s="1">
        <f t="shared" si="1881"/>
        <v>0</v>
      </c>
      <c r="K895" s="1">
        <f t="shared" si="1882"/>
        <v>2.5362145226454373</v>
      </c>
      <c r="L895" s="1">
        <f t="shared" ref="L895:N895" si="2018">E895/$H895</f>
        <v>0.99045673642626386</v>
      </c>
      <c r="M895" s="1">
        <f t="shared" si="2018"/>
        <v>0</v>
      </c>
      <c r="N895" s="1">
        <f t="shared" si="2018"/>
        <v>-0.13782399380309054</v>
      </c>
      <c r="O895" s="1">
        <f t="shared" si="1730"/>
        <v>-0.13782399380309054</v>
      </c>
      <c r="P895" s="1">
        <f t="shared" si="1884"/>
        <v>0.13650870310344268</v>
      </c>
      <c r="Q895" s="1">
        <f t="shared" si="1885"/>
        <v>0</v>
      </c>
      <c r="R895" s="1">
        <f t="shared" si="1886"/>
        <v>0.98100454673216564</v>
      </c>
      <c r="S895" s="1">
        <f t="shared" si="1887"/>
        <v>1.4878080122203039</v>
      </c>
      <c r="T895" s="1">
        <f t="shared" ref="T895:V895" si="2019">$S895*P895</f>
        <v>0.20309874221510468</v>
      </c>
      <c r="U895" s="1">
        <f t="shared" si="2019"/>
        <v>0</v>
      </c>
      <c r="V895" s="1">
        <f t="shared" si="2019"/>
        <v>1.4595464246526635</v>
      </c>
      <c r="W895" s="1">
        <f t="shared" si="1889"/>
        <v>-18.023123627782461</v>
      </c>
      <c r="X895" s="1">
        <f t="shared" si="1890"/>
        <v>0</v>
      </c>
      <c r="Y895" s="1">
        <f t="shared" si="1891"/>
        <v>-5.8108890527018984</v>
      </c>
    </row>
    <row r="896" spans="1:25">
      <c r="A896" s="1">
        <v>0.89400000000000002</v>
      </c>
      <c r="B896" s="1">
        <f t="shared" si="1892"/>
        <v>35.615682296211986</v>
      </c>
      <c r="C896" s="1">
        <f t="shared" si="1893"/>
        <v>0</v>
      </c>
      <c r="D896" s="1">
        <f t="shared" si="1894"/>
        <v>-0.53036681412048703</v>
      </c>
      <c r="E896" s="1">
        <f t="shared" si="1895"/>
        <v>21.04316748633536</v>
      </c>
      <c r="F896" s="1">
        <f t="shared" si="1896"/>
        <v>0</v>
      </c>
      <c r="G896" s="1">
        <f t="shared" si="1897"/>
        <v>-2.9365167920554303</v>
      </c>
      <c r="H896" s="1">
        <f t="shared" si="1728"/>
        <v>21.247071062336691</v>
      </c>
      <c r="I896" s="1">
        <f t="shared" si="1880"/>
        <v>-18.196024784163971</v>
      </c>
      <c r="J896" s="1">
        <f t="shared" si="1881"/>
        <v>0</v>
      </c>
      <c r="K896" s="1">
        <f t="shared" si="1882"/>
        <v>2.5392057712818956</v>
      </c>
      <c r="L896" s="1">
        <f t="shared" ref="L896:N896" si="2020">E896/$H896</f>
        <v>0.99040321485238603</v>
      </c>
      <c r="M896" s="1">
        <f t="shared" si="2020"/>
        <v>0</v>
      </c>
      <c r="N896" s="1">
        <f t="shared" si="2020"/>
        <v>-0.13820807505373311</v>
      </c>
      <c r="O896" s="1">
        <f t="shared" si="1730"/>
        <v>-0.13820807505373311</v>
      </c>
      <c r="P896" s="1">
        <f t="shared" si="1884"/>
        <v>0.13688172185177713</v>
      </c>
      <c r="Q896" s="1">
        <f t="shared" si="1885"/>
        <v>0</v>
      </c>
      <c r="R896" s="1">
        <f t="shared" si="1886"/>
        <v>0.9808985279899417</v>
      </c>
      <c r="S896" s="1">
        <f t="shared" si="1887"/>
        <v>1.4854232490472083</v>
      </c>
      <c r="T896" s="1">
        <f t="shared" ref="T896:V896" si="2021">$S896*P896</f>
        <v>0.20332729200824304</v>
      </c>
      <c r="U896" s="1">
        <f t="shared" si="2021"/>
        <v>0</v>
      </c>
      <c r="V896" s="1">
        <f t="shared" si="2021"/>
        <v>1.4570494784324433</v>
      </c>
      <c r="W896" s="1">
        <f t="shared" si="1889"/>
        <v>-17.992697492155727</v>
      </c>
      <c r="X896" s="1">
        <f t="shared" si="1890"/>
        <v>0</v>
      </c>
      <c r="Y896" s="1">
        <f t="shared" si="1891"/>
        <v>-5.8103947502856608</v>
      </c>
    </row>
    <row r="897" spans="1:25">
      <c r="A897" s="1">
        <v>0.89500000000000002</v>
      </c>
      <c r="B897" s="1">
        <f t="shared" si="1892"/>
        <v>35.636707471000832</v>
      </c>
      <c r="C897" s="1">
        <f t="shared" si="1893"/>
        <v>0</v>
      </c>
      <c r="D897" s="1">
        <f t="shared" si="1894"/>
        <v>-0.53330914130729279</v>
      </c>
      <c r="E897" s="1">
        <f t="shared" si="1895"/>
        <v>21.025174788843206</v>
      </c>
      <c r="F897" s="1">
        <f t="shared" si="1896"/>
        <v>0</v>
      </c>
      <c r="G897" s="1">
        <f t="shared" si="1897"/>
        <v>-2.9423271868057159</v>
      </c>
      <c r="H897" s="1">
        <f t="shared" si="1728"/>
        <v>21.230055679993495</v>
      </c>
      <c r="I897" s="1">
        <f t="shared" si="1880"/>
        <v>-18.165906960112462</v>
      </c>
      <c r="J897" s="1">
        <f t="shared" si="1881"/>
        <v>0</v>
      </c>
      <c r="K897" s="1">
        <f t="shared" si="1882"/>
        <v>2.5421925124772229</v>
      </c>
      <c r="L897" s="1">
        <f t="shared" ref="L897:N897" si="2022">E897/$H897</f>
        <v>0.99034948875130069</v>
      </c>
      <c r="M897" s="1">
        <f t="shared" si="2022"/>
        <v>0</v>
      </c>
      <c r="N897" s="1">
        <f t="shared" si="2022"/>
        <v>-0.13859253273548727</v>
      </c>
      <c r="O897" s="1">
        <f t="shared" si="1730"/>
        <v>-0.13859253273548727</v>
      </c>
      <c r="P897" s="1">
        <f t="shared" si="1884"/>
        <v>0.13725504393933771</v>
      </c>
      <c r="Q897" s="1">
        <f t="shared" si="1885"/>
        <v>0</v>
      </c>
      <c r="R897" s="1">
        <f t="shared" si="1886"/>
        <v>0.9807921098699629</v>
      </c>
      <c r="S897" s="1">
        <f t="shared" si="1887"/>
        <v>1.4830450460573328</v>
      </c>
      <c r="T897" s="1">
        <f t="shared" ref="T897:V897" si="2023">$S897*P897</f>
        <v>0.20355541296061633</v>
      </c>
      <c r="U897" s="1">
        <f t="shared" si="2023"/>
        <v>0</v>
      </c>
      <c r="V897" s="1">
        <f t="shared" si="2023"/>
        <v>1.4545588797547677</v>
      </c>
      <c r="W897" s="1">
        <f t="shared" si="1889"/>
        <v>-17.962351547151847</v>
      </c>
      <c r="X897" s="1">
        <f t="shared" si="1890"/>
        <v>0</v>
      </c>
      <c r="Y897" s="1">
        <f t="shared" si="1891"/>
        <v>-5.8098986077680088</v>
      </c>
    </row>
    <row r="898" spans="1:25">
      <c r="A898" s="1">
        <v>0.89600000000000002</v>
      </c>
      <c r="B898" s="1">
        <f t="shared" si="1892"/>
        <v>35.65771468343813</v>
      </c>
      <c r="C898" s="1">
        <f t="shared" si="1893"/>
        <v>0</v>
      </c>
      <c r="D898" s="1">
        <f t="shared" si="1894"/>
        <v>-0.53625727839270632</v>
      </c>
      <c r="E898" s="1">
        <f t="shared" si="1895"/>
        <v>21.007212437296054</v>
      </c>
      <c r="F898" s="1">
        <f t="shared" si="1896"/>
        <v>0</v>
      </c>
      <c r="G898" s="1">
        <f t="shared" si="1897"/>
        <v>-2.9481370854134838</v>
      </c>
      <c r="H898" s="1">
        <f t="shared" si="1728"/>
        <v>21.213073484530156</v>
      </c>
      <c r="I898" s="1">
        <f t="shared" ref="I898:I961" si="2024">-K_drag*$H898*E898</f>
        <v>-18.135868626115681</v>
      </c>
      <c r="J898" s="1">
        <f t="shared" ref="J898:J961" si="2025">-K_drag*$H898*F898</f>
        <v>0</v>
      </c>
      <c r="K898" s="1">
        <f t="shared" ref="K898:K961" si="2026">-K_drag*$H898*G898</f>
        <v>2.5451747599749863</v>
      </c>
      <c r="L898" s="1">
        <f t="shared" ref="L898:N898" si="2027">E898/$H898</f>
        <v>0.99029555771895916</v>
      </c>
      <c r="M898" s="1">
        <f t="shared" si="2027"/>
        <v>0</v>
      </c>
      <c r="N898" s="1">
        <f t="shared" si="2027"/>
        <v>-0.13897736636623834</v>
      </c>
      <c r="O898" s="1">
        <f t="shared" si="1730"/>
        <v>-0.13897736636623834</v>
      </c>
      <c r="P898" s="1">
        <f t="shared" ref="P898:P961" si="2028">u_axis_f-$O898*L898</f>
        <v>0.13762866853596611</v>
      </c>
      <c r="Q898" s="1">
        <f t="shared" ref="Q898:Q961" si="2029">u_axis_r-$O898*M898</f>
        <v>0</v>
      </c>
      <c r="R898" s="1">
        <f t="shared" ref="R898:R961" si="2030">u_axis_u-$O898*N898</f>
        <v>0.98068529163790441</v>
      </c>
      <c r="S898" s="1">
        <f t="shared" ref="S898:S961" si="2031">K_lift*H898^2</f>
        <v>1.4806733812642676</v>
      </c>
      <c r="T898" s="1">
        <f t="shared" ref="T898:V898" si="2032">$S898*P898</f>
        <v>0.20378310600004806</v>
      </c>
      <c r="U898" s="1">
        <f t="shared" si="2032"/>
        <v>0</v>
      </c>
      <c r="V898" s="1">
        <f t="shared" si="2032"/>
        <v>1.4520746067256303</v>
      </c>
      <c r="W898" s="1">
        <f t="shared" ref="W898:W961" si="2033">I898+T898+g_f</f>
        <v>-17.932085520115631</v>
      </c>
      <c r="X898" s="1">
        <f t="shared" ref="X898:X961" si="2034">J898+U898+g_r</f>
        <v>0</v>
      </c>
      <c r="Y898" s="1">
        <f t="shared" ref="Y898:Y961" si="2035">K898+V898+g_u</f>
        <v>-5.8094006332993828</v>
      </c>
    </row>
    <row r="899" spans="1:25">
      <c r="A899" s="1">
        <v>0.89700000000000002</v>
      </c>
      <c r="B899" s="1">
        <f t="shared" ref="B899:B962" si="2036">B898+E899*dt</f>
        <v>35.678703963789907</v>
      </c>
      <c r="C899" s="1">
        <f t="shared" ref="C899:C962" si="2037">C898+F899*dt</f>
        <v>0</v>
      </c>
      <c r="D899" s="1">
        <f t="shared" ref="D899:D962" si="2038">D898+G899*dt</f>
        <v>-0.53921122487875306</v>
      </c>
      <c r="E899" s="1">
        <f t="shared" ref="E899:E962" si="2039">E898+W898*dt</f>
        <v>20.989280351775939</v>
      </c>
      <c r="F899" s="1">
        <f t="shared" ref="F899:F962" si="2040">F898+X898*dt</f>
        <v>0</v>
      </c>
      <c r="G899" s="1">
        <f t="shared" ref="G899:G962" si="2041">G898+Y898*dt</f>
        <v>-2.9539464860467834</v>
      </c>
      <c r="H899" s="1">
        <f t="shared" si="1728"/>
        <v>21.196124398763931</v>
      </c>
      <c r="I899" s="1">
        <f t="shared" si="2024"/>
        <v>-18.105909511604217</v>
      </c>
      <c r="J899" s="1">
        <f t="shared" si="2025"/>
        <v>0</v>
      </c>
      <c r="K899" s="1">
        <f t="shared" si="2026"/>
        <v>2.5481525274857244</v>
      </c>
      <c r="L899" s="1">
        <f t="shared" ref="L899:N899" si="2042">E899/$H899</f>
        <v>0.9902414213515347</v>
      </c>
      <c r="M899" s="1">
        <f t="shared" si="2042"/>
        <v>0</v>
      </c>
      <c r="N899" s="1">
        <f t="shared" si="2042"/>
        <v>-0.1393625754630429</v>
      </c>
      <c r="O899" s="1">
        <f t="shared" si="1730"/>
        <v>-0.1393625754630429</v>
      </c>
      <c r="P899" s="1">
        <f t="shared" si="2028"/>
        <v>0.13800259480973412</v>
      </c>
      <c r="Q899" s="1">
        <f t="shared" si="2029"/>
        <v>0</v>
      </c>
      <c r="R899" s="1">
        <f t="shared" si="2030"/>
        <v>0.98057807256030771</v>
      </c>
      <c r="S899" s="1">
        <f t="shared" si="2031"/>
        <v>1.4783082327752755</v>
      </c>
      <c r="T899" s="1">
        <f t="shared" ref="T899:V899" si="2043">$S899*P899</f>
        <v>0.20401037205158046</v>
      </c>
      <c r="U899" s="1">
        <f t="shared" si="2043"/>
        <v>0</v>
      </c>
      <c r="V899" s="1">
        <f t="shared" si="2043"/>
        <v>1.4495966375448144</v>
      </c>
      <c r="W899" s="1">
        <f t="shared" si="2033"/>
        <v>-17.901899139552636</v>
      </c>
      <c r="X899" s="1">
        <f t="shared" si="2034"/>
        <v>0</v>
      </c>
      <c r="Y899" s="1">
        <f t="shared" si="2035"/>
        <v>-5.8089008349694602</v>
      </c>
    </row>
    <row r="900" spans="1:25">
      <c r="A900" s="1">
        <v>0.89800000000000002</v>
      </c>
      <c r="B900" s="1">
        <f t="shared" si="2036"/>
        <v>35.699675342242543</v>
      </c>
      <c r="C900" s="1">
        <f t="shared" si="2037"/>
        <v>0</v>
      </c>
      <c r="D900" s="1">
        <f t="shared" si="2038"/>
        <v>-0.54217098026563482</v>
      </c>
      <c r="E900" s="1">
        <f t="shared" si="2039"/>
        <v>20.971378452636387</v>
      </c>
      <c r="F900" s="1">
        <f t="shared" si="2040"/>
        <v>0</v>
      </c>
      <c r="G900" s="1">
        <f t="shared" si="2041"/>
        <v>-2.9597553868817528</v>
      </c>
      <c r="H900" s="1">
        <f t="shared" si="1728"/>
        <v>21.179208345778111</v>
      </c>
      <c r="I900" s="1">
        <f t="shared" si="2024"/>
        <v>-18.076029347160631</v>
      </c>
      <c r="J900" s="1">
        <f t="shared" si="2025"/>
        <v>0</v>
      </c>
      <c r="K900" s="1">
        <f t="shared" si="2026"/>
        <v>2.55112582868703</v>
      </c>
      <c r="L900" s="1">
        <f t="shared" ref="L900:N900" si="2044">E900/$H900</f>
        <v>0.99018707924542637</v>
      </c>
      <c r="M900" s="1">
        <f t="shared" si="2044"/>
        <v>0</v>
      </c>
      <c r="N900" s="1">
        <f t="shared" si="2044"/>
        <v>-0.13974815954212727</v>
      </c>
      <c r="O900" s="1">
        <f t="shared" si="1730"/>
        <v>-0.13974815954212727</v>
      </c>
      <c r="P900" s="1">
        <f t="shared" si="2028"/>
        <v>0.13837682192694287</v>
      </c>
      <c r="Q900" s="1">
        <f t="shared" si="2029"/>
        <v>0</v>
      </c>
      <c r="R900" s="1">
        <f t="shared" si="2030"/>
        <v>0.98047045190458815</v>
      </c>
      <c r="S900" s="1">
        <f t="shared" si="2031"/>
        <v>1.4759495787908119</v>
      </c>
      <c r="T900" s="1">
        <f t="shared" ref="T900:V900" si="2045">$S900*P900</f>
        <v>0.20423721203748252</v>
      </c>
      <c r="U900" s="1">
        <f t="shared" si="2045"/>
        <v>0</v>
      </c>
      <c r="V900" s="1">
        <f t="shared" si="2045"/>
        <v>1.4471249505054138</v>
      </c>
      <c r="W900" s="1">
        <f t="shared" si="2033"/>
        <v>-17.871792135123147</v>
      </c>
      <c r="X900" s="1">
        <f t="shared" si="2034"/>
        <v>0</v>
      </c>
      <c r="Y900" s="1">
        <f t="shared" si="2035"/>
        <v>-5.8083992208075559</v>
      </c>
    </row>
    <row r="901" spans="1:25">
      <c r="A901" s="1">
        <v>0.89900000000000002</v>
      </c>
      <c r="B901" s="1">
        <f t="shared" si="2036"/>
        <v>35.720628848903047</v>
      </c>
      <c r="C901" s="1">
        <f t="shared" si="2037"/>
        <v>0</v>
      </c>
      <c r="D901" s="1">
        <f t="shared" si="2038"/>
        <v>-0.54513654405173739</v>
      </c>
      <c r="E901" s="1">
        <f t="shared" si="2039"/>
        <v>20.953506660501265</v>
      </c>
      <c r="F901" s="1">
        <f t="shared" si="2040"/>
        <v>0</v>
      </c>
      <c r="G901" s="1">
        <f t="shared" si="2041"/>
        <v>-2.9655637861025603</v>
      </c>
      <c r="H901" s="1">
        <f t="shared" si="1728"/>
        <v>21.162325248920872</v>
      </c>
      <c r="I901" s="1">
        <f t="shared" si="2024"/>
        <v>-18.046227864513572</v>
      </c>
      <c r="J901" s="1">
        <f t="shared" si="2025"/>
        <v>0</v>
      </c>
      <c r="K901" s="1">
        <f t="shared" si="2026"/>
        <v>2.5540946772236408</v>
      </c>
      <c r="L901" s="1">
        <f t="shared" ref="L901:N901" si="2046">E901/$H901</f>
        <v>0.99013253099726106</v>
      </c>
      <c r="M901" s="1">
        <f t="shared" si="2046"/>
        <v>0</v>
      </c>
      <c r="N901" s="1">
        <f t="shared" si="2046"/>
        <v>-0.14013411811888596</v>
      </c>
      <c r="O901" s="1">
        <f t="shared" si="1730"/>
        <v>-0.14013411811888596</v>
      </c>
      <c r="P901" s="1">
        <f t="shared" si="2028"/>
        <v>0.13875134905212169</v>
      </c>
      <c r="Q901" s="1">
        <f t="shared" si="2029"/>
        <v>0</v>
      </c>
      <c r="R901" s="1">
        <f t="shared" si="2030"/>
        <v>0.98036242893904213</v>
      </c>
      <c r="S901" s="1">
        <f t="shared" si="2031"/>
        <v>1.4735973976040464</v>
      </c>
      <c r="T901" s="1">
        <f t="shared" ref="T901:V901" si="2047">$S901*P901</f>
        <v>0.20446362687725719</v>
      </c>
      <c r="U901" s="1">
        <f t="shared" si="2047"/>
        <v>0</v>
      </c>
      <c r="V901" s="1">
        <f t="shared" si="2047"/>
        <v>1.4446595239933544</v>
      </c>
      <c r="W901" s="1">
        <f t="shared" si="2033"/>
        <v>-17.841764237636315</v>
      </c>
      <c r="X901" s="1">
        <f t="shared" si="2034"/>
        <v>0</v>
      </c>
      <c r="Y901" s="1">
        <f t="shared" si="2035"/>
        <v>-5.8078957987830044</v>
      </c>
    </row>
    <row r="902" spans="1:25">
      <c r="A902" s="1">
        <v>0.9</v>
      </c>
      <c r="B902" s="1">
        <f t="shared" si="2036"/>
        <v>35.741564513799311</v>
      </c>
      <c r="C902" s="1">
        <f t="shared" si="2037"/>
        <v>0</v>
      </c>
      <c r="D902" s="1">
        <f t="shared" si="2038"/>
        <v>-0.54810791573363871</v>
      </c>
      <c r="E902" s="1">
        <f t="shared" si="2039"/>
        <v>20.935664896263628</v>
      </c>
      <c r="F902" s="1">
        <f t="shared" si="2040"/>
        <v>0</v>
      </c>
      <c r="G902" s="1">
        <f t="shared" si="2041"/>
        <v>-2.9713716819013434</v>
      </c>
      <c r="H902" s="1">
        <f t="shared" si="1728"/>
        <v>21.145475031804093</v>
      </c>
      <c r="I902" s="1">
        <f t="shared" si="2024"/>
        <v>-18.016504796531862</v>
      </c>
      <c r="J902" s="1">
        <f t="shared" si="2025"/>
        <v>0</v>
      </c>
      <c r="K902" s="1">
        <f t="shared" si="2026"/>
        <v>2.5570590867075169</v>
      </c>
      <c r="L902" s="1">
        <f t="shared" ref="L902:N902" si="2048">E902/$H902</f>
        <v>0.99007777620389714</v>
      </c>
      <c r="M902" s="1">
        <f t="shared" si="2048"/>
        <v>0</v>
      </c>
      <c r="N902" s="1">
        <f t="shared" si="2048"/>
        <v>-0.14052045070788044</v>
      </c>
      <c r="O902" s="1">
        <f t="shared" si="1730"/>
        <v>-0.14052045070788044</v>
      </c>
      <c r="P902" s="1">
        <f t="shared" si="2028"/>
        <v>0.1391261753480276</v>
      </c>
      <c r="Q902" s="1">
        <f t="shared" si="2029"/>
        <v>0</v>
      </c>
      <c r="R902" s="1">
        <f t="shared" si="2030"/>
        <v>0.98025400293285414</v>
      </c>
      <c r="S902" s="1">
        <f t="shared" si="2031"/>
        <v>1.4712516676003859</v>
      </c>
      <c r="T902" s="1">
        <f t="shared" ref="T902:V902" si="2049">$S902*P902</f>
        <v>0.2046896174876493</v>
      </c>
      <c r="U902" s="1">
        <f t="shared" si="2049"/>
        <v>0</v>
      </c>
      <c r="V902" s="1">
        <f t="shared" si="2049"/>
        <v>1.4422003364869154</v>
      </c>
      <c r="W902" s="1">
        <f t="shared" si="2033"/>
        <v>-17.811815179044213</v>
      </c>
      <c r="X902" s="1">
        <f t="shared" si="2034"/>
        <v>0</v>
      </c>
      <c r="Y902" s="1">
        <f t="shared" si="2035"/>
        <v>-5.8073905768055667</v>
      </c>
    </row>
    <row r="903" spans="1:25">
      <c r="A903" s="1">
        <v>0.90100000000000002</v>
      </c>
      <c r="B903" s="1">
        <f t="shared" si="2036"/>
        <v>35.762482366880398</v>
      </c>
      <c r="C903" s="1">
        <f t="shared" si="2037"/>
        <v>0</v>
      </c>
      <c r="D903" s="1">
        <f t="shared" si="2038"/>
        <v>-0.55108509480611689</v>
      </c>
      <c r="E903" s="1">
        <f t="shared" si="2039"/>
        <v>20.917853081084584</v>
      </c>
      <c r="F903" s="1">
        <f t="shared" si="2040"/>
        <v>0</v>
      </c>
      <c r="G903" s="1">
        <f t="shared" si="2041"/>
        <v>-2.9771790724781488</v>
      </c>
      <c r="H903" s="1">
        <f t="shared" si="1728"/>
        <v>21.128657618302249</v>
      </c>
      <c r="I903" s="1">
        <f t="shared" si="2024"/>
        <v>-17.986859877218723</v>
      </c>
      <c r="J903" s="1">
        <f t="shared" si="2025"/>
        <v>0</v>
      </c>
      <c r="K903" s="1">
        <f t="shared" si="2026"/>
        <v>2.560019070717936</v>
      </c>
      <c r="L903" s="1">
        <f t="shared" ref="L903:N903" si="2050">E903/$H903</f>
        <v>0.99002281446242657</v>
      </c>
      <c r="M903" s="1">
        <f t="shared" si="2050"/>
        <v>0</v>
      </c>
      <c r="N903" s="1">
        <f t="shared" si="2050"/>
        <v>-0.14090715682283719</v>
      </c>
      <c r="O903" s="1">
        <f t="shared" si="1730"/>
        <v>-0.14090715682283719</v>
      </c>
      <c r="P903" s="1">
        <f t="shared" si="2028"/>
        <v>0.13950129997564378</v>
      </c>
      <c r="Q903" s="1">
        <f t="shared" si="2029"/>
        <v>0</v>
      </c>
      <c r="R903" s="1">
        <f t="shared" si="2030"/>
        <v>0.98014517315610439</v>
      </c>
      <c r="S903" s="1">
        <f t="shared" si="2031"/>
        <v>1.4689123672570095</v>
      </c>
      <c r="T903" s="1">
        <f t="shared" ref="T903:V903" si="2051">$S903*P903</f>
        <v>0.20491518478265311</v>
      </c>
      <c r="U903" s="1">
        <f t="shared" si="2051"/>
        <v>0</v>
      </c>
      <c r="V903" s="1">
        <f t="shared" si="2051"/>
        <v>1.4397473665562648</v>
      </c>
      <c r="W903" s="1">
        <f t="shared" si="2033"/>
        <v>-17.78194469243607</v>
      </c>
      <c r="X903" s="1">
        <f t="shared" si="2034"/>
        <v>0</v>
      </c>
      <c r="Y903" s="1">
        <f t="shared" si="2035"/>
        <v>-5.8068835627257984</v>
      </c>
    </row>
    <row r="904" spans="1:25">
      <c r="A904" s="1">
        <v>0.90200000000000002</v>
      </c>
      <c r="B904" s="1">
        <f t="shared" si="2036"/>
        <v>35.783382438016794</v>
      </c>
      <c r="C904" s="1">
        <f t="shared" si="2037"/>
        <v>0</v>
      </c>
      <c r="D904" s="1">
        <f t="shared" si="2038"/>
        <v>-0.55406808076215774</v>
      </c>
      <c r="E904" s="1">
        <f t="shared" si="2039"/>
        <v>20.900071136392146</v>
      </c>
      <c r="F904" s="1">
        <f t="shared" si="2040"/>
        <v>0</v>
      </c>
      <c r="G904" s="1">
        <f t="shared" si="2041"/>
        <v>-2.9829859560408747</v>
      </c>
      <c r="H904" s="1">
        <f t="shared" si="1728"/>
        <v>21.111872932551229</v>
      </c>
      <c r="I904" s="1">
        <f t="shared" si="2024"/>
        <v>-17.957292841705907</v>
      </c>
      <c r="J904" s="1">
        <f t="shared" si="2025"/>
        <v>0</v>
      </c>
      <c r="K904" s="1">
        <f t="shared" si="2026"/>
        <v>2.5629746428015698</v>
      </c>
      <c r="L904" s="1">
        <f t="shared" ref="L904:N904" si="2052">E904/$H904</f>
        <v>0.98996764537017856</v>
      </c>
      <c r="M904" s="1">
        <f t="shared" si="2052"/>
        <v>0</v>
      </c>
      <c r="N904" s="1">
        <f t="shared" si="2052"/>
        <v>-0.14129423597664675</v>
      </c>
      <c r="O904" s="1">
        <f t="shared" si="1730"/>
        <v>-0.14129423597664675</v>
      </c>
      <c r="P904" s="1">
        <f t="shared" si="2028"/>
        <v>0.13987672209417937</v>
      </c>
      <c r="Q904" s="1">
        <f t="shared" si="2029"/>
        <v>0</v>
      </c>
      <c r="R904" s="1">
        <f t="shared" si="2030"/>
        <v>0.98003593887977569</v>
      </c>
      <c r="S904" s="1">
        <f t="shared" si="2031"/>
        <v>1.4665794751423917</v>
      </c>
      <c r="T904" s="1">
        <f t="shared" ref="T904:V904" si="2053">$S904*P904</f>
        <v>0.20514032967351978</v>
      </c>
      <c r="U904" s="1">
        <f t="shared" si="2053"/>
        <v>0</v>
      </c>
      <c r="V904" s="1">
        <f t="shared" si="2053"/>
        <v>1.4373005928629825</v>
      </c>
      <c r="W904" s="1">
        <f t="shared" si="2033"/>
        <v>-17.752152512032389</v>
      </c>
      <c r="X904" s="1">
        <f t="shared" si="2034"/>
        <v>0</v>
      </c>
      <c r="Y904" s="1">
        <f t="shared" si="2035"/>
        <v>-5.8063747643354473</v>
      </c>
    </row>
    <row r="905" spans="1:25">
      <c r="A905" s="1">
        <v>0.90300000000000002</v>
      </c>
      <c r="B905" s="1">
        <f t="shared" si="2036"/>
        <v>35.804264757000674</v>
      </c>
      <c r="C905" s="1">
        <f t="shared" si="2037"/>
        <v>0</v>
      </c>
      <c r="D905" s="1">
        <f t="shared" si="2038"/>
        <v>-0.55705687309296292</v>
      </c>
      <c r="E905" s="1">
        <f t="shared" si="2039"/>
        <v>20.882318983880115</v>
      </c>
      <c r="F905" s="1">
        <f t="shared" si="2040"/>
        <v>0</v>
      </c>
      <c r="G905" s="1">
        <f t="shared" si="2041"/>
        <v>-2.98879233080521</v>
      </c>
      <c r="H905" s="1">
        <f t="shared" si="1728"/>
        <v>21.095120898947222</v>
      </c>
      <c r="I905" s="1">
        <f t="shared" si="2024"/>
        <v>-17.927803426247966</v>
      </c>
      <c r="J905" s="1">
        <f t="shared" si="2025"/>
        <v>0</v>
      </c>
      <c r="K905" s="1">
        <f t="shared" si="2026"/>
        <v>2.5659258164725727</v>
      </c>
      <c r="L905" s="1">
        <f t="shared" ref="L905:N905" si="2054">E905/$H905</f>
        <v>0.98991226852472192</v>
      </c>
      <c r="M905" s="1">
        <f t="shared" si="2054"/>
        <v>0</v>
      </c>
      <c r="N905" s="1">
        <f t="shared" si="2054"/>
        <v>-0.14168168768136188</v>
      </c>
      <c r="O905" s="1">
        <f t="shared" si="1730"/>
        <v>-0.14168168768136188</v>
      </c>
      <c r="P905" s="1">
        <f t="shared" si="2028"/>
        <v>0.14025244086106808</v>
      </c>
      <c r="Q905" s="1">
        <f t="shared" si="2029"/>
        <v>0</v>
      </c>
      <c r="R905" s="1">
        <f t="shared" si="2030"/>
        <v>0.97992629937576103</v>
      </c>
      <c r="S905" s="1">
        <f t="shared" si="2031"/>
        <v>1.4642529699158422</v>
      </c>
      <c r="T905" s="1">
        <f t="shared" ref="T905:V905" si="2055">$S905*P905</f>
        <v>0.20536505306876496</v>
      </c>
      <c r="U905" s="1">
        <f t="shared" si="2055"/>
        <v>0</v>
      </c>
      <c r="V905" s="1">
        <f t="shared" si="2055"/>
        <v>1.4348599941595988</v>
      </c>
      <c r="W905" s="1">
        <f t="shared" si="2033"/>
        <v>-17.722438373179202</v>
      </c>
      <c r="X905" s="1">
        <f t="shared" si="2034"/>
        <v>0</v>
      </c>
      <c r="Y905" s="1">
        <f t="shared" si="2035"/>
        <v>-5.8058641893678278</v>
      </c>
    </row>
    <row r="906" spans="1:25">
      <c r="A906" s="1">
        <v>0.90400000000000003</v>
      </c>
      <c r="B906" s="1">
        <f t="shared" si="2036"/>
        <v>35.825129353546181</v>
      </c>
      <c r="C906" s="1">
        <f t="shared" si="2037"/>
        <v>0</v>
      </c>
      <c r="D906" s="1">
        <f t="shared" si="2038"/>
        <v>-0.56005147128795751</v>
      </c>
      <c r="E906" s="1">
        <f t="shared" si="2039"/>
        <v>20.864596545506934</v>
      </c>
      <c r="F906" s="1">
        <f t="shared" si="2040"/>
        <v>0</v>
      </c>
      <c r="G906" s="1">
        <f t="shared" si="2041"/>
        <v>-2.9945981949945777</v>
      </c>
      <c r="H906" s="1">
        <f t="shared" si="1728"/>
        <v>21.078401442145577</v>
      </c>
      <c r="I906" s="1">
        <f t="shared" si="2024"/>
        <v>-17.898391368216494</v>
      </c>
      <c r="J906" s="1">
        <f t="shared" si="2025"/>
        <v>0</v>
      </c>
      <c r="K906" s="1">
        <f t="shared" si="2026"/>
        <v>2.5688726052126682</v>
      </c>
      <c r="L906" s="1">
        <f t="shared" ref="L906:N906" si="2056">E906/$H906</f>
        <v>0.98985668352386791</v>
      </c>
      <c r="M906" s="1">
        <f t="shared" si="2056"/>
        <v>0</v>
      </c>
      <c r="N906" s="1">
        <f t="shared" si="2056"/>
        <v>-0.14206951144819627</v>
      </c>
      <c r="O906" s="1">
        <f t="shared" si="1730"/>
        <v>-0.14206951144819627</v>
      </c>
      <c r="P906" s="1">
        <f t="shared" si="2028"/>
        <v>0.14062845543196775</v>
      </c>
      <c r="Q906" s="1">
        <f t="shared" si="2029"/>
        <v>0</v>
      </c>
      <c r="R906" s="1">
        <f t="shared" si="2030"/>
        <v>0.97981625391687088</v>
      </c>
      <c r="S906" s="1">
        <f t="shared" si="2031"/>
        <v>1.4619328303270391</v>
      </c>
      <c r="T906" s="1">
        <f t="shared" ref="T906:V906" si="2057">$S906*P906</f>
        <v>0.20558935587417651</v>
      </c>
      <c r="U906" s="1">
        <f t="shared" si="2057"/>
        <v>0</v>
      </c>
      <c r="V906" s="1">
        <f t="shared" si="2057"/>
        <v>1.4324255492891278</v>
      </c>
      <c r="W906" s="1">
        <f t="shared" si="2033"/>
        <v>-17.692802012342316</v>
      </c>
      <c r="X906" s="1">
        <f t="shared" si="2034"/>
        <v>0</v>
      </c>
      <c r="Y906" s="1">
        <f t="shared" si="2035"/>
        <v>-5.8053518454982029</v>
      </c>
    </row>
    <row r="907" spans="1:25">
      <c r="A907" s="1">
        <v>0.90500000000000003</v>
      </c>
      <c r="B907" s="1">
        <f t="shared" si="2036"/>
        <v>35.845976257289678</v>
      </c>
      <c r="C907" s="1">
        <f t="shared" si="2037"/>
        <v>0</v>
      </c>
      <c r="D907" s="1">
        <f t="shared" si="2038"/>
        <v>-0.56305187483479757</v>
      </c>
      <c r="E907" s="1">
        <f t="shared" si="2039"/>
        <v>20.846903743494593</v>
      </c>
      <c r="F907" s="1">
        <f t="shared" si="2040"/>
        <v>0</v>
      </c>
      <c r="G907" s="1">
        <f t="shared" si="2041"/>
        <v>-3.0004035468400758</v>
      </c>
      <c r="H907" s="1">
        <f t="shared" si="1728"/>
        <v>21.061714487059675</v>
      </c>
      <c r="I907" s="1">
        <f t="shared" si="2024"/>
        <v>-17.869056406094433</v>
      </c>
      <c r="J907" s="1">
        <f t="shared" si="2025"/>
        <v>0</v>
      </c>
      <c r="K907" s="1">
        <f t="shared" si="2026"/>
        <v>2.5718150224712302</v>
      </c>
      <c r="L907" s="1">
        <f t="shared" ref="L907:N907" si="2058">E907/$H907</f>
        <v>0.98980088996567395</v>
      </c>
      <c r="M907" s="1">
        <f t="shared" si="2058"/>
        <v>0</v>
      </c>
      <c r="N907" s="1">
        <f t="shared" si="2058"/>
        <v>-0.14245770678752315</v>
      </c>
      <c r="O907" s="1">
        <f t="shared" si="1730"/>
        <v>-0.14245770678752315</v>
      </c>
      <c r="P907" s="1">
        <f t="shared" si="2028"/>
        <v>0.14100476496075945</v>
      </c>
      <c r="Q907" s="1">
        <f t="shared" si="2029"/>
        <v>0</v>
      </c>
      <c r="R907" s="1">
        <f t="shared" si="2030"/>
        <v>0.97970580177684008</v>
      </c>
      <c r="S907" s="1">
        <f t="shared" si="2031"/>
        <v>1.45961903521557</v>
      </c>
      <c r="T907" s="1">
        <f t="shared" ref="T907:V907" si="2059">$S907*P907</f>
        <v>0.20581323899282192</v>
      </c>
      <c r="U907" s="1">
        <f t="shared" si="2059"/>
        <v>0</v>
      </c>
      <c r="V907" s="1">
        <f t="shared" si="2059"/>
        <v>1.4299972371846077</v>
      </c>
      <c r="W907" s="1">
        <f t="shared" si="2033"/>
        <v>-17.663243167101612</v>
      </c>
      <c r="X907" s="1">
        <f t="shared" si="2034"/>
        <v>0</v>
      </c>
      <c r="Y907" s="1">
        <f t="shared" si="2035"/>
        <v>-5.804837740344162</v>
      </c>
    </row>
    <row r="908" spans="1:25">
      <c r="A908" s="1">
        <v>0.90600000000000003</v>
      </c>
      <c r="B908" s="1">
        <f t="shared" si="2036"/>
        <v>35.866805497790004</v>
      </c>
      <c r="C908" s="1">
        <f t="shared" si="2037"/>
        <v>0</v>
      </c>
      <c r="D908" s="1">
        <f t="shared" si="2038"/>
        <v>-0.56605808321937801</v>
      </c>
      <c r="E908" s="1">
        <f t="shared" si="2039"/>
        <v>20.82924050032749</v>
      </c>
      <c r="F908" s="1">
        <f t="shared" si="2040"/>
        <v>0</v>
      </c>
      <c r="G908" s="1">
        <f t="shared" si="2041"/>
        <v>-3.0062083845804199</v>
      </c>
      <c r="H908" s="1">
        <f t="shared" si="1728"/>
        <v>21.045059958859813</v>
      </c>
      <c r="I908" s="1">
        <f t="shared" si="2024"/>
        <v>-17.839798279470418</v>
      </c>
      <c r="J908" s="1">
        <f t="shared" si="2025"/>
        <v>0</v>
      </c>
      <c r="K908" s="1">
        <f t="shared" si="2026"/>
        <v>2.5747530816653694</v>
      </c>
      <c r="L908" s="1">
        <f t="shared" ref="L908:N908" si="2060">E908/$H908</f>
        <v>0.98974488744844535</v>
      </c>
      <c r="M908" s="1">
        <f t="shared" si="2060"/>
        <v>0</v>
      </c>
      <c r="N908" s="1">
        <f t="shared" si="2060"/>
        <v>-0.14284627320887383</v>
      </c>
      <c r="O908" s="1">
        <f t="shared" si="1730"/>
        <v>-0.14284627320887383</v>
      </c>
      <c r="P908" s="1">
        <f t="shared" si="2028"/>
        <v>0.1413813685995467</v>
      </c>
      <c r="Q908" s="1">
        <f t="shared" si="2029"/>
        <v>0</v>
      </c>
      <c r="R908" s="1">
        <f t="shared" si="2030"/>
        <v>0.97959494223033583</v>
      </c>
      <c r="S908" s="1">
        <f t="shared" si="2031"/>
        <v>1.4573115635104732</v>
      </c>
      <c r="T908" s="1">
        <f t="shared" ref="T908:V908" si="2061">$S908*P908</f>
        <v>0.20603670332505591</v>
      </c>
      <c r="U908" s="1">
        <f t="shared" si="2061"/>
        <v>0</v>
      </c>
      <c r="V908" s="1">
        <f t="shared" si="2061"/>
        <v>1.4275750368686424</v>
      </c>
      <c r="W908" s="1">
        <f t="shared" si="2033"/>
        <v>-17.633761576145364</v>
      </c>
      <c r="X908" s="1">
        <f t="shared" si="2034"/>
        <v>0</v>
      </c>
      <c r="Y908" s="1">
        <f t="shared" si="2035"/>
        <v>-5.804321881465988</v>
      </c>
    </row>
    <row r="909" spans="1:25">
      <c r="A909" s="1">
        <v>0.90700000000000003</v>
      </c>
      <c r="B909" s="1">
        <f t="shared" si="2036"/>
        <v>35.887617104528758</v>
      </c>
      <c r="C909" s="1">
        <f t="shared" si="2037"/>
        <v>0</v>
      </c>
      <c r="D909" s="1">
        <f t="shared" si="2038"/>
        <v>-0.5690700959258399</v>
      </c>
      <c r="E909" s="1">
        <f t="shared" si="2039"/>
        <v>20.811606738751344</v>
      </c>
      <c r="F909" s="1">
        <f t="shared" si="2040"/>
        <v>0</v>
      </c>
      <c r="G909" s="1">
        <f t="shared" si="2041"/>
        <v>-3.0120127064618858</v>
      </c>
      <c r="H909" s="1">
        <f t="shared" si="1728"/>
        <v>21.028437782972091</v>
      </c>
      <c r="I909" s="1">
        <f t="shared" si="2024"/>
        <v>-17.810616729033129</v>
      </c>
      <c r="J909" s="1">
        <f t="shared" si="2025"/>
        <v>0</v>
      </c>
      <c r="K909" s="1">
        <f t="shared" si="2026"/>
        <v>2.5776867961800174</v>
      </c>
      <c r="L909" s="1">
        <f t="shared" ref="L909:N909" si="2062">E909/$H909</f>
        <v>0.98968867557073936</v>
      </c>
      <c r="M909" s="1">
        <f t="shared" si="2062"/>
        <v>0</v>
      </c>
      <c r="N909" s="1">
        <f t="shared" si="2062"/>
        <v>-0.14323521022093624</v>
      </c>
      <c r="O909" s="1">
        <f t="shared" si="1730"/>
        <v>-0.14323521022093624</v>
      </c>
      <c r="P909" s="1">
        <f t="shared" si="2028"/>
        <v>0.14175826549865483</v>
      </c>
      <c r="Q909" s="1">
        <f t="shared" si="2029"/>
        <v>0</v>
      </c>
      <c r="R909" s="1">
        <f t="shared" si="2030"/>
        <v>0.97948367455296426</v>
      </c>
      <c r="S909" s="1">
        <f t="shared" si="2031"/>
        <v>1.4550103942297832</v>
      </c>
      <c r="T909" s="1">
        <f t="shared" ref="T909:V909" si="2063">$S909*P909</f>
        <v>0.20625974976852804</v>
      </c>
      <c r="U909" s="1">
        <f t="shared" si="2063"/>
        <v>0</v>
      </c>
      <c r="V909" s="1">
        <f t="shared" si="2063"/>
        <v>1.4251589274529453</v>
      </c>
      <c r="W909" s="1">
        <f t="shared" si="2033"/>
        <v>-17.604356979264601</v>
      </c>
      <c r="X909" s="1">
        <f t="shared" si="2034"/>
        <v>0</v>
      </c>
      <c r="Y909" s="1">
        <f t="shared" si="2035"/>
        <v>-5.8038042763670372</v>
      </c>
    </row>
    <row r="910" spans="1:25">
      <c r="A910" s="1">
        <v>0.90800000000000003</v>
      </c>
      <c r="B910" s="1">
        <f t="shared" si="2036"/>
        <v>35.908411106910528</v>
      </c>
      <c r="C910" s="1">
        <f t="shared" si="2037"/>
        <v>0</v>
      </c>
      <c r="D910" s="1">
        <f t="shared" si="2038"/>
        <v>-0.57208791243657819</v>
      </c>
      <c r="E910" s="1">
        <f t="shared" si="2039"/>
        <v>20.794002381772078</v>
      </c>
      <c r="F910" s="1">
        <f t="shared" si="2040"/>
        <v>0</v>
      </c>
      <c r="G910" s="1">
        <f t="shared" si="2041"/>
        <v>-3.0178165107382529</v>
      </c>
      <c r="H910" s="1">
        <f t="shared" si="1728"/>
        <v>21.011847885077295</v>
      </c>
      <c r="I910" s="1">
        <f t="shared" si="2024"/>
        <v>-17.781511496565674</v>
      </c>
      <c r="J910" s="1">
        <f t="shared" si="2025"/>
        <v>0</v>
      </c>
      <c r="K910" s="1">
        <f t="shared" si="2026"/>
        <v>2.5806161793680098</v>
      </c>
      <c r="L910" s="1">
        <f t="shared" ref="L910:N910" si="2064">E910/$H910</f>
        <v>0.98963225393136733</v>
      </c>
      <c r="M910" s="1">
        <f t="shared" si="2064"/>
        <v>0</v>
      </c>
      <c r="N910" s="1">
        <f t="shared" si="2064"/>
        <v>-0.14362451733155365</v>
      </c>
      <c r="O910" s="1">
        <f t="shared" si="1730"/>
        <v>-0.14362451733155365</v>
      </c>
      <c r="P910" s="1">
        <f t="shared" si="2028"/>
        <v>0.14213545480663017</v>
      </c>
      <c r="Q910" s="1">
        <f t="shared" si="2029"/>
        <v>0</v>
      </c>
      <c r="R910" s="1">
        <f t="shared" si="2030"/>
        <v>0.97937199802127828</v>
      </c>
      <c r="S910" s="1">
        <f t="shared" si="2031"/>
        <v>1.4527155064800774</v>
      </c>
      <c r="T910" s="1">
        <f t="shared" ref="T910:V910" si="2065">$S910*P910</f>
        <v>0.2064823792181899</v>
      </c>
      <c r="U910" s="1">
        <f t="shared" si="2065"/>
        <v>0</v>
      </c>
      <c r="V910" s="1">
        <f t="shared" si="2065"/>
        <v>1.4227488881378867</v>
      </c>
      <c r="W910" s="1">
        <f t="shared" si="2033"/>
        <v>-17.575029117347484</v>
      </c>
      <c r="X910" s="1">
        <f t="shared" si="2034"/>
        <v>0</v>
      </c>
      <c r="Y910" s="1">
        <f t="shared" si="2035"/>
        <v>-5.8032849324941029</v>
      </c>
    </row>
    <row r="911" spans="1:25">
      <c r="A911" s="1">
        <v>0.90900000000000003</v>
      </c>
      <c r="B911" s="1">
        <f t="shared" si="2036"/>
        <v>35.929187534263185</v>
      </c>
      <c r="C911" s="1">
        <f t="shared" si="2037"/>
        <v>0</v>
      </c>
      <c r="D911" s="1">
        <f t="shared" si="2038"/>
        <v>-0.57511153223224898</v>
      </c>
      <c r="E911" s="1">
        <f t="shared" si="2039"/>
        <v>20.776427352654732</v>
      </c>
      <c r="F911" s="1">
        <f t="shared" si="2040"/>
        <v>0</v>
      </c>
      <c r="G911" s="1">
        <f t="shared" si="2041"/>
        <v>-3.0236197956707471</v>
      </c>
      <c r="H911" s="1">
        <f t="shared" si="1728"/>
        <v>20.99529019110981</v>
      </c>
      <c r="I911" s="1">
        <f t="shared" si="2024"/>
        <v>-17.752482324940079</v>
      </c>
      <c r="J911" s="1">
        <f t="shared" si="2025"/>
        <v>0</v>
      </c>
      <c r="K911" s="1">
        <f t="shared" si="2026"/>
        <v>2.5835412445501733</v>
      </c>
      <c r="L911" s="1">
        <f t="shared" ref="L911:N911" si="2066">E911/$H911</f>
        <v>0.98957562212939776</v>
      </c>
      <c r="M911" s="1">
        <f t="shared" si="2066"/>
        <v>0</v>
      </c>
      <c r="N911" s="1">
        <f t="shared" si="2066"/>
        <v>-0.14401419404772317</v>
      </c>
      <c r="O911" s="1">
        <f t="shared" si="1730"/>
        <v>-0.14401419404772317</v>
      </c>
      <c r="P911" s="1">
        <f t="shared" si="2028"/>
        <v>0.14251293567023945</v>
      </c>
      <c r="Q911" s="1">
        <f t="shared" si="2029"/>
        <v>0</v>
      </c>
      <c r="R911" s="1">
        <f t="shared" si="2030"/>
        <v>0.97925991191278472</v>
      </c>
      <c r="S911" s="1">
        <f t="shared" si="2031"/>
        <v>1.450426879456028</v>
      </c>
      <c r="T911" s="1">
        <f t="shared" ref="T911:V911" si="2067">$S911*P911</f>
        <v>0.20670459256630308</v>
      </c>
      <c r="U911" s="1">
        <f t="shared" si="2067"/>
        <v>0</v>
      </c>
      <c r="V911" s="1">
        <f t="shared" si="2067"/>
        <v>1.4203448982120452</v>
      </c>
      <c r="W911" s="1">
        <f t="shared" si="2033"/>
        <v>-17.545777732373775</v>
      </c>
      <c r="X911" s="1">
        <f t="shared" si="2034"/>
        <v>0</v>
      </c>
      <c r="Y911" s="1">
        <f t="shared" si="2035"/>
        <v>-5.8027638572377809</v>
      </c>
    </row>
    <row r="912" spans="1:25">
      <c r="A912" s="1">
        <v>0.91</v>
      </c>
      <c r="B912" s="1">
        <f t="shared" si="2036"/>
        <v>35.949946415838106</v>
      </c>
      <c r="C912" s="1">
        <f t="shared" si="2037"/>
        <v>0</v>
      </c>
      <c r="D912" s="1">
        <f t="shared" si="2038"/>
        <v>-0.57814095479177696</v>
      </c>
      <c r="E912" s="1">
        <f t="shared" si="2039"/>
        <v>20.758881574922359</v>
      </c>
      <c r="F912" s="1">
        <f t="shared" si="2040"/>
        <v>0</v>
      </c>
      <c r="G912" s="1">
        <f t="shared" si="2041"/>
        <v>-3.0294225595279851</v>
      </c>
      <c r="H912" s="1">
        <f t="shared" si="1728"/>
        <v>20.978764627256488</v>
      </c>
      <c r="I912" s="1">
        <f t="shared" si="2024"/>
        <v>-17.723528958111668</v>
      </c>
      <c r="J912" s="1">
        <f t="shared" si="2025"/>
        <v>0</v>
      </c>
      <c r="K912" s="1">
        <f t="shared" si="2026"/>
        <v>2.5864620050154041</v>
      </c>
      <c r="L912" s="1">
        <f t="shared" ref="L912:N912" si="2068">E912/$H912</f>
        <v>0.98951877976415981</v>
      </c>
      <c r="M912" s="1">
        <f t="shared" si="2068"/>
        <v>0</v>
      </c>
      <c r="N912" s="1">
        <f t="shared" si="2068"/>
        <v>-0.14440423987559461</v>
      </c>
      <c r="O912" s="1">
        <f t="shared" si="1730"/>
        <v>-0.14440423987559461</v>
      </c>
      <c r="P912" s="1">
        <f t="shared" si="2028"/>
        <v>0.14289070723446942</v>
      </c>
      <c r="Q912" s="1">
        <f t="shared" si="2029"/>
        <v>0</v>
      </c>
      <c r="R912" s="1">
        <f t="shared" si="2030"/>
        <v>0.97914741550595175</v>
      </c>
      <c r="S912" s="1">
        <f t="shared" si="2031"/>
        <v>1.4481444924399511</v>
      </c>
      <c r="T912" s="1">
        <f t="shared" ref="T912:V912" si="2069">$S912*P912</f>
        <v>0.20692639070244637</v>
      </c>
      <c r="U912" s="1">
        <f t="shared" si="2069"/>
        <v>0</v>
      </c>
      <c r="V912" s="1">
        <f t="shared" si="2069"/>
        <v>1.4179469370517563</v>
      </c>
      <c r="W912" s="1">
        <f t="shared" si="2033"/>
        <v>-17.516602567409223</v>
      </c>
      <c r="X912" s="1">
        <f t="shared" si="2034"/>
        <v>0</v>
      </c>
      <c r="Y912" s="1">
        <f t="shared" si="2035"/>
        <v>-5.8022410579328394</v>
      </c>
    </row>
    <row r="913" spans="1:25">
      <c r="A913" s="1">
        <v>0.91100000000000003</v>
      </c>
      <c r="B913" s="1">
        <f t="shared" si="2036"/>
        <v>35.970687780810458</v>
      </c>
      <c r="C913" s="1">
        <f t="shared" si="2037"/>
        <v>0</v>
      </c>
      <c r="D913" s="1">
        <f t="shared" si="2038"/>
        <v>-0.5811761795923629</v>
      </c>
      <c r="E913" s="1">
        <f t="shared" si="2039"/>
        <v>20.741364972354951</v>
      </c>
      <c r="F913" s="1">
        <f t="shared" si="2040"/>
        <v>0</v>
      </c>
      <c r="G913" s="1">
        <f t="shared" si="2041"/>
        <v>-3.0352248005859179</v>
      </c>
      <c r="H913" s="1">
        <f t="shared" si="1728"/>
        <v>20.962271119955602</v>
      </c>
      <c r="I913" s="1">
        <f t="shared" si="2024"/>
        <v>-17.694651141113642</v>
      </c>
      <c r="J913" s="1">
        <f t="shared" si="2025"/>
        <v>0</v>
      </c>
      <c r="K913" s="1">
        <f t="shared" si="2026"/>
        <v>2.5893784740207568</v>
      </c>
      <c r="L913" s="1">
        <f t="shared" ref="L913:N913" si="2070">E913/$H913</f>
        <v>0.98946172643524521</v>
      </c>
      <c r="M913" s="1">
        <f t="shared" si="2070"/>
        <v>0</v>
      </c>
      <c r="N913" s="1">
        <f t="shared" si="2070"/>
        <v>-0.14479465432046881</v>
      </c>
      <c r="O913" s="1">
        <f t="shared" si="1730"/>
        <v>-0.14479465432046881</v>
      </c>
      <c r="P913" s="1">
        <f t="shared" si="2028"/>
        <v>0.14326876864252561</v>
      </c>
      <c r="Q913" s="1">
        <f t="shared" si="2029"/>
        <v>0</v>
      </c>
      <c r="R913" s="1">
        <f t="shared" si="2030"/>
        <v>0.97903450808021597</v>
      </c>
      <c r="S913" s="1">
        <f t="shared" si="2031"/>
        <v>1.4458683248013673</v>
      </c>
      <c r="T913" s="1">
        <f t="shared" ref="T913:V913" si="2071">$S913*P913</f>
        <v>0.20714777451352315</v>
      </c>
      <c r="U913" s="1">
        <f t="shared" si="2071"/>
        <v>0</v>
      </c>
      <c r="V913" s="1">
        <f t="shared" si="2071"/>
        <v>1.4155549841206725</v>
      </c>
      <c r="W913" s="1">
        <f t="shared" si="2033"/>
        <v>-17.487503366600119</v>
      </c>
      <c r="X913" s="1">
        <f t="shared" si="2034"/>
        <v>0</v>
      </c>
      <c r="Y913" s="1">
        <f t="shared" si="2035"/>
        <v>-5.8017165418585703</v>
      </c>
    </row>
    <row r="914" spans="1:25">
      <c r="A914" s="1">
        <v>0.91200000000000003</v>
      </c>
      <c r="B914" s="1">
        <f t="shared" si="2036"/>
        <v>35.991411658279446</v>
      </c>
      <c r="C914" s="1">
        <f t="shared" si="2037"/>
        <v>0</v>
      </c>
      <c r="D914" s="1">
        <f t="shared" si="2038"/>
        <v>-0.58421720610949068</v>
      </c>
      <c r="E914" s="1">
        <f t="shared" si="2039"/>
        <v>20.723877468988352</v>
      </c>
      <c r="F914" s="1">
        <f t="shared" si="2040"/>
        <v>0</v>
      </c>
      <c r="G914" s="1">
        <f t="shared" si="2041"/>
        <v>-3.0410265171277766</v>
      </c>
      <c r="H914" s="1">
        <f t="shared" si="1728"/>
        <v>20.945809595895721</v>
      </c>
      <c r="I914" s="1">
        <f t="shared" si="2024"/>
        <v>-17.665848620051559</v>
      </c>
      <c r="J914" s="1">
        <f t="shared" si="2025"/>
        <v>0</v>
      </c>
      <c r="K914" s="1">
        <f t="shared" si="2026"/>
        <v>2.5922906647915256</v>
      </c>
      <c r="L914" s="1">
        <f t="shared" ref="L914:N914" si="2072">E914/$H914</f>
        <v>0.98940446174251218</v>
      </c>
      <c r="M914" s="1">
        <f t="shared" si="2072"/>
        <v>0</v>
      </c>
      <c r="N914" s="1">
        <f t="shared" si="2072"/>
        <v>-0.14518543688679658</v>
      </c>
      <c r="O914" s="1">
        <f t="shared" si="1730"/>
        <v>-0.14518543688679658</v>
      </c>
      <c r="P914" s="1">
        <f t="shared" si="2028"/>
        <v>0.14364711903583244</v>
      </c>
      <c r="Q914" s="1">
        <f t="shared" si="2029"/>
        <v>0</v>
      </c>
      <c r="R914" s="1">
        <f t="shared" si="2030"/>
        <v>0.97892118891599</v>
      </c>
      <c r="S914" s="1">
        <f t="shared" si="2031"/>
        <v>1.4435983559965553</v>
      </c>
      <c r="T914" s="1">
        <f t="shared" ref="T914:V914" si="2073">$S914*P914</f>
        <v>0.20736874488376919</v>
      </c>
      <c r="U914" s="1">
        <f t="shared" si="2073"/>
        <v>0</v>
      </c>
      <c r="V914" s="1">
        <f t="shared" si="2073"/>
        <v>1.4131690189693165</v>
      </c>
      <c r="W914" s="1">
        <f t="shared" si="2033"/>
        <v>-17.458479875167789</v>
      </c>
      <c r="X914" s="1">
        <f t="shared" si="2034"/>
        <v>0</v>
      </c>
      <c r="Y914" s="1">
        <f t="shared" si="2035"/>
        <v>-5.8011903162391576</v>
      </c>
    </row>
    <row r="915" spans="1:25">
      <c r="A915" s="1">
        <v>0.91300000000000003</v>
      </c>
      <c r="B915" s="1">
        <f t="shared" si="2036"/>
        <v>36.012118077268561</v>
      </c>
      <c r="C915" s="1">
        <f t="shared" si="2037"/>
        <v>0</v>
      </c>
      <c r="D915" s="1">
        <f t="shared" si="2038"/>
        <v>-0.58726403381693471</v>
      </c>
      <c r="E915" s="1">
        <f t="shared" si="2039"/>
        <v>20.706418989113185</v>
      </c>
      <c r="F915" s="1">
        <f t="shared" si="2040"/>
        <v>0</v>
      </c>
      <c r="G915" s="1">
        <f t="shared" si="2041"/>
        <v>-3.0468277074440158</v>
      </c>
      <c r="H915" s="1">
        <f t="shared" si="1728"/>
        <v>20.929379982014652</v>
      </c>
      <c r="I915" s="1">
        <f t="shared" si="2024"/>
        <v>-17.637121142097921</v>
      </c>
      <c r="J915" s="1">
        <f t="shared" si="2025"/>
        <v>0</v>
      </c>
      <c r="K915" s="1">
        <f t="shared" si="2026"/>
        <v>2.5951985905213273</v>
      </c>
      <c r="L915" s="1">
        <f t="shared" ref="L915:N915" si="2074">E915/$H915</f>
        <v>0.98934698528608755</v>
      </c>
      <c r="M915" s="1">
        <f t="shared" si="2074"/>
        <v>0</v>
      </c>
      <c r="N915" s="1">
        <f t="shared" si="2074"/>
        <v>-0.14557658707817725</v>
      </c>
      <c r="O915" s="1">
        <f t="shared" si="1730"/>
        <v>-0.14557658707817725</v>
      </c>
      <c r="P915" s="1">
        <f t="shared" si="2028"/>
        <v>0.14402575755403227</v>
      </c>
      <c r="Q915" s="1">
        <f t="shared" si="2029"/>
        <v>0</v>
      </c>
      <c r="R915" s="1">
        <f t="shared" si="2030"/>
        <v>0.97880745729466989</v>
      </c>
      <c r="S915" s="1">
        <f t="shared" si="2031"/>
        <v>1.4413345655681167</v>
      </c>
      <c r="T915" s="1">
        <f t="shared" ref="T915:V915" si="2075">$S915*P915</f>
        <v>0.20758930269476</v>
      </c>
      <c r="U915" s="1">
        <f t="shared" si="2075"/>
        <v>0</v>
      </c>
      <c r="V915" s="1">
        <f t="shared" si="2075"/>
        <v>1.4107890212346459</v>
      </c>
      <c r="W915" s="1">
        <f t="shared" si="2033"/>
        <v>-17.429531839403161</v>
      </c>
      <c r="X915" s="1">
        <f t="shared" si="2034"/>
        <v>0</v>
      </c>
      <c r="Y915" s="1">
        <f t="shared" si="2035"/>
        <v>-5.8006623882440262</v>
      </c>
    </row>
    <row r="916" spans="1:25">
      <c r="A916" s="1">
        <v>0.91400000000000003</v>
      </c>
      <c r="B916" s="1">
        <f t="shared" si="2036"/>
        <v>36.032807066725837</v>
      </c>
      <c r="C916" s="1">
        <f t="shared" si="2037"/>
        <v>0</v>
      </c>
      <c r="D916" s="1">
        <f t="shared" si="2038"/>
        <v>-0.59031666218676693</v>
      </c>
      <c r="E916" s="1">
        <f t="shared" si="2039"/>
        <v>20.688989457273781</v>
      </c>
      <c r="F916" s="1">
        <f t="shared" si="2040"/>
        <v>0</v>
      </c>
      <c r="G916" s="1">
        <f t="shared" si="2041"/>
        <v>-3.0526283698322598</v>
      </c>
      <c r="H916" s="1">
        <f t="shared" si="1728"/>
        <v>20.912982205498345</v>
      </c>
      <c r="I916" s="1">
        <f t="shared" si="2024"/>
        <v>-17.608468455486747</v>
      </c>
      <c r="J916" s="1">
        <f t="shared" si="2025"/>
        <v>0</v>
      </c>
      <c r="K916" s="1">
        <f t="shared" si="2026"/>
        <v>2.5981022643721849</v>
      </c>
      <c r="L916" s="1">
        <f t="shared" ref="L916:N916" si="2076">E916/$H916</f>
        <v>0.98928929666637055</v>
      </c>
      <c r="M916" s="1">
        <f t="shared" si="2076"/>
        <v>0</v>
      </c>
      <c r="N916" s="1">
        <f t="shared" si="2076"/>
        <v>-0.14596810439735738</v>
      </c>
      <c r="O916" s="1">
        <f t="shared" si="1730"/>
        <v>-0.14596810439735738</v>
      </c>
      <c r="P916" s="1">
        <f t="shared" si="2028"/>
        <v>0.14440468333498505</v>
      </c>
      <c r="Q916" s="1">
        <f t="shared" si="2029"/>
        <v>0</v>
      </c>
      <c r="R916" s="1">
        <f t="shared" si="2030"/>
        <v>0.97869331249864222</v>
      </c>
      <c r="S916" s="1">
        <f t="shared" si="2031"/>
        <v>1.4390769331445343</v>
      </c>
      <c r="T916" s="1">
        <f t="shared" ref="T916:V916" si="2077">$S916*P916</f>
        <v>0.20780944882541794</v>
      </c>
      <c r="U916" s="1">
        <f t="shared" si="2077"/>
        <v>0</v>
      </c>
      <c r="V916" s="1">
        <f t="shared" si="2077"/>
        <v>1.4084149706396114</v>
      </c>
      <c r="W916" s="1">
        <f t="shared" si="2033"/>
        <v>-17.400659006661328</v>
      </c>
      <c r="X916" s="1">
        <f t="shared" si="2034"/>
        <v>0</v>
      </c>
      <c r="Y916" s="1">
        <f t="shared" si="2035"/>
        <v>-5.8001327649882031</v>
      </c>
    </row>
    <row r="917" spans="1:25">
      <c r="A917" s="1">
        <v>0.91500000000000004</v>
      </c>
      <c r="B917" s="1">
        <f t="shared" si="2036"/>
        <v>36.053478655524103</v>
      </c>
      <c r="C917" s="1">
        <f t="shared" si="2037"/>
        <v>0</v>
      </c>
      <c r="D917" s="1">
        <f t="shared" si="2038"/>
        <v>-0.59337509068936423</v>
      </c>
      <c r="E917" s="1">
        <f t="shared" si="2039"/>
        <v>20.67158879826712</v>
      </c>
      <c r="F917" s="1">
        <f t="shared" si="2040"/>
        <v>0</v>
      </c>
      <c r="G917" s="1">
        <f t="shared" si="2041"/>
        <v>-3.058428502597248</v>
      </c>
      <c r="H917" s="1">
        <f t="shared" si="1728"/>
        <v>20.896616193779842</v>
      </c>
      <c r="I917" s="1">
        <f t="shared" si="2024"/>
        <v>-17.579890309508233</v>
      </c>
      <c r="J917" s="1">
        <f t="shared" si="2025"/>
        <v>0</v>
      </c>
      <c r="K917" s="1">
        <f t="shared" si="2026"/>
        <v>2.6010016994746121</v>
      </c>
      <c r="L917" s="1">
        <f t="shared" ref="L917:N917" si="2078">E917/$H917</f>
        <v>0.98923139548403516</v>
      </c>
      <c r="M917" s="1">
        <f t="shared" si="2078"/>
        <v>0</v>
      </c>
      <c r="N917" s="1">
        <f t="shared" si="2078"/>
        <v>-0.14635998834622949</v>
      </c>
      <c r="O917" s="1">
        <f t="shared" si="1730"/>
        <v>-0.14635998834622949</v>
      </c>
      <c r="P917" s="1">
        <f t="shared" si="2028"/>
        <v>0.14478389551476772</v>
      </c>
      <c r="Q917" s="1">
        <f t="shared" si="2029"/>
        <v>0</v>
      </c>
      <c r="R917" s="1">
        <f t="shared" si="2030"/>
        <v>0.97857875381129156</v>
      </c>
      <c r="S917" s="1">
        <f t="shared" si="2031"/>
        <v>1.4368254384397434</v>
      </c>
      <c r="T917" s="1">
        <f t="shared" ref="T917:V917" si="2079">$S917*P917</f>
        <v>0.20802918415202012</v>
      </c>
      <c r="U917" s="1">
        <f t="shared" si="2079"/>
        <v>0</v>
      </c>
      <c r="V917" s="1">
        <f t="shared" si="2079"/>
        <v>1.4060468469927268</v>
      </c>
      <c r="W917" s="1">
        <f t="shared" si="2033"/>
        <v>-17.371861125356212</v>
      </c>
      <c r="X917" s="1">
        <f t="shared" si="2034"/>
        <v>0</v>
      </c>
      <c r="Y917" s="1">
        <f t="shared" si="2035"/>
        <v>-5.7996014535326603</v>
      </c>
    </row>
    <row r="918" spans="1:25">
      <c r="A918" s="1">
        <v>0.91600000000000004</v>
      </c>
      <c r="B918" s="1">
        <f t="shared" si="2036"/>
        <v>36.074132872461242</v>
      </c>
      <c r="C918" s="1">
        <f t="shared" si="2037"/>
        <v>0</v>
      </c>
      <c r="D918" s="1">
        <f t="shared" si="2038"/>
        <v>-0.59643931879341505</v>
      </c>
      <c r="E918" s="1">
        <f t="shared" si="2039"/>
        <v>20.654216937141765</v>
      </c>
      <c r="F918" s="1">
        <f t="shared" si="2040"/>
        <v>0</v>
      </c>
      <c r="G918" s="1">
        <f t="shared" si="2041"/>
        <v>-3.0642281040507808</v>
      </c>
      <c r="H918" s="1">
        <f t="shared" si="1728"/>
        <v>20.880281874538198</v>
      </c>
      <c r="I918" s="1">
        <f t="shared" si="2024"/>
        <v>-17.55138645450338</v>
      </c>
      <c r="J918" s="1">
        <f t="shared" si="2025"/>
        <v>0</v>
      </c>
      <c r="K918" s="1">
        <f t="shared" si="2026"/>
        <v>2.6038969089276929</v>
      </c>
      <c r="L918" s="1">
        <f t="shared" ref="L918:N918" si="2080">E918/$H918</f>
        <v>0.98917328134003302</v>
      </c>
      <c r="M918" s="1">
        <f t="shared" si="2080"/>
        <v>0</v>
      </c>
      <c r="N918" s="1">
        <f t="shared" si="2080"/>
        <v>-0.14675223842583071</v>
      </c>
      <c r="O918" s="1">
        <f t="shared" si="1730"/>
        <v>-0.14675223842583071</v>
      </c>
      <c r="P918" s="1">
        <f t="shared" si="2028"/>
        <v>0.14516339322767385</v>
      </c>
      <c r="Q918" s="1">
        <f t="shared" si="2029"/>
        <v>0</v>
      </c>
      <c r="R918" s="1">
        <f t="shared" si="2030"/>
        <v>0.97846378051700811</v>
      </c>
      <c r="S918" s="1">
        <f t="shared" si="2031"/>
        <v>1.4345800612526967</v>
      </c>
      <c r="T918" s="1">
        <f t="shared" ref="T918:V918" si="2081">$S918*P918</f>
        <v>0.20824850954820565</v>
      </c>
      <c r="U918" s="1">
        <f t="shared" si="2081"/>
        <v>0</v>
      </c>
      <c r="V918" s="1">
        <f t="shared" si="2081"/>
        <v>1.4036846301876347</v>
      </c>
      <c r="W918" s="1">
        <f t="shared" si="2033"/>
        <v>-17.343137944955174</v>
      </c>
      <c r="X918" s="1">
        <f t="shared" si="2034"/>
        <v>0</v>
      </c>
      <c r="Y918" s="1">
        <f t="shared" si="2035"/>
        <v>-5.7990684608846719</v>
      </c>
    </row>
    <row r="919" spans="1:25">
      <c r="A919" s="1">
        <v>0.91700000000000004</v>
      </c>
      <c r="B919" s="1">
        <f t="shared" si="2036"/>
        <v>36.09476974626044</v>
      </c>
      <c r="C919" s="1">
        <f t="shared" si="2037"/>
        <v>0</v>
      </c>
      <c r="D919" s="1">
        <f t="shared" si="2038"/>
        <v>-0.59950934596592675</v>
      </c>
      <c r="E919" s="1">
        <f t="shared" si="2039"/>
        <v>20.63687379919681</v>
      </c>
      <c r="F919" s="1">
        <f t="shared" si="2040"/>
        <v>0</v>
      </c>
      <c r="G919" s="1">
        <f t="shared" si="2041"/>
        <v>-3.0700271725116655</v>
      </c>
      <c r="H919" s="1">
        <f t="shared" si="1728"/>
        <v>20.863979175697423</v>
      </c>
      <c r="I919" s="1">
        <f t="shared" si="2024"/>
        <v>-17.522956641858688</v>
      </c>
      <c r="J919" s="1">
        <f t="shared" si="2025"/>
        <v>0</v>
      </c>
      <c r="K919" s="1">
        <f t="shared" si="2026"/>
        <v>2.6067879057991665</v>
      </c>
      <c r="L919" s="1">
        <f t="shared" ref="L919:N919" si="2082">E919/$H919</f>
        <v>0.98911495383559678</v>
      </c>
      <c r="M919" s="1">
        <f t="shared" si="2082"/>
        <v>0</v>
      </c>
      <c r="N919" s="1">
        <f t="shared" si="2082"/>
        <v>-0.14714485413634157</v>
      </c>
      <c r="O919" s="1">
        <f t="shared" si="1730"/>
        <v>-0.14714485413634157</v>
      </c>
      <c r="P919" s="1">
        <f t="shared" si="2028"/>
        <v>0.1455431756062131</v>
      </c>
      <c r="Q919" s="1">
        <f t="shared" si="2029"/>
        <v>0</v>
      </c>
      <c r="R919" s="1">
        <f t="shared" si="2030"/>
        <v>0.97834839190119471</v>
      </c>
      <c r="S919" s="1">
        <f t="shared" si="2031"/>
        <v>1.4323407814669358</v>
      </c>
      <c r="T919" s="1">
        <f t="shared" ref="T919:V919" si="2083">$S919*P919</f>
        <v>0.20846742588498274</v>
      </c>
      <c r="U919" s="1">
        <f t="shared" si="2083"/>
        <v>0</v>
      </c>
      <c r="V919" s="1">
        <f t="shared" si="2083"/>
        <v>1.4013283002026771</v>
      </c>
      <c r="W919" s="1">
        <f t="shared" si="2033"/>
        <v>-17.314489215973705</v>
      </c>
      <c r="X919" s="1">
        <f t="shared" si="2034"/>
        <v>0</v>
      </c>
      <c r="Y919" s="1">
        <f t="shared" si="2035"/>
        <v>-5.798533793998156</v>
      </c>
    </row>
    <row r="920" spans="1:25">
      <c r="A920" s="1">
        <v>0.91800000000000004</v>
      </c>
      <c r="B920" s="1">
        <f t="shared" si="2036"/>
        <v>36.115389305570417</v>
      </c>
      <c r="C920" s="1">
        <f t="shared" si="2037"/>
        <v>0</v>
      </c>
      <c r="D920" s="1">
        <f t="shared" si="2038"/>
        <v>-0.60258517167223247</v>
      </c>
      <c r="E920" s="1">
        <f t="shared" si="2039"/>
        <v>20.619559309980836</v>
      </c>
      <c r="F920" s="1">
        <f t="shared" si="2040"/>
        <v>0</v>
      </c>
      <c r="G920" s="1">
        <f t="shared" si="2041"/>
        <v>-3.0758257063056638</v>
      </c>
      <c r="H920" s="1">
        <f t="shared" si="1728"/>
        <v>20.847708025425437</v>
      </c>
      <c r="I920" s="1">
        <f t="shared" si="2024"/>
        <v>-17.494600624000903</v>
      </c>
      <c r="J920" s="1">
        <f t="shared" si="2025"/>
        <v>0</v>
      </c>
      <c r="K920" s="1">
        <f t="shared" si="2026"/>
        <v>2.6096747031255103</v>
      </c>
      <c r="L920" s="1">
        <f t="shared" ref="L920:N920" si="2084">E920/$H920</f>
        <v>0.98905641257224275</v>
      </c>
      <c r="M920" s="1">
        <f t="shared" si="2084"/>
        <v>0</v>
      </c>
      <c r="N920" s="1">
        <f t="shared" si="2084"/>
        <v>-0.14753783497708475</v>
      </c>
      <c r="O920" s="1">
        <f t="shared" si="1730"/>
        <v>-0.14753783497708475</v>
      </c>
      <c r="P920" s="1">
        <f t="shared" si="2028"/>
        <v>0.14592324178111099</v>
      </c>
      <c r="Q920" s="1">
        <f t="shared" si="2029"/>
        <v>0</v>
      </c>
      <c r="R920" s="1">
        <f t="shared" si="2030"/>
        <v>0.97823258725027451</v>
      </c>
      <c r="S920" s="1">
        <f t="shared" si="2031"/>
        <v>1.4301075790501665</v>
      </c>
      <c r="T920" s="1">
        <f t="shared" ref="T920:V920" si="2085">$S920*P920</f>
        <v>0.20868593403073674</v>
      </c>
      <c r="U920" s="1">
        <f t="shared" si="2085"/>
        <v>0</v>
      </c>
      <c r="V920" s="1">
        <f t="shared" si="2085"/>
        <v>1.3989778371004709</v>
      </c>
      <c r="W920" s="1">
        <f t="shared" si="2033"/>
        <v>-17.285914689970166</v>
      </c>
      <c r="X920" s="1">
        <f t="shared" si="2034"/>
        <v>0</v>
      </c>
      <c r="Y920" s="1">
        <f t="shared" si="2035"/>
        <v>-5.7979974597740185</v>
      </c>
    </row>
    <row r="921" spans="1:25">
      <c r="A921" s="1">
        <v>0.91900000000000004</v>
      </c>
      <c r="B921" s="1">
        <f t="shared" si="2036"/>
        <v>36.135991578965708</v>
      </c>
      <c r="C921" s="1">
        <f t="shared" si="2037"/>
        <v>0</v>
      </c>
      <c r="D921" s="1">
        <f t="shared" si="2038"/>
        <v>-0.60566679537599788</v>
      </c>
      <c r="E921" s="1">
        <f t="shared" si="2039"/>
        <v>20.602273395290865</v>
      </c>
      <c r="F921" s="1">
        <f t="shared" si="2040"/>
        <v>0</v>
      </c>
      <c r="G921" s="1">
        <f t="shared" si="2041"/>
        <v>-3.0816237037654379</v>
      </c>
      <c r="H921" s="1">
        <f t="shared" si="1728"/>
        <v>20.831468352133001</v>
      </c>
      <c r="I921" s="1">
        <f t="shared" si="2024"/>
        <v>-17.466318154391733</v>
      </c>
      <c r="J921" s="1">
        <f t="shared" si="2025"/>
        <v>0</v>
      </c>
      <c r="K921" s="1">
        <f t="shared" si="2026"/>
        <v>2.6125573139120188</v>
      </c>
      <c r="L921" s="1">
        <f t="shared" ref="L921:N921" si="2086">E921/$H921</f>
        <v>0.98899765715177401</v>
      </c>
      <c r="M921" s="1">
        <f t="shared" si="2086"/>
        <v>0</v>
      </c>
      <c r="N921" s="1">
        <f t="shared" si="2086"/>
        <v>-0.14793118044652387</v>
      </c>
      <c r="O921" s="1">
        <f t="shared" si="1730"/>
        <v>-0.14793118044652387</v>
      </c>
      <c r="P921" s="1">
        <f t="shared" si="2028"/>
        <v>0.14630359088130843</v>
      </c>
      <c r="Q921" s="1">
        <f t="shared" si="2029"/>
        <v>0</v>
      </c>
      <c r="R921" s="1">
        <f t="shared" si="2030"/>
        <v>0.97811636585169803</v>
      </c>
      <c r="S921" s="1">
        <f t="shared" si="2031"/>
        <v>1.4278804340538314</v>
      </c>
      <c r="T921" s="1">
        <f t="shared" ref="T921:V921" si="2087">$S921*P921</f>
        <v>0.20890403485123685</v>
      </c>
      <c r="U921" s="1">
        <f t="shared" si="2087"/>
        <v>0</v>
      </c>
      <c r="V921" s="1">
        <f t="shared" si="2087"/>
        <v>1.3966332210274788</v>
      </c>
      <c r="W921" s="1">
        <f t="shared" si="2033"/>
        <v>-17.257414119540496</v>
      </c>
      <c r="X921" s="1">
        <f t="shared" si="2034"/>
        <v>0</v>
      </c>
      <c r="Y921" s="1">
        <f t="shared" si="2035"/>
        <v>-5.797459465060502</v>
      </c>
    </row>
    <row r="922" spans="1:25">
      <c r="A922" s="1">
        <v>0.92</v>
      </c>
      <c r="B922" s="1">
        <f t="shared" si="2036"/>
        <v>36.156576594946877</v>
      </c>
      <c r="C922" s="1">
        <f t="shared" si="2037"/>
        <v>0</v>
      </c>
      <c r="D922" s="1">
        <f t="shared" si="2038"/>
        <v>-0.60875421653922834</v>
      </c>
      <c r="E922" s="1">
        <f t="shared" si="2039"/>
        <v>20.585015981171324</v>
      </c>
      <c r="F922" s="1">
        <f t="shared" si="2040"/>
        <v>0</v>
      </c>
      <c r="G922" s="1">
        <f t="shared" si="2041"/>
        <v>-3.0874211632304984</v>
      </c>
      <c r="H922" s="1">
        <f t="shared" si="1728"/>
        <v>20.815260084472698</v>
      </c>
      <c r="I922" s="1">
        <f t="shared" si="2024"/>
        <v>-17.438108987522654</v>
      </c>
      <c r="J922" s="1">
        <f t="shared" si="2025"/>
        <v>0</v>
      </c>
      <c r="K922" s="1">
        <f t="shared" si="2026"/>
        <v>2.6154357511328916</v>
      </c>
      <c r="L922" s="1">
        <f t="shared" ref="L922:N922" si="2088">E922/$H922</f>
        <v>0.98893868717628342</v>
      </c>
      <c r="M922" s="1">
        <f t="shared" si="2088"/>
        <v>0</v>
      </c>
      <c r="N922" s="1">
        <f t="shared" si="2088"/>
        <v>-0.14832489004226201</v>
      </c>
      <c r="O922" s="1">
        <f t="shared" si="1730"/>
        <v>-0.14832489004226201</v>
      </c>
      <c r="P922" s="1">
        <f t="shared" si="2028"/>
        <v>0.1466842220339612</v>
      </c>
      <c r="Q922" s="1">
        <f t="shared" si="2029"/>
        <v>0</v>
      </c>
      <c r="R922" s="1">
        <f t="shared" si="2030"/>
        <v>0.97799972699395088</v>
      </c>
      <c r="S922" s="1">
        <f t="shared" si="2031"/>
        <v>1.4256593266126925</v>
      </c>
      <c r="T922" s="1">
        <f t="shared" ref="T922:V922" si="2089">$S922*P922</f>
        <v>0.20912172920964378</v>
      </c>
      <c r="U922" s="1">
        <f t="shared" si="2089"/>
        <v>0</v>
      </c>
      <c r="V922" s="1">
        <f t="shared" si="2089"/>
        <v>1.3942944322135931</v>
      </c>
      <c r="W922" s="1">
        <f t="shared" si="2033"/>
        <v>-17.228987258313008</v>
      </c>
      <c r="X922" s="1">
        <f t="shared" si="2034"/>
        <v>0</v>
      </c>
      <c r="Y922" s="1">
        <f t="shared" si="2035"/>
        <v>-5.7969198166535145</v>
      </c>
    </row>
    <row r="923" spans="1:25">
      <c r="A923" s="1">
        <v>0.92100000000000004</v>
      </c>
      <c r="B923" s="1">
        <f t="shared" si="2036"/>
        <v>36.177144381940792</v>
      </c>
      <c r="C923" s="1">
        <f t="shared" si="2037"/>
        <v>0</v>
      </c>
      <c r="D923" s="1">
        <f t="shared" si="2038"/>
        <v>-0.61184743462227553</v>
      </c>
      <c r="E923" s="1">
        <f t="shared" si="2039"/>
        <v>20.56778699391301</v>
      </c>
      <c r="F923" s="1">
        <f t="shared" si="2040"/>
        <v>0</v>
      </c>
      <c r="G923" s="1">
        <f t="shared" si="2041"/>
        <v>-3.0932180830471521</v>
      </c>
      <c r="H923" s="1">
        <f t="shared" si="1728"/>
        <v>20.799083151337875</v>
      </c>
      <c r="I923" s="1">
        <f t="shared" si="2024"/>
        <v>-17.409972878909716</v>
      </c>
      <c r="J923" s="1">
        <f t="shared" si="2025"/>
        <v>0</v>
      </c>
      <c r="K923" s="1">
        <f t="shared" si="2026"/>
        <v>2.6183100277313085</v>
      </c>
      <c r="L923" s="1">
        <f t="shared" ref="L923:N923" si="2090">E923/$H923</f>
        <v>0.98887950224815624</v>
      </c>
      <c r="M923" s="1">
        <f t="shared" si="2090"/>
        <v>0</v>
      </c>
      <c r="N923" s="1">
        <f t="shared" si="2090"/>
        <v>-0.14871896326104089</v>
      </c>
      <c r="O923" s="1">
        <f t="shared" si="1730"/>
        <v>-0.14871896326104089</v>
      </c>
      <c r="P923" s="1">
        <f t="shared" si="2028"/>
        <v>0.14706513436443996</v>
      </c>
      <c r="Q923" s="1">
        <f t="shared" si="2029"/>
        <v>0</v>
      </c>
      <c r="R923" s="1">
        <f t="shared" si="2030"/>
        <v>0.97788266996656115</v>
      </c>
      <c r="S923" s="1">
        <f t="shared" si="2031"/>
        <v>1.4234442369444094</v>
      </c>
      <c r="T923" s="1">
        <f t="shared" ref="T923:V923" si="2091">$S923*P923</f>
        <v>0.20933901796651727</v>
      </c>
      <c r="U923" s="1">
        <f t="shared" si="2091"/>
        <v>0</v>
      </c>
      <c r="V923" s="1">
        <f t="shared" si="2091"/>
        <v>1.3919614509717133</v>
      </c>
      <c r="W923" s="1">
        <f t="shared" si="2033"/>
        <v>-17.200633860943199</v>
      </c>
      <c r="X923" s="1">
        <f t="shared" si="2034"/>
        <v>0</v>
      </c>
      <c r="Y923" s="1">
        <f t="shared" si="2035"/>
        <v>-5.7963785212969778</v>
      </c>
    </row>
    <row r="924" spans="1:25">
      <c r="A924" s="1">
        <v>0.92200000000000004</v>
      </c>
      <c r="B924" s="1">
        <f t="shared" si="2036"/>
        <v>36.197694968300844</v>
      </c>
      <c r="C924" s="1">
        <f t="shared" si="2037"/>
        <v>0</v>
      </c>
      <c r="D924" s="1">
        <f t="shared" si="2038"/>
        <v>-0.61494644908384399</v>
      </c>
      <c r="E924" s="1">
        <f t="shared" si="2039"/>
        <v>20.550586360052066</v>
      </c>
      <c r="F924" s="1">
        <f t="shared" si="2040"/>
        <v>0</v>
      </c>
      <c r="G924" s="1">
        <f t="shared" si="2041"/>
        <v>-3.0990144615684492</v>
      </c>
      <c r="H924" s="1">
        <f t="shared" si="1728"/>
        <v>20.782937481861612</v>
      </c>
      <c r="I924" s="1">
        <f t="shared" si="2024"/>
        <v>-17.381909585088387</v>
      </c>
      <c r="J924" s="1">
        <f t="shared" si="2025"/>
        <v>0</v>
      </c>
      <c r="K924" s="1">
        <f t="shared" si="2026"/>
        <v>2.6211801566195159</v>
      </c>
      <c r="L924" s="1">
        <f t="shared" ref="L924:N924" si="2092">E924/$H924</f>
        <v>0.98882010197007364</v>
      </c>
      <c r="M924" s="1">
        <f t="shared" si="2092"/>
        <v>0</v>
      </c>
      <c r="N924" s="1">
        <f t="shared" si="2092"/>
        <v>-0.1491133995987394</v>
      </c>
      <c r="O924" s="1">
        <f t="shared" si="1730"/>
        <v>-0.1491133995987394</v>
      </c>
      <c r="P924" s="1">
        <f t="shared" si="2028"/>
        <v>0.14744632699632984</v>
      </c>
      <c r="Q924" s="1">
        <f t="shared" si="2029"/>
        <v>0</v>
      </c>
      <c r="R924" s="1">
        <f t="shared" si="2030"/>
        <v>0.97776519406010665</v>
      </c>
      <c r="S924" s="1">
        <f t="shared" si="2031"/>
        <v>1.4212351453491225</v>
      </c>
      <c r="T924" s="1">
        <f t="shared" ref="T924:V924" si="2093">$S924*P924</f>
        <v>0.2095559019798231</v>
      </c>
      <c r="U924" s="1">
        <f t="shared" si="2093"/>
        <v>0</v>
      </c>
      <c r="V924" s="1">
        <f t="shared" si="2093"/>
        <v>1.3896342576973286</v>
      </c>
      <c r="W924" s="1">
        <f t="shared" si="2033"/>
        <v>-17.172353683108565</v>
      </c>
      <c r="X924" s="1">
        <f t="shared" si="2034"/>
        <v>0</v>
      </c>
      <c r="Y924" s="1">
        <f t="shared" si="2035"/>
        <v>-5.7958355856831547</v>
      </c>
    </row>
    <row r="925" spans="1:25">
      <c r="A925" s="1">
        <v>0.92300000000000004</v>
      </c>
      <c r="B925" s="1">
        <f t="shared" si="2036"/>
        <v>36.21822838230721</v>
      </c>
      <c r="C925" s="1">
        <f t="shared" si="2037"/>
        <v>0</v>
      </c>
      <c r="D925" s="1">
        <f t="shared" si="2038"/>
        <v>-0.61805125938099814</v>
      </c>
      <c r="E925" s="1">
        <f t="shared" si="2039"/>
        <v>20.533414006368957</v>
      </c>
      <c r="F925" s="1">
        <f t="shared" si="2040"/>
        <v>0</v>
      </c>
      <c r="G925" s="1">
        <f t="shared" si="2041"/>
        <v>-3.1048102971541325</v>
      </c>
      <c r="H925" s="1">
        <f t="shared" si="1728"/>
        <v>20.766823005415713</v>
      </c>
      <c r="I925" s="1">
        <f t="shared" si="2024"/>
        <v>-17.353918863608445</v>
      </c>
      <c r="J925" s="1">
        <f t="shared" si="2025"/>
        <v>0</v>
      </c>
      <c r="K925" s="1">
        <f t="shared" si="2026"/>
        <v>2.6240461506789083</v>
      </c>
      <c r="L925" s="1">
        <f t="shared" ref="L925:N925" si="2094">E925/$H925</f>
        <v>0.98876048594501498</v>
      </c>
      <c r="M925" s="1">
        <f t="shared" si="2094"/>
        <v>0</v>
      </c>
      <c r="N925" s="1">
        <f t="shared" si="2094"/>
        <v>-0.14950819855037234</v>
      </c>
      <c r="O925" s="1">
        <f t="shared" si="1730"/>
        <v>-0.14950819855037234</v>
      </c>
      <c r="P925" s="1">
        <f t="shared" si="2028"/>
        <v>0.14782779905142993</v>
      </c>
      <c r="Q925" s="1">
        <f t="shared" si="2029"/>
        <v>0</v>
      </c>
      <c r="R925" s="1">
        <f t="shared" si="2030"/>
        <v>0.97764729856622246</v>
      </c>
      <c r="S925" s="1">
        <f t="shared" si="2031"/>
        <v>1.4190320322090424</v>
      </c>
      <c r="T925" s="1">
        <f t="shared" ref="T925:V925" si="2095">$S925*P925</f>
        <v>0.20977238210494056</v>
      </c>
      <c r="U925" s="1">
        <f t="shared" si="2095"/>
        <v>0</v>
      </c>
      <c r="V925" s="1">
        <f t="shared" si="2095"/>
        <v>1.387312832868107</v>
      </c>
      <c r="W925" s="1">
        <f t="shared" si="2033"/>
        <v>-17.144146481503505</v>
      </c>
      <c r="X925" s="1">
        <f t="shared" si="2034"/>
        <v>0</v>
      </c>
      <c r="Y925" s="1">
        <f t="shared" si="2035"/>
        <v>-5.7952910164529836</v>
      </c>
    </row>
    <row r="926" spans="1:25">
      <c r="A926" s="1">
        <v>0.92400000000000004</v>
      </c>
      <c r="B926" s="1">
        <f t="shared" si="2036"/>
        <v>36.2387446521671</v>
      </c>
      <c r="C926" s="1">
        <f t="shared" si="2037"/>
        <v>0</v>
      </c>
      <c r="D926" s="1">
        <f t="shared" si="2038"/>
        <v>-0.6211618649691687</v>
      </c>
      <c r="E926" s="1">
        <f t="shared" si="2039"/>
        <v>20.516269859887455</v>
      </c>
      <c r="F926" s="1">
        <f t="shared" si="2040"/>
        <v>0</v>
      </c>
      <c r="G926" s="1">
        <f t="shared" si="2041"/>
        <v>-3.1106055881705856</v>
      </c>
      <c r="H926" s="1">
        <f t="shared" si="1728"/>
        <v>20.750739651609639</v>
      </c>
      <c r="I926" s="1">
        <f t="shared" si="2024"/>
        <v>-17.326000473028831</v>
      </c>
      <c r="J926" s="1">
        <f t="shared" si="2025"/>
        <v>0</v>
      </c>
      <c r="K926" s="1">
        <f t="shared" si="2026"/>
        <v>2.6269080227601052</v>
      </c>
      <c r="L926" s="1">
        <f t="shared" ref="L926:N926" si="2096">E926/$H926</f>
        <v>0.98870065377626215</v>
      </c>
      <c r="M926" s="1">
        <f t="shared" si="2096"/>
        <v>0</v>
      </c>
      <c r="N926" s="1">
        <f t="shared" si="2096"/>
        <v>-0.14990335961008963</v>
      </c>
      <c r="O926" s="1">
        <f t="shared" si="1730"/>
        <v>-0.14990335961008963</v>
      </c>
      <c r="P926" s="1">
        <f t="shared" si="2028"/>
        <v>0.14820954964975375</v>
      </c>
      <c r="Q926" s="1">
        <f t="shared" si="2029"/>
        <v>0</v>
      </c>
      <c r="R926" s="1">
        <f t="shared" si="2030"/>
        <v>0.97752898277760814</v>
      </c>
      <c r="S926" s="1">
        <f t="shared" si="2031"/>
        <v>1.416834877988032</v>
      </c>
      <c r="T926" s="1">
        <f t="shared" ref="T926:V926" si="2097">$S926*P926</f>
        <v>0.20998845919467002</v>
      </c>
      <c r="U926" s="1">
        <f t="shared" si="2097"/>
        <v>0</v>
      </c>
      <c r="V926" s="1">
        <f t="shared" si="2097"/>
        <v>1.3849971570434774</v>
      </c>
      <c r="W926" s="1">
        <f t="shared" si="2033"/>
        <v>-17.116012013834162</v>
      </c>
      <c r="X926" s="1">
        <f t="shared" si="2034"/>
        <v>0</v>
      </c>
      <c r="Y926" s="1">
        <f t="shared" si="2035"/>
        <v>-5.7947448201964171</v>
      </c>
    </row>
    <row r="927" spans="1:25">
      <c r="A927" s="1">
        <v>0.92500000000000004</v>
      </c>
      <c r="B927" s="1">
        <f t="shared" si="2036"/>
        <v>36.259243806014972</v>
      </c>
      <c r="C927" s="1">
        <f t="shared" si="2037"/>
        <v>0</v>
      </c>
      <c r="D927" s="1">
        <f t="shared" si="2038"/>
        <v>-0.62427826530215946</v>
      </c>
      <c r="E927" s="1">
        <f t="shared" si="2039"/>
        <v>20.499153847873622</v>
      </c>
      <c r="F927" s="1">
        <f t="shared" si="2040"/>
        <v>0</v>
      </c>
      <c r="G927" s="1">
        <f t="shared" si="2041"/>
        <v>-3.1164003329907821</v>
      </c>
      <c r="H927" s="1">
        <f t="shared" si="1728"/>
        <v>20.734687350289537</v>
      </c>
      <c r="I927" s="1">
        <f t="shared" si="2024"/>
        <v>-17.298154172912639</v>
      </c>
      <c r="J927" s="1">
        <f t="shared" si="2025"/>
        <v>0</v>
      </c>
      <c r="K927" s="1">
        <f t="shared" si="2026"/>
        <v>2.6297657856830376</v>
      </c>
      <c r="L927" s="1">
        <f t="shared" ref="L927:N927" si="2098">E927/$H927</f>
        <v>0.98864060506740048</v>
      </c>
      <c r="M927" s="1">
        <f t="shared" si="2098"/>
        <v>0</v>
      </c>
      <c r="N927" s="1">
        <f t="shared" si="2098"/>
        <v>-0.15029888227117469</v>
      </c>
      <c r="O927" s="1">
        <f t="shared" si="1730"/>
        <v>-0.15029888227117469</v>
      </c>
      <c r="P927" s="1">
        <f t="shared" si="2028"/>
        <v>0.14859157790952812</v>
      </c>
      <c r="Q927" s="1">
        <f t="shared" si="2029"/>
        <v>0</v>
      </c>
      <c r="R927" s="1">
        <f t="shared" si="2030"/>
        <v>0.97741024598803561</v>
      </c>
      <c r="S927" s="1">
        <f t="shared" si="2031"/>
        <v>1.4146436632312027</v>
      </c>
      <c r="T927" s="1">
        <f t="shared" ref="T927:V927" si="2099">$S927*P927</f>
        <v>0.21020413409923952</v>
      </c>
      <c r="U927" s="1">
        <f t="shared" si="2099"/>
        <v>0</v>
      </c>
      <c r="V927" s="1">
        <f t="shared" si="2099"/>
        <v>1.3826872108642256</v>
      </c>
      <c r="W927" s="1">
        <f t="shared" si="2033"/>
        <v>-17.0879500388134</v>
      </c>
      <c r="X927" s="1">
        <f t="shared" si="2034"/>
        <v>0</v>
      </c>
      <c r="Y927" s="1">
        <f t="shared" si="2035"/>
        <v>-5.7941970034527364</v>
      </c>
    </row>
    <row r="928" spans="1:25">
      <c r="A928" s="1">
        <v>0.92600000000000005</v>
      </c>
      <c r="B928" s="1">
        <f t="shared" si="2036"/>
        <v>36.27972587191281</v>
      </c>
      <c r="C928" s="1">
        <f t="shared" si="2037"/>
        <v>0</v>
      </c>
      <c r="D928" s="1">
        <f t="shared" si="2038"/>
        <v>-0.62740045983215365</v>
      </c>
      <c r="E928" s="1">
        <f t="shared" si="2039"/>
        <v>20.482065897834808</v>
      </c>
      <c r="F928" s="1">
        <f t="shared" si="2040"/>
        <v>0</v>
      </c>
      <c r="G928" s="1">
        <f t="shared" si="2041"/>
        <v>-3.1221945299942346</v>
      </c>
      <c r="H928" s="1">
        <f t="shared" si="1728"/>
        <v>20.7186660315372</v>
      </c>
      <c r="I928" s="1">
        <f t="shared" si="2024"/>
        <v>-17.27037972382205</v>
      </c>
      <c r="J928" s="1">
        <f t="shared" si="2025"/>
        <v>0</v>
      </c>
      <c r="K928" s="1">
        <f t="shared" si="2026"/>
        <v>2.6326194522370265</v>
      </c>
      <c r="L928" s="1">
        <f t="shared" ref="L928:N928" si="2100">E928/$H928</f>
        <v>0.98858033942232337</v>
      </c>
      <c r="M928" s="1">
        <f t="shared" si="2100"/>
        <v>0</v>
      </c>
      <c r="N928" s="1">
        <f t="shared" si="2100"/>
        <v>-0.15069476602604356</v>
      </c>
      <c r="O928" s="1">
        <f t="shared" si="1730"/>
        <v>-0.15069476602604356</v>
      </c>
      <c r="P928" s="1">
        <f t="shared" si="2028"/>
        <v>0.14897388294719374</v>
      </c>
      <c r="Q928" s="1">
        <f t="shared" si="2029"/>
        <v>0</v>
      </c>
      <c r="R928" s="1">
        <f t="shared" si="2030"/>
        <v>0.97729108749235594</v>
      </c>
      <c r="S928" s="1">
        <f t="shared" si="2031"/>
        <v>1.4124583685645054</v>
      </c>
      <c r="T928" s="1">
        <f t="shared" ref="T928:V928" si="2101">$S928*P928</f>
        <v>0.21041940766631287</v>
      </c>
      <c r="U928" s="1">
        <f t="shared" si="2101"/>
        <v>0</v>
      </c>
      <c r="V928" s="1">
        <f t="shared" si="2101"/>
        <v>1.3803829750520844</v>
      </c>
      <c r="W928" s="1">
        <f t="shared" si="2033"/>
        <v>-17.059960316155738</v>
      </c>
      <c r="X928" s="1">
        <f t="shared" si="2034"/>
        <v>0</v>
      </c>
      <c r="Y928" s="1">
        <f t="shared" si="2035"/>
        <v>-5.7936475727108885</v>
      </c>
    </row>
    <row r="929" spans="1:25">
      <c r="A929" s="1">
        <v>0.92700000000000005</v>
      </c>
      <c r="B929" s="1">
        <f t="shared" si="2036"/>
        <v>36.300190877850326</v>
      </c>
      <c r="C929" s="1">
        <f t="shared" si="2037"/>
        <v>0</v>
      </c>
      <c r="D929" s="1">
        <f t="shared" si="2038"/>
        <v>-0.63052844800972063</v>
      </c>
      <c r="E929" s="1">
        <f t="shared" si="2039"/>
        <v>20.465005937518651</v>
      </c>
      <c r="F929" s="1">
        <f t="shared" si="2040"/>
        <v>0</v>
      </c>
      <c r="G929" s="1">
        <f t="shared" si="2041"/>
        <v>-3.1279881775669454</v>
      </c>
      <c r="H929" s="1">
        <f t="shared" si="1728"/>
        <v>20.70267562566907</v>
      </c>
      <c r="I929" s="1">
        <f t="shared" si="2024"/>
        <v>-17.24267688731334</v>
      </c>
      <c r="J929" s="1">
        <f t="shared" si="2025"/>
        <v>0</v>
      </c>
      <c r="K929" s="1">
        <f t="shared" si="2026"/>
        <v>2.6354690351808649</v>
      </c>
      <c r="L929" s="1">
        <f t="shared" ref="L929:N929" si="2102">E929/$H929</f>
        <v>0.98851985644523488</v>
      </c>
      <c r="M929" s="1">
        <f t="shared" si="2102"/>
        <v>0</v>
      </c>
      <c r="N929" s="1">
        <f t="shared" si="2102"/>
        <v>-0.15109101036624367</v>
      </c>
      <c r="O929" s="1">
        <f t="shared" si="1730"/>
        <v>-0.15109101036624367</v>
      </c>
      <c r="P929" s="1">
        <f t="shared" si="2028"/>
        <v>0.1493564638774047</v>
      </c>
      <c r="Q929" s="1">
        <f t="shared" si="2029"/>
        <v>0</v>
      </c>
      <c r="R929" s="1">
        <f t="shared" si="2030"/>
        <v>0.97717150658650764</v>
      </c>
      <c r="S929" s="1">
        <f t="shared" si="2031"/>
        <v>1.4102789746943258</v>
      </c>
      <c r="T929" s="1">
        <f t="shared" ref="T929:V929" si="2103">$S929*P929</f>
        <v>0.21063428074099641</v>
      </c>
      <c r="U929" s="1">
        <f t="shared" si="2103"/>
        <v>0</v>
      </c>
      <c r="V929" s="1">
        <f t="shared" si="2103"/>
        <v>1.3780844304093296</v>
      </c>
      <c r="W929" s="1">
        <f t="shared" si="2033"/>
        <v>-17.032042606572343</v>
      </c>
      <c r="X929" s="1">
        <f t="shared" si="2034"/>
        <v>0</v>
      </c>
      <c r="Y929" s="1">
        <f t="shared" si="2035"/>
        <v>-5.7930965344098047</v>
      </c>
    </row>
    <row r="930" spans="1:25">
      <c r="A930" s="1">
        <v>0.92800000000000005</v>
      </c>
      <c r="B930" s="1">
        <f t="shared" si="2036"/>
        <v>36.320638851745237</v>
      </c>
      <c r="C930" s="1">
        <f t="shared" si="2037"/>
        <v>0</v>
      </c>
      <c r="D930" s="1">
        <f t="shared" si="2038"/>
        <v>-0.63366222928382199</v>
      </c>
      <c r="E930" s="1">
        <f t="shared" si="2039"/>
        <v>20.447973894912078</v>
      </c>
      <c r="F930" s="1">
        <f t="shared" si="2040"/>
        <v>0</v>
      </c>
      <c r="G930" s="1">
        <f t="shared" si="2041"/>
        <v>-3.1337812741013553</v>
      </c>
      <c r="H930" s="1">
        <f t="shared" si="1728"/>
        <v>20.68671606323522</v>
      </c>
      <c r="I930" s="1">
        <f t="shared" si="2024"/>
        <v>-17.215045425931887</v>
      </c>
      <c r="J930" s="1">
        <f t="shared" si="2025"/>
        <v>0</v>
      </c>
      <c r="K930" s="1">
        <f t="shared" si="2026"/>
        <v>2.638314547242897</v>
      </c>
      <c r="L930" s="1">
        <f t="shared" ref="L930:N930" si="2104">E930/$H930</f>
        <v>0.98845915574065235</v>
      </c>
      <c r="M930" s="1">
        <f t="shared" si="2104"/>
        <v>0</v>
      </c>
      <c r="N930" s="1">
        <f t="shared" si="2104"/>
        <v>-0.15148761478245279</v>
      </c>
      <c r="O930" s="1">
        <f t="shared" si="1730"/>
        <v>-0.15148761478245279</v>
      </c>
      <c r="P930" s="1">
        <f t="shared" si="2028"/>
        <v>0.14973931981302846</v>
      </c>
      <c r="Q930" s="1">
        <f t="shared" si="2029"/>
        <v>0</v>
      </c>
      <c r="R930" s="1">
        <f t="shared" si="2030"/>
        <v>0.97705150256752316</v>
      </c>
      <c r="S930" s="1">
        <f t="shared" si="2031"/>
        <v>1.4081054624070826</v>
      </c>
      <c r="T930" s="1">
        <f t="shared" ref="T930:V930" si="2105">$S930*P930</f>
        <v>0.21084875416584645</v>
      </c>
      <c r="U930" s="1">
        <f t="shared" si="2105"/>
        <v>0</v>
      </c>
      <c r="V930" s="1">
        <f t="shared" si="2105"/>
        <v>1.375791557818377</v>
      </c>
      <c r="W930" s="1">
        <f t="shared" si="2033"/>
        <v>-17.004196671766042</v>
      </c>
      <c r="X930" s="1">
        <f t="shared" si="2034"/>
        <v>0</v>
      </c>
      <c r="Y930" s="1">
        <f t="shared" si="2035"/>
        <v>-5.7925438949387251</v>
      </c>
    </row>
    <row r="931" spans="1:25">
      <c r="A931" s="1">
        <v>0.92900000000000005</v>
      </c>
      <c r="B931" s="1">
        <f t="shared" si="2036"/>
        <v>36.341069821443476</v>
      </c>
      <c r="C931" s="1">
        <f t="shared" si="2037"/>
        <v>0</v>
      </c>
      <c r="D931" s="1">
        <f t="shared" si="2038"/>
        <v>-0.63680180310181833</v>
      </c>
      <c r="E931" s="1">
        <f t="shared" si="2039"/>
        <v>20.430969698240311</v>
      </c>
      <c r="F931" s="1">
        <f t="shared" si="2040"/>
        <v>0</v>
      </c>
      <c r="G931" s="1">
        <f t="shared" si="2041"/>
        <v>-3.1395738179962942</v>
      </c>
      <c r="H931" s="1">
        <f t="shared" si="1728"/>
        <v>20.670787275018377</v>
      </c>
      <c r="I931" s="1">
        <f t="shared" si="2024"/>
        <v>-17.187485103207226</v>
      </c>
      <c r="J931" s="1">
        <f t="shared" si="2025"/>
        <v>0</v>
      </c>
      <c r="K931" s="1">
        <f t="shared" si="2026"/>
        <v>2.6411560011210997</v>
      </c>
      <c r="L931" s="1">
        <f t="shared" ref="L931:N931" si="2106">E931/$H931</f>
        <v>0.98839823691340989</v>
      </c>
      <c r="M931" s="1">
        <f t="shared" si="2106"/>
        <v>0</v>
      </c>
      <c r="N931" s="1">
        <f t="shared" si="2106"/>
        <v>-0.15188457876447781</v>
      </c>
      <c r="O931" s="1">
        <f t="shared" si="1730"/>
        <v>-0.15188457876447781</v>
      </c>
      <c r="P931" s="1">
        <f t="shared" si="2028"/>
        <v>0.15012244986514581</v>
      </c>
      <c r="Q931" s="1">
        <f t="shared" si="2029"/>
        <v>0</v>
      </c>
      <c r="R931" s="1">
        <f t="shared" si="2030"/>
        <v>0.97693107473353713</v>
      </c>
      <c r="S931" s="1">
        <f t="shared" si="2031"/>
        <v>1.4059378125688269</v>
      </c>
      <c r="T931" s="1">
        <f t="shared" ref="T931:V931" si="2107">$S931*P931</f>
        <v>0.21106282878087648</v>
      </c>
      <c r="U931" s="1">
        <f t="shared" si="2107"/>
        <v>0</v>
      </c>
      <c r="V931" s="1">
        <f t="shared" si="2107"/>
        <v>1.3735043382413823</v>
      </c>
      <c r="W931" s="1">
        <f t="shared" si="2033"/>
        <v>-16.976422274426351</v>
      </c>
      <c r="X931" s="1">
        <f t="shared" si="2034"/>
        <v>0</v>
      </c>
      <c r="Y931" s="1">
        <f t="shared" si="2035"/>
        <v>-5.7919896606375172</v>
      </c>
    </row>
    <row r="932" spans="1:25">
      <c r="A932" s="1">
        <v>0.93</v>
      </c>
      <c r="B932" s="1">
        <f t="shared" si="2036"/>
        <v>36.361483814719442</v>
      </c>
      <c r="C932" s="1">
        <f t="shared" si="2037"/>
        <v>0</v>
      </c>
      <c r="D932" s="1">
        <f t="shared" si="2038"/>
        <v>-0.63994716890947523</v>
      </c>
      <c r="E932" s="1">
        <f t="shared" si="2039"/>
        <v>20.413993275965886</v>
      </c>
      <c r="F932" s="1">
        <f t="shared" si="2040"/>
        <v>0</v>
      </c>
      <c r="G932" s="1">
        <f t="shared" si="2041"/>
        <v>-3.1453658076569315</v>
      </c>
      <c r="H932" s="1">
        <f t="shared" si="1728"/>
        <v>20.654889192032904</v>
      </c>
      <c r="I932" s="1">
        <f t="shared" si="2024"/>
        <v>-17.159995683648134</v>
      </c>
      <c r="J932" s="1">
        <f t="shared" si="2025"/>
        <v>0</v>
      </c>
      <c r="K932" s="1">
        <f t="shared" si="2026"/>
        <v>2.6439934094831612</v>
      </c>
      <c r="L932" s="1">
        <f t="shared" ref="L932:N932" si="2108">E932/$H932</f>
        <v>0.98833709956866111</v>
      </c>
      <c r="M932" s="1">
        <f t="shared" si="2108"/>
        <v>0</v>
      </c>
      <c r="N932" s="1">
        <f t="shared" si="2108"/>
        <v>-0.15228190180125373</v>
      </c>
      <c r="O932" s="1">
        <f t="shared" si="1730"/>
        <v>-0.15228190180125373</v>
      </c>
      <c r="P932" s="1">
        <f t="shared" si="2028"/>
        <v>0.15050585314305079</v>
      </c>
      <c r="Q932" s="1">
        <f t="shared" si="2029"/>
        <v>0</v>
      </c>
      <c r="R932" s="1">
        <f t="shared" si="2030"/>
        <v>0.97681022238379334</v>
      </c>
      <c r="S932" s="1">
        <f t="shared" si="2031"/>
        <v>1.4037760061248452</v>
      </c>
      <c r="T932" s="1">
        <f t="shared" ref="T932:V932" si="2109">$S932*P932</f>
        <v>0.21127650542356433</v>
      </c>
      <c r="U932" s="1">
        <f t="shared" si="2109"/>
        <v>0</v>
      </c>
      <c r="V932" s="1">
        <f t="shared" si="2109"/>
        <v>1.3712227527198433</v>
      </c>
      <c r="W932" s="1">
        <f t="shared" si="2033"/>
        <v>-16.948719178224568</v>
      </c>
      <c r="X932" s="1">
        <f t="shared" si="2034"/>
        <v>0</v>
      </c>
      <c r="Y932" s="1">
        <f t="shared" si="2035"/>
        <v>-5.7914338377969949</v>
      </c>
    </row>
    <row r="933" spans="1:25">
      <c r="A933" s="1">
        <v>0.93100000000000005</v>
      </c>
      <c r="B933" s="1">
        <f t="shared" si="2036"/>
        <v>36.38188085927623</v>
      </c>
      <c r="C933" s="1">
        <f t="shared" si="2037"/>
        <v>0</v>
      </c>
      <c r="D933" s="1">
        <f t="shared" si="2038"/>
        <v>-0.64309832615096996</v>
      </c>
      <c r="E933" s="1">
        <f t="shared" si="2039"/>
        <v>20.397044556787662</v>
      </c>
      <c r="F933" s="1">
        <f t="shared" si="2040"/>
        <v>0</v>
      </c>
      <c r="G933" s="1">
        <f t="shared" si="2041"/>
        <v>-3.1511572414947286</v>
      </c>
      <c r="H933" s="1">
        <f t="shared" si="1728"/>
        <v>20.639021745523838</v>
      </c>
      <c r="I933" s="1">
        <f t="shared" si="2024"/>
        <v>-17.132576932737734</v>
      </c>
      <c r="J933" s="1">
        <f t="shared" si="2025"/>
        <v>0</v>
      </c>
      <c r="K933" s="1">
        <f t="shared" si="2026"/>
        <v>2.646826784966565</v>
      </c>
      <c r="L933" s="1">
        <f t="shared" ref="L933:N933" si="2110">E933/$H933</f>
        <v>0.98827574331188173</v>
      </c>
      <c r="M933" s="1">
        <f t="shared" si="2110"/>
        <v>0</v>
      </c>
      <c r="N933" s="1">
        <f t="shared" si="2110"/>
        <v>-0.1526795833808425</v>
      </c>
      <c r="O933" s="1">
        <f t="shared" si="1730"/>
        <v>-0.1526795833808425</v>
      </c>
      <c r="P933" s="1">
        <f t="shared" si="2028"/>
        <v>0.15088952875425055</v>
      </c>
      <c r="Q933" s="1">
        <f t="shared" si="2029"/>
        <v>0</v>
      </c>
      <c r="R933" s="1">
        <f t="shared" si="2030"/>
        <v>0.97668894481865232</v>
      </c>
      <c r="S933" s="1">
        <f t="shared" si="2031"/>
        <v>1.4016200240992653</v>
      </c>
      <c r="T933" s="1">
        <f t="shared" ref="T933:V933" si="2111">$S933*P933</f>
        <v>0.21148978492885945</v>
      </c>
      <c r="U933" s="1">
        <f t="shared" si="2111"/>
        <v>0</v>
      </c>
      <c r="V933" s="1">
        <f t="shared" si="2111"/>
        <v>1.3689467823742054</v>
      </c>
      <c r="W933" s="1">
        <f t="shared" si="2033"/>
        <v>-16.921087147808876</v>
      </c>
      <c r="X933" s="1">
        <f t="shared" si="2034"/>
        <v>0</v>
      </c>
      <c r="Y933" s="1">
        <f t="shared" si="2035"/>
        <v>-5.7908764326592292</v>
      </c>
    </row>
    <row r="934" spans="1:25">
      <c r="A934" s="1">
        <v>0.93200000000000005</v>
      </c>
      <c r="B934" s="1">
        <f t="shared" si="2036"/>
        <v>36.402260982745872</v>
      </c>
      <c r="C934" s="1">
        <f t="shared" si="2037"/>
        <v>0</v>
      </c>
      <c r="D934" s="1">
        <f t="shared" si="2038"/>
        <v>-0.6462552742688974</v>
      </c>
      <c r="E934" s="1">
        <f t="shared" si="2039"/>
        <v>20.380123469639855</v>
      </c>
      <c r="F934" s="1">
        <f t="shared" si="2040"/>
        <v>0</v>
      </c>
      <c r="G934" s="1">
        <f t="shared" si="2041"/>
        <v>-3.1569481179273877</v>
      </c>
      <c r="H934" s="1">
        <f t="shared" si="1728"/>
        <v>20.623184866965882</v>
      </c>
      <c r="I934" s="1">
        <f t="shared" si="2024"/>
        <v>-17.105228616928642</v>
      </c>
      <c r="J934" s="1">
        <f t="shared" si="2025"/>
        <v>0</v>
      </c>
      <c r="K934" s="1">
        <f t="shared" si="2026"/>
        <v>2.6496561401786654</v>
      </c>
      <c r="L934" s="1">
        <f t="shared" ref="L934:N934" si="2112">E934/$H934</f>
        <v>0.98821416774887361</v>
      </c>
      <c r="M934" s="1">
        <f t="shared" si="2112"/>
        <v>0</v>
      </c>
      <c r="N934" s="1">
        <f t="shared" si="2112"/>
        <v>-0.15307762299043209</v>
      </c>
      <c r="O934" s="1">
        <f t="shared" si="1730"/>
        <v>-0.15307762299043209</v>
      </c>
      <c r="P934" s="1">
        <f t="shared" si="2028"/>
        <v>0.15127347580446568</v>
      </c>
      <c r="Q934" s="1">
        <f t="shared" si="2029"/>
        <v>0</v>
      </c>
      <c r="R934" s="1">
        <f t="shared" si="2030"/>
        <v>0.97656724133959916</v>
      </c>
      <c r="S934" s="1">
        <f t="shared" si="2031"/>
        <v>1.3994698475946608</v>
      </c>
      <c r="T934" s="1">
        <f t="shared" ref="T934:V934" si="2113">$S934*P934</f>
        <v>0.2117026681291902</v>
      </c>
      <c r="U934" s="1">
        <f t="shared" si="2113"/>
        <v>0</v>
      </c>
      <c r="V934" s="1">
        <f t="shared" si="2113"/>
        <v>1.366676408403467</v>
      </c>
      <c r="W934" s="1">
        <f t="shared" si="2033"/>
        <v>-16.89352594879945</v>
      </c>
      <c r="X934" s="1">
        <f t="shared" si="2034"/>
        <v>0</v>
      </c>
      <c r="Y934" s="1">
        <f t="shared" si="2035"/>
        <v>-5.7903174514178666</v>
      </c>
    </row>
    <row r="935" spans="1:25">
      <c r="A935" s="1">
        <v>0.93300000000000005</v>
      </c>
      <c r="B935" s="1">
        <f t="shared" si="2036"/>
        <v>36.422624212689563</v>
      </c>
      <c r="C935" s="1">
        <f t="shared" si="2037"/>
        <v>0</v>
      </c>
      <c r="D935" s="1">
        <f t="shared" si="2038"/>
        <v>-0.64941801270427624</v>
      </c>
      <c r="E935" s="1">
        <f t="shared" si="2039"/>
        <v>20.363229943691056</v>
      </c>
      <c r="F935" s="1">
        <f t="shared" si="2040"/>
        <v>0</v>
      </c>
      <c r="G935" s="1">
        <f t="shared" si="2041"/>
        <v>-3.1627384353788055</v>
      </c>
      <c r="H935" s="1">
        <f t="shared" si="1728"/>
        <v>20.607378488062437</v>
      </c>
      <c r="I935" s="1">
        <f t="shared" si="2024"/>
        <v>-17.0779505036381</v>
      </c>
      <c r="J935" s="1">
        <f t="shared" si="2025"/>
        <v>0</v>
      </c>
      <c r="K935" s="1">
        <f t="shared" si="2026"/>
        <v>2.6524814876967686</v>
      </c>
      <c r="L935" s="1">
        <f t="shared" ref="L935:N935" si="2114">E935/$H935</f>
        <v>0.98815237248576704</v>
      </c>
      <c r="M935" s="1">
        <f t="shared" si="2114"/>
        <v>0</v>
      </c>
      <c r="N935" s="1">
        <f t="shared" si="2114"/>
        <v>-0.15347602011633527</v>
      </c>
      <c r="O935" s="1">
        <f t="shared" si="1730"/>
        <v>-0.15347602011633527</v>
      </c>
      <c r="P935" s="1">
        <f t="shared" si="2028"/>
        <v>0.15165769339762999</v>
      </c>
      <c r="Q935" s="1">
        <f t="shared" si="2029"/>
        <v>0</v>
      </c>
      <c r="R935" s="1">
        <f t="shared" si="2030"/>
        <v>0.97644511124925026</v>
      </c>
      <c r="S935" s="1">
        <f t="shared" si="2031"/>
        <v>1.3973254577916616</v>
      </c>
      <c r="T935" s="1">
        <f t="shared" ref="T935:V935" si="2115">$S935*P935</f>
        <v>0.21191515585447079</v>
      </c>
      <c r="U935" s="1">
        <f t="shared" si="2115"/>
        <v>0</v>
      </c>
      <c r="V935" s="1">
        <f t="shared" si="2115"/>
        <v>1.3644116120847887</v>
      </c>
      <c r="W935" s="1">
        <f t="shared" si="2033"/>
        <v>-16.86603534778363</v>
      </c>
      <c r="X935" s="1">
        <f t="shared" si="2034"/>
        <v>0</v>
      </c>
      <c r="Y935" s="1">
        <f t="shared" si="2035"/>
        <v>-5.7897569002184426</v>
      </c>
    </row>
    <row r="936" spans="1:25">
      <c r="A936" s="1">
        <v>0.93400000000000005</v>
      </c>
      <c r="B936" s="1">
        <f t="shared" si="2036"/>
        <v>36.442970576597908</v>
      </c>
      <c r="C936" s="1">
        <f t="shared" si="2037"/>
        <v>0</v>
      </c>
      <c r="D936" s="1">
        <f t="shared" si="2038"/>
        <v>-0.65258654089655521</v>
      </c>
      <c r="E936" s="1">
        <f t="shared" si="2039"/>
        <v>20.346363908343275</v>
      </c>
      <c r="F936" s="1">
        <f t="shared" si="2040"/>
        <v>0</v>
      </c>
      <c r="G936" s="1">
        <f t="shared" si="2041"/>
        <v>-3.168528192279024</v>
      </c>
      <c r="H936" s="1">
        <f t="shared" si="1728"/>
        <v>20.591602540744631</v>
      </c>
      <c r="I936" s="1">
        <f t="shared" si="2024"/>
        <v>-17.050742361243209</v>
      </c>
      <c r="J936" s="1">
        <f t="shared" si="2025"/>
        <v>0</v>
      </c>
      <c r="K936" s="1">
        <f t="shared" si="2026"/>
        <v>2.6553028400682148</v>
      </c>
      <c r="L936" s="1">
        <f t="shared" ref="L936:N936" si="2116">E936/$H936</f>
        <v>0.98809035712902371</v>
      </c>
      <c r="M936" s="1">
        <f t="shared" si="2116"/>
        <v>0</v>
      </c>
      <c r="N936" s="1">
        <f t="shared" si="2116"/>
        <v>-0.15387477424398868</v>
      </c>
      <c r="O936" s="1">
        <f t="shared" si="1730"/>
        <v>-0.15387477424398868</v>
      </c>
      <c r="P936" s="1">
        <f t="shared" si="2028"/>
        <v>0.15204218063589067</v>
      </c>
      <c r="Q936" s="1">
        <f t="shared" si="2029"/>
        <v>0</v>
      </c>
      <c r="R936" s="1">
        <f t="shared" si="2030"/>
        <v>0.97632255385136157</v>
      </c>
      <c r="S936" s="1">
        <f t="shared" si="2031"/>
        <v>1.3951868359485666</v>
      </c>
      <c r="T936" s="1">
        <f t="shared" ref="T936:V936" si="2117">$S936*P936</f>
        <v>0.21212724893210874</v>
      </c>
      <c r="U936" s="1">
        <f t="shared" si="2117"/>
        <v>0</v>
      </c>
      <c r="V936" s="1">
        <f t="shared" si="2117"/>
        <v>1.3621523747731052</v>
      </c>
      <c r="W936" s="1">
        <f t="shared" si="2033"/>
        <v>-16.8386151123111</v>
      </c>
      <c r="X936" s="1">
        <f t="shared" si="2034"/>
        <v>0</v>
      </c>
      <c r="Y936" s="1">
        <f t="shared" si="2035"/>
        <v>-5.7891947851586796</v>
      </c>
    </row>
    <row r="937" spans="1:25">
      <c r="A937" s="1">
        <v>0.93500000000000005</v>
      </c>
      <c r="B937" s="1">
        <f t="shared" si="2036"/>
        <v>36.463300101891136</v>
      </c>
      <c r="C937" s="1">
        <f t="shared" si="2037"/>
        <v>0</v>
      </c>
      <c r="D937" s="1">
        <f t="shared" si="2038"/>
        <v>-0.65576085828361941</v>
      </c>
      <c r="E937" s="1">
        <f t="shared" si="2039"/>
        <v>20.329525293230965</v>
      </c>
      <c r="F937" s="1">
        <f t="shared" si="2040"/>
        <v>0</v>
      </c>
      <c r="G937" s="1">
        <f t="shared" si="2041"/>
        <v>-3.1743173870641828</v>
      </c>
      <c r="H937" s="1">
        <f t="shared" si="1728"/>
        <v>20.575856957170352</v>
      </c>
      <c r="I937" s="1">
        <f t="shared" si="2024"/>
        <v>-17.023603959076137</v>
      </c>
      <c r="J937" s="1">
        <f t="shared" si="2025"/>
        <v>0</v>
      </c>
      <c r="K937" s="1">
        <f t="shared" si="2026"/>
        <v>2.658120209810455</v>
      </c>
      <c r="L937" s="1">
        <f t="shared" ref="L937:N937" si="2118">E937/$H937</f>
        <v>0.9880281212854396</v>
      </c>
      <c r="M937" s="1">
        <f t="shared" si="2118"/>
        <v>0</v>
      </c>
      <c r="N937" s="1">
        <f t="shared" si="2118"/>
        <v>-0.15427388485795168</v>
      </c>
      <c r="O937" s="1">
        <f t="shared" si="1730"/>
        <v>-0.15427388485795168</v>
      </c>
      <c r="P937" s="1">
        <f t="shared" si="2028"/>
        <v>0.15242693661960824</v>
      </c>
      <c r="Q937" s="1">
        <f t="shared" si="2029"/>
        <v>0</v>
      </c>
      <c r="R937" s="1">
        <f t="shared" si="2030"/>
        <v>0.97619956845083544</v>
      </c>
      <c r="S937" s="1">
        <f t="shared" si="2031"/>
        <v>1.3930539634009573</v>
      </c>
      <c r="T937" s="1">
        <f t="shared" ref="T937:V937" si="2119">$S937*P937</f>
        <v>0.21233894818701177</v>
      </c>
      <c r="U937" s="1">
        <f t="shared" si="2119"/>
        <v>0</v>
      </c>
      <c r="V937" s="1">
        <f t="shared" si="2119"/>
        <v>1.3598986779007405</v>
      </c>
      <c r="W937" s="1">
        <f t="shared" si="2033"/>
        <v>-16.811265010889127</v>
      </c>
      <c r="X937" s="1">
        <f t="shared" si="2034"/>
        <v>0</v>
      </c>
      <c r="Y937" s="1">
        <f t="shared" si="2035"/>
        <v>-5.7886311122888037</v>
      </c>
    </row>
    <row r="938" spans="1:25">
      <c r="A938" s="1">
        <v>0.93600000000000005</v>
      </c>
      <c r="B938" s="1">
        <f t="shared" si="2036"/>
        <v>36.483612815919358</v>
      </c>
      <c r="C938" s="1">
        <f t="shared" si="2037"/>
        <v>0</v>
      </c>
      <c r="D938" s="1">
        <f t="shared" si="2038"/>
        <v>-0.65894096430179583</v>
      </c>
      <c r="E938" s="1">
        <f t="shared" si="2039"/>
        <v>20.312714028220075</v>
      </c>
      <c r="F938" s="1">
        <f t="shared" si="2040"/>
        <v>0</v>
      </c>
      <c r="G938" s="1">
        <f t="shared" si="2041"/>
        <v>-3.1801060181764718</v>
      </c>
      <c r="H938" s="1">
        <f t="shared" si="1728"/>
        <v>20.560141669723262</v>
      </c>
      <c r="I938" s="1">
        <f t="shared" si="2024"/>
        <v>-16.996535067419348</v>
      </c>
      <c r="J938" s="1">
        <f t="shared" si="2025"/>
        <v>0</v>
      </c>
      <c r="K938" s="1">
        <f t="shared" si="2026"/>
        <v>2.6609336094111287</v>
      </c>
      <c r="L938" s="1">
        <f t="shared" ref="L938:N938" si="2120">E938/$H938</f>
        <v>0.98796566456214907</v>
      </c>
      <c r="M938" s="1">
        <f t="shared" si="2120"/>
        <v>0</v>
      </c>
      <c r="N938" s="1">
        <f t="shared" si="2120"/>
        <v>-0.1546733514419055</v>
      </c>
      <c r="O938" s="1">
        <f t="shared" si="1730"/>
        <v>-0.1546733514419055</v>
      </c>
      <c r="P938" s="1">
        <f t="shared" si="2028"/>
        <v>0.15281196044735701</v>
      </c>
      <c r="Q938" s="1">
        <f t="shared" si="2029"/>
        <v>0</v>
      </c>
      <c r="R938" s="1">
        <f t="shared" si="2030"/>
        <v>0.97607615435372874</v>
      </c>
      <c r="S938" s="1">
        <f t="shared" si="2031"/>
        <v>1.3909268215613113</v>
      </c>
      <c r="T938" s="1">
        <f t="shared" ref="T938:V938" si="2121">$S938*P938</f>
        <v>0.21255025444159512</v>
      </c>
      <c r="U938" s="1">
        <f t="shared" si="2121"/>
        <v>0</v>
      </c>
      <c r="V938" s="1">
        <f t="shared" si="2121"/>
        <v>1.3576505029770198</v>
      </c>
      <c r="W938" s="1">
        <f t="shared" si="2033"/>
        <v>-16.783984812977753</v>
      </c>
      <c r="X938" s="1">
        <f t="shared" si="2034"/>
        <v>0</v>
      </c>
      <c r="Y938" s="1">
        <f t="shared" si="2035"/>
        <v>-5.7880658876118511</v>
      </c>
    </row>
    <row r="939" spans="1:25">
      <c r="A939" s="1">
        <v>0.93700000000000006</v>
      </c>
      <c r="B939" s="1">
        <f t="shared" si="2036"/>
        <v>36.503908745962768</v>
      </c>
      <c r="C939" s="1">
        <f t="shared" si="2037"/>
        <v>0</v>
      </c>
      <c r="D939" s="1">
        <f t="shared" si="2038"/>
        <v>-0.66212685838585994</v>
      </c>
      <c r="E939" s="1">
        <f t="shared" si="2039"/>
        <v>20.295930043407097</v>
      </c>
      <c r="F939" s="1">
        <f t="shared" si="2040"/>
        <v>0</v>
      </c>
      <c r="G939" s="1">
        <f t="shared" si="2041"/>
        <v>-3.1858940840640835</v>
      </c>
      <c r="H939" s="1">
        <f t="shared" si="1728"/>
        <v>20.544456611011871</v>
      </c>
      <c r="I939" s="1">
        <f t="shared" si="2024"/>
        <v>-16.969535457500903</v>
      </c>
      <c r="J939" s="1">
        <f t="shared" si="2025"/>
        <v>0</v>
      </c>
      <c r="K939" s="1">
        <f t="shared" si="2026"/>
        <v>2.6637430513281468</v>
      </c>
      <c r="L939" s="1">
        <f t="shared" ref="L939:N939" si="2122">E939/$H939</f>
        <v>0.98790298656662634</v>
      </c>
      <c r="M939" s="1">
        <f t="shared" si="2122"/>
        <v>0</v>
      </c>
      <c r="N939" s="1">
        <f t="shared" si="2122"/>
        <v>-0.15507317347865204</v>
      </c>
      <c r="O939" s="1">
        <f t="shared" si="1730"/>
        <v>-0.15507317347865204</v>
      </c>
      <c r="P939" s="1">
        <f t="shared" si="2028"/>
        <v>0.1531972512159249</v>
      </c>
      <c r="Q939" s="1">
        <f t="shared" si="2029"/>
        <v>0</v>
      </c>
      <c r="R939" s="1">
        <f t="shared" si="2030"/>
        <v>0.97595231086725986</v>
      </c>
      <c r="S939" s="1">
        <f t="shared" si="2031"/>
        <v>1.3888053919186247</v>
      </c>
      <c r="T939" s="1">
        <f t="shared" ref="T939:V939" si="2123">$S939*P939</f>
        <v>0.21276116851578858</v>
      </c>
      <c r="U939" s="1">
        <f t="shared" si="2123"/>
        <v>0</v>
      </c>
      <c r="V939" s="1">
        <f t="shared" si="2123"/>
        <v>1.3554078315878924</v>
      </c>
      <c r="W939" s="1">
        <f t="shared" si="2033"/>
        <v>-16.756774288985113</v>
      </c>
      <c r="X939" s="1">
        <f t="shared" si="2034"/>
        <v>0</v>
      </c>
      <c r="Y939" s="1">
        <f t="shared" si="2035"/>
        <v>-5.7874991170839607</v>
      </c>
    </row>
    <row r="940" spans="1:25">
      <c r="A940" s="1">
        <v>0.93799999999999994</v>
      </c>
      <c r="B940" s="1">
        <f t="shared" si="2036"/>
        <v>36.524187919231885</v>
      </c>
      <c r="C940" s="1">
        <f t="shared" si="2037"/>
        <v>0</v>
      </c>
      <c r="D940" s="1">
        <f t="shared" si="2038"/>
        <v>-0.66531853996904111</v>
      </c>
      <c r="E940" s="1">
        <f t="shared" si="2039"/>
        <v>20.279173269118111</v>
      </c>
      <c r="F940" s="1">
        <f t="shared" si="2040"/>
        <v>0</v>
      </c>
      <c r="G940" s="1">
        <f t="shared" si="2041"/>
        <v>-3.1916815831811673</v>
      </c>
      <c r="H940" s="1">
        <f t="shared" si="1728"/>
        <v>20.528801713868553</v>
      </c>
      <c r="I940" s="1">
        <f t="shared" si="2024"/>
        <v>-16.942604901489752</v>
      </c>
      <c r="J940" s="1">
        <f t="shared" si="2025"/>
        <v>0</v>
      </c>
      <c r="K940" s="1">
        <f t="shared" si="2026"/>
        <v>2.6665485479897684</v>
      </c>
      <c r="L940" s="1">
        <f t="shared" ref="L940:N940" si="2124">E940/$H940</f>
        <v>0.98784008690668967</v>
      </c>
      <c r="M940" s="1">
        <f t="shared" si="2124"/>
        <v>0</v>
      </c>
      <c r="N940" s="1">
        <f t="shared" si="2124"/>
        <v>-0.15547335045011307</v>
      </c>
      <c r="O940" s="1">
        <f t="shared" si="1730"/>
        <v>-0.15547335045011307</v>
      </c>
      <c r="P940" s="1">
        <f t="shared" si="2028"/>
        <v>0.1535828080203139</v>
      </c>
      <c r="Q940" s="1">
        <f t="shared" si="2029"/>
        <v>0</v>
      </c>
      <c r="R940" s="1">
        <f t="shared" si="2030"/>
        <v>0.97582803729981638</v>
      </c>
      <c r="S940" s="1">
        <f t="shared" si="2031"/>
        <v>1.3866896560380289</v>
      </c>
      <c r="T940" s="1">
        <f t="shared" ref="T940:V940" si="2125">$S940*P940</f>
        <v>0.21297169122704371</v>
      </c>
      <c r="U940" s="1">
        <f t="shared" si="2125"/>
        <v>0</v>
      </c>
      <c r="V940" s="1">
        <f t="shared" si="2125"/>
        <v>1.3531706453955472</v>
      </c>
      <c r="W940" s="1">
        <f t="shared" si="2033"/>
        <v>-16.729633210262708</v>
      </c>
      <c r="X940" s="1">
        <f t="shared" si="2034"/>
        <v>0</v>
      </c>
      <c r="Y940" s="1">
        <f t="shared" si="2035"/>
        <v>-5.7869308066146843</v>
      </c>
    </row>
    <row r="941" spans="1:25">
      <c r="A941" s="1">
        <v>0.93899999999999995</v>
      </c>
      <c r="B941" s="1">
        <f t="shared" si="2036"/>
        <v>36.544450362867792</v>
      </c>
      <c r="C941" s="1">
        <f t="shared" si="2037"/>
        <v>0</v>
      </c>
      <c r="D941" s="1">
        <f t="shared" si="2038"/>
        <v>-0.66851600848302895</v>
      </c>
      <c r="E941" s="1">
        <f t="shared" si="2039"/>
        <v>20.262443635907847</v>
      </c>
      <c r="F941" s="1">
        <f t="shared" si="2040"/>
        <v>0</v>
      </c>
      <c r="G941" s="1">
        <f t="shared" si="2041"/>
        <v>-3.1974685139877819</v>
      </c>
      <c r="H941" s="1">
        <f t="shared" si="1728"/>
        <v>20.513176911348609</v>
      </c>
      <c r="I941" s="1">
        <f t="shared" si="2024"/>
        <v>-16.915743172491062</v>
      </c>
      <c r="J941" s="1">
        <f t="shared" si="2025"/>
        <v>0</v>
      </c>
      <c r="K941" s="1">
        <f t="shared" si="2026"/>
        <v>2.6693501117946772</v>
      </c>
      <c r="L941" s="1">
        <f t="shared" ref="L941:N941" si="2126">E941/$H941</f>
        <v>0.98777696519050406</v>
      </c>
      <c r="M941" s="1">
        <f t="shared" si="2126"/>
        <v>0</v>
      </c>
      <c r="N941" s="1">
        <f t="shared" si="2126"/>
        <v>-0.15587388183732917</v>
      </c>
      <c r="O941" s="1">
        <f t="shared" si="1730"/>
        <v>-0.15587388183732917</v>
      </c>
      <c r="P941" s="1">
        <f t="shared" si="2028"/>
        <v>0.15396862995374025</v>
      </c>
      <c r="Q941" s="1">
        <f t="shared" si="2029"/>
        <v>0</v>
      </c>
      <c r="R941" s="1">
        <f t="shared" si="2030"/>
        <v>0.97570333296096234</v>
      </c>
      <c r="S941" s="1">
        <f t="shared" si="2031"/>
        <v>1.384579595560415</v>
      </c>
      <c r="T941" s="1">
        <f t="shared" ref="T941:V941" si="2127">$S941*P941</f>
        <v>0.21318182339034086</v>
      </c>
      <c r="U941" s="1">
        <f t="shared" si="2127"/>
        <v>0</v>
      </c>
      <c r="V941" s="1">
        <f t="shared" si="2127"/>
        <v>1.3509389261380382</v>
      </c>
      <c r="W941" s="1">
        <f t="shared" si="2033"/>
        <v>-16.702561349100723</v>
      </c>
      <c r="X941" s="1">
        <f t="shared" si="2034"/>
        <v>0</v>
      </c>
      <c r="Y941" s="1">
        <f t="shared" si="2035"/>
        <v>-5.7863609620672838</v>
      </c>
    </row>
    <row r="942" spans="1:25">
      <c r="A942" s="1">
        <v>0.94</v>
      </c>
      <c r="B942" s="1">
        <f t="shared" si="2036"/>
        <v>36.564696103942353</v>
      </c>
      <c r="C942" s="1">
        <f t="shared" si="2037"/>
        <v>0</v>
      </c>
      <c r="D942" s="1">
        <f t="shared" si="2038"/>
        <v>-0.67171926335797882</v>
      </c>
      <c r="E942" s="1">
        <f t="shared" si="2039"/>
        <v>20.245741074558747</v>
      </c>
      <c r="F942" s="1">
        <f t="shared" si="2040"/>
        <v>0</v>
      </c>
      <c r="G942" s="1">
        <f t="shared" si="2041"/>
        <v>-3.2032548749498493</v>
      </c>
      <c r="H942" s="1">
        <f t="shared" si="1728"/>
        <v>20.497582136729328</v>
      </c>
      <c r="I942" s="1">
        <f t="shared" si="2024"/>
        <v>-16.888950044541588</v>
      </c>
      <c r="J942" s="1">
        <f t="shared" si="2025"/>
        <v>0</v>
      </c>
      <c r="K942" s="1">
        <f t="shared" si="2026"/>
        <v>2.6721477551120669</v>
      </c>
      <c r="L942" s="1">
        <f t="shared" ref="L942:N942" si="2128">E942/$H942</f>
        <v>0.98771362102658389</v>
      </c>
      <c r="M942" s="1">
        <f t="shared" si="2128"/>
        <v>0</v>
      </c>
      <c r="N942" s="1">
        <f t="shared" si="2128"/>
        <v>-0.15627476712045868</v>
      </c>
      <c r="O942" s="1">
        <f t="shared" si="1730"/>
        <v>-0.15627476712045868</v>
      </c>
      <c r="P942" s="1">
        <f t="shared" si="2028"/>
        <v>0.15435471610763438</v>
      </c>
      <c r="Q942" s="1">
        <f t="shared" si="2029"/>
        <v>0</v>
      </c>
      <c r="R942" s="1">
        <f t="shared" si="2030"/>
        <v>0.97557819716144645</v>
      </c>
      <c r="S942" s="1">
        <f t="shared" si="2031"/>
        <v>1.3824751922020606</v>
      </c>
      <c r="T942" s="1">
        <f t="shared" ref="T942:V942" si="2129">$S942*P942</f>
        <v>0.21339156581819635</v>
      </c>
      <c r="U942" s="1">
        <f t="shared" si="2129"/>
        <v>0</v>
      </c>
      <c r="V942" s="1">
        <f t="shared" si="2129"/>
        <v>1.3487126556289104</v>
      </c>
      <c r="W942" s="1">
        <f t="shared" si="2033"/>
        <v>-16.675558478723392</v>
      </c>
      <c r="X942" s="1">
        <f t="shared" si="2034"/>
        <v>0</v>
      </c>
      <c r="Y942" s="1">
        <f t="shared" si="2035"/>
        <v>-5.7857895892590223</v>
      </c>
    </row>
    <row r="943" spans="1:25">
      <c r="A943" s="1">
        <v>0.94099999999999995</v>
      </c>
      <c r="B943" s="1">
        <f t="shared" si="2036"/>
        <v>36.58492516945843</v>
      </c>
      <c r="C943" s="1">
        <f t="shared" si="2037"/>
        <v>0</v>
      </c>
      <c r="D943" s="1">
        <f t="shared" si="2038"/>
        <v>-0.67492830402251791</v>
      </c>
      <c r="E943" s="1">
        <f t="shared" si="2039"/>
        <v>20.229065516080023</v>
      </c>
      <c r="F943" s="1">
        <f t="shared" si="2040"/>
        <v>0</v>
      </c>
      <c r="G943" s="1">
        <f t="shared" si="2041"/>
        <v>-3.2090406645391085</v>
      </c>
      <c r="H943" s="1">
        <f t="shared" si="1728"/>
        <v>20.482017323509019</v>
      </c>
      <c r="I943" s="1">
        <f t="shared" si="2024"/>
        <v>-16.862225292605032</v>
      </c>
      <c r="J943" s="1">
        <f t="shared" si="2025"/>
        <v>0</v>
      </c>
      <c r="K943" s="1">
        <f t="shared" si="2026"/>
        <v>2.6749414902817081</v>
      </c>
      <c r="L943" s="1">
        <f t="shared" ref="L943:N943" si="2130">E943/$H943</f>
        <v>0.98765005402379669</v>
      </c>
      <c r="M943" s="1">
        <f t="shared" si="2130"/>
        <v>0</v>
      </c>
      <c r="N943" s="1">
        <f t="shared" si="2130"/>
        <v>-0.15667600577877694</v>
      </c>
      <c r="O943" s="1">
        <f t="shared" si="1730"/>
        <v>-0.15667600577877694</v>
      </c>
      <c r="P943" s="1">
        <f t="shared" si="2028"/>
        <v>0.15474106557164172</v>
      </c>
      <c r="Q943" s="1">
        <f t="shared" si="2029"/>
        <v>0</v>
      </c>
      <c r="R943" s="1">
        <f t="shared" si="2030"/>
        <v>0.97545262921320863</v>
      </c>
      <c r="S943" s="1">
        <f t="shared" si="2031"/>
        <v>1.3803764277542516</v>
      </c>
      <c r="T943" s="1">
        <f t="shared" ref="T943:V943" si="2131">$S943*P943</f>
        <v>0.21360091932066921</v>
      </c>
      <c r="U943" s="1">
        <f t="shared" si="2131"/>
        <v>0</v>
      </c>
      <c r="V943" s="1">
        <f t="shared" si="2131"/>
        <v>1.3464918157568215</v>
      </c>
      <c r="W943" s="1">
        <f t="shared" si="2033"/>
        <v>-16.648624373284363</v>
      </c>
      <c r="X943" s="1">
        <f t="shared" si="2034"/>
        <v>0</v>
      </c>
      <c r="Y943" s="1">
        <f t="shared" si="2035"/>
        <v>-5.7852166939614698</v>
      </c>
    </row>
    <row r="944" spans="1:25">
      <c r="A944" s="1">
        <v>0.94199999999999995</v>
      </c>
      <c r="B944" s="1">
        <f t="shared" si="2036"/>
        <v>36.605137586350139</v>
      </c>
      <c r="C944" s="1">
        <f t="shared" si="2037"/>
        <v>0</v>
      </c>
      <c r="D944" s="1">
        <f t="shared" si="2038"/>
        <v>-0.67814312990375103</v>
      </c>
      <c r="E944" s="1">
        <f t="shared" si="2039"/>
        <v>20.212416891706738</v>
      </c>
      <c r="F944" s="1">
        <f t="shared" si="2040"/>
        <v>0</v>
      </c>
      <c r="G944" s="1">
        <f t="shared" si="2041"/>
        <v>-3.2148258812330699</v>
      </c>
      <c r="H944" s="1">
        <f t="shared" si="1728"/>
        <v>20.466482405406111</v>
      </c>
      <c r="I944" s="1">
        <f t="shared" si="2024"/>
        <v>-16.835568692567477</v>
      </c>
      <c r="J944" s="1">
        <f t="shared" si="2025"/>
        <v>0</v>
      </c>
      <c r="K944" s="1">
        <f t="shared" si="2026"/>
        <v>2.6777313296140379</v>
      </c>
      <c r="L944" s="1">
        <f t="shared" ref="L944:N944" si="2132">E944/$H944</f>
        <v>0.98758626379136538</v>
      </c>
      <c r="M944" s="1">
        <f t="shared" si="2132"/>
        <v>0</v>
      </c>
      <c r="N944" s="1">
        <f t="shared" si="2132"/>
        <v>-0.15707759729067516</v>
      </c>
      <c r="O944" s="1">
        <f t="shared" si="1730"/>
        <v>-0.15707759729067516</v>
      </c>
      <c r="P944" s="1">
        <f t="shared" si="2028"/>
        <v>0.15512767743362257</v>
      </c>
      <c r="Q944" s="1">
        <f t="shared" si="2029"/>
        <v>0</v>
      </c>
      <c r="R944" s="1">
        <f t="shared" si="2030"/>
        <v>0.97532662842938844</v>
      </c>
      <c r="S944" s="1">
        <f t="shared" si="2031"/>
        <v>1.3782832840829167</v>
      </c>
      <c r="T944" s="1">
        <f t="shared" ref="T944:V944" si="2133">$S944*P944</f>
        <v>0.21380988470536869</v>
      </c>
      <c r="U944" s="1">
        <f t="shared" si="2133"/>
        <v>0</v>
      </c>
      <c r="V944" s="1">
        <f t="shared" si="2133"/>
        <v>1.3442763884851761</v>
      </c>
      <c r="W944" s="1">
        <f t="shared" si="2033"/>
        <v>-16.621758807862108</v>
      </c>
      <c r="X944" s="1">
        <f t="shared" si="2034"/>
        <v>0</v>
      </c>
      <c r="Y944" s="1">
        <f t="shared" si="2035"/>
        <v>-5.7846422819007852</v>
      </c>
    </row>
    <row r="945" spans="1:25">
      <c r="A945" s="1">
        <v>0.94299999999999995</v>
      </c>
      <c r="B945" s="1">
        <f t="shared" si="2036"/>
        <v>36.625333381483038</v>
      </c>
      <c r="C945" s="1">
        <f t="shared" si="2037"/>
        <v>0</v>
      </c>
      <c r="D945" s="1">
        <f t="shared" si="2038"/>
        <v>-0.681363740427266</v>
      </c>
      <c r="E945" s="1">
        <f t="shared" si="2039"/>
        <v>20.195795132898876</v>
      </c>
      <c r="F945" s="1">
        <f t="shared" si="2040"/>
        <v>0</v>
      </c>
      <c r="G945" s="1">
        <f t="shared" si="2041"/>
        <v>-3.2206105235149707</v>
      </c>
      <c r="H945" s="1">
        <f t="shared" si="1728"/>
        <v>20.450977316358191</v>
      </c>
      <c r="I945" s="1">
        <f t="shared" si="2024"/>
        <v>-16.808980021232824</v>
      </c>
      <c r="J945" s="1">
        <f t="shared" si="2025"/>
        <v>0</v>
      </c>
      <c r="K945" s="1">
        <f t="shared" si="2026"/>
        <v>2.6805172853902306</v>
      </c>
      <c r="L945" s="1">
        <f t="shared" ref="L945:N945" si="2134">E945/$H945</f>
        <v>0.98752224993887205</v>
      </c>
      <c r="M945" s="1">
        <f t="shared" si="2134"/>
        <v>0</v>
      </c>
      <c r="N945" s="1">
        <f t="shared" si="2134"/>
        <v>-0.15747954113365967</v>
      </c>
      <c r="O945" s="1">
        <f t="shared" si="1730"/>
        <v>-0.15747954113365967</v>
      </c>
      <c r="P945" s="1">
        <f t="shared" si="2028"/>
        <v>0.15551455077965273</v>
      </c>
      <c r="Q945" s="1">
        <f t="shared" si="2029"/>
        <v>0</v>
      </c>
      <c r="R945" s="1">
        <f t="shared" si="2030"/>
        <v>0.97520019412433201</v>
      </c>
      <c r="S945" s="1">
        <f t="shared" si="2031"/>
        <v>1.3761957431282559</v>
      </c>
      <c r="T945" s="1">
        <f t="shared" ref="T945:V945" si="2135">$S945*P945</f>
        <v>0.21401846277746109</v>
      </c>
      <c r="U945" s="1">
        <f t="shared" si="2135"/>
        <v>0</v>
      </c>
      <c r="V945" s="1">
        <f t="shared" si="2135"/>
        <v>1.3420663558517545</v>
      </c>
      <c r="W945" s="1">
        <f t="shared" si="2033"/>
        <v>-16.594961558455363</v>
      </c>
      <c r="X945" s="1">
        <f t="shared" si="2034"/>
        <v>0</v>
      </c>
      <c r="Y945" s="1">
        <f t="shared" si="2035"/>
        <v>-5.7840663587580146</v>
      </c>
    </row>
    <row r="946" spans="1:25">
      <c r="A946" s="1">
        <v>0.94399999999999995</v>
      </c>
      <c r="B946" s="1">
        <f t="shared" si="2036"/>
        <v>36.64551258165438</v>
      </c>
      <c r="C946" s="1">
        <f t="shared" si="2037"/>
        <v>0</v>
      </c>
      <c r="D946" s="1">
        <f t="shared" si="2038"/>
        <v>-0.68459013501713972</v>
      </c>
      <c r="E946" s="1">
        <f t="shared" si="2039"/>
        <v>20.179200171340423</v>
      </c>
      <c r="F946" s="1">
        <f t="shared" si="2040"/>
        <v>0</v>
      </c>
      <c r="G946" s="1">
        <f t="shared" si="2041"/>
        <v>-3.2263945898737285</v>
      </c>
      <c r="H946" s="1">
        <f t="shared" si="1728"/>
        <v>20.4355019905211</v>
      </c>
      <c r="I946" s="1">
        <f t="shared" si="2024"/>
        <v>-16.782459056318235</v>
      </c>
      <c r="J946" s="1">
        <f t="shared" si="2025"/>
        <v>0</v>
      </c>
      <c r="K946" s="1">
        <f t="shared" si="2026"/>
        <v>2.6832993698622771</v>
      </c>
      <c r="L946" s="1">
        <f t="shared" ref="L946:N946" si="2136">E946/$H946</f>
        <v>0.98745801207626016</v>
      </c>
      <c r="M946" s="1">
        <f t="shared" si="2136"/>
        <v>0</v>
      </c>
      <c r="N946" s="1">
        <f t="shared" si="2136"/>
        <v>-0.1578818367843508</v>
      </c>
      <c r="O946" s="1">
        <f t="shared" si="1730"/>
        <v>-0.1578818367843508</v>
      </c>
      <c r="P946" s="1">
        <f t="shared" si="2028"/>
        <v>0.1559016846940236</v>
      </c>
      <c r="Q946" s="1">
        <f t="shared" si="2029"/>
        <v>0</v>
      </c>
      <c r="R946" s="1">
        <f t="shared" si="2030"/>
        <v>0.97507332561359961</v>
      </c>
      <c r="S946" s="1">
        <f t="shared" si="2031"/>
        <v>1.3741137869043756</v>
      </c>
      <c r="T946" s="1">
        <f t="shared" ref="T946:V946" si="2137">$S946*P946</f>
        <v>0.21422665433967669</v>
      </c>
      <c r="U946" s="1">
        <f t="shared" si="2137"/>
        <v>0</v>
      </c>
      <c r="V946" s="1">
        <f t="shared" si="2137"/>
        <v>1.3398616999683466</v>
      </c>
      <c r="W946" s="1">
        <f t="shared" si="2033"/>
        <v>-16.568232401978559</v>
      </c>
      <c r="X946" s="1">
        <f t="shared" si="2034"/>
        <v>0</v>
      </c>
      <c r="Y946" s="1">
        <f t="shared" si="2035"/>
        <v>-5.7834889301693755</v>
      </c>
    </row>
    <row r="947" spans="1:25">
      <c r="A947" s="1">
        <v>0.94499999999999995</v>
      </c>
      <c r="B947" s="1">
        <f t="shared" si="2036"/>
        <v>36.665675213593317</v>
      </c>
      <c r="C947" s="1">
        <f t="shared" si="2037"/>
        <v>0</v>
      </c>
      <c r="D947" s="1">
        <f t="shared" si="2038"/>
        <v>-0.68782231309594366</v>
      </c>
      <c r="E947" s="1">
        <f t="shared" si="2039"/>
        <v>20.162631938938443</v>
      </c>
      <c r="F947" s="1">
        <f t="shared" si="2040"/>
        <v>0</v>
      </c>
      <c r="G947" s="1">
        <f t="shared" si="2041"/>
        <v>-3.2321780788038978</v>
      </c>
      <c r="H947" s="1">
        <f t="shared" si="1728"/>
        <v>20.420056362267982</v>
      </c>
      <c r="I947" s="1">
        <f t="shared" si="2024"/>
        <v>-16.756005576449635</v>
      </c>
      <c r="J947" s="1">
        <f t="shared" si="2025"/>
        <v>0</v>
      </c>
      <c r="K947" s="1">
        <f t="shared" si="2026"/>
        <v>2.6860775952530629</v>
      </c>
      <c r="L947" s="1">
        <f t="shared" ref="L947:N947" si="2138">E947/$H947</f>
        <v>0.98739354981383864</v>
      </c>
      <c r="M947" s="1">
        <f t="shared" si="2138"/>
        <v>0</v>
      </c>
      <c r="N947" s="1">
        <f t="shared" si="2138"/>
        <v>-0.15828448371848233</v>
      </c>
      <c r="O947" s="1">
        <f t="shared" si="1730"/>
        <v>-0.15828448371848233</v>
      </c>
      <c r="P947" s="1">
        <f t="shared" si="2028"/>
        <v>0.15628907825924301</v>
      </c>
      <c r="Q947" s="1">
        <f t="shared" si="2029"/>
        <v>0</v>
      </c>
      <c r="R947" s="1">
        <f t="shared" si="2030"/>
        <v>0.97494602221397353</v>
      </c>
      <c r="S947" s="1">
        <f t="shared" si="2031"/>
        <v>1.3720373974989206</v>
      </c>
      <c r="T947" s="1">
        <f t="shared" ref="T947:V947" si="2139">$S947*P947</f>
        <v>0.21443446019231691</v>
      </c>
      <c r="U947" s="1">
        <f t="shared" si="2139"/>
        <v>0</v>
      </c>
      <c r="V947" s="1">
        <f t="shared" si="2139"/>
        <v>1.3376624030203852</v>
      </c>
      <c r="W947" s="1">
        <f t="shared" si="2033"/>
        <v>-16.54157111625732</v>
      </c>
      <c r="X947" s="1">
        <f t="shared" si="2034"/>
        <v>0</v>
      </c>
      <c r="Y947" s="1">
        <f t="shared" si="2035"/>
        <v>-5.7829100017265516</v>
      </c>
    </row>
    <row r="948" spans="1:25">
      <c r="A948" s="1">
        <v>0.94599999999999995</v>
      </c>
      <c r="B948" s="1">
        <f t="shared" si="2036"/>
        <v>36.685821303961141</v>
      </c>
      <c r="C948" s="1">
        <f t="shared" si="2037"/>
        <v>0</v>
      </c>
      <c r="D948" s="1">
        <f t="shared" si="2038"/>
        <v>-0.69106027408474924</v>
      </c>
      <c r="E948" s="1">
        <f t="shared" si="2039"/>
        <v>20.146090367822186</v>
      </c>
      <c r="F948" s="1">
        <f t="shared" si="2040"/>
        <v>0</v>
      </c>
      <c r="G948" s="1">
        <f t="shared" si="2041"/>
        <v>-3.2379609888056242</v>
      </c>
      <c r="H948" s="1">
        <f t="shared" si="1728"/>
        <v>20.404640366188396</v>
      </c>
      <c r="I948" s="1">
        <f t="shared" si="2024"/>
        <v>-16.729619361157237</v>
      </c>
      <c r="J948" s="1">
        <f t="shared" si="2025"/>
        <v>0</v>
      </c>
      <c r="K948" s="1">
        <f t="shared" si="2026"/>
        <v>2.6888519737564454</v>
      </c>
      <c r="L948" s="1">
        <f t="shared" ref="L948:N948" si="2140">E948/$H948</f>
        <v>0.98732886276228415</v>
      </c>
      <c r="M948" s="1">
        <f t="shared" si="2140"/>
        <v>0</v>
      </c>
      <c r="N948" s="1">
        <f t="shared" si="2140"/>
        <v>-0.15868748141090017</v>
      </c>
      <c r="O948" s="1">
        <f t="shared" si="1730"/>
        <v>-0.15868748141090017</v>
      </c>
      <c r="P948" s="1">
        <f t="shared" si="2028"/>
        <v>0.15667673055603518</v>
      </c>
      <c r="Q948" s="1">
        <f t="shared" si="2029"/>
        <v>0</v>
      </c>
      <c r="R948" s="1">
        <f t="shared" si="2030"/>
        <v>0.9748182832434652</v>
      </c>
      <c r="S948" s="1">
        <f t="shared" si="2031"/>
        <v>1.3699665570727173</v>
      </c>
      <c r="T948" s="1">
        <f t="shared" ref="T948:V948" si="2141">$S948*P948</f>
        <v>0.21464188113326133</v>
      </c>
      <c r="U948" s="1">
        <f t="shared" si="2141"/>
        <v>0</v>
      </c>
      <c r="V948" s="1">
        <f t="shared" si="2141"/>
        <v>1.335468447266587</v>
      </c>
      <c r="W948" s="1">
        <f t="shared" si="2033"/>
        <v>-16.514977480023976</v>
      </c>
      <c r="X948" s="1">
        <f t="shared" si="2034"/>
        <v>0</v>
      </c>
      <c r="Y948" s="1">
        <f t="shared" si="2035"/>
        <v>-5.7823295789769666</v>
      </c>
    </row>
    <row r="949" spans="1:25">
      <c r="A949" s="1">
        <v>0.94699999999999995</v>
      </c>
      <c r="B949" s="1">
        <f t="shared" si="2036"/>
        <v>36.705950879351484</v>
      </c>
      <c r="C949" s="1">
        <f t="shared" si="2037"/>
        <v>0</v>
      </c>
      <c r="D949" s="1">
        <f t="shared" si="2038"/>
        <v>-0.69430401740313386</v>
      </c>
      <c r="E949" s="1">
        <f t="shared" si="2039"/>
        <v>20.129575390342161</v>
      </c>
      <c r="F949" s="1">
        <f t="shared" si="2040"/>
        <v>0</v>
      </c>
      <c r="G949" s="1">
        <f t="shared" si="2041"/>
        <v>-3.2437433183846012</v>
      </c>
      <c r="H949" s="1">
        <f t="shared" si="1728"/>
        <v>20.389253937087386</v>
      </c>
      <c r="I949" s="1">
        <f t="shared" si="2024"/>
        <v>-16.703300190871062</v>
      </c>
      <c r="J949" s="1">
        <f t="shared" si="2025"/>
        <v>0</v>
      </c>
      <c r="K949" s="1">
        <f t="shared" si="2026"/>
        <v>2.6916225175373296</v>
      </c>
      <c r="L949" s="1">
        <f t="shared" ref="L949:N949" si="2142">E949/$H949</f>
        <v>0.98726395053264415</v>
      </c>
      <c r="M949" s="1">
        <f t="shared" si="2142"/>
        <v>0</v>
      </c>
      <c r="N949" s="1">
        <f t="shared" si="2142"/>
        <v>-0.15909082933556182</v>
      </c>
      <c r="O949" s="1">
        <f t="shared" si="1730"/>
        <v>-0.15909082933556182</v>
      </c>
      <c r="P949" s="1">
        <f t="shared" si="2028"/>
        <v>0.15706464066334144</v>
      </c>
      <c r="Q949" s="1">
        <f t="shared" si="2029"/>
        <v>0</v>
      </c>
      <c r="R949" s="1">
        <f t="shared" si="2030"/>
        <v>0.97469010802132316</v>
      </c>
      <c r="S949" s="1">
        <f t="shared" si="2031"/>
        <v>1.3679012478594088</v>
      </c>
      <c r="T949" s="1">
        <f t="shared" ref="T949:V949" si="2143">$S949*P949</f>
        <v>0.21484891795797439</v>
      </c>
      <c r="U949" s="1">
        <f t="shared" si="2143"/>
        <v>0</v>
      </c>
      <c r="V949" s="1">
        <f t="shared" si="2143"/>
        <v>1.3332798150385898</v>
      </c>
      <c r="W949" s="1">
        <f t="shared" si="2033"/>
        <v>-16.488451272913089</v>
      </c>
      <c r="X949" s="1">
        <f t="shared" si="2034"/>
        <v>0</v>
      </c>
      <c r="Y949" s="1">
        <f t="shared" si="2035"/>
        <v>-5.7817476674240798</v>
      </c>
    </row>
    <row r="950" spans="1:25">
      <c r="A950" s="1">
        <v>0.94799999999999995</v>
      </c>
      <c r="B950" s="1">
        <f t="shared" si="2036"/>
        <v>36.726063966290553</v>
      </c>
      <c r="C950" s="1">
        <f t="shared" si="2037"/>
        <v>0</v>
      </c>
      <c r="D950" s="1">
        <f t="shared" si="2038"/>
        <v>-0.69755354246918588</v>
      </c>
      <c r="E950" s="1">
        <f t="shared" si="2039"/>
        <v>20.113086939069248</v>
      </c>
      <c r="F950" s="1">
        <f t="shared" si="2040"/>
        <v>0</v>
      </c>
      <c r="G950" s="1">
        <f t="shared" si="2041"/>
        <v>-3.2495250660520254</v>
      </c>
      <c r="H950" s="1">
        <f t="shared" si="1728"/>
        <v>20.373897009984574</v>
      </c>
      <c r="I950" s="1">
        <f t="shared" si="2024"/>
        <v>-16.677047846916537</v>
      </c>
      <c r="J950" s="1">
        <f t="shared" si="2025"/>
        <v>0</v>
      </c>
      <c r="K950" s="1">
        <f t="shared" si="2026"/>
        <v>2.6943892387317474</v>
      </c>
      <c r="L950" s="1">
        <f t="shared" ref="L950:N950" si="2144">E950/$H950</f>
        <v>0.98719881273634047</v>
      </c>
      <c r="M950" s="1">
        <f t="shared" si="2144"/>
        <v>0</v>
      </c>
      <c r="N950" s="1">
        <f t="shared" si="2144"/>
        <v>-0.15949452696553537</v>
      </c>
      <c r="O950" s="1">
        <f t="shared" si="1730"/>
        <v>-0.15949452696553537</v>
      </c>
      <c r="P950" s="1">
        <f t="shared" si="2028"/>
        <v>0.15745280765832076</v>
      </c>
      <c r="Q950" s="1">
        <f t="shared" si="2029"/>
        <v>0</v>
      </c>
      <c r="R950" s="1">
        <f t="shared" si="2030"/>
        <v>0.97456149586804008</v>
      </c>
      <c r="S950" s="1">
        <f t="shared" si="2031"/>
        <v>1.3658414521650988</v>
      </c>
      <c r="T950" s="1">
        <f t="shared" ref="T950:V950" si="2145">$S950*P950</f>
        <v>0.21505557145951282</v>
      </c>
      <c r="U950" s="1">
        <f t="shared" si="2145"/>
        <v>0</v>
      </c>
      <c r="V950" s="1">
        <f t="shared" si="2145"/>
        <v>1.3310964887405947</v>
      </c>
      <c r="W950" s="1">
        <f t="shared" si="2033"/>
        <v>-16.461992275457025</v>
      </c>
      <c r="X950" s="1">
        <f t="shared" si="2034"/>
        <v>0</v>
      </c>
      <c r="Y950" s="1">
        <f t="shared" si="2035"/>
        <v>-5.7811642725276577</v>
      </c>
    </row>
    <row r="951" spans="1:25">
      <c r="A951" s="1">
        <v>0.94899999999999995</v>
      </c>
      <c r="B951" s="1">
        <f t="shared" si="2036"/>
        <v>36.746160591237349</v>
      </c>
      <c r="C951" s="1">
        <f t="shared" si="2037"/>
        <v>0</v>
      </c>
      <c r="D951" s="1">
        <f t="shared" si="2038"/>
        <v>-0.70080884869951043</v>
      </c>
      <c r="E951" s="1">
        <f t="shared" si="2039"/>
        <v>20.096624946793792</v>
      </c>
      <c r="F951" s="1">
        <f t="shared" si="2040"/>
        <v>0</v>
      </c>
      <c r="G951" s="1">
        <f t="shared" si="2041"/>
        <v>-3.2553062303245532</v>
      </c>
      <c r="H951" s="1">
        <f t="shared" si="1728"/>
        <v>20.358569520113257</v>
      </c>
      <c r="I951" s="1">
        <f t="shared" si="2024"/>
        <v>-16.650862111510044</v>
      </c>
      <c r="J951" s="1">
        <f t="shared" si="2025"/>
        <v>0</v>
      </c>
      <c r="K951" s="1">
        <f t="shared" si="2026"/>
        <v>2.6971521494469313</v>
      </c>
      <c r="L951" s="1">
        <f t="shared" ref="L951:N951" si="2146">E951/$H951</f>
        <v>0.98713344898517175</v>
      </c>
      <c r="M951" s="1">
        <f t="shared" si="2146"/>
        <v>0</v>
      </c>
      <c r="N951" s="1">
        <f t="shared" si="2146"/>
        <v>-0.15989857377299874</v>
      </c>
      <c r="O951" s="1">
        <f t="shared" si="1730"/>
        <v>-0.15989857377299874</v>
      </c>
      <c r="P951" s="1">
        <f t="shared" si="2028"/>
        <v>0.15784123061635016</v>
      </c>
      <c r="Q951" s="1">
        <f t="shared" si="2029"/>
        <v>0</v>
      </c>
      <c r="R951" s="1">
        <f t="shared" si="2030"/>
        <v>0.97443244610536084</v>
      </c>
      <c r="S951" s="1">
        <f t="shared" si="2031"/>
        <v>1.3637871523679945</v>
      </c>
      <c r="T951" s="1">
        <f t="shared" ref="T951:V951" si="2147">$S951*P951</f>
        <v>0.21526184242853211</v>
      </c>
      <c r="U951" s="1">
        <f t="shared" si="2147"/>
        <v>0</v>
      </c>
      <c r="V951" s="1">
        <f t="shared" si="2147"/>
        <v>1.3289184508490093</v>
      </c>
      <c r="W951" s="1">
        <f t="shared" si="2033"/>
        <v>-16.435600269081512</v>
      </c>
      <c r="X951" s="1">
        <f t="shared" si="2034"/>
        <v>0</v>
      </c>
      <c r="Y951" s="1">
        <f t="shared" si="2035"/>
        <v>-5.7805793997040587</v>
      </c>
    </row>
    <row r="952" spans="1:25">
      <c r="A952" s="1">
        <v>0.95</v>
      </c>
      <c r="B952" s="1">
        <f t="shared" si="2036"/>
        <v>36.766240780583871</v>
      </c>
      <c r="C952" s="1">
        <f t="shared" si="2037"/>
        <v>0</v>
      </c>
      <c r="D952" s="1">
        <f t="shared" si="2038"/>
        <v>-0.70406993550923469</v>
      </c>
      <c r="E952" s="1">
        <f t="shared" si="2039"/>
        <v>20.080189346524712</v>
      </c>
      <c r="F952" s="1">
        <f t="shared" si="2040"/>
        <v>0</v>
      </c>
      <c r="G952" s="1">
        <f t="shared" si="2041"/>
        <v>-3.2610868097242571</v>
      </c>
      <c r="H952" s="1">
        <f t="shared" si="1728"/>
        <v>20.343271402919495</v>
      </c>
      <c r="I952" s="1">
        <f t="shared" si="2024"/>
        <v>-16.624742767754572</v>
      </c>
      <c r="J952" s="1">
        <f t="shared" si="2025"/>
        <v>0</v>
      </c>
      <c r="K952" s="1">
        <f t="shared" si="2026"/>
        <v>2.699911261761391</v>
      </c>
      <c r="L952" s="1">
        <f t="shared" ref="L952:N952" si="2148">E952/$H952</f>
        <v>0.98706785889131743</v>
      </c>
      <c r="M952" s="1">
        <f t="shared" si="2148"/>
        <v>0</v>
      </c>
      <c r="N952" s="1">
        <f t="shared" si="2148"/>
        <v>-0.16030296922923878</v>
      </c>
      <c r="O952" s="1">
        <f t="shared" si="1730"/>
        <v>-0.16030296922923878</v>
      </c>
      <c r="P952" s="1">
        <f t="shared" si="2028"/>
        <v>0.15822990861102545</v>
      </c>
      <c r="Q952" s="1">
        <f t="shared" si="2029"/>
        <v>0</v>
      </c>
      <c r="R952" s="1">
        <f t="shared" si="2030"/>
        <v>0.97430295805628975</v>
      </c>
      <c r="S952" s="1">
        <f t="shared" si="2031"/>
        <v>1.3617383309180529</v>
      </c>
      <c r="T952" s="1">
        <f t="shared" ref="T952:V952" si="2149">$S952*P952</f>
        <v>0.21546773165329383</v>
      </c>
      <c r="U952" s="1">
        <f t="shared" si="2149"/>
        <v>0</v>
      </c>
      <c r="V952" s="1">
        <f t="shared" si="2149"/>
        <v>1.3267456839120937</v>
      </c>
      <c r="W952" s="1">
        <f t="shared" si="2033"/>
        <v>-16.409275036101278</v>
      </c>
      <c r="X952" s="1">
        <f t="shared" si="2034"/>
        <v>0</v>
      </c>
      <c r="Y952" s="1">
        <f t="shared" si="2035"/>
        <v>-5.779993054326515</v>
      </c>
    </row>
    <row r="953" spans="1:25">
      <c r="A953" s="1">
        <v>0.95099999999999996</v>
      </c>
      <c r="B953" s="1">
        <f t="shared" si="2036"/>
        <v>36.78630456065536</v>
      </c>
      <c r="C953" s="1">
        <f t="shared" si="2037"/>
        <v>0</v>
      </c>
      <c r="D953" s="1">
        <f t="shared" si="2038"/>
        <v>-0.70733680231201324</v>
      </c>
      <c r="E953" s="1">
        <f t="shared" si="2039"/>
        <v>20.063780071488612</v>
      </c>
      <c r="F953" s="1">
        <f t="shared" si="2040"/>
        <v>0</v>
      </c>
      <c r="G953" s="1">
        <f t="shared" si="2041"/>
        <v>-3.2668668027785834</v>
      </c>
      <c r="H953" s="1">
        <f t="shared" si="1728"/>
        <v>20.328002594061235</v>
      </c>
      <c r="I953" s="1">
        <f t="shared" si="2024"/>
        <v>-16.598689599635346</v>
      </c>
      <c r="J953" s="1">
        <f t="shared" si="2025"/>
        <v>0</v>
      </c>
      <c r="K953" s="1">
        <f t="shared" si="2026"/>
        <v>2.7026665877249934</v>
      </c>
      <c r="L953" s="1">
        <f t="shared" ref="L953:N953" si="2150">E953/$H953</f>
        <v>0.98700204206733944</v>
      </c>
      <c r="M953" s="1">
        <f t="shared" si="2150"/>
        <v>0</v>
      </c>
      <c r="N953" s="1">
        <f t="shared" si="2150"/>
        <v>-0.16070771280465052</v>
      </c>
      <c r="O953" s="1">
        <f t="shared" si="1730"/>
        <v>-0.16070771280465052</v>
      </c>
      <c r="P953" s="1">
        <f t="shared" si="2028"/>
        <v>0.15861884071416157</v>
      </c>
      <c r="Q953" s="1">
        <f t="shared" si="2029"/>
        <v>0</v>
      </c>
      <c r="R953" s="1">
        <f t="shared" si="2030"/>
        <v>0.974173031045098</v>
      </c>
      <c r="S953" s="1">
        <f t="shared" si="2031"/>
        <v>1.3596949703366286</v>
      </c>
      <c r="T953" s="1">
        <f t="shared" ref="T953:V953" si="2151">$S953*P953</f>
        <v>0.21567323991967233</v>
      </c>
      <c r="U953" s="1">
        <f t="shared" si="2151"/>
        <v>0</v>
      </c>
      <c r="V953" s="1">
        <f t="shared" si="2151"/>
        <v>1.324578170549608</v>
      </c>
      <c r="W953" s="1">
        <f t="shared" si="2033"/>
        <v>-16.383016359715675</v>
      </c>
      <c r="X953" s="1">
        <f t="shared" si="2034"/>
        <v>0</v>
      </c>
      <c r="Y953" s="1">
        <f t="shared" si="2035"/>
        <v>-5.7794052417253976</v>
      </c>
    </row>
    <row r="954" spans="1:25">
      <c r="A954" s="1">
        <v>0.95199999999999996</v>
      </c>
      <c r="B954" s="1">
        <f t="shared" si="2036"/>
        <v>36.80635195771049</v>
      </c>
      <c r="C954" s="1">
        <f t="shared" si="2037"/>
        <v>0</v>
      </c>
      <c r="D954" s="1">
        <f t="shared" si="2038"/>
        <v>-0.71060944852003349</v>
      </c>
      <c r="E954" s="1">
        <f t="shared" si="2039"/>
        <v>20.047397055128897</v>
      </c>
      <c r="F954" s="1">
        <f t="shared" si="2040"/>
        <v>0</v>
      </c>
      <c r="G954" s="1">
        <f t="shared" si="2041"/>
        <v>-3.2726462080203089</v>
      </c>
      <c r="H954" s="1">
        <f t="shared" si="1728"/>
        <v>20.31276302940741</v>
      </c>
      <c r="I954" s="1">
        <f t="shared" si="2024"/>
        <v>-16.572702392015501</v>
      </c>
      <c r="J954" s="1">
        <f t="shared" si="2025"/>
        <v>0</v>
      </c>
      <c r="K954" s="1">
        <f t="shared" si="2026"/>
        <v>2.7054181393590353</v>
      </c>
      <c r="L954" s="1">
        <f t="shared" ref="L954:N954" si="2152">E954/$H954</f>
        <v>0.98693599812618626</v>
      </c>
      <c r="M954" s="1">
        <f t="shared" si="2152"/>
        <v>0</v>
      </c>
      <c r="N954" s="1">
        <f t="shared" si="2152"/>
        <v>-0.16111280396873623</v>
      </c>
      <c r="O954" s="1">
        <f t="shared" si="1730"/>
        <v>-0.16111280396873623</v>
      </c>
      <c r="P954" s="1">
        <f t="shared" si="2028"/>
        <v>0.15900802599579328</v>
      </c>
      <c r="Q954" s="1">
        <f t="shared" si="2029"/>
        <v>0</v>
      </c>
      <c r="R954" s="1">
        <f t="shared" si="2030"/>
        <v>0.97404266439733156</v>
      </c>
      <c r="S954" s="1">
        <f t="shared" si="2031"/>
        <v>1.3576570532161245</v>
      </c>
      <c r="T954" s="1">
        <f t="shared" ref="T954:V954" si="2153">$S954*P954</f>
        <v>0.21587836801116161</v>
      </c>
      <c r="U954" s="1">
        <f t="shared" si="2153"/>
        <v>0</v>
      </c>
      <c r="V954" s="1">
        <f t="shared" si="2153"/>
        <v>1.3224158934524637</v>
      </c>
      <c r="W954" s="1">
        <f t="shared" si="2033"/>
        <v>-16.356824024004339</v>
      </c>
      <c r="X954" s="1">
        <f t="shared" si="2034"/>
        <v>0</v>
      </c>
      <c r="Y954" s="1">
        <f t="shared" si="2035"/>
        <v>-5.7788159671885007</v>
      </c>
    </row>
    <row r="955" spans="1:25">
      <c r="A955" s="1">
        <v>0.95299999999999996</v>
      </c>
      <c r="B955" s="1">
        <f t="shared" si="2036"/>
        <v>36.826382997941593</v>
      </c>
      <c r="C955" s="1">
        <f t="shared" si="2037"/>
        <v>0</v>
      </c>
      <c r="D955" s="1">
        <f t="shared" si="2038"/>
        <v>-0.71388787354402095</v>
      </c>
      <c r="E955" s="1">
        <f t="shared" si="2039"/>
        <v>20.031040231104893</v>
      </c>
      <c r="F955" s="1">
        <f t="shared" si="2040"/>
        <v>0</v>
      </c>
      <c r="G955" s="1">
        <f t="shared" si="2041"/>
        <v>-3.2784250239874972</v>
      </c>
      <c r="H955" s="1">
        <f t="shared" si="1728"/>
        <v>20.29755264503704</v>
      </c>
      <c r="I955" s="1">
        <f t="shared" si="2024"/>
        <v>-16.546780930631755</v>
      </c>
      <c r="J955" s="1">
        <f t="shared" si="2025"/>
        <v>0</v>
      </c>
      <c r="K955" s="1">
        <f t="shared" si="2026"/>
        <v>2.7081659286563191</v>
      </c>
      <c r="L955" s="1">
        <f t="shared" ref="L955:N955" si="2154">E955/$H955</f>
        <v>0.9868697266811961</v>
      </c>
      <c r="M955" s="1">
        <f t="shared" si="2154"/>
        <v>0</v>
      </c>
      <c r="N955" s="1">
        <f t="shared" si="2154"/>
        <v>-0.16151824219010491</v>
      </c>
      <c r="O955" s="1">
        <f t="shared" si="1730"/>
        <v>-0.16151824219010491</v>
      </c>
      <c r="P955" s="1">
        <f t="shared" si="2028"/>
        <v>0.15939746352417608</v>
      </c>
      <c r="Q955" s="1">
        <f t="shared" si="2029"/>
        <v>0</v>
      </c>
      <c r="R955" s="1">
        <f t="shared" si="2030"/>
        <v>0.97391185743981856</v>
      </c>
      <c r="S955" s="1">
        <f t="shared" si="2031"/>
        <v>1.3556245622196419</v>
      </c>
      <c r="T955" s="1">
        <f t="shared" ref="T955:V955" si="2155">$S955*P955</f>
        <v>0.21608311670888253</v>
      </c>
      <c r="U955" s="1">
        <f t="shared" si="2155"/>
        <v>0</v>
      </c>
      <c r="V955" s="1">
        <f t="shared" si="2155"/>
        <v>1.3202588353823723</v>
      </c>
      <c r="W955" s="1">
        <f t="shared" si="2033"/>
        <v>-16.330697813922871</v>
      </c>
      <c r="X955" s="1">
        <f t="shared" si="2034"/>
        <v>0</v>
      </c>
      <c r="Y955" s="1">
        <f t="shared" si="2035"/>
        <v>-5.7782252359613082</v>
      </c>
    </row>
    <row r="956" spans="1:25">
      <c r="A956" s="1">
        <v>0.95399999999999996</v>
      </c>
      <c r="B956" s="1">
        <f t="shared" si="2036"/>
        <v>36.846397707474885</v>
      </c>
      <c r="C956" s="1">
        <f t="shared" si="2037"/>
        <v>0</v>
      </c>
      <c r="D956" s="1">
        <f t="shared" si="2038"/>
        <v>-0.71717207679324435</v>
      </c>
      <c r="E956" s="1">
        <f t="shared" si="2039"/>
        <v>20.014709533290969</v>
      </c>
      <c r="F956" s="1">
        <f t="shared" si="2040"/>
        <v>0</v>
      </c>
      <c r="G956" s="1">
        <f t="shared" si="2041"/>
        <v>-3.2842032492234585</v>
      </c>
      <c r="H956" s="1">
        <f t="shared" si="1728"/>
        <v>20.28237137723837</v>
      </c>
      <c r="I956" s="1">
        <f t="shared" si="2024"/>
        <v>-16.520925002090152</v>
      </c>
      <c r="J956" s="1">
        <f t="shared" si="2025"/>
        <v>0</v>
      </c>
      <c r="K956" s="1">
        <f t="shared" si="2026"/>
        <v>2.7109099675812298</v>
      </c>
      <c r="L956" s="1">
        <f t="shared" ref="L956:N956" si="2156">E956/$H956</f>
        <v>0.98680322734609915</v>
      </c>
      <c r="M956" s="1">
        <f t="shared" si="2156"/>
        <v>0</v>
      </c>
      <c r="N956" s="1">
        <f t="shared" si="2156"/>
        <v>-0.1619240269364712</v>
      </c>
      <c r="O956" s="1">
        <f t="shared" si="1730"/>
        <v>-0.1619240269364712</v>
      </c>
      <c r="P956" s="1">
        <f t="shared" si="2028"/>
        <v>0.15978715236578647</v>
      </c>
      <c r="Q956" s="1">
        <f t="shared" si="2029"/>
        <v>0</v>
      </c>
      <c r="R956" s="1">
        <f t="shared" si="2030"/>
        <v>0.97378060950067691</v>
      </c>
      <c r="S956" s="1">
        <f t="shared" si="2031"/>
        <v>1.3535974800806359</v>
      </c>
      <c r="T956" s="1">
        <f t="shared" ref="T956:V956" si="2157">$S956*P956</f>
        <v>0.21628748679158918</v>
      </c>
      <c r="U956" s="1">
        <f t="shared" si="2157"/>
        <v>0</v>
      </c>
      <c r="V956" s="1">
        <f t="shared" si="2157"/>
        <v>1.3181069791715019</v>
      </c>
      <c r="W956" s="1">
        <f t="shared" si="2033"/>
        <v>-16.304637515298563</v>
      </c>
      <c r="X956" s="1">
        <f t="shared" si="2034"/>
        <v>0</v>
      </c>
      <c r="Y956" s="1">
        <f t="shared" si="2035"/>
        <v>-5.7776330532472677</v>
      </c>
    </row>
    <row r="957" spans="1:25">
      <c r="A957" s="1">
        <v>0.95499999999999996</v>
      </c>
      <c r="B957" s="1">
        <f t="shared" si="2036"/>
        <v>36.866396112370658</v>
      </c>
      <c r="C957" s="1">
        <f t="shared" si="2037"/>
        <v>0</v>
      </c>
      <c r="D957" s="1">
        <f t="shared" si="2038"/>
        <v>-0.72046205767552107</v>
      </c>
      <c r="E957" s="1">
        <f t="shared" si="2039"/>
        <v>19.998404895775671</v>
      </c>
      <c r="F957" s="1">
        <f t="shared" si="2040"/>
        <v>0</v>
      </c>
      <c r="G957" s="1">
        <f t="shared" si="2041"/>
        <v>-3.2899808822767058</v>
      </c>
      <c r="H957" s="1">
        <f t="shared" si="1728"/>
        <v>20.267219162507978</v>
      </c>
      <c r="I957" s="1">
        <f t="shared" si="2024"/>
        <v>-16.4951343938618</v>
      </c>
      <c r="J957" s="1">
        <f t="shared" si="2025"/>
        <v>0</v>
      </c>
      <c r="K957" s="1">
        <f t="shared" si="2026"/>
        <v>2.7136502680698116</v>
      </c>
      <c r="L957" s="1">
        <f t="shared" ref="L957:N957" si="2158">E957/$H957</f>
        <v>0.98673649973502131</v>
      </c>
      <c r="M957" s="1">
        <f t="shared" si="2158"/>
        <v>0</v>
      </c>
      <c r="N957" s="1">
        <f t="shared" si="2158"/>
        <v>-0.16233015767465483</v>
      </c>
      <c r="O957" s="1">
        <f t="shared" si="1730"/>
        <v>-0.16233015767465483</v>
      </c>
      <c r="P957" s="1">
        <f t="shared" si="2028"/>
        <v>0.16017709158532301</v>
      </c>
      <c r="Q957" s="1">
        <f t="shared" si="2029"/>
        <v>0</v>
      </c>
      <c r="R957" s="1">
        <f t="shared" si="2030"/>
        <v>0.97364891990932168</v>
      </c>
      <c r="S957" s="1">
        <f t="shared" si="2031"/>
        <v>1.3515757896025717</v>
      </c>
      <c r="T957" s="1">
        <f t="shared" ref="T957:V957" si="2159">$S957*P957</f>
        <v>0.21649147903567639</v>
      </c>
      <c r="U957" s="1">
        <f t="shared" si="2159"/>
        <v>0</v>
      </c>
      <c r="V957" s="1">
        <f t="shared" si="2159"/>
        <v>1.3159603077221327</v>
      </c>
      <c r="W957" s="1">
        <f t="shared" si="2033"/>
        <v>-16.278642914826126</v>
      </c>
      <c r="X957" s="1">
        <f t="shared" si="2034"/>
        <v>0</v>
      </c>
      <c r="Y957" s="1">
        <f t="shared" si="2035"/>
        <v>-5.7770394242080556</v>
      </c>
    </row>
    <row r="958" spans="1:25">
      <c r="A958" s="1">
        <v>0.95599999999999996</v>
      </c>
      <c r="B958" s="1">
        <f t="shared" si="2036"/>
        <v>36.886378238623521</v>
      </c>
      <c r="C958" s="1">
        <f t="shared" si="2037"/>
        <v>0</v>
      </c>
      <c r="D958" s="1">
        <f t="shared" si="2038"/>
        <v>-0.72375781559722197</v>
      </c>
      <c r="E958" s="1">
        <f t="shared" si="2039"/>
        <v>19.982126252860844</v>
      </c>
      <c r="F958" s="1">
        <f t="shared" si="2040"/>
        <v>0</v>
      </c>
      <c r="G958" s="1">
        <f t="shared" si="2041"/>
        <v>-3.2957579217009139</v>
      </c>
      <c r="H958" s="1">
        <f t="shared" si="1728"/>
        <v>20.252095937549893</v>
      </c>
      <c r="I958" s="1">
        <f t="shared" si="2024"/>
        <v>-16.469408894278601</v>
      </c>
      <c r="J958" s="1">
        <f t="shared" si="2025"/>
        <v>0</v>
      </c>
      <c r="K958" s="1">
        <f t="shared" si="2026"/>
        <v>2.7163868420298383</v>
      </c>
      <c r="L958" s="1">
        <f t="shared" ref="L958:N958" si="2160">E958/$H958</f>
        <v>0.98666954346248725</v>
      </c>
      <c r="M958" s="1">
        <f t="shared" si="2160"/>
        <v>0</v>
      </c>
      <c r="N958" s="1">
        <f t="shared" si="2160"/>
        <v>-0.16273663387057982</v>
      </c>
      <c r="O958" s="1">
        <f t="shared" si="1730"/>
        <v>-0.16273663387057982</v>
      </c>
      <c r="P958" s="1">
        <f t="shared" si="2028"/>
        <v>0.16056728024570693</v>
      </c>
      <c r="Q958" s="1">
        <f t="shared" si="2029"/>
        <v>0</v>
      </c>
      <c r="R958" s="1">
        <f t="shared" si="2030"/>
        <v>0.9735167879964729</v>
      </c>
      <c r="S958" s="1">
        <f t="shared" si="2031"/>
        <v>1.3495594736585792</v>
      </c>
      <c r="T958" s="1">
        <f t="shared" ref="T958:V958" si="2161">$S958*P958</f>
        <v>0.21669509421518582</v>
      </c>
      <c r="U958" s="1">
        <f t="shared" si="2161"/>
        <v>0</v>
      </c>
      <c r="V958" s="1">
        <f t="shared" si="2161"/>
        <v>1.3138188040063106</v>
      </c>
      <c r="W958" s="1">
        <f t="shared" si="2033"/>
        <v>-16.252713800063415</v>
      </c>
      <c r="X958" s="1">
        <f t="shared" si="2034"/>
        <v>0</v>
      </c>
      <c r="Y958" s="1">
        <f t="shared" si="2035"/>
        <v>-5.7764443539638508</v>
      </c>
    </row>
    <row r="959" spans="1:25">
      <c r="A959" s="1">
        <v>0.95699999999999996</v>
      </c>
      <c r="B959" s="1">
        <f t="shared" si="2036"/>
        <v>36.906344112162586</v>
      </c>
      <c r="C959" s="1">
        <f t="shared" si="2037"/>
        <v>0</v>
      </c>
      <c r="D959" s="1">
        <f t="shared" si="2038"/>
        <v>-0.72705934996327681</v>
      </c>
      <c r="E959" s="1">
        <f t="shared" si="2039"/>
        <v>19.96587353906078</v>
      </c>
      <c r="F959" s="1">
        <f t="shared" si="2040"/>
        <v>0</v>
      </c>
      <c r="G959" s="1">
        <f t="shared" si="2041"/>
        <v>-3.3015343660548777</v>
      </c>
      <c r="H959" s="1">
        <f t="shared" si="1728"/>
        <v>20.237001639274748</v>
      </c>
      <c r="I959" s="1">
        <f t="shared" si="2024"/>
        <v>-16.443748292529094</v>
      </c>
      <c r="J959" s="1">
        <f t="shared" si="2025"/>
        <v>0</v>
      </c>
      <c r="K959" s="1">
        <f t="shared" si="2026"/>
        <v>2.7191197013408948</v>
      </c>
      <c r="L959" s="1">
        <f t="shared" ref="L959:N959" si="2162">E959/$H959</f>
        <v>0.9866023581434229</v>
      </c>
      <c r="M959" s="1">
        <f t="shared" si="2162"/>
        <v>0</v>
      </c>
      <c r="N959" s="1">
        <f t="shared" si="2162"/>
        <v>-0.16314345498927368</v>
      </c>
      <c r="O959" s="1">
        <f t="shared" si="1730"/>
        <v>-0.16314345498927368</v>
      </c>
      <c r="P959" s="1">
        <f t="shared" si="2028"/>
        <v>0.16095771740808279</v>
      </c>
      <c r="Q959" s="1">
        <f t="shared" si="2029"/>
        <v>0</v>
      </c>
      <c r="R959" s="1">
        <f t="shared" si="2030"/>
        <v>0.97338421309416279</v>
      </c>
      <c r="S959" s="1">
        <f t="shared" si="2031"/>
        <v>1.3475485151911175</v>
      </c>
      <c r="T959" s="1">
        <f t="shared" ref="T959:V959" si="2163">$S959*P959</f>
        <v>0.21689833310181345</v>
      </c>
      <c r="U959" s="1">
        <f t="shared" si="2163"/>
        <v>0</v>
      </c>
      <c r="V959" s="1">
        <f t="shared" si="2163"/>
        <v>1.3116824510655134</v>
      </c>
      <c r="W959" s="1">
        <f t="shared" si="2033"/>
        <v>-16.22684995942728</v>
      </c>
      <c r="X959" s="1">
        <f t="shared" si="2034"/>
        <v>0</v>
      </c>
      <c r="Y959" s="1">
        <f t="shared" si="2035"/>
        <v>-5.7758478475935915</v>
      </c>
    </row>
    <row r="960" spans="1:25">
      <c r="A960" s="1">
        <v>0.95799999999999996</v>
      </c>
      <c r="B960" s="1">
        <f t="shared" si="2036"/>
        <v>36.926293758851685</v>
      </c>
      <c r="C960" s="1">
        <f t="shared" si="2037"/>
        <v>0</v>
      </c>
      <c r="D960" s="1">
        <f t="shared" si="2038"/>
        <v>-0.73036666017717933</v>
      </c>
      <c r="E960" s="1">
        <f t="shared" si="2039"/>
        <v>19.949646689101353</v>
      </c>
      <c r="F960" s="1">
        <f t="shared" si="2040"/>
        <v>0</v>
      </c>
      <c r="G960" s="1">
        <f t="shared" si="2041"/>
        <v>-3.3073102139024715</v>
      </c>
      <c r="H960" s="1">
        <f t="shared" si="1728"/>
        <v>20.22193620479889</v>
      </c>
      <c r="I960" s="1">
        <f t="shared" si="2024"/>
        <v>-16.41815237865422</v>
      </c>
      <c r="J960" s="1">
        <f t="shared" si="2025"/>
        <v>0</v>
      </c>
      <c r="K960" s="1">
        <f t="shared" si="2026"/>
        <v>2.7218488578544466</v>
      </c>
      <c r="L960" s="1">
        <f t="shared" ref="L960:N960" si="2164">E960/$H960</f>
        <v>0.98653494339315939</v>
      </c>
      <c r="M960" s="1">
        <f t="shared" si="2164"/>
        <v>0</v>
      </c>
      <c r="N960" s="1">
        <f t="shared" si="2164"/>
        <v>-0.16355062049486685</v>
      </c>
      <c r="O960" s="1">
        <f t="shared" si="1730"/>
        <v>-0.16355062049486685</v>
      </c>
      <c r="P960" s="1">
        <f t="shared" si="2028"/>
        <v>0.16134840213181956</v>
      </c>
      <c r="Q960" s="1">
        <f t="shared" si="2029"/>
        <v>0</v>
      </c>
      <c r="R960" s="1">
        <f t="shared" si="2030"/>
        <v>0.97325119453574405</v>
      </c>
      <c r="S960" s="1">
        <f t="shared" si="2031"/>
        <v>1.3455428972116323</v>
      </c>
      <c r="T960" s="1">
        <f t="shared" ref="T960:V960" si="2165">$S960*P960</f>
        <v>0.21710119646491599</v>
      </c>
      <c r="U960" s="1">
        <f t="shared" si="2165"/>
        <v>0</v>
      </c>
      <c r="V960" s="1">
        <f t="shared" si="2165"/>
        <v>1.3095512320103071</v>
      </c>
      <c r="W960" s="1">
        <f t="shared" si="2033"/>
        <v>-16.201051182189303</v>
      </c>
      <c r="X960" s="1">
        <f t="shared" si="2034"/>
        <v>0</v>
      </c>
      <c r="Y960" s="1">
        <f t="shared" si="2035"/>
        <v>-5.7752499101352459</v>
      </c>
    </row>
    <row r="961" spans="1:25">
      <c r="A961" s="1">
        <v>0.95899999999999996</v>
      </c>
      <c r="B961" s="1">
        <f t="shared" si="2036"/>
        <v>36.946227204489603</v>
      </c>
      <c r="C961" s="1">
        <f t="shared" si="2037"/>
        <v>0</v>
      </c>
      <c r="D961" s="1">
        <f t="shared" si="2038"/>
        <v>-0.73367974564099192</v>
      </c>
      <c r="E961" s="1">
        <f t="shared" si="2039"/>
        <v>19.933445637919164</v>
      </c>
      <c r="F961" s="1">
        <f t="shared" si="2040"/>
        <v>0</v>
      </c>
      <c r="G961" s="1">
        <f t="shared" si="2041"/>
        <v>-3.3130854638126066</v>
      </c>
      <c r="H961" s="1">
        <f t="shared" si="1728"/>
        <v>20.206899571443536</v>
      </c>
      <c r="I961" s="1">
        <f t="shared" si="2024"/>
        <v>-16.392620943543193</v>
      </c>
      <c r="J961" s="1">
        <f t="shared" si="2025"/>
        <v>0</v>
      </c>
      <c r="K961" s="1">
        <f t="shared" si="2026"/>
        <v>2.7245743233939179</v>
      </c>
      <c r="L961" s="1">
        <f t="shared" ref="L961:N961" si="2166">E961/$H961</f>
        <v>0.98646729882743522</v>
      </c>
      <c r="M961" s="1">
        <f t="shared" si="2166"/>
        <v>0</v>
      </c>
      <c r="N961" s="1">
        <f t="shared" si="2166"/>
        <v>-0.16395812985059177</v>
      </c>
      <c r="O961" s="1">
        <f t="shared" si="1730"/>
        <v>-0.16395812985059177</v>
      </c>
      <c r="P961" s="1">
        <f t="shared" si="2028"/>
        <v>0.16173933347451114</v>
      </c>
      <c r="Q961" s="1">
        <f t="shared" si="2029"/>
        <v>0</v>
      </c>
      <c r="R961" s="1">
        <f t="shared" si="2030"/>
        <v>0.97311773165589643</v>
      </c>
      <c r="S961" s="1">
        <f t="shared" si="2031"/>
        <v>1.3435426028002229</v>
      </c>
      <c r="T961" s="1">
        <f t="shared" ref="T961:V961" si="2167">$S961*P961</f>
        <v>0.2173036850715179</v>
      </c>
      <c r="U961" s="1">
        <f t="shared" si="2167"/>
        <v>0</v>
      </c>
      <c r="V961" s="1">
        <f t="shared" si="2167"/>
        <v>1.3074251300200119</v>
      </c>
      <c r="W961" s="1">
        <f t="shared" si="2033"/>
        <v>-16.175317258471676</v>
      </c>
      <c r="X961" s="1">
        <f t="shared" si="2034"/>
        <v>0</v>
      </c>
      <c r="Y961" s="1">
        <f t="shared" si="2035"/>
        <v>-5.77465054658607</v>
      </c>
    </row>
    <row r="962" spans="1:25">
      <c r="A962" s="1">
        <v>0.96</v>
      </c>
      <c r="B962" s="1">
        <f t="shared" si="2036"/>
        <v>36.966144474810264</v>
      </c>
      <c r="C962" s="1">
        <f t="shared" si="2037"/>
        <v>0</v>
      </c>
      <c r="D962" s="1">
        <f t="shared" si="2038"/>
        <v>-0.73699860575535114</v>
      </c>
      <c r="E962" s="1">
        <f t="shared" si="2039"/>
        <v>19.917270320660691</v>
      </c>
      <c r="F962" s="1">
        <f t="shared" si="2040"/>
        <v>0</v>
      </c>
      <c r="G962" s="1">
        <f t="shared" si="2041"/>
        <v>-3.3188601143591927</v>
      </c>
      <c r="H962" s="1">
        <f t="shared" si="1728"/>
        <v>20.191891676733896</v>
      </c>
      <c r="I962" s="1">
        <f t="shared" ref="I962:I1025" si="2168">-K_drag*$H962*E962</f>
        <v>-16.367153778929339</v>
      </c>
      <c r="J962" s="1">
        <f t="shared" ref="J962:J1025" si="2169">-K_drag*$H962*F962</f>
        <v>0</v>
      </c>
      <c r="K962" s="1">
        <f t="shared" ref="K962:K1025" si="2170">-K_drag*$H962*G962</f>
        <v>2.7272961097547639</v>
      </c>
      <c r="L962" s="1">
        <f t="shared" ref="L962:N962" si="2171">E962/$H962</f>
        <v>0.98639942406240044</v>
      </c>
      <c r="M962" s="1">
        <f t="shared" si="2171"/>
        <v>0</v>
      </c>
      <c r="N962" s="1">
        <f t="shared" si="2171"/>
        <v>-0.16436598251878246</v>
      </c>
      <c r="O962" s="1">
        <f t="shared" si="1730"/>
        <v>-0.16436598251878246</v>
      </c>
      <c r="P962" s="1">
        <f t="shared" ref="P962:P1025" si="2172">u_axis_f-$O962*L962</f>
        <v>0.1621305104919776</v>
      </c>
      <c r="Q962" s="1">
        <f t="shared" ref="Q962:Q1025" si="2173">u_axis_r-$O962*M962</f>
        <v>0</v>
      </c>
      <c r="R962" s="1">
        <f t="shared" ref="R962:R1025" si="2174">u_axis_u-$O962*N962</f>
        <v>0.9729838237906353</v>
      </c>
      <c r="S962" s="1">
        <f t="shared" ref="S962:S1025" si="2175">K_lift*H962^2</f>
        <v>1.3415476151053047</v>
      </c>
      <c r="T962" s="1">
        <f t="shared" ref="T962:V962" si="2176">$S962*P962</f>
        <v>0.21750579968631814</v>
      </c>
      <c r="U962" s="1">
        <f t="shared" si="2176"/>
        <v>0</v>
      </c>
      <c r="V962" s="1">
        <f t="shared" si="2176"/>
        <v>1.3053041283423668</v>
      </c>
      <c r="W962" s="1">
        <f t="shared" ref="W962:W1025" si="2177">I962+T962+g_f</f>
        <v>-16.149647979243021</v>
      </c>
      <c r="X962" s="1">
        <f t="shared" ref="X962:X1025" si="2178">J962+U962+g_r</f>
        <v>0</v>
      </c>
      <c r="Y962" s="1">
        <f t="shared" ref="Y962:Y1025" si="2179">K962+V962+g_u</f>
        <v>-5.7740497619028686</v>
      </c>
    </row>
    <row r="963" spans="1:25">
      <c r="A963" s="1">
        <v>0.96099999999999997</v>
      </c>
      <c r="B963" s="1">
        <f t="shared" ref="B963:B1026" si="2180">B962+E963*dt</f>
        <v>36.986045595482942</v>
      </c>
      <c r="C963" s="1">
        <f t="shared" ref="C963:C1026" si="2181">C962+F963*dt</f>
        <v>0</v>
      </c>
      <c r="D963" s="1">
        <f t="shared" ref="D963:D1026" si="2182">D962+G963*dt</f>
        <v>-0.74032323991947224</v>
      </c>
      <c r="E963" s="1">
        <f t="shared" ref="E963:E1026" si="2183">E962+W962*dt</f>
        <v>19.901120672681447</v>
      </c>
      <c r="F963" s="1">
        <f t="shared" ref="F963:F1026" si="2184">F962+X962*dt</f>
        <v>0</v>
      </c>
      <c r="G963" s="1">
        <f t="shared" ref="G963:G1026" si="2185">G962+Y962*dt</f>
        <v>-3.3246341641210955</v>
      </c>
      <c r="H963" s="1">
        <f t="shared" si="1728"/>
        <v>20.176912458398338</v>
      </c>
      <c r="I963" s="1">
        <f t="shared" si="2168"/>
        <v>-16.341750677385992</v>
      </c>
      <c r="J963" s="1">
        <f t="shared" si="2169"/>
        <v>0</v>
      </c>
      <c r="K963" s="1">
        <f t="shared" si="2170"/>
        <v>2.7300142287045457</v>
      </c>
      <c r="L963" s="1">
        <f t="shared" ref="L963:N963" si="2186">E963/$H963</f>
        <v>0.98633131871461843</v>
      </c>
      <c r="M963" s="1">
        <f t="shared" si="2186"/>
        <v>0</v>
      </c>
      <c r="N963" s="1">
        <f t="shared" si="2186"/>
        <v>-0.1647741779608736</v>
      </c>
      <c r="O963" s="1">
        <f t="shared" si="1730"/>
        <v>-0.1647741779608736</v>
      </c>
      <c r="P963" s="1">
        <f t="shared" si="2172"/>
        <v>0.16252193223826567</v>
      </c>
      <c r="Q963" s="1">
        <f t="shared" si="2173"/>
        <v>0</v>
      </c>
      <c r="R963" s="1">
        <f t="shared" si="2174"/>
        <v>0.97284947027731838</v>
      </c>
      <c r="S963" s="1">
        <f t="shared" si="2175"/>
        <v>1.3395579173432786</v>
      </c>
      <c r="T963" s="1">
        <f t="shared" ref="T963:V963" si="2187">$S963*P963</f>
        <v>0.2177075410716966</v>
      </c>
      <c r="U963" s="1">
        <f t="shared" si="2187"/>
        <v>0</v>
      </c>
      <c r="V963" s="1">
        <f t="shared" si="2187"/>
        <v>1.3031882102931964</v>
      </c>
      <c r="W963" s="1">
        <f t="shared" si="2177"/>
        <v>-16.124043136314295</v>
      </c>
      <c r="X963" s="1">
        <f t="shared" si="2178"/>
        <v>0</v>
      </c>
      <c r="Y963" s="1">
        <f t="shared" si="2179"/>
        <v>-5.7734475610022571</v>
      </c>
    </row>
    <row r="964" spans="1:25">
      <c r="A964" s="1">
        <v>0.96199999999999997</v>
      </c>
      <c r="B964" s="1">
        <f t="shared" si="2180"/>
        <v>37.005930592112485</v>
      </c>
      <c r="C964" s="1">
        <f t="shared" si="2181"/>
        <v>0</v>
      </c>
      <c r="D964" s="1">
        <f t="shared" si="2182"/>
        <v>-0.74365364753115437</v>
      </c>
      <c r="E964" s="1">
        <f t="shared" si="2183"/>
        <v>19.884996629545132</v>
      </c>
      <c r="F964" s="1">
        <f t="shared" si="2184"/>
        <v>0</v>
      </c>
      <c r="G964" s="1">
        <f t="shared" si="2185"/>
        <v>-3.3304076116820975</v>
      </c>
      <c r="H964" s="1">
        <f t="shared" si="1728"/>
        <v>20.161961854367529</v>
      </c>
      <c r="I964" s="1">
        <f t="shared" si="2168"/>
        <v>-16.316411432322404</v>
      </c>
      <c r="J964" s="1">
        <f t="shared" si="2169"/>
        <v>0</v>
      </c>
      <c r="K964" s="1">
        <f t="shared" si="2170"/>
        <v>2.7327286919830049</v>
      </c>
      <c r="L964" s="1">
        <f t="shared" ref="L964:N964" si="2188">E964/$H964</f>
        <v>0.98626298240107024</v>
      </c>
      <c r="M964" s="1">
        <f t="shared" si="2188"/>
        <v>0</v>
      </c>
      <c r="N964" s="1">
        <f t="shared" si="2188"/>
        <v>-0.1651827156374</v>
      </c>
      <c r="O964" s="1">
        <f t="shared" si="1730"/>
        <v>-0.1651827156374</v>
      </c>
      <c r="P964" s="1">
        <f t="shared" si="2172"/>
        <v>0.16291359776565004</v>
      </c>
      <c r="Q964" s="1">
        <f t="shared" si="2173"/>
        <v>0</v>
      </c>
      <c r="R964" s="1">
        <f t="shared" si="2174"/>
        <v>0.97271467045465387</v>
      </c>
      <c r="S964" s="1">
        <f t="shared" si="2175"/>
        <v>1.3375734927981999</v>
      </c>
      <c r="T964" s="1">
        <f t="shared" ref="T964:V964" si="2189">$S964*P964</f>
        <v>0.21790890998772153</v>
      </c>
      <c r="U964" s="1">
        <f t="shared" si="2189"/>
        <v>0</v>
      </c>
      <c r="V964" s="1">
        <f t="shared" si="2189"/>
        <v>1.3010773592560814</v>
      </c>
      <c r="W964" s="1">
        <f t="shared" si="2177"/>
        <v>-16.098502522334684</v>
      </c>
      <c r="X964" s="1">
        <f t="shared" si="2178"/>
        <v>0</v>
      </c>
      <c r="Y964" s="1">
        <f t="shared" si="2179"/>
        <v>-5.7728439487609133</v>
      </c>
    </row>
    <row r="965" spans="1:25">
      <c r="A965" s="1">
        <v>0.96299999999999997</v>
      </c>
      <c r="B965" s="1">
        <f t="shared" si="2180"/>
        <v>37.025799490239507</v>
      </c>
      <c r="C965" s="1">
        <f t="shared" si="2181"/>
        <v>0</v>
      </c>
      <c r="D965" s="1">
        <f t="shared" si="2182"/>
        <v>-0.74698982798678526</v>
      </c>
      <c r="E965" s="1">
        <f t="shared" si="2183"/>
        <v>19.868898127022796</v>
      </c>
      <c r="F965" s="1">
        <f t="shared" si="2184"/>
        <v>0</v>
      </c>
      <c r="G965" s="1">
        <f t="shared" si="2185"/>
        <v>-3.3361804556308585</v>
      </c>
      <c r="H965" s="1">
        <f t="shared" si="1728"/>
        <v>20.147039802773591</v>
      </c>
      <c r="I965" s="1">
        <f t="shared" si="2168"/>
        <v>-16.291135837979667</v>
      </c>
      <c r="J965" s="1">
        <f t="shared" si="2169"/>
        <v>0</v>
      </c>
      <c r="K965" s="1">
        <f t="shared" si="2170"/>
        <v>2.7354395113021388</v>
      </c>
      <c r="L965" s="1">
        <f t="shared" ref="L965:N965" si="2190">E965/$H965</f>
        <v>0.9861944147391567</v>
      </c>
      <c r="M965" s="1">
        <f t="shared" si="2190"/>
        <v>0</v>
      </c>
      <c r="N965" s="1">
        <f t="shared" si="2190"/>
        <v>-0.16559159500799592</v>
      </c>
      <c r="O965" s="1">
        <f t="shared" si="1730"/>
        <v>-0.16559159500799592</v>
      </c>
      <c r="P965" s="1">
        <f t="shared" si="2172"/>
        <v>0.16330550612463399</v>
      </c>
      <c r="Q965" s="1">
        <f t="shared" si="2173"/>
        <v>0</v>
      </c>
      <c r="R965" s="1">
        <f t="shared" si="2174"/>
        <v>0.97257942366270789</v>
      </c>
      <c r="S965" s="1">
        <f t="shared" si="2175"/>
        <v>1.3355943248214495</v>
      </c>
      <c r="T965" s="1">
        <f t="shared" ref="T965:V965" si="2191">$S965*P965</f>
        <v>0.21810990719215562</v>
      </c>
      <c r="U965" s="1">
        <f t="shared" si="2191"/>
        <v>0</v>
      </c>
      <c r="V965" s="1">
        <f t="shared" si="2191"/>
        <v>1.2989715586820287</v>
      </c>
      <c r="W965" s="1">
        <f t="shared" si="2177"/>
        <v>-16.073025930787512</v>
      </c>
      <c r="X965" s="1">
        <f t="shared" si="2178"/>
        <v>0</v>
      </c>
      <c r="Y965" s="1">
        <f t="shared" si="2179"/>
        <v>-5.7722389300158321</v>
      </c>
    </row>
    <row r="966" spans="1:25">
      <c r="A966" s="1">
        <v>0.96399999999999997</v>
      </c>
      <c r="B966" s="1">
        <f t="shared" si="2180"/>
        <v>37.045652315340597</v>
      </c>
      <c r="C966" s="1">
        <f t="shared" si="2181"/>
        <v>0</v>
      </c>
      <c r="D966" s="1">
        <f t="shared" si="2182"/>
        <v>-0.75033178068134609</v>
      </c>
      <c r="E966" s="1">
        <f t="shared" si="2183"/>
        <v>19.852825101092009</v>
      </c>
      <c r="F966" s="1">
        <f t="shared" si="2184"/>
        <v>0</v>
      </c>
      <c r="G966" s="1">
        <f t="shared" si="2185"/>
        <v>-3.3419526945608742</v>
      </c>
      <c r="H966" s="1">
        <f t="shared" si="1728"/>
        <v>20.132146241949258</v>
      </c>
      <c r="I966" s="1">
        <f t="shared" si="2168"/>
        <v>-16.265923689426668</v>
      </c>
      <c r="J966" s="1">
        <f t="shared" si="2169"/>
        <v>0</v>
      </c>
      <c r="K966" s="1">
        <f t="shared" si="2170"/>
        <v>2.7381466983462683</v>
      </c>
      <c r="L966" s="1">
        <f t="shared" ref="L966:N966" si="2192">E966/$H966</f>
        <v>0.98612561534670218</v>
      </c>
      <c r="M966" s="1">
        <f t="shared" si="2192"/>
        <v>0</v>
      </c>
      <c r="N966" s="1">
        <f t="shared" si="2192"/>
        <v>-0.16600081553139442</v>
      </c>
      <c r="O966" s="1">
        <f t="shared" si="1730"/>
        <v>-0.16600081553139442</v>
      </c>
      <c r="P966" s="1">
        <f t="shared" si="2172"/>
        <v>0.16369765636395073</v>
      </c>
      <c r="Q966" s="1">
        <f t="shared" si="2173"/>
        <v>0</v>
      </c>
      <c r="R966" s="1">
        <f t="shared" si="2174"/>
        <v>0.972443729242912</v>
      </c>
      <c r="S966" s="1">
        <f t="shared" si="2175"/>
        <v>1.3336203968314064</v>
      </c>
      <c r="T966" s="1">
        <f t="shared" ref="T966:V966" si="2193">$S966*P966</f>
        <v>0.21831053344046317</v>
      </c>
      <c r="U966" s="1">
        <f t="shared" si="2193"/>
        <v>0</v>
      </c>
      <c r="V966" s="1">
        <f t="shared" si="2193"/>
        <v>1.2968707920891451</v>
      </c>
      <c r="W966" s="1">
        <f t="shared" si="2177"/>
        <v>-16.047613155986205</v>
      </c>
      <c r="X966" s="1">
        <f t="shared" si="2178"/>
        <v>0</v>
      </c>
      <c r="Y966" s="1">
        <f t="shared" si="2179"/>
        <v>-5.7716325095645864</v>
      </c>
    </row>
    <row r="967" spans="1:25">
      <c r="A967" s="1">
        <v>0.96499999999999997</v>
      </c>
      <c r="B967" s="1">
        <f t="shared" si="2180"/>
        <v>37.065489092828535</v>
      </c>
      <c r="C967" s="1">
        <f t="shared" si="2181"/>
        <v>0</v>
      </c>
      <c r="D967" s="1">
        <f t="shared" si="2182"/>
        <v>-0.75367950500841652</v>
      </c>
      <c r="E967" s="1">
        <f t="shared" si="2183"/>
        <v>19.836777487936022</v>
      </c>
      <c r="F967" s="1">
        <f t="shared" si="2184"/>
        <v>0</v>
      </c>
      <c r="G967" s="1">
        <f t="shared" si="2185"/>
        <v>-3.3477243270704387</v>
      </c>
      <c r="H967" s="1">
        <f t="shared" si="1728"/>
        <v>20.11728111042704</v>
      </c>
      <c r="I967" s="1">
        <f t="shared" si="2168"/>
        <v>-16.240774782556063</v>
      </c>
      <c r="J967" s="1">
        <f t="shared" si="2169"/>
        <v>0</v>
      </c>
      <c r="K967" s="1">
        <f t="shared" si="2170"/>
        <v>2.7408502647721189</v>
      </c>
      <c r="L967" s="1">
        <f t="shared" ref="L967:N967" si="2194">E967/$H967</f>
        <v>0.98605658384195716</v>
      </c>
      <c r="M967" s="1">
        <f t="shared" si="2194"/>
        <v>0</v>
      </c>
      <c r="N967" s="1">
        <f t="shared" si="2194"/>
        <v>-0.16641037666542677</v>
      </c>
      <c r="O967" s="1">
        <f t="shared" si="1730"/>
        <v>-0.16641037666542677</v>
      </c>
      <c r="P967" s="1">
        <f t="shared" si="2172"/>
        <v>0.16409004753056405</v>
      </c>
      <c r="Q967" s="1">
        <f t="shared" si="2173"/>
        <v>0</v>
      </c>
      <c r="R967" s="1">
        <f t="shared" si="2174"/>
        <v>0.97230758653807081</v>
      </c>
      <c r="S967" s="1">
        <f t="shared" si="2175"/>
        <v>1.3316516923131232</v>
      </c>
      <c r="T967" s="1">
        <f t="shared" ref="T967:V967" si="2195">$S967*P967</f>
        <v>0.21851078948581645</v>
      </c>
      <c r="U967" s="1">
        <f t="shared" si="2195"/>
        <v>0</v>
      </c>
      <c r="V967" s="1">
        <f t="shared" si="2195"/>
        <v>1.2947750430623104</v>
      </c>
      <c r="W967" s="1">
        <f t="shared" si="2177"/>
        <v>-16.022263993070247</v>
      </c>
      <c r="X967" s="1">
        <f t="shared" si="2178"/>
        <v>0</v>
      </c>
      <c r="Y967" s="1">
        <f t="shared" si="2179"/>
        <v>-5.7710246921655699</v>
      </c>
    </row>
    <row r="968" spans="1:25">
      <c r="A968" s="1">
        <v>0.96599999999999997</v>
      </c>
      <c r="B968" s="1">
        <f t="shared" si="2180"/>
        <v>37.085309848052475</v>
      </c>
      <c r="C968" s="1">
        <f t="shared" si="2181"/>
        <v>0</v>
      </c>
      <c r="D968" s="1">
        <f t="shared" si="2182"/>
        <v>-0.75703300036017918</v>
      </c>
      <c r="E968" s="1">
        <f t="shared" si="2183"/>
        <v>19.820755223942953</v>
      </c>
      <c r="F968" s="1">
        <f t="shared" si="2184"/>
        <v>0</v>
      </c>
      <c r="G968" s="1">
        <f t="shared" si="2185"/>
        <v>-3.353495351762604</v>
      </c>
      <c r="H968" s="1">
        <f t="shared" si="1728"/>
        <v>20.102444346938391</v>
      </c>
      <c r="I968" s="1">
        <f t="shared" si="2168"/>
        <v>-16.2156889140803</v>
      </c>
      <c r="J968" s="1">
        <f t="shared" si="2169"/>
        <v>0</v>
      </c>
      <c r="K968" s="1">
        <f t="shared" si="2170"/>
        <v>2.7435502222088886</v>
      </c>
      <c r="L968" s="1">
        <f t="shared" ref="L968:N968" si="2196">E968/$H968</f>
        <v>0.98598731984360199</v>
      </c>
      <c r="M968" s="1">
        <f t="shared" si="2196"/>
        <v>0</v>
      </c>
      <c r="N968" s="1">
        <f t="shared" si="2196"/>
        <v>-0.1668202778670218</v>
      </c>
      <c r="O968" s="1">
        <f t="shared" si="1730"/>
        <v>-0.1668202778670218</v>
      </c>
      <c r="P968" s="1">
        <f t="shared" si="2172"/>
        <v>0.16448267866966979</v>
      </c>
      <c r="Q968" s="1">
        <f t="shared" si="2173"/>
        <v>0</v>
      </c>
      <c r="R968" s="1">
        <f t="shared" si="2174"/>
        <v>0.97217099489236969</v>
      </c>
      <c r="S968" s="1">
        <f t="shared" si="2175"/>
        <v>1.3296881948180024</v>
      </c>
      <c r="T968" s="1">
        <f t="shared" ref="T968:V968" si="2197">$S968*P968</f>
        <v>0.21871067607910277</v>
      </c>
      <c r="U968" s="1">
        <f t="shared" si="2197"/>
        <v>0</v>
      </c>
      <c r="V968" s="1">
        <f t="shared" si="2197"/>
        <v>1.2926842952528566</v>
      </c>
      <c r="W968" s="1">
        <f t="shared" si="2177"/>
        <v>-15.996978238001196</v>
      </c>
      <c r="X968" s="1">
        <f t="shared" si="2178"/>
        <v>0</v>
      </c>
      <c r="Y968" s="1">
        <f t="shared" si="2179"/>
        <v>-5.7704154825382545</v>
      </c>
    </row>
    <row r="969" spans="1:25">
      <c r="A969" s="1">
        <v>0.96699999999999997</v>
      </c>
      <c r="B969" s="1">
        <f t="shared" si="2180"/>
        <v>37.10511460629818</v>
      </c>
      <c r="C969" s="1">
        <f t="shared" si="2181"/>
        <v>0</v>
      </c>
      <c r="D969" s="1">
        <f t="shared" si="2182"/>
        <v>-0.76039226612742428</v>
      </c>
      <c r="E969" s="1">
        <f t="shared" si="2183"/>
        <v>19.804758245704953</v>
      </c>
      <c r="F969" s="1">
        <f t="shared" si="2184"/>
        <v>0</v>
      </c>
      <c r="G969" s="1">
        <f t="shared" si="2185"/>
        <v>-3.3592657672451423</v>
      </c>
      <c r="H969" s="1">
        <f t="shared" si="1728"/>
        <v>20.087635890412876</v>
      </c>
      <c r="I969" s="1">
        <f t="shared" si="2168"/>
        <v>-16.1906658815276</v>
      </c>
      <c r="J969" s="1">
        <f t="shared" si="2169"/>
        <v>0</v>
      </c>
      <c r="K969" s="1">
        <f t="shared" si="2170"/>
        <v>2.7462465822583226</v>
      </c>
      <c r="L969" s="1">
        <f t="shared" ref="L969:N969" si="2198">E969/$H969</f>
        <v>0.98591782297074937</v>
      </c>
      <c r="M969" s="1">
        <f t="shared" si="2198"/>
        <v>0</v>
      </c>
      <c r="N969" s="1">
        <f t="shared" si="2198"/>
        <v>-0.16723051859220536</v>
      </c>
      <c r="O969" s="1">
        <f t="shared" si="1730"/>
        <v>-0.16723051859220536</v>
      </c>
      <c r="P969" s="1">
        <f t="shared" si="2172"/>
        <v>0.16487554882469654</v>
      </c>
      <c r="Q969" s="1">
        <f t="shared" si="2173"/>
        <v>0</v>
      </c>
      <c r="R969" s="1">
        <f t="shared" si="2174"/>
        <v>0.97203395365138201</v>
      </c>
      <c r="S969" s="1">
        <f t="shared" si="2175"/>
        <v>1.3277298879634751</v>
      </c>
      <c r="T969" s="1">
        <f t="shared" ref="T969:V969" si="2199">$S969*P969</f>
        <v>0.21891019396893083</v>
      </c>
      <c r="U969" s="1">
        <f t="shared" si="2199"/>
        <v>0</v>
      </c>
      <c r="V969" s="1">
        <f t="shared" si="2199"/>
        <v>1.2905985323782432</v>
      </c>
      <c r="W969" s="1">
        <f t="shared" si="2177"/>
        <v>-15.971755687558669</v>
      </c>
      <c r="X969" s="1">
        <f t="shared" si="2178"/>
        <v>0</v>
      </c>
      <c r="Y969" s="1">
        <f t="shared" si="2179"/>
        <v>-5.7698048853634338</v>
      </c>
    </row>
    <row r="970" spans="1:25">
      <c r="A970" s="1">
        <v>0.96799999999999997</v>
      </c>
      <c r="B970" s="1">
        <f t="shared" si="2180"/>
        <v>37.124903392788198</v>
      </c>
      <c r="C970" s="1">
        <f t="shared" si="2181"/>
        <v>0</v>
      </c>
      <c r="D970" s="1">
        <f t="shared" si="2182"/>
        <v>-0.7637573016995548</v>
      </c>
      <c r="E970" s="1">
        <f t="shared" si="2183"/>
        <v>19.788786490017394</v>
      </c>
      <c r="F970" s="1">
        <f t="shared" si="2184"/>
        <v>0</v>
      </c>
      <c r="G970" s="1">
        <f t="shared" si="2185"/>
        <v>-3.3650355721305059</v>
      </c>
      <c r="H970" s="1">
        <f t="shared" si="1728"/>
        <v>20.072855679977341</v>
      </c>
      <c r="I970" s="1">
        <f t="shared" si="2168"/>
        <v>-16.165705483238028</v>
      </c>
      <c r="J970" s="1">
        <f t="shared" si="2169"/>
        <v>0</v>
      </c>
      <c r="K970" s="1">
        <f t="shared" si="2170"/>
        <v>2.7489393564947866</v>
      </c>
      <c r="L970" s="1">
        <f t="shared" ref="L970:N970" si="2200">E970/$H970</f>
        <v>0.98584809284294783</v>
      </c>
      <c r="M970" s="1">
        <f t="shared" si="2200"/>
        <v>0</v>
      </c>
      <c r="N970" s="1">
        <f t="shared" si="2200"/>
        <v>-0.16764109829609977</v>
      </c>
      <c r="O970" s="1">
        <f t="shared" si="1730"/>
        <v>-0.16764109829609977</v>
      </c>
      <c r="P970" s="1">
        <f t="shared" si="2172"/>
        <v>0.16526865703730712</v>
      </c>
      <c r="Q970" s="1">
        <f t="shared" si="2173"/>
        <v>0</v>
      </c>
      <c r="R970" s="1">
        <f t="shared" si="2174"/>
        <v>0.97189646216207737</v>
      </c>
      <c r="S970" s="1">
        <f t="shared" si="2175"/>
        <v>1.3257767554326805</v>
      </c>
      <c r="T970" s="1">
        <f t="shared" ref="T970:V970" si="2201">$S970*P970</f>
        <v>0.21910934390163747</v>
      </c>
      <c r="U970" s="1">
        <f t="shared" si="2201"/>
        <v>0</v>
      </c>
      <c r="V970" s="1">
        <f t="shared" si="2201"/>
        <v>1.2885177382217399</v>
      </c>
      <c r="W970" s="1">
        <f t="shared" si="2177"/>
        <v>-15.946596139336391</v>
      </c>
      <c r="X970" s="1">
        <f t="shared" si="2178"/>
        <v>0</v>
      </c>
      <c r="Y970" s="1">
        <f t="shared" si="2179"/>
        <v>-5.7691929052834734</v>
      </c>
    </row>
    <row r="971" spans="1:25">
      <c r="A971" s="1">
        <v>0.96899999999999997</v>
      </c>
      <c r="B971" s="1">
        <f t="shared" si="2180"/>
        <v>37.144676232682073</v>
      </c>
      <c r="C971" s="1">
        <f t="shared" si="2181"/>
        <v>0</v>
      </c>
      <c r="D971" s="1">
        <f t="shared" si="2182"/>
        <v>-0.76712810646459062</v>
      </c>
      <c r="E971" s="1">
        <f t="shared" si="2183"/>
        <v>19.772839893878057</v>
      </c>
      <c r="F971" s="1">
        <f t="shared" si="2184"/>
        <v>0</v>
      </c>
      <c r="G971" s="1">
        <f t="shared" si="2185"/>
        <v>-3.3708047650357895</v>
      </c>
      <c r="H971" s="1">
        <f t="shared" si="1728"/>
        <v>20.058103654955111</v>
      </c>
      <c r="I971" s="1">
        <f t="shared" si="2168"/>
        <v>-16.140807518359573</v>
      </c>
      <c r="J971" s="1">
        <f t="shared" si="2169"/>
        <v>0</v>
      </c>
      <c r="K971" s="1">
        <f t="shared" si="2170"/>
        <v>2.7516285564653393</v>
      </c>
      <c r="L971" s="1">
        <f t="shared" ref="L971:N971" si="2202">E971/$H971</f>
        <v>0.98577812908018436</v>
      </c>
      <c r="M971" s="1">
        <f t="shared" si="2202"/>
        <v>0</v>
      </c>
      <c r="N971" s="1">
        <f t="shared" si="2202"/>
        <v>-0.168052016432923</v>
      </c>
      <c r="O971" s="1">
        <f t="shared" si="1730"/>
        <v>-0.168052016432923</v>
      </c>
      <c r="P971" s="1">
        <f t="shared" si="2172"/>
        <v>0.16566200234739922</v>
      </c>
      <c r="Q971" s="1">
        <f t="shared" si="2173"/>
        <v>0</v>
      </c>
      <c r="R971" s="1">
        <f t="shared" si="2174"/>
        <v>0.97175851977282857</v>
      </c>
      <c r="S971" s="1">
        <f t="shared" si="2175"/>
        <v>1.3238287809741509</v>
      </c>
      <c r="T971" s="1">
        <f t="shared" ref="T971:V971" si="2203">$S971*P971</f>
        <v>0.21930812662129445</v>
      </c>
      <c r="U971" s="1">
        <f t="shared" si="2203"/>
        <v>0</v>
      </c>
      <c r="V971" s="1">
        <f t="shared" si="2203"/>
        <v>1.2864418966321089</v>
      </c>
      <c r="W971" s="1">
        <f t="shared" si="2177"/>
        <v>-15.921499391738278</v>
      </c>
      <c r="X971" s="1">
        <f t="shared" si="2178"/>
        <v>0</v>
      </c>
      <c r="Y971" s="1">
        <f t="shared" si="2179"/>
        <v>-5.7685795469025507</v>
      </c>
    </row>
    <row r="972" spans="1:25">
      <c r="A972" s="1">
        <v>0.97</v>
      </c>
      <c r="B972" s="1">
        <f t="shared" si="2180"/>
        <v>37.164433151076558</v>
      </c>
      <c r="C972" s="1">
        <f t="shared" si="2181"/>
        <v>0</v>
      </c>
      <c r="D972" s="1">
        <f t="shared" si="2182"/>
        <v>-0.77050467980917337</v>
      </c>
      <c r="E972" s="1">
        <f t="shared" si="2183"/>
        <v>19.75691839448632</v>
      </c>
      <c r="F972" s="1">
        <f t="shared" si="2184"/>
        <v>0</v>
      </c>
      <c r="G972" s="1">
        <f t="shared" si="2185"/>
        <v>-3.3765733445826922</v>
      </c>
      <c r="H972" s="1">
        <f t="shared" si="1728"/>
        <v>20.04337975486515</v>
      </c>
      <c r="I972" s="1">
        <f t="shared" si="2168"/>
        <v>-16.115971786844202</v>
      </c>
      <c r="J972" s="1">
        <f t="shared" si="2169"/>
        <v>0</v>
      </c>
      <c r="K972" s="1">
        <f t="shared" si="2170"/>
        <v>2.7543141936898037</v>
      </c>
      <c r="L972" s="1">
        <f t="shared" ref="L972:N972" si="2204">E972/$H972</f>
        <v>0.98570793130288836</v>
      </c>
      <c r="M972" s="1">
        <f t="shared" si="2204"/>
        <v>0</v>
      </c>
      <c r="N972" s="1">
        <f t="shared" si="2204"/>
        <v>-0.16846327245598852</v>
      </c>
      <c r="O972" s="1">
        <f t="shared" si="1730"/>
        <v>-0.16846327245598852</v>
      </c>
      <c r="P972" s="1">
        <f t="shared" si="2172"/>
        <v>0.16605558379310731</v>
      </c>
      <c r="Q972" s="1">
        <f t="shared" si="2173"/>
        <v>0</v>
      </c>
      <c r="R972" s="1">
        <f t="shared" si="2174"/>
        <v>0.97162012583341939</v>
      </c>
      <c r="S972" s="1">
        <f t="shared" si="2175"/>
        <v>1.3218859484014915</v>
      </c>
      <c r="T972" s="1">
        <f t="shared" ref="T972:V972" si="2205">$S972*P972</f>
        <v>0.21950654286971499</v>
      </c>
      <c r="U972" s="1">
        <f t="shared" si="2205"/>
        <v>0</v>
      </c>
      <c r="V972" s="1">
        <f t="shared" si="2205"/>
        <v>1.2843709915232862</v>
      </c>
      <c r="W972" s="1">
        <f t="shared" si="2177"/>
        <v>-15.896465243974488</v>
      </c>
      <c r="X972" s="1">
        <f t="shared" si="2178"/>
        <v>0</v>
      </c>
      <c r="Y972" s="1">
        <f t="shared" si="2179"/>
        <v>-5.7679648147869091</v>
      </c>
    </row>
    <row r="973" spans="1:25">
      <c r="A973" s="1">
        <v>0.97099999999999997</v>
      </c>
      <c r="B973" s="1">
        <f t="shared" si="2180"/>
        <v>37.1841741730058</v>
      </c>
      <c r="C973" s="1">
        <f t="shared" si="2181"/>
        <v>0</v>
      </c>
      <c r="D973" s="1">
        <f t="shared" si="2182"/>
        <v>-0.77388702111857088</v>
      </c>
      <c r="E973" s="1">
        <f t="shared" si="2183"/>
        <v>19.741021929242347</v>
      </c>
      <c r="F973" s="1">
        <f t="shared" si="2184"/>
        <v>0</v>
      </c>
      <c r="G973" s="1">
        <f t="shared" si="2185"/>
        <v>-3.382341309397479</v>
      </c>
      <c r="H973" s="1">
        <f t="shared" si="1728"/>
        <v>20.028683919421265</v>
      </c>
      <c r="I973" s="1">
        <f t="shared" si="2168"/>
        <v>-16.091198089443999</v>
      </c>
      <c r="J973" s="1">
        <f t="shared" si="2169"/>
        <v>0</v>
      </c>
      <c r="K973" s="1">
        <f t="shared" si="2170"/>
        <v>2.7569962796608412</v>
      </c>
      <c r="L973" s="1">
        <f t="shared" ref="L973:N973" si="2206">E973/$H973</f>
        <v>0.98563749913193344</v>
      </c>
      <c r="M973" s="1">
        <f t="shared" si="2206"/>
        <v>0</v>
      </c>
      <c r="N973" s="1">
        <f t="shared" si="2206"/>
        <v>-0.16887486581770436</v>
      </c>
      <c r="O973" s="1">
        <f t="shared" si="1730"/>
        <v>-0.16887486581770436</v>
      </c>
      <c r="P973" s="1">
        <f t="shared" si="2172"/>
        <v>0.16644940041080294</v>
      </c>
      <c r="Q973" s="1">
        <f t="shared" si="2173"/>
        <v>0</v>
      </c>
      <c r="R973" s="1">
        <f t="shared" si="2174"/>
        <v>0.97148127969505238</v>
      </c>
      <c r="S973" s="1">
        <f t="shared" si="2175"/>
        <v>1.3199482415930706</v>
      </c>
      <c r="T973" s="1">
        <f t="shared" ref="T973:V973" si="2207">$S973*P973</f>
        <v>0.21970459338646026</v>
      </c>
      <c r="U973" s="1">
        <f t="shared" si="2207"/>
        <v>0</v>
      </c>
      <c r="V973" s="1">
        <f t="shared" si="2207"/>
        <v>1.2823050068740705</v>
      </c>
      <c r="W973" s="1">
        <f t="shared" si="2177"/>
        <v>-15.871493496057539</v>
      </c>
      <c r="X973" s="1">
        <f t="shared" si="2178"/>
        <v>0</v>
      </c>
      <c r="Y973" s="1">
        <f t="shared" si="2179"/>
        <v>-5.767348713465088</v>
      </c>
    </row>
    <row r="974" spans="1:25">
      <c r="A974" s="1">
        <v>0.97199999999999998</v>
      </c>
      <c r="B974" s="1">
        <f t="shared" si="2180"/>
        <v>37.203899323441547</v>
      </c>
      <c r="C974" s="1">
        <f t="shared" si="2181"/>
        <v>0</v>
      </c>
      <c r="D974" s="1">
        <f t="shared" si="2182"/>
        <v>-0.77727512977668178</v>
      </c>
      <c r="E974" s="1">
        <f t="shared" si="2183"/>
        <v>19.72515043574629</v>
      </c>
      <c r="F974" s="1">
        <f t="shared" si="2184"/>
        <v>0</v>
      </c>
      <c r="G974" s="1">
        <f t="shared" si="2185"/>
        <v>-3.3881086581109443</v>
      </c>
      <c r="H974" s="1">
        <f t="shared" si="1728"/>
        <v>20.014016088531267</v>
      </c>
      <c r="I974" s="1">
        <f t="shared" si="2168"/>
        <v>-16.066486227707269</v>
      </c>
      <c r="J974" s="1">
        <f t="shared" si="2169"/>
        <v>0</v>
      </c>
      <c r="K974" s="1">
        <f t="shared" si="2170"/>
        <v>2.7596748258440207</v>
      </c>
      <c r="L974" s="1">
        <f t="shared" ref="L974:N974" si="2208">E974/$H974</f>
        <v>0.98556683218864261</v>
      </c>
      <c r="M974" s="1">
        <f t="shared" si="2208"/>
        <v>0</v>
      </c>
      <c r="N974" s="1">
        <f t="shared" si="2208"/>
        <v>-0.169286795969573</v>
      </c>
      <c r="O974" s="1">
        <f t="shared" si="1730"/>
        <v>-0.169286795969573</v>
      </c>
      <c r="P974" s="1">
        <f t="shared" si="2172"/>
        <v>0.16684345123509714</v>
      </c>
      <c r="Q974" s="1">
        <f t="shared" si="2173"/>
        <v>0</v>
      </c>
      <c r="R974" s="1">
        <f t="shared" si="2174"/>
        <v>0.97134198071035616</v>
      </c>
      <c r="S974" s="1">
        <f t="shared" si="2175"/>
        <v>1.3180156444917011</v>
      </c>
      <c r="T974" s="1">
        <f t="shared" ref="T974:V974" si="2209">$S974*P974</f>
        <v>0.21990227890884625</v>
      </c>
      <c r="U974" s="1">
        <f t="shared" si="2209"/>
        <v>0</v>
      </c>
      <c r="V974" s="1">
        <f t="shared" si="2209"/>
        <v>1.2802439267278056</v>
      </c>
      <c r="W974" s="1">
        <f t="shared" si="2177"/>
        <v>-15.846583948798424</v>
      </c>
      <c r="X974" s="1">
        <f t="shared" si="2178"/>
        <v>0</v>
      </c>
      <c r="Y974" s="1">
        <f t="shared" si="2179"/>
        <v>-5.7667312474281731</v>
      </c>
    </row>
    <row r="975" spans="1:25">
      <c r="A975" s="1">
        <v>0.97299999999999998</v>
      </c>
      <c r="B975" s="1">
        <f t="shared" si="2180"/>
        <v>37.223608627293345</v>
      </c>
      <c r="C975" s="1">
        <f t="shared" si="2181"/>
        <v>0</v>
      </c>
      <c r="D975" s="1">
        <f t="shared" si="2182"/>
        <v>-0.78066900516604021</v>
      </c>
      <c r="E975" s="1">
        <f t="shared" si="2183"/>
        <v>19.709303851797493</v>
      </c>
      <c r="F975" s="1">
        <f t="shared" si="2184"/>
        <v>0</v>
      </c>
      <c r="G975" s="1">
        <f t="shared" si="2185"/>
        <v>-3.3938753893583726</v>
      </c>
      <c r="H975" s="1">
        <f t="shared" si="1728"/>
        <v>19.999376202296208</v>
      </c>
      <c r="I975" s="1">
        <f t="shared" si="2168"/>
        <v>-16.04183600397473</v>
      </c>
      <c r="J975" s="1">
        <f t="shared" si="2169"/>
        <v>0</v>
      </c>
      <c r="K975" s="1">
        <f t="shared" si="2170"/>
        <v>2.7623498436778928</v>
      </c>
      <c r="L975" s="1">
        <f t="shared" ref="L975:N975" si="2210">E975/$H975</f>
        <v>0.98549593009478909</v>
      </c>
      <c r="M975" s="1">
        <f t="shared" si="2210"/>
        <v>0</v>
      </c>
      <c r="N975" s="1">
        <f t="shared" si="2210"/>
        <v>-0.16969906236219048</v>
      </c>
      <c r="O975" s="1">
        <f t="shared" si="1730"/>
        <v>-0.16969906236219048</v>
      </c>
      <c r="P975" s="1">
        <f t="shared" si="2172"/>
        <v>0.16723773529884053</v>
      </c>
      <c r="Q975" s="1">
        <f t="shared" si="2173"/>
        <v>0</v>
      </c>
      <c r="R975" s="1">
        <f t="shared" si="2174"/>
        <v>0.97120222823339342</v>
      </c>
      <c r="S975" s="1">
        <f t="shared" si="2175"/>
        <v>1.3160881411043364</v>
      </c>
      <c r="T975" s="1">
        <f t="shared" ref="T975:V975" si="2211">$S975*P975</f>
        <v>0.2200996001719501</v>
      </c>
      <c r="U975" s="1">
        <f t="shared" si="2211"/>
        <v>0</v>
      </c>
      <c r="V975" s="1">
        <f t="shared" si="2211"/>
        <v>1.2781877351920761</v>
      </c>
      <c r="W975" s="1">
        <f t="shared" si="2177"/>
        <v>-15.821736403802779</v>
      </c>
      <c r="X975" s="1">
        <f t="shared" si="2178"/>
        <v>0</v>
      </c>
      <c r="Y975" s="1">
        <f t="shared" si="2179"/>
        <v>-5.7661124211300301</v>
      </c>
    </row>
    <row r="976" spans="1:25">
      <c r="A976" s="1">
        <v>0.97399999999999998</v>
      </c>
      <c r="B976" s="1">
        <f t="shared" si="2180"/>
        <v>37.243302109408738</v>
      </c>
      <c r="C976" s="1">
        <f t="shared" si="2181"/>
        <v>0</v>
      </c>
      <c r="D976" s="1">
        <f t="shared" si="2182"/>
        <v>-0.78406864666781972</v>
      </c>
      <c r="E976" s="1">
        <f t="shared" si="2183"/>
        <v>19.693482115393689</v>
      </c>
      <c r="F976" s="1">
        <f t="shared" si="2184"/>
        <v>0</v>
      </c>
      <c r="G976" s="1">
        <f t="shared" si="2185"/>
        <v>-3.3996415017795028</v>
      </c>
      <c r="H976" s="1">
        <f t="shared" si="1728"/>
        <v>19.984764201009543</v>
      </c>
      <c r="I976" s="1">
        <f t="shared" si="2168"/>
        <v>-16.017247221375658</v>
      </c>
      <c r="J976" s="1">
        <f t="shared" si="2169"/>
        <v>0</v>
      </c>
      <c r="K976" s="1">
        <f t="shared" si="2170"/>
        <v>2.7650213445740626</v>
      </c>
      <c r="L976" s="1">
        <f t="shared" ref="L976:N976" si="2212">E976/$H976</f>
        <v>0.98542479247260073</v>
      </c>
      <c r="M976" s="1">
        <f t="shared" si="2212"/>
        <v>0</v>
      </c>
      <c r="N976" s="1">
        <f t="shared" si="2212"/>
        <v>-0.17011166444524611</v>
      </c>
      <c r="O976" s="1">
        <f t="shared" si="1730"/>
        <v>-0.17011166444524611</v>
      </c>
      <c r="P976" s="1">
        <f t="shared" si="2172"/>
        <v>0.16763225163312534</v>
      </c>
      <c r="Q976" s="1">
        <f t="shared" si="2173"/>
        <v>0</v>
      </c>
      <c r="R976" s="1">
        <f t="shared" si="2174"/>
        <v>0.97106202161966804</v>
      </c>
      <c r="S976" s="1">
        <f t="shared" si="2175"/>
        <v>1.314165715501757</v>
      </c>
      <c r="T976" s="1">
        <f t="shared" ref="T976:V976" si="2213">$S976*P976</f>
        <v>0.22029655790861674</v>
      </c>
      <c r="U976" s="1">
        <f t="shared" si="2213"/>
        <v>0</v>
      </c>
      <c r="V976" s="1">
        <f t="shared" si="2213"/>
        <v>1.2761364164383937</v>
      </c>
      <c r="W976" s="1">
        <f t="shared" si="2177"/>
        <v>-15.796950663467042</v>
      </c>
      <c r="X976" s="1">
        <f t="shared" si="2178"/>
        <v>0</v>
      </c>
      <c r="Y976" s="1">
        <f t="shared" si="2179"/>
        <v>-5.7654922389875427</v>
      </c>
    </row>
    <row r="977" spans="1:25">
      <c r="A977" s="1">
        <v>0.97499999999999998</v>
      </c>
      <c r="B977" s="1">
        <f t="shared" si="2180"/>
        <v>37.262979794573468</v>
      </c>
      <c r="C977" s="1">
        <f t="shared" si="2181"/>
        <v>0</v>
      </c>
      <c r="D977" s="1">
        <f t="shared" si="2182"/>
        <v>-0.7874740536618382</v>
      </c>
      <c r="E977" s="1">
        <f t="shared" si="2183"/>
        <v>19.677685164730221</v>
      </c>
      <c r="F977" s="1">
        <f t="shared" si="2184"/>
        <v>0</v>
      </c>
      <c r="G977" s="1">
        <f t="shared" si="2185"/>
        <v>-3.4054069940184903</v>
      </c>
      <c r="H977" s="1">
        <f t="shared" si="1728"/>
        <v>19.970180025156356</v>
      </c>
      <c r="I977" s="1">
        <f t="shared" si="2168"/>
        <v>-15.992719683824111</v>
      </c>
      <c r="J977" s="1">
        <f t="shared" si="2169"/>
        <v>0</v>
      </c>
      <c r="K977" s="1">
        <f t="shared" si="2170"/>
        <v>2.7676893399172582</v>
      </c>
      <c r="L977" s="1">
        <f t="shared" ref="L977:N977" si="2214">E977/$H977</f>
        <v>0.98535341894476258</v>
      </c>
      <c r="M977" s="1">
        <f t="shared" si="2214"/>
        <v>0</v>
      </c>
      <c r="N977" s="1">
        <f t="shared" si="2214"/>
        <v>-0.17052460166752192</v>
      </c>
      <c r="O977" s="1">
        <f t="shared" si="1730"/>
        <v>-0.17052460166752192</v>
      </c>
      <c r="P977" s="1">
        <f t="shared" si="2172"/>
        <v>0.16802699926728648</v>
      </c>
      <c r="Q977" s="1">
        <f t="shared" si="2173"/>
        <v>0</v>
      </c>
      <c r="R977" s="1">
        <f t="shared" si="2174"/>
        <v>0.97092136022613296</v>
      </c>
      <c r="S977" s="1">
        <f t="shared" si="2175"/>
        <v>1.3122483518182657</v>
      </c>
      <c r="T977" s="1">
        <f t="shared" ref="T977:V977" si="2215">$S977*P977</f>
        <v>0.22049315284946563</v>
      </c>
      <c r="U977" s="1">
        <f t="shared" si="2215"/>
        <v>0</v>
      </c>
      <c r="V977" s="1">
        <f t="shared" si="2215"/>
        <v>1.2740899547018916</v>
      </c>
      <c r="W977" s="1">
        <f t="shared" si="2177"/>
        <v>-15.772226530974645</v>
      </c>
      <c r="X977" s="1">
        <f t="shared" si="2178"/>
        <v>0</v>
      </c>
      <c r="Y977" s="1">
        <f t="shared" si="2179"/>
        <v>-5.7648707053808499</v>
      </c>
    </row>
    <row r="978" spans="1:25">
      <c r="A978" s="1">
        <v>0.97599999999999998</v>
      </c>
      <c r="B978" s="1">
        <f t="shared" si="2180"/>
        <v>37.282641707511665</v>
      </c>
      <c r="C978" s="1">
        <f t="shared" si="2181"/>
        <v>0</v>
      </c>
      <c r="D978" s="1">
        <f t="shared" si="2182"/>
        <v>-0.79088522552656204</v>
      </c>
      <c r="E978" s="1">
        <f t="shared" si="2183"/>
        <v>19.661912938199247</v>
      </c>
      <c r="F978" s="1">
        <f t="shared" si="2184"/>
        <v>0</v>
      </c>
      <c r="G978" s="1">
        <f t="shared" si="2185"/>
        <v>-3.4111718647238711</v>
      </c>
      <c r="H978" s="1">
        <f t="shared" si="1728"/>
        <v>19.955623615412541</v>
      </c>
      <c r="I978" s="1">
        <f t="shared" si="2168"/>
        <v>-15.968253196015112</v>
      </c>
      <c r="J978" s="1">
        <f t="shared" si="2169"/>
        <v>0</v>
      </c>
      <c r="K978" s="1">
        <f t="shared" si="2170"/>
        <v>2.7703538410654009</v>
      </c>
      <c r="L978" s="1">
        <f t="shared" ref="L978:N978" si="2216">E978/$H978</f>
        <v>0.9852818091344212</v>
      </c>
      <c r="M978" s="1">
        <f t="shared" si="2216"/>
        <v>0</v>
      </c>
      <c r="N978" s="1">
        <f t="shared" si="2216"/>
        <v>-0.17093787347689221</v>
      </c>
      <c r="O978" s="1">
        <f t="shared" si="1730"/>
        <v>-0.17093787347689221</v>
      </c>
      <c r="P978" s="1">
        <f t="shared" si="2172"/>
        <v>0.16842197722890315</v>
      </c>
      <c r="Q978" s="1">
        <f t="shared" si="2173"/>
        <v>0</v>
      </c>
      <c r="R978" s="1">
        <f t="shared" si="2174"/>
        <v>0.97078024341119795</v>
      </c>
      <c r="S978" s="1">
        <f t="shared" si="2175"/>
        <v>1.3103360342513795</v>
      </c>
      <c r="T978" s="1">
        <f t="shared" ref="T978:V978" si="2217">$S978*P978</f>
        <v>0.22068938572289709</v>
      </c>
      <c r="U978" s="1">
        <f t="shared" si="2217"/>
        <v>0</v>
      </c>
      <c r="V978" s="1">
        <f t="shared" si="2217"/>
        <v>1.272048334281018</v>
      </c>
      <c r="W978" s="1">
        <f t="shared" si="2177"/>
        <v>-15.747563810292215</v>
      </c>
      <c r="X978" s="1">
        <f t="shared" si="2178"/>
        <v>0</v>
      </c>
      <c r="Y978" s="1">
        <f t="shared" si="2179"/>
        <v>-5.7642478246535802</v>
      </c>
    </row>
    <row r="979" spans="1:25">
      <c r="A979" s="1">
        <v>0.97699999999999998</v>
      </c>
      <c r="B979" s="1">
        <f t="shared" si="2180"/>
        <v>37.302287872886055</v>
      </c>
      <c r="C979" s="1">
        <f t="shared" si="2181"/>
        <v>0</v>
      </c>
      <c r="D979" s="1">
        <f t="shared" si="2182"/>
        <v>-0.7943021616391106</v>
      </c>
      <c r="E979" s="1">
        <f t="shared" si="2183"/>
        <v>19.646165374388953</v>
      </c>
      <c r="F979" s="1">
        <f t="shared" si="2184"/>
        <v>0</v>
      </c>
      <c r="G979" s="1">
        <f t="shared" si="2185"/>
        <v>-3.4169361125485249</v>
      </c>
      <c r="H979" s="1">
        <f t="shared" si="1728"/>
        <v>19.941094912644033</v>
      </c>
      <c r="I979" s="1">
        <f t="shared" si="2168"/>
        <v>-15.943847563420924</v>
      </c>
      <c r="J979" s="1">
        <f t="shared" si="2169"/>
        <v>0</v>
      </c>
      <c r="K979" s="1">
        <f t="shared" si="2170"/>
        <v>2.7730148593496815</v>
      </c>
      <c r="L979" s="1">
        <f t="shared" ref="L979:N979" si="2218">E979/$H979</f>
        <v>0.98520996266518579</v>
      </c>
      <c r="M979" s="1">
        <f t="shared" si="2218"/>
        <v>0</v>
      </c>
      <c r="N979" s="1">
        <f t="shared" si="2218"/>
        <v>-0.17135147932032313</v>
      </c>
      <c r="O979" s="1">
        <f t="shared" si="1730"/>
        <v>-0.17135147932032313</v>
      </c>
      <c r="P979" s="1">
        <f t="shared" si="2172"/>
        <v>0.1688171845437999</v>
      </c>
      <c r="Q979" s="1">
        <f t="shared" si="2173"/>
        <v>0</v>
      </c>
      <c r="R979" s="1">
        <f t="shared" si="2174"/>
        <v>0.97063867053473685</v>
      </c>
      <c r="S979" s="1">
        <f t="shared" si="2175"/>
        <v>1.308428747061527</v>
      </c>
      <c r="T979" s="1">
        <f t="shared" ref="T979:V979" si="2219">$S979*P979</f>
        <v>0.22088525725509869</v>
      </c>
      <c r="U979" s="1">
        <f t="shared" si="2219"/>
        <v>0</v>
      </c>
      <c r="V979" s="1">
        <f t="shared" si="2219"/>
        <v>1.270011539537232</v>
      </c>
      <c r="W979" s="1">
        <f t="shared" si="2177"/>
        <v>-15.722962306165826</v>
      </c>
      <c r="X979" s="1">
        <f t="shared" si="2178"/>
        <v>0</v>
      </c>
      <c r="Y979" s="1">
        <f t="shared" si="2179"/>
        <v>-5.7636236011130855</v>
      </c>
    </row>
    <row r="980" spans="1:25">
      <c r="A980" s="1">
        <v>0.97799999999999998</v>
      </c>
      <c r="B980" s="1">
        <f t="shared" si="2180"/>
        <v>37.321918315298134</v>
      </c>
      <c r="C980" s="1">
        <f t="shared" si="2181"/>
        <v>0</v>
      </c>
      <c r="D980" s="1">
        <f t="shared" si="2182"/>
        <v>-0.79772486137526022</v>
      </c>
      <c r="E980" s="1">
        <f t="shared" si="2183"/>
        <v>19.630442412082786</v>
      </c>
      <c r="F980" s="1">
        <f t="shared" si="2184"/>
        <v>0</v>
      </c>
      <c r="G980" s="1">
        <f t="shared" si="2185"/>
        <v>-3.4226997361496379</v>
      </c>
      <c r="H980" s="1">
        <f t="shared" si="1728"/>
        <v>19.926593857906006</v>
      </c>
      <c r="I980" s="1">
        <f t="shared" si="2168"/>
        <v>-15.919502592287294</v>
      </c>
      <c r="J980" s="1">
        <f t="shared" si="2169"/>
        <v>0</v>
      </c>
      <c r="K980" s="1">
        <f t="shared" si="2170"/>
        <v>2.7756724060746252</v>
      </c>
      <c r="L980" s="1">
        <f t="shared" ref="L980:N980" si="2220">E980/$H980</f>
        <v>0.98513787916113316</v>
      </c>
      <c r="M980" s="1">
        <f t="shared" si="2220"/>
        <v>0</v>
      </c>
      <c r="N980" s="1">
        <f t="shared" si="2220"/>
        <v>-0.17176541864387221</v>
      </c>
      <c r="O980" s="1">
        <f t="shared" si="1730"/>
        <v>-0.17176541864387221</v>
      </c>
      <c r="P980" s="1">
        <f t="shared" si="2172"/>
        <v>0.16921262023604844</v>
      </c>
      <c r="Q980" s="1">
        <f t="shared" si="2173"/>
        <v>0</v>
      </c>
      <c r="R980" s="1">
        <f t="shared" si="2174"/>
        <v>0.97049664095809529</v>
      </c>
      <c r="S980" s="1">
        <f t="shared" si="2175"/>
        <v>1.3065264745717471</v>
      </c>
      <c r="T980" s="1">
        <f t="shared" ref="T980:V980" si="2221">$S980*P980</f>
        <v>0.22108076817005223</v>
      </c>
      <c r="U980" s="1">
        <f t="shared" si="2221"/>
        <v>0</v>
      </c>
      <c r="V980" s="1">
        <f t="shared" si="2221"/>
        <v>1.2679795548947028</v>
      </c>
      <c r="W980" s="1">
        <f t="shared" si="2177"/>
        <v>-15.698421824117242</v>
      </c>
      <c r="X980" s="1">
        <f t="shared" si="2178"/>
        <v>0</v>
      </c>
      <c r="Y980" s="1">
        <f t="shared" si="2179"/>
        <v>-5.7629980390306716</v>
      </c>
    </row>
    <row r="981" spans="1:25">
      <c r="A981" s="1">
        <v>0.97899999999999998</v>
      </c>
      <c r="B981" s="1">
        <f t="shared" si="2180"/>
        <v>37.341533059288395</v>
      </c>
      <c r="C981" s="1">
        <f t="shared" si="2181"/>
        <v>0</v>
      </c>
      <c r="D981" s="1">
        <f t="shared" si="2182"/>
        <v>-0.80115332410944884</v>
      </c>
      <c r="E981" s="1">
        <f t="shared" si="2183"/>
        <v>19.61474399025867</v>
      </c>
      <c r="F981" s="1">
        <f t="shared" si="2184"/>
        <v>0</v>
      </c>
      <c r="G981" s="1">
        <f t="shared" si="2185"/>
        <v>-3.4284627341886686</v>
      </c>
      <c r="H981" s="1">
        <f t="shared" si="1728"/>
        <v>19.912120392442112</v>
      </c>
      <c r="I981" s="1">
        <f t="shared" si="2168"/>
        <v>-15.895218089629743</v>
      </c>
      <c r="J981" s="1">
        <f t="shared" si="2169"/>
        <v>0</v>
      </c>
      <c r="K981" s="1">
        <f t="shared" si="2170"/>
        <v>2.7783264925181674</v>
      </c>
      <c r="L981" s="1">
        <f t="shared" ref="L981:N981" si="2222">E981/$H981</f>
        <v>0.98506555824680953</v>
      </c>
      <c r="M981" s="1">
        <f t="shared" si="2222"/>
        <v>0</v>
      </c>
      <c r="N981" s="1">
        <f t="shared" si="2222"/>
        <v>-0.17217969089268781</v>
      </c>
      <c r="O981" s="1">
        <f t="shared" si="1730"/>
        <v>-0.17217969089268781</v>
      </c>
      <c r="P981" s="1">
        <f t="shared" si="2172"/>
        <v>0.16960828332796862</v>
      </c>
      <c r="Q981" s="1">
        <f t="shared" si="2173"/>
        <v>0</v>
      </c>
      <c r="R981" s="1">
        <f t="shared" si="2174"/>
        <v>0.97035415404409853</v>
      </c>
      <c r="S981" s="1">
        <f t="shared" si="2175"/>
        <v>1.3046292011673888</v>
      </c>
      <c r="T981" s="1">
        <f t="shared" ref="T981:V981" si="2223">$S981*P981</f>
        <v>0.22127591918953984</v>
      </c>
      <c r="U981" s="1">
        <f t="shared" si="2223"/>
        <v>0</v>
      </c>
      <c r="V981" s="1">
        <f t="shared" si="2223"/>
        <v>1.2659523648400095</v>
      </c>
      <c r="W981" s="1">
        <f t="shared" si="2177"/>
        <v>-15.673942170440204</v>
      </c>
      <c r="X981" s="1">
        <f t="shared" si="2178"/>
        <v>0</v>
      </c>
      <c r="Y981" s="1">
        <f t="shared" si="2179"/>
        <v>-5.7623711426418227</v>
      </c>
    </row>
    <row r="982" spans="1:25">
      <c r="A982" s="1">
        <v>0.98</v>
      </c>
      <c r="B982" s="1">
        <f t="shared" si="2180"/>
        <v>37.361132129336482</v>
      </c>
      <c r="C982" s="1">
        <f t="shared" si="2181"/>
        <v>0</v>
      </c>
      <c r="D982" s="1">
        <f t="shared" si="2182"/>
        <v>-0.80458754921478015</v>
      </c>
      <c r="E982" s="1">
        <f t="shared" si="2183"/>
        <v>19.59907004808823</v>
      </c>
      <c r="F982" s="1">
        <f t="shared" si="2184"/>
        <v>0</v>
      </c>
      <c r="G982" s="1">
        <f t="shared" si="2185"/>
        <v>-3.4342251053313104</v>
      </c>
      <c r="H982" s="1">
        <f t="shared" si="1728"/>
        <v>19.897674457683667</v>
      </c>
      <c r="I982" s="1">
        <f t="shared" si="2168"/>
        <v>-15.870993863229856</v>
      </c>
      <c r="J982" s="1">
        <f t="shared" si="2169"/>
        <v>0</v>
      </c>
      <c r="K982" s="1">
        <f t="shared" si="2170"/>
        <v>2.7809771299317196</v>
      </c>
      <c r="L982" s="1">
        <f t="shared" ref="L982:N982" si="2224">E982/$H982</f>
        <v>0.98499299954723463</v>
      </c>
      <c r="M982" s="1">
        <f t="shared" si="2224"/>
        <v>0</v>
      </c>
      <c r="N982" s="1">
        <f t="shared" si="2224"/>
        <v>-0.17259429551100899</v>
      </c>
      <c r="O982" s="1">
        <f t="shared" si="1730"/>
        <v>-0.17259429551100899</v>
      </c>
      <c r="P982" s="1">
        <f t="shared" si="2172"/>
        <v>0.17000417284013056</v>
      </c>
      <c r="Q982" s="1">
        <f t="shared" si="2173"/>
        <v>0</v>
      </c>
      <c r="R982" s="1">
        <f t="shared" si="2174"/>
        <v>0.9702112091570585</v>
      </c>
      <c r="S982" s="1">
        <f t="shared" si="2175"/>
        <v>1.3027369112958092</v>
      </c>
      <c r="T982" s="1">
        <f t="shared" ref="T982:V982" si="2225">$S982*P982</f>
        <v>0.22147071103315058</v>
      </c>
      <c r="U982" s="1">
        <f t="shared" si="2225"/>
        <v>0</v>
      </c>
      <c r="V982" s="1">
        <f t="shared" si="2225"/>
        <v>1.2639299539218387</v>
      </c>
      <c r="W982" s="1">
        <f t="shared" si="2177"/>
        <v>-15.649523152196705</v>
      </c>
      <c r="X982" s="1">
        <f t="shared" si="2178"/>
        <v>0</v>
      </c>
      <c r="Y982" s="1">
        <f t="shared" si="2179"/>
        <v>-5.7617429161464413</v>
      </c>
    </row>
    <row r="983" spans="1:25">
      <c r="A983" s="1">
        <v>0.98099999999999998</v>
      </c>
      <c r="B983" s="1">
        <f t="shared" si="2180"/>
        <v>37.380715549861421</v>
      </c>
      <c r="C983" s="1">
        <f t="shared" si="2181"/>
        <v>0</v>
      </c>
      <c r="D983" s="1">
        <f t="shared" si="2182"/>
        <v>-0.80802753606302757</v>
      </c>
      <c r="E983" s="1">
        <f t="shared" si="2183"/>
        <v>19.583420524936034</v>
      </c>
      <c r="F983" s="1">
        <f t="shared" si="2184"/>
        <v>0</v>
      </c>
      <c r="G983" s="1">
        <f t="shared" si="2185"/>
        <v>-3.4399868482474569</v>
      </c>
      <c r="H983" s="1">
        <f t="shared" si="1728"/>
        <v>19.883255995248902</v>
      </c>
      <c r="I983" s="1">
        <f t="shared" si="2168"/>
        <v>-15.846829721631616</v>
      </c>
      <c r="J983" s="1">
        <f t="shared" si="2169"/>
        <v>0</v>
      </c>
      <c r="K983" s="1">
        <f t="shared" si="2170"/>
        <v>2.7836243295402414</v>
      </c>
      <c r="L983" s="1">
        <f t="shared" ref="L983:N983" si="2226">E983/$H983</f>
        <v>0.98492020268790414</v>
      </c>
      <c r="M983" s="1">
        <f t="shared" si="2226"/>
        <v>0</v>
      </c>
      <c r="N983" s="1">
        <f t="shared" si="2226"/>
        <v>-0.17300923194216483</v>
      </c>
      <c r="O983" s="1">
        <f t="shared" si="1730"/>
        <v>-0.17300923194216483</v>
      </c>
      <c r="P983" s="1">
        <f t="shared" si="2172"/>
        <v>0.1704002877913556</v>
      </c>
      <c r="Q983" s="1">
        <f t="shared" si="2173"/>
        <v>0</v>
      </c>
      <c r="R983" s="1">
        <f t="shared" si="2174"/>
        <v>0.97006780566278217</v>
      </c>
      <c r="S983" s="1">
        <f t="shared" si="2175"/>
        <v>1.3008495894660788</v>
      </c>
      <c r="T983" s="1">
        <f t="shared" ref="T983:V983" si="2227">$S983*P983</f>
        <v>0.22166514441828661</v>
      </c>
      <c r="U983" s="1">
        <f t="shared" si="2227"/>
        <v>0</v>
      </c>
      <c r="V983" s="1">
        <f t="shared" si="2227"/>
        <v>1.2619123067506901</v>
      </c>
      <c r="W983" s="1">
        <f t="shared" si="2177"/>
        <v>-15.625164577213329</v>
      </c>
      <c r="X983" s="1">
        <f t="shared" si="2178"/>
        <v>0</v>
      </c>
      <c r="Y983" s="1">
        <f t="shared" si="2179"/>
        <v>-5.7611133637090681</v>
      </c>
    </row>
    <row r="984" spans="1:25">
      <c r="A984" s="1">
        <v>0.98199999999999998</v>
      </c>
      <c r="B984" s="1">
        <f t="shared" si="2180"/>
        <v>37.40028334522178</v>
      </c>
      <c r="C984" s="1">
        <f t="shared" si="2181"/>
        <v>0</v>
      </c>
      <c r="D984" s="1">
        <f t="shared" si="2182"/>
        <v>-0.8114732840246387</v>
      </c>
      <c r="E984" s="1">
        <f t="shared" si="2183"/>
        <v>19.567795360358822</v>
      </c>
      <c r="F984" s="1">
        <f t="shared" si="2184"/>
        <v>0</v>
      </c>
      <c r="G984" s="1">
        <f t="shared" si="2185"/>
        <v>-3.4457479616111661</v>
      </c>
      <c r="H984" s="1">
        <f t="shared" si="1728"/>
        <v>19.868864946942182</v>
      </c>
      <c r="I984" s="1">
        <f t="shared" si="2168"/>
        <v>-15.822725474137748</v>
      </c>
      <c r="J984" s="1">
        <f t="shared" si="2169"/>
        <v>0</v>
      </c>
      <c r="K984" s="1">
        <f t="shared" si="2170"/>
        <v>2.7862681025423113</v>
      </c>
      <c r="L984" s="1">
        <f t="shared" ref="L984:N984" si="2228">E984/$H984</f>
        <v>0.98484716729479338</v>
      </c>
      <c r="M984" s="1">
        <f t="shared" si="2228"/>
        <v>0</v>
      </c>
      <c r="N984" s="1">
        <f t="shared" si="2228"/>
        <v>-0.17342449962857423</v>
      </c>
      <c r="O984" s="1">
        <f t="shared" si="1730"/>
        <v>-0.17342449962857423</v>
      </c>
      <c r="P984" s="1">
        <f t="shared" si="2172"/>
        <v>0.17079662719871827</v>
      </c>
      <c r="Q984" s="1">
        <f t="shared" si="2173"/>
        <v>0</v>
      </c>
      <c r="R984" s="1">
        <f t="shared" si="2174"/>
        <v>0.96992394292857864</v>
      </c>
      <c r="S984" s="1">
        <f t="shared" si="2175"/>
        <v>1.2989672202486873</v>
      </c>
      <c r="T984" s="1">
        <f t="shared" ref="T984:V984" si="2229">$S984*P984</f>
        <v>0.22185922006017042</v>
      </c>
      <c r="U984" s="1">
        <f t="shared" si="2229"/>
        <v>0</v>
      </c>
      <c r="V984" s="1">
        <f t="shared" si="2229"/>
        <v>1.2598994079985821</v>
      </c>
      <c r="W984" s="1">
        <f t="shared" si="2177"/>
        <v>-15.600866254077577</v>
      </c>
      <c r="X984" s="1">
        <f t="shared" si="2178"/>
        <v>0</v>
      </c>
      <c r="Y984" s="1">
        <f t="shared" si="2179"/>
        <v>-5.7604824894591058</v>
      </c>
    </row>
    <row r="985" spans="1:25">
      <c r="A985" s="1">
        <v>0.98299999999999998</v>
      </c>
      <c r="B985" s="1">
        <f t="shared" si="2180"/>
        <v>37.419835539715883</v>
      </c>
      <c r="C985" s="1">
        <f t="shared" si="2181"/>
        <v>0</v>
      </c>
      <c r="D985" s="1">
        <f t="shared" si="2182"/>
        <v>-0.81492479246873928</v>
      </c>
      <c r="E985" s="1">
        <f t="shared" si="2183"/>
        <v>19.552194494104743</v>
      </c>
      <c r="F985" s="1">
        <f t="shared" si="2184"/>
        <v>0</v>
      </c>
      <c r="G985" s="1">
        <f t="shared" si="2185"/>
        <v>-3.4515084441006252</v>
      </c>
      <c r="H985" s="1">
        <f t="shared" si="1728"/>
        <v>19.854501254753234</v>
      </c>
      <c r="I985" s="1">
        <f t="shared" si="2168"/>
        <v>-15.798680930806071</v>
      </c>
      <c r="J985" s="1">
        <f t="shared" si="2169"/>
        <v>0</v>
      </c>
      <c r="K985" s="1">
        <f t="shared" si="2170"/>
        <v>2.7889084601101946</v>
      </c>
      <c r="L985" s="1">
        <f t="shared" ref="L985:N985" si="2230">E985/$H985</f>
        <v>0.98477389299435969</v>
      </c>
      <c r="M985" s="1">
        <f t="shared" si="2230"/>
        <v>0</v>
      </c>
      <c r="N985" s="1">
        <f t="shared" si="2230"/>
        <v>-0.17384009801174544</v>
      </c>
      <c r="O985" s="1">
        <f t="shared" si="1730"/>
        <v>-0.17384009801174544</v>
      </c>
      <c r="P985" s="1">
        <f t="shared" si="2172"/>
        <v>0.1711931900775476</v>
      </c>
      <c r="Q985" s="1">
        <f t="shared" si="2173"/>
        <v>0</v>
      </c>
      <c r="R985" s="1">
        <f t="shared" si="2174"/>
        <v>0.9697796203232667</v>
      </c>
      <c r="S985" s="1">
        <f t="shared" si="2175"/>
        <v>1.2970897882752461</v>
      </c>
      <c r="T985" s="1">
        <f t="shared" ref="T985:V985" si="2231">$S985*P985</f>
        <v>0.22205293867185019</v>
      </c>
      <c r="U985" s="1">
        <f t="shared" si="2231"/>
        <v>0</v>
      </c>
      <c r="V985" s="1">
        <f t="shared" si="2231"/>
        <v>1.2578912423987545</v>
      </c>
      <c r="W985" s="1">
        <f t="shared" si="2177"/>
        <v>-15.57662799213422</v>
      </c>
      <c r="X985" s="1">
        <f t="shared" si="2178"/>
        <v>0</v>
      </c>
      <c r="Y985" s="1">
        <f t="shared" si="2179"/>
        <v>-5.7598502974910506</v>
      </c>
    </row>
    <row r="986" spans="1:25">
      <c r="A986" s="1">
        <v>0.98399999999999999</v>
      </c>
      <c r="B986" s="1">
        <f t="shared" si="2180"/>
        <v>37.439372157582</v>
      </c>
      <c r="C986" s="1">
        <f t="shared" si="2181"/>
        <v>0</v>
      </c>
      <c r="D986" s="1">
        <f t="shared" si="2182"/>
        <v>-0.81838206076313735</v>
      </c>
      <c r="E986" s="1">
        <f t="shared" si="2183"/>
        <v>19.536617866112607</v>
      </c>
      <c r="F986" s="1">
        <f t="shared" si="2184"/>
        <v>0</v>
      </c>
      <c r="G986" s="1">
        <f t="shared" si="2185"/>
        <v>-3.4572682943981161</v>
      </c>
      <c r="H986" s="1">
        <f t="shared" si="1728"/>
        <v>19.840164860856394</v>
      </c>
      <c r="I986" s="1">
        <f t="shared" si="2168"/>
        <v>-15.774695902445906</v>
      </c>
      <c r="J986" s="1">
        <f t="shared" si="2169"/>
        <v>0</v>
      </c>
      <c r="K986" s="1">
        <f t="shared" si="2170"/>
        <v>2.7915454133899145</v>
      </c>
      <c r="L986" s="1">
        <f t="shared" ref="L986:N986" si="2232">E986/$H986</f>
        <v>0.9847003794135466</v>
      </c>
      <c r="M986" s="1">
        <f t="shared" si="2232"/>
        <v>0</v>
      </c>
      <c r="N986" s="1">
        <f t="shared" si="2232"/>
        <v>-0.1742560265322757</v>
      </c>
      <c r="O986" s="1">
        <f t="shared" si="1730"/>
        <v>-0.1742560265322757</v>
      </c>
      <c r="P986" s="1">
        <f t="shared" si="2172"/>
        <v>0.17158997544142893</v>
      </c>
      <c r="Q986" s="1">
        <f t="shared" si="2173"/>
        <v>0</v>
      </c>
      <c r="R986" s="1">
        <f t="shared" si="2174"/>
        <v>0.9696348372171828</v>
      </c>
      <c r="S986" s="1">
        <f t="shared" si="2175"/>
        <v>1.2952172782382003</v>
      </c>
      <c r="T986" s="1">
        <f t="shared" ref="T986:V986" si="2233">$S986*P986</f>
        <v>0.22224630096420722</v>
      </c>
      <c r="U986" s="1">
        <f t="shared" si="2233"/>
        <v>0</v>
      </c>
      <c r="V986" s="1">
        <f t="shared" si="2233"/>
        <v>1.2558877947453799</v>
      </c>
      <c r="W986" s="1">
        <f t="shared" si="2177"/>
        <v>-15.552449601481699</v>
      </c>
      <c r="X986" s="1">
        <f t="shared" si="2178"/>
        <v>0</v>
      </c>
      <c r="Y986" s="1">
        <f t="shared" si="2179"/>
        <v>-5.7592167918647048</v>
      </c>
    </row>
    <row r="987" spans="1:25">
      <c r="A987" s="1">
        <v>0.98499999999999999</v>
      </c>
      <c r="B987" s="1">
        <f t="shared" si="2180"/>
        <v>37.458893222998512</v>
      </c>
      <c r="C987" s="1">
        <f t="shared" si="2181"/>
        <v>0</v>
      </c>
      <c r="D987" s="1">
        <f t="shared" si="2182"/>
        <v>-0.82184508827432734</v>
      </c>
      <c r="E987" s="1">
        <f t="shared" si="2183"/>
        <v>19.521065416511124</v>
      </c>
      <c r="F987" s="1">
        <f t="shared" si="2184"/>
        <v>0</v>
      </c>
      <c r="G987" s="1">
        <f t="shared" si="2185"/>
        <v>-3.4630275111899809</v>
      </c>
      <c r="H987" s="1">
        <f t="shared" si="1728"/>
        <v>19.825855707609829</v>
      </c>
      <c r="I987" s="1">
        <f t="shared" si="2168"/>
        <v>-15.750770200614458</v>
      </c>
      <c r="J987" s="1">
        <f t="shared" si="2169"/>
        <v>0</v>
      </c>
      <c r="K987" s="1">
        <f t="shared" si="2170"/>
        <v>2.7941789735013218</v>
      </c>
      <c r="L987" s="1">
        <f t="shared" ref="L987:N987" si="2234">E987/$H987</f>
        <v>0.98462662617978625</v>
      </c>
      <c r="M987" s="1">
        <f t="shared" si="2234"/>
        <v>0</v>
      </c>
      <c r="N987" s="1">
        <f t="shared" si="2234"/>
        <v>-0.17467228462985104</v>
      </c>
      <c r="O987" s="1">
        <f t="shared" si="1730"/>
        <v>-0.17467228462985104</v>
      </c>
      <c r="P987" s="1">
        <f t="shared" si="2172"/>
        <v>0.17198698230220558</v>
      </c>
      <c r="Q987" s="1">
        <f t="shared" si="2173"/>
        <v>0</v>
      </c>
      <c r="R987" s="1">
        <f t="shared" si="2174"/>
        <v>0.96948959298218829</v>
      </c>
      <c r="S987" s="1">
        <f t="shared" si="2175"/>
        <v>1.2933496748905344</v>
      </c>
      <c r="T987" s="1">
        <f t="shared" ref="T987:V987" si="2235">$S987*P987</f>
        <v>0.22243930764596168</v>
      </c>
      <c r="U987" s="1">
        <f t="shared" si="2235"/>
        <v>0</v>
      </c>
      <c r="V987" s="1">
        <f t="shared" si="2235"/>
        <v>1.2538890498932698</v>
      </c>
      <c r="W987" s="1">
        <f t="shared" si="2177"/>
        <v>-15.528330892968496</v>
      </c>
      <c r="X987" s="1">
        <f t="shared" si="2178"/>
        <v>0</v>
      </c>
      <c r="Y987" s="1">
        <f t="shared" si="2179"/>
        <v>-5.7585819766054076</v>
      </c>
    </row>
    <row r="988" spans="1:25">
      <c r="A988" s="1">
        <v>0.98599999999999999</v>
      </c>
      <c r="B988" s="1">
        <f t="shared" si="2180"/>
        <v>37.478398760084133</v>
      </c>
      <c r="C988" s="1">
        <f t="shared" si="2181"/>
        <v>0</v>
      </c>
      <c r="D988" s="1">
        <f t="shared" si="2182"/>
        <v>-0.82531387436749393</v>
      </c>
      <c r="E988" s="1">
        <f t="shared" si="2183"/>
        <v>19.505537085618155</v>
      </c>
      <c r="F988" s="1">
        <f t="shared" si="2184"/>
        <v>0</v>
      </c>
      <c r="G988" s="1">
        <f t="shared" si="2185"/>
        <v>-3.4687860931665861</v>
      </c>
      <c r="H988" s="1">
        <f t="shared" si="1728"/>
        <v>19.811573737554799</v>
      </c>
      <c r="I988" s="1">
        <f t="shared" si="2168"/>
        <v>-15.726903637613258</v>
      </c>
      <c r="J988" s="1">
        <f t="shared" si="2169"/>
        <v>0</v>
      </c>
      <c r="K988" s="1">
        <f t="shared" si="2170"/>
        <v>2.7968091515381621</v>
      </c>
      <c r="L988" s="1">
        <f t="shared" ref="L988:N988" si="2236">E988/$H988</f>
        <v>0.98455263292100204</v>
      </c>
      <c r="M988" s="1">
        <f t="shared" si="2236"/>
        <v>0</v>
      </c>
      <c r="N988" s="1">
        <f t="shared" si="2236"/>
        <v>-0.17508887174324567</v>
      </c>
      <c r="O988" s="1">
        <f t="shared" si="1730"/>
        <v>-0.17508887174324567</v>
      </c>
      <c r="P988" s="1">
        <f t="shared" si="2172"/>
        <v>0.17238420966998017</v>
      </c>
      <c r="Q988" s="1">
        <f t="shared" si="2173"/>
        <v>0</v>
      </c>
      <c r="R988" s="1">
        <f t="shared" si="2174"/>
        <v>0.96934388699167728</v>
      </c>
      <c r="S988" s="1">
        <f t="shared" si="2175"/>
        <v>1.2914869630454866</v>
      </c>
      <c r="T988" s="1">
        <f t="shared" ref="T988:V988" si="2237">$S988*P988</f>
        <v>0.22263195942367908</v>
      </c>
      <c r="U988" s="1">
        <f t="shared" si="2237"/>
        <v>0</v>
      </c>
      <c r="V988" s="1">
        <f t="shared" si="2237"/>
        <v>1.2518949927575886</v>
      </c>
      <c r="W988" s="1">
        <f t="shared" si="2177"/>
        <v>-15.504271678189578</v>
      </c>
      <c r="X988" s="1">
        <f t="shared" si="2178"/>
        <v>0</v>
      </c>
      <c r="Y988" s="1">
        <f t="shared" si="2179"/>
        <v>-5.7579458557042482</v>
      </c>
    </row>
    <row r="989" spans="1:25">
      <c r="A989" s="1">
        <v>0.98699999999999999</v>
      </c>
      <c r="B989" s="1">
        <f t="shared" si="2180"/>
        <v>37.497888792898074</v>
      </c>
      <c r="C989" s="1">
        <f t="shared" si="2181"/>
        <v>0</v>
      </c>
      <c r="D989" s="1">
        <f t="shared" si="2182"/>
        <v>-0.82878841840651618</v>
      </c>
      <c r="E989" s="1">
        <f t="shared" si="2183"/>
        <v>19.490032813939965</v>
      </c>
      <c r="F989" s="1">
        <f t="shared" si="2184"/>
        <v>0</v>
      </c>
      <c r="G989" s="1">
        <f t="shared" si="2185"/>
        <v>-3.4745440390222906</v>
      </c>
      <c r="H989" s="1">
        <f t="shared" si="1728"/>
        <v>19.797318893414882</v>
      </c>
      <c r="I989" s="1">
        <f t="shared" si="2168"/>
        <v>-15.703096026484596</v>
      </c>
      <c r="J989" s="1">
        <f t="shared" si="2169"/>
        <v>0</v>
      </c>
      <c r="K989" s="1">
        <f t="shared" si="2170"/>
        <v>2.799435958568147</v>
      </c>
      <c r="L989" s="1">
        <f t="shared" ref="L989:N989" si="2238">E989/$H989</f>
        <v>0.98447839926561331</v>
      </c>
      <c r="M989" s="1">
        <f t="shared" si="2238"/>
        <v>0</v>
      </c>
      <c r="N989" s="1">
        <f t="shared" si="2238"/>
        <v>-0.17550578731032196</v>
      </c>
      <c r="O989" s="1">
        <f t="shared" si="1730"/>
        <v>-0.17550578731032196</v>
      </c>
      <c r="P989" s="1">
        <f t="shared" si="2172"/>
        <v>0.17278165655311695</v>
      </c>
      <c r="Q989" s="1">
        <f t="shared" si="2173"/>
        <v>0</v>
      </c>
      <c r="R989" s="1">
        <f t="shared" si="2174"/>
        <v>0.96919771862058401</v>
      </c>
      <c r="S989" s="1">
        <f t="shared" si="2175"/>
        <v>1.2896291275762584</v>
      </c>
      <c r="T989" s="1">
        <f t="shared" ref="T989:V989" si="2239">$S989*P989</f>
        <v>0.22282425700177691</v>
      </c>
      <c r="U989" s="1">
        <f t="shared" si="2239"/>
        <v>0</v>
      </c>
      <c r="V989" s="1">
        <f t="shared" si="2239"/>
        <v>1.2499056083135638</v>
      </c>
      <c r="W989" s="1">
        <f t="shared" si="2177"/>
        <v>-15.480271769482819</v>
      </c>
      <c r="X989" s="1">
        <f t="shared" si="2178"/>
        <v>0</v>
      </c>
      <c r="Y989" s="1">
        <f t="shared" si="2179"/>
        <v>-5.7573084331182889</v>
      </c>
    </row>
    <row r="990" spans="1:25">
      <c r="A990" s="1">
        <v>0.98799999999999999</v>
      </c>
      <c r="B990" s="1">
        <f t="shared" si="2180"/>
        <v>37.517363345440245</v>
      </c>
      <c r="C990" s="1">
        <f t="shared" si="2181"/>
        <v>0</v>
      </c>
      <c r="D990" s="1">
        <f t="shared" si="2182"/>
        <v>-0.83226871975397154</v>
      </c>
      <c r="E990" s="1">
        <f t="shared" si="2183"/>
        <v>19.474552542170482</v>
      </c>
      <c r="F990" s="1">
        <f t="shared" si="2184"/>
        <v>0</v>
      </c>
      <c r="G990" s="1">
        <f t="shared" si="2185"/>
        <v>-3.4803013474554088</v>
      </c>
      <c r="H990" s="1">
        <f t="shared" si="1728"/>
        <v>19.783091118095239</v>
      </c>
      <c r="I990" s="1">
        <f t="shared" si="2168"/>
        <v>-15.679347181007978</v>
      </c>
      <c r="J990" s="1">
        <f t="shared" si="2169"/>
        <v>0</v>
      </c>
      <c r="K990" s="1">
        <f t="shared" si="2170"/>
        <v>2.8020594056330195</v>
      </c>
      <c r="L990" s="1">
        <f t="shared" ref="L990:N990" si="2240">E990/$H990</f>
        <v>0.98440392484253669</v>
      </c>
      <c r="M990" s="1">
        <f t="shared" si="2240"/>
        <v>0</v>
      </c>
      <c r="N990" s="1">
        <f t="shared" si="2240"/>
        <v>-0.17592303076802995</v>
      </c>
      <c r="O990" s="1">
        <f t="shared" si="1730"/>
        <v>-0.17592303076802995</v>
      </c>
      <c r="P990" s="1">
        <f t="shared" si="2172"/>
        <v>0.17317932195824304</v>
      </c>
      <c r="Q990" s="1">
        <f t="shared" si="2173"/>
        <v>0</v>
      </c>
      <c r="R990" s="1">
        <f t="shared" si="2174"/>
        <v>0.9690510872453908</v>
      </c>
      <c r="S990" s="1">
        <f t="shared" si="2175"/>
        <v>1.287776153415731</v>
      </c>
      <c r="T990" s="1">
        <f t="shared" ref="T990:V990" si="2241">$S990*P990</f>
        <v>0.22301620108253067</v>
      </c>
      <c r="U990" s="1">
        <f t="shared" si="2241"/>
        <v>0</v>
      </c>
      <c r="V990" s="1">
        <f t="shared" si="2241"/>
        <v>1.2479208815962013</v>
      </c>
      <c r="W990" s="1">
        <f t="shared" si="2177"/>
        <v>-15.456330979925447</v>
      </c>
      <c r="X990" s="1">
        <f t="shared" si="2178"/>
        <v>0</v>
      </c>
      <c r="Y990" s="1">
        <f t="shared" si="2179"/>
        <v>-5.7566697127707789</v>
      </c>
    </row>
    <row r="991" spans="1:25">
      <c r="A991" s="1">
        <v>0.98899999999999999</v>
      </c>
      <c r="B991" s="1">
        <f t="shared" si="2180"/>
        <v>37.536822441651438</v>
      </c>
      <c r="C991" s="1">
        <f t="shared" si="2181"/>
        <v>0</v>
      </c>
      <c r="D991" s="1">
        <f t="shared" si="2182"/>
        <v>-0.83575477777113971</v>
      </c>
      <c r="E991" s="1">
        <f t="shared" si="2183"/>
        <v>19.459096211190555</v>
      </c>
      <c r="F991" s="1">
        <f t="shared" si="2184"/>
        <v>0</v>
      </c>
      <c r="G991" s="1">
        <f t="shared" si="2185"/>
        <v>-3.4860580171681796</v>
      </c>
      <c r="H991" s="1">
        <f t="shared" si="1728"/>
        <v>19.768890354681851</v>
      </c>
      <c r="I991" s="1">
        <f t="shared" si="2168"/>
        <v>-15.655656915696628</v>
      </c>
      <c r="J991" s="1">
        <f t="shared" si="2169"/>
        <v>0</v>
      </c>
      <c r="K991" s="1">
        <f t="shared" si="2170"/>
        <v>2.8046795037486256</v>
      </c>
      <c r="L991" s="1">
        <f t="shared" ref="L991:N991" si="2242">E991/$H991</f>
        <v>0.98432920928119128</v>
      </c>
      <c r="M991" s="1">
        <f t="shared" si="2242"/>
        <v>0</v>
      </c>
      <c r="N991" s="1">
        <f t="shared" si="2242"/>
        <v>-0.17634060155240727</v>
      </c>
      <c r="O991" s="1">
        <f t="shared" si="1730"/>
        <v>-0.17634060155240727</v>
      </c>
      <c r="P991" s="1">
        <f t="shared" si="2172"/>
        <v>0.17357720489025066</v>
      </c>
      <c r="Q991" s="1">
        <f t="shared" si="2173"/>
        <v>0</v>
      </c>
      <c r="R991" s="1">
        <f t="shared" si="2174"/>
        <v>0.96890399224413515</v>
      </c>
      <c r="S991" s="1">
        <f t="shared" si="2175"/>
        <v>1.2859280255561798</v>
      </c>
      <c r="T991" s="1">
        <f t="shared" ref="T991:V991" si="2243">$S991*P991</f>
        <v>0.22320779236608052</v>
      </c>
      <c r="U991" s="1">
        <f t="shared" si="2243"/>
        <v>0</v>
      </c>
      <c r="V991" s="1">
        <f t="shared" si="2243"/>
        <v>1.2459407977000008</v>
      </c>
      <c r="W991" s="1">
        <f t="shared" si="2177"/>
        <v>-15.432449123330548</v>
      </c>
      <c r="X991" s="1">
        <f t="shared" si="2178"/>
        <v>0</v>
      </c>
      <c r="Y991" s="1">
        <f t="shared" si="2179"/>
        <v>-5.756029698551373</v>
      </c>
    </row>
    <row r="992" spans="1:25">
      <c r="A992" s="1">
        <v>0.99</v>
      </c>
      <c r="B992" s="1">
        <f t="shared" si="2180"/>
        <v>37.556266105413506</v>
      </c>
      <c r="C992" s="1">
        <f t="shared" si="2181"/>
        <v>0</v>
      </c>
      <c r="D992" s="1">
        <f t="shared" si="2182"/>
        <v>-0.83924659181800643</v>
      </c>
      <c r="E992" s="1">
        <f t="shared" si="2183"/>
        <v>19.443663762067224</v>
      </c>
      <c r="F992" s="1">
        <f t="shared" si="2184"/>
        <v>0</v>
      </c>
      <c r="G992" s="1">
        <f t="shared" si="2185"/>
        <v>-3.4918140468667311</v>
      </c>
      <c r="H992" s="1">
        <f t="shared" si="1728"/>
        <v>19.754716546440804</v>
      </c>
      <c r="I992" s="1">
        <f t="shared" si="2168"/>
        <v>-15.632025045793993</v>
      </c>
      <c r="J992" s="1">
        <f t="shared" si="2169"/>
        <v>0</v>
      </c>
      <c r="K992" s="1">
        <f t="shared" si="2170"/>
        <v>2.8072962639049828</v>
      </c>
      <c r="L992" s="1">
        <f t="shared" ref="L992:N992" si="2244">E992/$H992</f>
        <v>0.9842542522114992</v>
      </c>
      <c r="M992" s="1">
        <f t="shared" si="2244"/>
        <v>0</v>
      </c>
      <c r="N992" s="1">
        <f t="shared" si="2244"/>
        <v>-0.17675849909857852</v>
      </c>
      <c r="O992" s="1">
        <f t="shared" si="1730"/>
        <v>-0.17675849909857852</v>
      </c>
      <c r="P992" s="1">
        <f t="shared" si="2172"/>
        <v>0.17397530435229835</v>
      </c>
      <c r="Q992" s="1">
        <f t="shared" si="2173"/>
        <v>0</v>
      </c>
      <c r="R992" s="1">
        <f t="shared" si="2174"/>
        <v>0.96875643299641778</v>
      </c>
      <c r="S992" s="1">
        <f t="shared" si="2175"/>
        <v>1.2840847290489936</v>
      </c>
      <c r="T992" s="1">
        <f t="shared" ref="T992:V992" si="2245">$S992*P992</f>
        <v>0.22339903155043722</v>
      </c>
      <c r="U992" s="1">
        <f t="shared" si="2245"/>
        <v>0</v>
      </c>
      <c r="V992" s="1">
        <f t="shared" si="2245"/>
        <v>1.2439653417786747</v>
      </c>
      <c r="W992" s="1">
        <f t="shared" si="2177"/>
        <v>-15.408626014243556</v>
      </c>
      <c r="X992" s="1">
        <f t="shared" si="2178"/>
        <v>0</v>
      </c>
      <c r="Y992" s="1">
        <f t="shared" si="2179"/>
        <v>-5.7553883943163422</v>
      </c>
    </row>
    <row r="993" spans="1:25">
      <c r="A993" s="1">
        <v>0.99099999999999999</v>
      </c>
      <c r="B993" s="1">
        <f t="shared" si="2180"/>
        <v>37.575694360549562</v>
      </c>
      <c r="C993" s="1">
        <f t="shared" si="2181"/>
        <v>0</v>
      </c>
      <c r="D993" s="1">
        <f t="shared" si="2182"/>
        <v>-0.84274416125326745</v>
      </c>
      <c r="E993" s="1">
        <f t="shared" si="2183"/>
        <v>19.428255136052982</v>
      </c>
      <c r="F993" s="1">
        <f t="shared" si="2184"/>
        <v>0</v>
      </c>
      <c r="G993" s="1">
        <f t="shared" si="2185"/>
        <v>-3.4975694352610476</v>
      </c>
      <c r="H993" s="1">
        <f t="shared" si="1728"/>
        <v>19.740569636817508</v>
      </c>
      <c r="I993" s="1">
        <f t="shared" si="2168"/>
        <v>-15.608451387270241</v>
      </c>
      <c r="J993" s="1">
        <f t="shared" si="2169"/>
        <v>0</v>
      </c>
      <c r="K993" s="1">
        <f t="shared" si="2170"/>
        <v>2.8099096970663449</v>
      </c>
      <c r="L993" s="1">
        <f t="shared" ref="L993:N993" si="2246">E993/$H993</f>
        <v>0.98417905326389177</v>
      </c>
      <c r="M993" s="1">
        <f t="shared" si="2246"/>
        <v>0</v>
      </c>
      <c r="N993" s="1">
        <f t="shared" si="2246"/>
        <v>-0.17717672284075542</v>
      </c>
      <c r="O993" s="1">
        <f t="shared" si="1730"/>
        <v>-0.17717672284075542</v>
      </c>
      <c r="P993" s="1">
        <f t="shared" si="2172"/>
        <v>0.17437361934581361</v>
      </c>
      <c r="Q993" s="1">
        <f t="shared" si="2173"/>
        <v>0</v>
      </c>
      <c r="R993" s="1">
        <f t="shared" si="2174"/>
        <v>0.96860840888341015</v>
      </c>
      <c r="S993" s="1">
        <f t="shared" si="2175"/>
        <v>1.2822462490043904</v>
      </c>
      <c r="T993" s="1">
        <f t="shared" ref="T993:V993" si="2247">$S993*P993</f>
        <v>0.22358991933148892</v>
      </c>
      <c r="U993" s="1">
        <f t="shared" si="2247"/>
        <v>0</v>
      </c>
      <c r="V993" s="1">
        <f t="shared" si="2247"/>
        <v>1.2419944990448635</v>
      </c>
      <c r="W993" s="1">
        <f t="shared" si="2177"/>
        <v>-15.384861467938752</v>
      </c>
      <c r="X993" s="1">
        <f t="shared" si="2178"/>
        <v>0</v>
      </c>
      <c r="Y993" s="1">
        <f t="shared" si="2179"/>
        <v>-5.7547458038887909</v>
      </c>
    </row>
    <row r="994" spans="1:25">
      <c r="A994" s="1">
        <v>0.99199999999999999</v>
      </c>
      <c r="B994" s="1">
        <f t="shared" si="2180"/>
        <v>37.595107230824148</v>
      </c>
      <c r="C994" s="1">
        <f t="shared" si="2181"/>
        <v>0</v>
      </c>
      <c r="D994" s="1">
        <f t="shared" si="2182"/>
        <v>-0.84624748543433237</v>
      </c>
      <c r="E994" s="1">
        <f t="shared" si="2183"/>
        <v>19.412870274585043</v>
      </c>
      <c r="F994" s="1">
        <f t="shared" si="2184"/>
        <v>0</v>
      </c>
      <c r="G994" s="1">
        <f t="shared" si="2185"/>
        <v>-3.5033241810649365</v>
      </c>
      <c r="H994" s="1">
        <f t="shared" si="1728"/>
        <v>19.726449569436003</v>
      </c>
      <c r="I994" s="1">
        <f t="shared" si="2168"/>
        <v>-15.584935756818826</v>
      </c>
      <c r="J994" s="1">
        <f t="shared" si="2169"/>
        <v>0</v>
      </c>
      <c r="K994" s="1">
        <f t="shared" si="2170"/>
        <v>2.8125198141712731</v>
      </c>
      <c r="L994" s="1">
        <f t="shared" ref="L994:N994" si="2248">E994/$H994</f>
        <v>0.9841036120693093</v>
      </c>
      <c r="M994" s="1">
        <f t="shared" si="2248"/>
        <v>0</v>
      </c>
      <c r="N994" s="1">
        <f t="shared" si="2248"/>
        <v>-0.1775952722122362</v>
      </c>
      <c r="O994" s="1">
        <f t="shared" si="1730"/>
        <v>-0.1775952722122362</v>
      </c>
      <c r="P994" s="1">
        <f t="shared" si="2172"/>
        <v>0.17477214887049389</v>
      </c>
      <c r="Q994" s="1">
        <f t="shared" si="2173"/>
        <v>0</v>
      </c>
      <c r="R994" s="1">
        <f t="shared" si="2174"/>
        <v>0.96845991928786168</v>
      </c>
      <c r="S994" s="1">
        <f t="shared" si="2175"/>
        <v>1.280412570591142</v>
      </c>
      <c r="T994" s="1">
        <f t="shared" ref="T994:V994" si="2249">$S994*P994</f>
        <v>0.22378045640300684</v>
      </c>
      <c r="U994" s="1">
        <f t="shared" si="2249"/>
        <v>0</v>
      </c>
      <c r="V994" s="1">
        <f t="shared" si="2249"/>
        <v>1.2400282547698609</v>
      </c>
      <c r="W994" s="1">
        <f t="shared" si="2177"/>
        <v>-15.361155300415819</v>
      </c>
      <c r="X994" s="1">
        <f t="shared" si="2178"/>
        <v>0</v>
      </c>
      <c r="Y994" s="1">
        <f t="shared" si="2179"/>
        <v>-5.7541019310588659</v>
      </c>
    </row>
    <row r="995" spans="1:25">
      <c r="A995" s="1">
        <v>0.99299999999999999</v>
      </c>
      <c r="B995" s="1">
        <f t="shared" si="2180"/>
        <v>37.614504739943435</v>
      </c>
      <c r="C995" s="1">
        <f t="shared" si="2181"/>
        <v>0</v>
      </c>
      <c r="D995" s="1">
        <f t="shared" si="2182"/>
        <v>-0.84975656371732833</v>
      </c>
      <c r="E995" s="1">
        <f t="shared" si="2183"/>
        <v>19.397509119284628</v>
      </c>
      <c r="F995" s="1">
        <f t="shared" si="2184"/>
        <v>0</v>
      </c>
      <c r="G995" s="1">
        <f t="shared" si="2185"/>
        <v>-3.5090782829959952</v>
      </c>
      <c r="H995" s="1">
        <f t="shared" si="1728"/>
        <v>19.712356288098196</v>
      </c>
      <c r="I995" s="1">
        <f t="shared" si="2168"/>
        <v>-15.561477971853048</v>
      </c>
      <c r="J995" s="1">
        <f t="shared" si="2169"/>
        <v>0</v>
      </c>
      <c r="K995" s="1">
        <f t="shared" si="2170"/>
        <v>2.8151266261327041</v>
      </c>
      <c r="L995" s="1">
        <f t="shared" ref="L995:N995" si="2250">E995/$H995</f>
        <v>0.98402792825920748</v>
      </c>
      <c r="M995" s="1">
        <f t="shared" si="2250"/>
        <v>0</v>
      </c>
      <c r="N995" s="1">
        <f t="shared" si="2250"/>
        <v>-0.1780141466454056</v>
      </c>
      <c r="O995" s="1">
        <f t="shared" si="1730"/>
        <v>-0.1780141466454056</v>
      </c>
      <c r="P995" s="1">
        <f t="shared" si="2172"/>
        <v>0.17517089192430924</v>
      </c>
      <c r="Q995" s="1">
        <f t="shared" si="2173"/>
        <v>0</v>
      </c>
      <c r="R995" s="1">
        <f t="shared" si="2174"/>
        <v>0.96831096359410807</v>
      </c>
      <c r="S995" s="1">
        <f t="shared" si="2175"/>
        <v>1.278583679036293</v>
      </c>
      <c r="T995" s="1">
        <f t="shared" ref="T995:V995" si="2251">$S995*P995</f>
        <v>0.22397064345665216</v>
      </c>
      <c r="U995" s="1">
        <f t="shared" si="2251"/>
        <v>0</v>
      </c>
      <c r="V995" s="1">
        <f t="shared" si="2251"/>
        <v>1.2380665942833327</v>
      </c>
      <c r="W995" s="1">
        <f t="shared" si="2177"/>
        <v>-15.337507328396395</v>
      </c>
      <c r="X995" s="1">
        <f t="shared" si="2178"/>
        <v>0</v>
      </c>
      <c r="Y995" s="1">
        <f t="shared" si="2179"/>
        <v>-5.7534567795839626</v>
      </c>
    </row>
    <row r="996" spans="1:25">
      <c r="A996" s="1">
        <v>0.99399999999999999</v>
      </c>
      <c r="B996" s="1">
        <f t="shared" si="2180"/>
        <v>37.633886911555393</v>
      </c>
      <c r="C996" s="1">
        <f t="shared" si="2181"/>
        <v>0</v>
      </c>
      <c r="D996" s="1">
        <f t="shared" si="2182"/>
        <v>-0.85327139545710395</v>
      </c>
      <c r="E996" s="1">
        <f t="shared" si="2183"/>
        <v>19.382171611956231</v>
      </c>
      <c r="F996" s="1">
        <f t="shared" si="2184"/>
        <v>0</v>
      </c>
      <c r="G996" s="1">
        <f t="shared" si="2185"/>
        <v>-3.5148317397755791</v>
      </c>
      <c r="H996" s="1">
        <f t="shared" si="1728"/>
        <v>19.698289736783138</v>
      </c>
      <c r="I996" s="1">
        <f t="shared" si="2168"/>
        <v>-15.538077850502612</v>
      </c>
      <c r="J996" s="1">
        <f t="shared" si="2169"/>
        <v>0</v>
      </c>
      <c r="K996" s="1">
        <f t="shared" si="2170"/>
        <v>2.8177301438380131</v>
      </c>
      <c r="L996" s="1">
        <f t="shared" ref="L996:N996" si="2252">E996/$H996</f>
        <v>0.98395200146555817</v>
      </c>
      <c r="M996" s="1">
        <f t="shared" si="2252"/>
        <v>0</v>
      </c>
      <c r="N996" s="1">
        <f t="shared" si="2252"/>
        <v>-0.17843334557173463</v>
      </c>
      <c r="O996" s="1">
        <f t="shared" si="1730"/>
        <v>-0.17843334557173463</v>
      </c>
      <c r="P996" s="1">
        <f t="shared" si="2172"/>
        <v>0.17556984750350388</v>
      </c>
      <c r="Q996" s="1">
        <f t="shared" si="2173"/>
        <v>0</v>
      </c>
      <c r="R996" s="1">
        <f t="shared" si="2174"/>
        <v>0.96816154118807796</v>
      </c>
      <c r="S996" s="1">
        <f t="shared" si="2175"/>
        <v>1.2767595596248849</v>
      </c>
      <c r="T996" s="1">
        <f t="shared" ref="T996:V996" si="2253">$S996*P996</f>
        <v>0.22416048118198181</v>
      </c>
      <c r="U996" s="1">
        <f t="shared" si="2253"/>
        <v>0</v>
      </c>
      <c r="V996" s="1">
        <f t="shared" si="2253"/>
        <v>1.2361095029730402</v>
      </c>
      <c r="W996" s="1">
        <f t="shared" si="2177"/>
        <v>-15.313917369320629</v>
      </c>
      <c r="X996" s="1">
        <f t="shared" si="2178"/>
        <v>0</v>
      </c>
      <c r="Y996" s="1">
        <f t="shared" si="2179"/>
        <v>-5.7528103531889458</v>
      </c>
    </row>
    <row r="997" spans="1:25">
      <c r="A997" s="1">
        <v>0.995</v>
      </c>
      <c r="B997" s="1">
        <f t="shared" si="2180"/>
        <v>37.653253769249979</v>
      </c>
      <c r="C997" s="1">
        <f t="shared" si="2181"/>
        <v>0</v>
      </c>
      <c r="D997" s="1">
        <f t="shared" si="2182"/>
        <v>-0.85679198000723267</v>
      </c>
      <c r="E997" s="1">
        <f t="shared" si="2183"/>
        <v>19.366857694586912</v>
      </c>
      <c r="F997" s="1">
        <f t="shared" si="2184"/>
        <v>0</v>
      </c>
      <c r="G997" s="1">
        <f t="shared" si="2185"/>
        <v>-3.5205845501287678</v>
      </c>
      <c r="H997" s="1">
        <f t="shared" si="1728"/>
        <v>19.684249859646307</v>
      </c>
      <c r="I997" s="1">
        <f t="shared" si="2168"/>
        <v>-15.514735211610256</v>
      </c>
      <c r="J997" s="1">
        <f t="shared" si="2169"/>
        <v>0</v>
      </c>
      <c r="K997" s="1">
        <f t="shared" si="2170"/>
        <v>2.8203303781490865</v>
      </c>
      <c r="L997" s="1">
        <f t="shared" ref="L997:N997" si="2254">E997/$H997</f>
        <v>0.98387583132085388</v>
      </c>
      <c r="M997" s="1">
        <f t="shared" si="2254"/>
        <v>0</v>
      </c>
      <c r="N997" s="1">
        <f t="shared" si="2254"/>
        <v>-0.17885286842178028</v>
      </c>
      <c r="O997" s="1">
        <f t="shared" si="1730"/>
        <v>-0.17885286842178028</v>
      </c>
      <c r="P997" s="1">
        <f t="shared" si="2172"/>
        <v>0.17596901460259837</v>
      </c>
      <c r="Q997" s="1">
        <f t="shared" si="2173"/>
        <v>0</v>
      </c>
      <c r="R997" s="1">
        <f t="shared" si="2174"/>
        <v>0.96801165145730139</v>
      </c>
      <c r="S997" s="1">
        <f t="shared" si="2175"/>
        <v>1.2749401976996819</v>
      </c>
      <c r="T997" s="1">
        <f t="shared" ref="T997:V997" si="2255">$S997*P997</f>
        <v>0.22434997026645498</v>
      </c>
      <c r="U997" s="1">
        <f t="shared" si="2255"/>
        <v>0</v>
      </c>
      <c r="V997" s="1">
        <f t="shared" si="2255"/>
        <v>1.2341569662845675</v>
      </c>
      <c r="W997" s="1">
        <f t="shared" si="2177"/>
        <v>-15.290385241343801</v>
      </c>
      <c r="X997" s="1">
        <f t="shared" si="2178"/>
        <v>0</v>
      </c>
      <c r="Y997" s="1">
        <f t="shared" si="2179"/>
        <v>-5.7521626555663454</v>
      </c>
    </row>
    <row r="998" spans="1:25">
      <c r="A998" s="1">
        <v>0.996</v>
      </c>
      <c r="B998" s="1">
        <f t="shared" si="2180"/>
        <v>37.672605336559322</v>
      </c>
      <c r="C998" s="1">
        <f t="shared" si="2181"/>
        <v>0</v>
      </c>
      <c r="D998" s="1">
        <f t="shared" si="2182"/>
        <v>-0.86031831672001702</v>
      </c>
      <c r="E998" s="1">
        <f t="shared" si="2183"/>
        <v>19.351567309345569</v>
      </c>
      <c r="F998" s="1">
        <f t="shared" si="2184"/>
        <v>0</v>
      </c>
      <c r="G998" s="1">
        <f t="shared" si="2185"/>
        <v>-3.5263367127843344</v>
      </c>
      <c r="H998" s="1">
        <f t="shared" si="1728"/>
        <v>19.670236601018878</v>
      </c>
      <c r="I998" s="1">
        <f t="shared" si="2168"/>
        <v>-15.491449874728348</v>
      </c>
      <c r="J998" s="1">
        <f t="shared" si="2169"/>
        <v>0</v>
      </c>
      <c r="K998" s="1">
        <f t="shared" si="2170"/>
        <v>2.8229273399023853</v>
      </c>
      <c r="L998" s="1">
        <f t="shared" ref="L998:N998" si="2256">E998/$H998</f>
        <v>0.98379941745811017</v>
      </c>
      <c r="M998" s="1">
        <f t="shared" si="2256"/>
        <v>0</v>
      </c>
      <c r="N998" s="1">
        <f t="shared" si="2256"/>
        <v>-0.1792727146251854</v>
      </c>
      <c r="O998" s="1">
        <f t="shared" si="1730"/>
        <v>-0.1792727146251854</v>
      </c>
      <c r="P998" s="1">
        <f t="shared" si="2172"/>
        <v>0.17636839221439143</v>
      </c>
      <c r="Q998" s="1">
        <f t="shared" si="2173"/>
        <v>0</v>
      </c>
      <c r="R998" s="1">
        <f t="shared" si="2174"/>
        <v>0.96786129379091679</v>
      </c>
      <c r="S998" s="1">
        <f t="shared" si="2175"/>
        <v>1.2731255786608981</v>
      </c>
      <c r="T998" s="1">
        <f t="shared" ref="T998:V998" si="2257">$S998*P998</f>
        <v>0.22453911139543933</v>
      </c>
      <c r="U998" s="1">
        <f t="shared" si="2257"/>
        <v>0</v>
      </c>
      <c r="V998" s="1">
        <f t="shared" si="2257"/>
        <v>1.2322089697210465</v>
      </c>
      <c r="W998" s="1">
        <f t="shared" si="2177"/>
        <v>-15.266910763332909</v>
      </c>
      <c r="X998" s="1">
        <f t="shared" si="2178"/>
        <v>0</v>
      </c>
      <c r="Y998" s="1">
        <f t="shared" si="2179"/>
        <v>-5.7515136903765676</v>
      </c>
    </row>
    <row r="999" spans="1:25">
      <c r="A999" s="1">
        <v>0.997</v>
      </c>
      <c r="B999" s="1">
        <f t="shared" si="2180"/>
        <v>37.691941636957907</v>
      </c>
      <c r="C999" s="1">
        <f t="shared" si="2181"/>
        <v>0</v>
      </c>
      <c r="D999" s="1">
        <f t="shared" si="2182"/>
        <v>-0.86385040494649168</v>
      </c>
      <c r="E999" s="1">
        <f t="shared" si="2183"/>
        <v>19.336300398582235</v>
      </c>
      <c r="F999" s="1">
        <f t="shared" si="2184"/>
        <v>0</v>
      </c>
      <c r="G999" s="1">
        <f t="shared" si="2185"/>
        <v>-3.5320882264747109</v>
      </c>
      <c r="H999" s="1">
        <f t="shared" si="1728"/>
        <v>19.656249905407002</v>
      </c>
      <c r="I999" s="1">
        <f t="shared" si="2168"/>
        <v>-15.468221660115528</v>
      </c>
      <c r="J999" s="1">
        <f t="shared" si="2169"/>
        <v>0</v>
      </c>
      <c r="K999" s="1">
        <f t="shared" si="2170"/>
        <v>2.825521039909014</v>
      </c>
      <c r="L999" s="1">
        <f t="shared" ref="L999:N999" si="2258">E999/$H999</f>
        <v>0.98372275951086907</v>
      </c>
      <c r="M999" s="1">
        <f t="shared" si="2258"/>
        <v>0</v>
      </c>
      <c r="N999" s="1">
        <f t="shared" si="2258"/>
        <v>-0.17969288361067851</v>
      </c>
      <c r="O999" s="1">
        <f t="shared" si="1730"/>
        <v>-0.17969288361067851</v>
      </c>
      <c r="P999" s="1">
        <f t="shared" si="2172"/>
        <v>0.17676797932996208</v>
      </c>
      <c r="Q999" s="1">
        <f t="shared" si="2173"/>
        <v>0</v>
      </c>
      <c r="R999" s="1">
        <f t="shared" si="2174"/>
        <v>0.96771046757967916</v>
      </c>
      <c r="S999" s="1">
        <f t="shared" si="2175"/>
        <v>1.2713156879659242</v>
      </c>
      <c r="T999" s="1">
        <f t="shared" ref="T999:V999" si="2259">$S999*P999</f>
        <v>0.224727905252217</v>
      </c>
      <c r="U999" s="1">
        <f t="shared" si="2259"/>
        <v>0</v>
      </c>
      <c r="V999" s="1">
        <f t="shared" si="2259"/>
        <v>1.2302654988428861</v>
      </c>
      <c r="W999" s="1">
        <f t="shared" si="2177"/>
        <v>-15.24349375486331</v>
      </c>
      <c r="X999" s="1">
        <f t="shared" si="2178"/>
        <v>0</v>
      </c>
      <c r="Y999" s="1">
        <f t="shared" si="2179"/>
        <v>-5.7508634612480991</v>
      </c>
    </row>
    <row r="1000" spans="1:25">
      <c r="A1000" s="1">
        <v>0.998</v>
      </c>
      <c r="B1000" s="1">
        <f t="shared" si="2180"/>
        <v>37.711262693862736</v>
      </c>
      <c r="C1000" s="1">
        <f t="shared" si="2181"/>
        <v>0</v>
      </c>
      <c r="D1000" s="1">
        <f t="shared" si="2182"/>
        <v>-0.86738824403642767</v>
      </c>
      <c r="E1000" s="1">
        <f t="shared" si="2183"/>
        <v>19.321056904827373</v>
      </c>
      <c r="F1000" s="1">
        <f t="shared" si="2184"/>
        <v>0</v>
      </c>
      <c r="G1000" s="1">
        <f t="shared" si="2185"/>
        <v>-3.5378390899359591</v>
      </c>
      <c r="H1000" s="1">
        <f t="shared" si="1728"/>
        <v>19.642289717491096</v>
      </c>
      <c r="I1000" s="1">
        <f t="shared" si="2168"/>
        <v>-15.445050388733371</v>
      </c>
      <c r="J1000" s="1">
        <f t="shared" si="2169"/>
        <v>0</v>
      </c>
      <c r="K1000" s="1">
        <f t="shared" si="2170"/>
        <v>2.8281114889547867</v>
      </c>
      <c r="L1000" s="1">
        <f t="shared" ref="L1000:N1000" si="2260">E1000/$H1000</f>
        <v>0.98364585711320252</v>
      </c>
      <c r="M1000" s="1">
        <f t="shared" si="2260"/>
        <v>0</v>
      </c>
      <c r="N1000" s="1">
        <f t="shared" si="2260"/>
        <v>-0.18011337480607359</v>
      </c>
      <c r="O1000" s="1">
        <f t="shared" si="1730"/>
        <v>-0.18011337480607359</v>
      </c>
      <c r="P1000" s="1">
        <f t="shared" si="2172"/>
        <v>0.17716777493867175</v>
      </c>
      <c r="Q1000" s="1">
        <f t="shared" si="2173"/>
        <v>0</v>
      </c>
      <c r="R1000" s="1">
        <f t="shared" si="2174"/>
        <v>0.96755917221596688</v>
      </c>
      <c r="S1000" s="1">
        <f t="shared" si="2175"/>
        <v>1.2695105111290581</v>
      </c>
      <c r="T1000" s="1">
        <f t="shared" ref="T1000:V1000" si="2261">$S1000*P1000</f>
        <v>0.22491635251799111</v>
      </c>
      <c r="U1000" s="1">
        <f t="shared" si="2261"/>
        <v>0</v>
      </c>
      <c r="V1000" s="1">
        <f t="shared" si="2261"/>
        <v>1.2283265392675005</v>
      </c>
      <c r="W1000" s="1">
        <f t="shared" si="2177"/>
        <v>-15.220134036215381</v>
      </c>
      <c r="X1000" s="1">
        <f t="shared" si="2178"/>
        <v>0</v>
      </c>
      <c r="Y1000" s="1">
        <f t="shared" si="2179"/>
        <v>-5.7502119717777127</v>
      </c>
    </row>
    <row r="1001" spans="1:25">
      <c r="A1001" s="1">
        <v>0.999</v>
      </c>
      <c r="B1001" s="1">
        <f t="shared" si="2180"/>
        <v>37.730568530633526</v>
      </c>
      <c r="C1001" s="1">
        <f t="shared" si="2181"/>
        <v>0</v>
      </c>
      <c r="D1001" s="1">
        <f t="shared" si="2182"/>
        <v>-0.87093183333833546</v>
      </c>
      <c r="E1001" s="1">
        <f t="shared" si="2183"/>
        <v>19.305836770791156</v>
      </c>
      <c r="F1001" s="1">
        <f t="shared" si="2184"/>
        <v>0</v>
      </c>
      <c r="G1001" s="1">
        <f t="shared" si="2185"/>
        <v>-3.5435893019077369</v>
      </c>
      <c r="H1001" s="1">
        <f t="shared" si="1728"/>
        <v>19.628355982125118</v>
      </c>
      <c r="I1001" s="1">
        <f t="shared" si="2168"/>
        <v>-15.421935882243046</v>
      </c>
      <c r="J1001" s="1">
        <f t="shared" si="2169"/>
        <v>0</v>
      </c>
      <c r="K1001" s="1">
        <f t="shared" si="2170"/>
        <v>2.8306986978002917</v>
      </c>
      <c r="L1001" s="1">
        <f t="shared" ref="L1001:N1001" si="2262">E1001/$H1001</f>
        <v>0.98356870989971501</v>
      </c>
      <c r="M1001" s="1">
        <f t="shared" si="2262"/>
        <v>0</v>
      </c>
      <c r="N1001" s="1">
        <f t="shared" si="2262"/>
        <v>-0.18053418763827006</v>
      </c>
      <c r="O1001" s="1">
        <f t="shared" si="1730"/>
        <v>-0.18053418763827006</v>
      </c>
      <c r="P1001" s="1">
        <f t="shared" si="2172"/>
        <v>0.17756777802816637</v>
      </c>
      <c r="Q1001" s="1">
        <f t="shared" si="2173"/>
        <v>0</v>
      </c>
      <c r="R1001" s="1">
        <f t="shared" si="2174"/>
        <v>0.96740740709378992</v>
      </c>
      <c r="S1001" s="1">
        <f t="shared" si="2175"/>
        <v>1.2677100337212344</v>
      </c>
      <c r="T1001" s="1">
        <f t="shared" ref="T1001:V1001" si="2263">$S1001*P1001</f>
        <v>0.22510445387189146</v>
      </c>
      <c r="U1001" s="1">
        <f t="shared" si="2263"/>
        <v>0</v>
      </c>
      <c r="V1001" s="1">
        <f t="shared" si="2263"/>
        <v>1.2263920766690404</v>
      </c>
      <c r="W1001" s="1">
        <f t="shared" si="2177"/>
        <v>-15.196831428371155</v>
      </c>
      <c r="X1001" s="1">
        <f t="shared" si="2178"/>
        <v>0</v>
      </c>
      <c r="Y1001" s="1">
        <f t="shared" si="2179"/>
        <v>-5.7495592255306676</v>
      </c>
    </row>
    <row r="1002" spans="1:25">
      <c r="A1002" s="1">
        <v>1</v>
      </c>
      <c r="B1002" s="1">
        <f t="shared" si="2180"/>
        <v>37.74985917057289</v>
      </c>
      <c r="C1002" s="1">
        <f t="shared" si="2181"/>
        <v>0</v>
      </c>
      <c r="D1002" s="1">
        <f t="shared" si="2182"/>
        <v>-0.87448117219946875</v>
      </c>
      <c r="E1002" s="1">
        <f t="shared" si="2183"/>
        <v>19.290639939362784</v>
      </c>
      <c r="F1002" s="1">
        <f t="shared" si="2184"/>
        <v>0</v>
      </c>
      <c r="G1002" s="1">
        <f t="shared" si="2185"/>
        <v>-3.5493388611332675</v>
      </c>
      <c r="H1002" s="1">
        <f t="shared" si="1728"/>
        <v>19.614448644335873</v>
      </c>
      <c r="I1002" s="1">
        <f t="shared" si="2168"/>
        <v>-15.398877963002022</v>
      </c>
      <c r="J1002" s="1">
        <f t="shared" si="2169"/>
        <v>0</v>
      </c>
      <c r="K1002" s="1">
        <f t="shared" si="2170"/>
        <v>2.8332826771809612</v>
      </c>
      <c r="L1002" s="1">
        <f t="shared" ref="L1002:N1002" si="2264">E1002/$H1002</f>
        <v>0.9834913175055473</v>
      </c>
      <c r="M1002" s="1">
        <f t="shared" si="2264"/>
        <v>0</v>
      </c>
      <c r="N1002" s="1">
        <f t="shared" si="2264"/>
        <v>-0.18095532153325256</v>
      </c>
      <c r="O1002" s="1">
        <f t="shared" si="1730"/>
        <v>-0.18095532153325256</v>
      </c>
      <c r="P1002" s="1">
        <f t="shared" si="2172"/>
        <v>0.17796798758437848</v>
      </c>
      <c r="Q1002" s="1">
        <f t="shared" si="2173"/>
        <v>0</v>
      </c>
      <c r="R1002" s="1">
        <f t="shared" si="2174"/>
        <v>0.96725517160879715</v>
      </c>
      <c r="S1002" s="1">
        <f t="shared" si="2175"/>
        <v>1.2659142413697597</v>
      </c>
      <c r="T1002" s="1">
        <f t="shared" ref="T1002:V1002" si="2265">$S1002*P1002</f>
        <v>0.22529220999098132</v>
      </c>
      <c r="U1002" s="1">
        <f t="shared" si="2265"/>
        <v>0</v>
      </c>
      <c r="V1002" s="1">
        <f t="shared" si="2265"/>
        <v>1.2244620967781272</v>
      </c>
      <c r="W1002" s="1">
        <f t="shared" si="2177"/>
        <v>-15.173585753011041</v>
      </c>
      <c r="X1002" s="1">
        <f t="shared" si="2178"/>
        <v>0</v>
      </c>
      <c r="Y1002" s="1">
        <f t="shared" si="2179"/>
        <v>-5.748905226040911</v>
      </c>
    </row>
    <row r="1003" spans="1:25">
      <c r="A1003" s="1">
        <v>1.0009999999999999</v>
      </c>
      <c r="B1003" s="1">
        <f t="shared" si="2180"/>
        <v>37.769134636926502</v>
      </c>
      <c r="C1003" s="1">
        <f t="shared" si="2181"/>
        <v>0</v>
      </c>
      <c r="D1003" s="1">
        <f t="shared" si="2182"/>
        <v>-0.87803625996582801</v>
      </c>
      <c r="E1003" s="1">
        <f t="shared" si="2183"/>
        <v>19.275466353609772</v>
      </c>
      <c r="F1003" s="1">
        <f t="shared" si="2184"/>
        <v>0</v>
      </c>
      <c r="G1003" s="1">
        <f t="shared" si="2185"/>
        <v>-3.5550877663593083</v>
      </c>
      <c r="H1003" s="1">
        <f t="shared" si="1728"/>
        <v>19.600567649322304</v>
      </c>
      <c r="I1003" s="1">
        <f t="shared" si="2168"/>
        <v>-15.375876454060768</v>
      </c>
      <c r="J1003" s="1">
        <f t="shared" si="2169"/>
        <v>0</v>
      </c>
      <c r="K1003" s="1">
        <f t="shared" si="2170"/>
        <v>2.8358634378071357</v>
      </c>
      <c r="L1003" s="1">
        <f t="shared" ref="L1003:N1003" si="2266">E1003/$H1003</f>
        <v>0.98341367956637871</v>
      </c>
      <c r="M1003" s="1">
        <f t="shared" si="2266"/>
        <v>0</v>
      </c>
      <c r="N1003" s="1">
        <f t="shared" si="2266"/>
        <v>-0.18137677591609069</v>
      </c>
      <c r="O1003" s="1">
        <f t="shared" si="1730"/>
        <v>-0.18137677591609069</v>
      </c>
      <c r="P1003" s="1">
        <f t="shared" si="2172"/>
        <v>0.17836840259152928</v>
      </c>
      <c r="Q1003" s="1">
        <f t="shared" si="2173"/>
        <v>0</v>
      </c>
      <c r="R1003" s="1">
        <f t="shared" si="2174"/>
        <v>0.96710246515828424</v>
      </c>
      <c r="S1003" s="1">
        <f t="shared" si="2175"/>
        <v>1.2641231197580458</v>
      </c>
      <c r="T1003" s="1">
        <f t="shared" ref="T1003:V1003" si="2267">$S1003*P1003</f>
        <v>0.2254796215502631</v>
      </c>
      <c r="U1003" s="1">
        <f t="shared" si="2267"/>
        <v>0</v>
      </c>
      <c r="V1003" s="1">
        <f t="shared" si="2267"/>
        <v>1.222536585381587</v>
      </c>
      <c r="W1003" s="1">
        <f t="shared" si="2177"/>
        <v>-15.150396832510504</v>
      </c>
      <c r="X1003" s="1">
        <f t="shared" si="2178"/>
        <v>0</v>
      </c>
      <c r="Y1003" s="1">
        <f t="shared" si="2179"/>
        <v>-5.7482499768112767</v>
      </c>
    </row>
    <row r="1004" spans="1:25">
      <c r="A1004" s="1">
        <v>1.002</v>
      </c>
      <c r="B1004" s="1">
        <f t="shared" si="2180"/>
        <v>37.78839495288328</v>
      </c>
      <c r="C1004" s="1">
        <f t="shared" si="2181"/>
        <v>0</v>
      </c>
      <c r="D1004" s="1">
        <f t="shared" si="2182"/>
        <v>-0.88159709598216418</v>
      </c>
      <c r="E1004" s="1">
        <f t="shared" si="2183"/>
        <v>19.260315956777262</v>
      </c>
      <c r="F1004" s="1">
        <f t="shared" si="2184"/>
        <v>0</v>
      </c>
      <c r="G1004" s="1">
        <f t="shared" si="2185"/>
        <v>-3.5608360163361197</v>
      </c>
      <c r="H1004" s="1">
        <f t="shared" si="1728"/>
        <v>19.586712942454774</v>
      </c>
      <c r="I1004" s="1">
        <f t="shared" si="2168"/>
        <v>-15.352931179159487</v>
      </c>
      <c r="J1004" s="1">
        <f t="shared" si="2169"/>
        <v>0</v>
      </c>
      <c r="K1004" s="1">
        <f t="shared" si="2170"/>
        <v>2.8384409903641283</v>
      </c>
      <c r="L1004" s="1">
        <f t="shared" ref="L1004:N1004" si="2268">E1004/$H1004</f>
        <v>0.98333579571843133</v>
      </c>
      <c r="M1004" s="1">
        <f t="shared" si="2268"/>
        <v>0</v>
      </c>
      <c r="N1004" s="1">
        <f t="shared" si="2268"/>
        <v>-0.18179855021093935</v>
      </c>
      <c r="O1004" s="1">
        <f t="shared" si="1730"/>
        <v>-0.18179855021093935</v>
      </c>
      <c r="P1004" s="1">
        <f t="shared" si="2172"/>
        <v>0.17876902203213124</v>
      </c>
      <c r="Q1004" s="1">
        <f t="shared" si="2173"/>
        <v>0</v>
      </c>
      <c r="R1004" s="1">
        <f t="shared" si="2174"/>
        <v>0.96694928714120054</v>
      </c>
      <c r="S1004" s="1">
        <f t="shared" si="2175"/>
        <v>1.2623366546253429</v>
      </c>
      <c r="T1004" s="1">
        <f t="shared" ref="T1004:V1004" si="2269">$S1004*P1004</f>
        <v>0.22566668922268479</v>
      </c>
      <c r="U1004" s="1">
        <f t="shared" si="2269"/>
        <v>0</v>
      </c>
      <c r="V1004" s="1">
        <f t="shared" si="2269"/>
        <v>1.2206155283221833</v>
      </c>
      <c r="W1004" s="1">
        <f t="shared" si="2177"/>
        <v>-15.127264489936803</v>
      </c>
      <c r="X1004" s="1">
        <f t="shared" si="2178"/>
        <v>0</v>
      </c>
      <c r="Y1004" s="1">
        <f t="shared" si="2179"/>
        <v>-5.7475934813136877</v>
      </c>
    </row>
    <row r="1005" spans="1:25">
      <c r="A1005" s="1">
        <v>1.0029999999999999</v>
      </c>
      <c r="B1005" s="1">
        <f t="shared" si="2180"/>
        <v>37.807640141575568</v>
      </c>
      <c r="C1005" s="1">
        <f t="shared" si="2181"/>
        <v>0</v>
      </c>
      <c r="D1005" s="1">
        <f t="shared" si="2182"/>
        <v>-0.88516367959198161</v>
      </c>
      <c r="E1005" s="1">
        <f t="shared" si="2183"/>
        <v>19.245188692287325</v>
      </c>
      <c r="F1005" s="1">
        <f t="shared" si="2184"/>
        <v>0</v>
      </c>
      <c r="G1005" s="1">
        <f t="shared" si="2185"/>
        <v>-3.5665836098174335</v>
      </c>
      <c r="H1005" s="1">
        <f t="shared" si="1728"/>
        <v>19.572884469274381</v>
      </c>
      <c r="I1005" s="1">
        <f t="shared" si="2168"/>
        <v>-15.330041962724854</v>
      </c>
      <c r="J1005" s="1">
        <f t="shared" si="2169"/>
        <v>0</v>
      </c>
      <c r="K1005" s="1">
        <f t="shared" si="2170"/>
        <v>2.8410153455122926</v>
      </c>
      <c r="L1005" s="1">
        <f t="shared" ref="L1005:N1005" si="2270">E1005/$H1005</f>
        <v>0.9832576655984725</v>
      </c>
      <c r="M1005" s="1">
        <f t="shared" si="2270"/>
        <v>0</v>
      </c>
      <c r="N1005" s="1">
        <f t="shared" si="2270"/>
        <v>-0.18222064384103812</v>
      </c>
      <c r="O1005" s="1">
        <f t="shared" si="1730"/>
        <v>-0.18222064384103812</v>
      </c>
      <c r="P1005" s="1">
        <f t="shared" si="2172"/>
        <v>0.17916984488698981</v>
      </c>
      <c r="Q1005" s="1">
        <f t="shared" si="2173"/>
        <v>0</v>
      </c>
      <c r="R1005" s="1">
        <f t="shared" si="2174"/>
        <v>0.96679563695815751</v>
      </c>
      <c r="S1005" s="1">
        <f t="shared" si="2175"/>
        <v>1.2605548317664796</v>
      </c>
      <c r="T1005" s="1">
        <f t="shared" ref="T1005:V1005" si="2271">$S1005*P1005</f>
        <v>0.22585341367914569</v>
      </c>
      <c r="U1005" s="1">
        <f t="shared" si="2271"/>
        <v>0</v>
      </c>
      <c r="V1005" s="1">
        <f t="shared" si="2271"/>
        <v>1.2186989114983569</v>
      </c>
      <c r="W1005" s="1">
        <f t="shared" si="2177"/>
        <v>-15.104188549045709</v>
      </c>
      <c r="X1005" s="1">
        <f t="shared" si="2178"/>
        <v>0</v>
      </c>
      <c r="Y1005" s="1">
        <f t="shared" si="2179"/>
        <v>-5.7469357429893497</v>
      </c>
    </row>
    <row r="1006" spans="1:25">
      <c r="A1006" s="1">
        <v>1.004</v>
      </c>
      <c r="B1006" s="1">
        <f t="shared" si="2180"/>
        <v>37.826870226079308</v>
      </c>
      <c r="C1006" s="1">
        <f t="shared" si="2181"/>
        <v>0</v>
      </c>
      <c r="D1006" s="1">
        <f t="shared" si="2182"/>
        <v>-0.888736010137542</v>
      </c>
      <c r="E1006" s="1">
        <f t="shared" si="2183"/>
        <v>19.230084503738279</v>
      </c>
      <c r="F1006" s="1">
        <f t="shared" si="2184"/>
        <v>0</v>
      </c>
      <c r="G1006" s="1">
        <f t="shared" si="2185"/>
        <v>-3.5723305455604231</v>
      </c>
      <c r="H1006" s="1">
        <f t="shared" si="1728"/>
        <v>19.559082175492261</v>
      </c>
      <c r="I1006" s="1">
        <f t="shared" si="2168"/>
        <v>-15.307208629866789</v>
      </c>
      <c r="J1006" s="1">
        <f t="shared" si="2169"/>
        <v>0</v>
      </c>
      <c r="K1006" s="1">
        <f t="shared" si="2170"/>
        <v>2.8435865138870882</v>
      </c>
      <c r="L1006" s="1">
        <f t="shared" ref="L1006:N1006" si="2272">E1006/$H1006</f>
        <v>0.98317928884381811</v>
      </c>
      <c r="M1006" s="1">
        <f t="shared" si="2272"/>
        <v>0</v>
      </c>
      <c r="N1006" s="1">
        <f t="shared" si="2272"/>
        <v>-0.18264305622871158</v>
      </c>
      <c r="O1006" s="1">
        <f t="shared" si="1730"/>
        <v>-0.18264305622871158</v>
      </c>
      <c r="P1006" s="1">
        <f t="shared" si="2172"/>
        <v>0.17957087013520612</v>
      </c>
      <c r="Q1006" s="1">
        <f t="shared" si="2173"/>
        <v>0</v>
      </c>
      <c r="R1006" s="1">
        <f t="shared" si="2174"/>
        <v>0.96664151401143572</v>
      </c>
      <c r="S1006" s="1">
        <f t="shared" si="2175"/>
        <v>1.2587776370315995</v>
      </c>
      <c r="T1006" s="1">
        <f t="shared" ref="T1006:V1006" si="2273">$S1006*P1006</f>
        <v>0.22603979558850298</v>
      </c>
      <c r="U1006" s="1">
        <f t="shared" si="2273"/>
        <v>0</v>
      </c>
      <c r="V1006" s="1">
        <f t="shared" si="2273"/>
        <v>1.2167867208639629</v>
      </c>
      <c r="W1006" s="1">
        <f t="shared" si="2177"/>
        <v>-15.081168834278285</v>
      </c>
      <c r="X1006" s="1">
        <f t="shared" si="2178"/>
        <v>0</v>
      </c>
      <c r="Y1006" s="1">
        <f t="shared" si="2179"/>
        <v>-5.7462767652489486</v>
      </c>
    </row>
    <row r="1007" spans="1:25">
      <c r="A1007" s="1">
        <v>1.0049999999999999</v>
      </c>
      <c r="B1007" s="1">
        <f t="shared" si="2180"/>
        <v>37.846085229414214</v>
      </c>
      <c r="C1007" s="1">
        <f t="shared" si="2181"/>
        <v>0</v>
      </c>
      <c r="D1007" s="1">
        <f t="shared" si="2182"/>
        <v>-0.89231408695986769</v>
      </c>
      <c r="E1007" s="1">
        <f t="shared" si="2183"/>
        <v>19.215003334904001</v>
      </c>
      <c r="F1007" s="1">
        <f t="shared" si="2184"/>
        <v>0</v>
      </c>
      <c r="G1007" s="1">
        <f t="shared" si="2185"/>
        <v>-3.5780768223256718</v>
      </c>
      <c r="H1007" s="1">
        <f t="shared" si="1728"/>
        <v>19.545306006988891</v>
      </c>
      <c r="I1007" s="1">
        <f t="shared" si="2168"/>
        <v>-15.284431006375236</v>
      </c>
      <c r="J1007" s="1">
        <f t="shared" si="2169"/>
        <v>0</v>
      </c>
      <c r="K1007" s="1">
        <f t="shared" si="2170"/>
        <v>2.8461545060991429</v>
      </c>
      <c r="L1007" s="1">
        <f t="shared" ref="L1007:N1007" si="2274">E1007/$H1007</f>
        <v>0.98310066509233562</v>
      </c>
      <c r="M1007" s="1">
        <f t="shared" si="2274"/>
        <v>0</v>
      </c>
      <c r="N1007" s="1">
        <f t="shared" si="2274"/>
        <v>-0.18306578679536892</v>
      </c>
      <c r="O1007" s="1">
        <f t="shared" si="1730"/>
        <v>-0.18306578679536892</v>
      </c>
      <c r="P1007" s="1">
        <f t="shared" si="2172"/>
        <v>0.17997209675417888</v>
      </c>
      <c r="Q1007" s="1">
        <f t="shared" si="2173"/>
        <v>0</v>
      </c>
      <c r="R1007" s="1">
        <f t="shared" si="2174"/>
        <v>0.96648691770499251</v>
      </c>
      <c r="S1007" s="1">
        <f t="shared" si="2175"/>
        <v>1.2570050563259025</v>
      </c>
      <c r="T1007" s="1">
        <f t="shared" ref="T1007:V1007" si="2275">$S1007*P1007</f>
        <v>0.22622583561757742</v>
      </c>
      <c r="U1007" s="1">
        <f t="shared" si="2275"/>
        <v>0</v>
      </c>
      <c r="V1007" s="1">
        <f t="shared" si="2275"/>
        <v>1.214878942428012</v>
      </c>
      <c r="W1007" s="1">
        <f t="shared" si="2177"/>
        <v>-15.058205170757658</v>
      </c>
      <c r="X1007" s="1">
        <f t="shared" si="2178"/>
        <v>0</v>
      </c>
      <c r="Y1007" s="1">
        <f t="shared" si="2179"/>
        <v>-5.7456165514728443</v>
      </c>
    </row>
    <row r="1008" spans="1:25">
      <c r="A1008" s="1">
        <v>1.006</v>
      </c>
      <c r="B1008" s="1">
        <f t="shared" si="2180"/>
        <v>37.865285174543949</v>
      </c>
      <c r="C1008" s="1">
        <f t="shared" si="2181"/>
        <v>0</v>
      </c>
      <c r="D1008" s="1">
        <f t="shared" si="2182"/>
        <v>-0.89589790939874481</v>
      </c>
      <c r="E1008" s="1">
        <f t="shared" si="2183"/>
        <v>19.199945129733244</v>
      </c>
      <c r="F1008" s="1">
        <f t="shared" si="2184"/>
        <v>0</v>
      </c>
      <c r="G1008" s="1">
        <f t="shared" si="2185"/>
        <v>-3.5838224388771445</v>
      </c>
      <c r="H1008" s="1">
        <f t="shared" si="1728"/>
        <v>19.531555909813399</v>
      </c>
      <c r="I1008" s="1">
        <f t="shared" si="2168"/>
        <v>-15.261708918716961</v>
      </c>
      <c r="J1008" s="1">
        <f t="shared" si="2169"/>
        <v>0</v>
      </c>
      <c r="K1008" s="1">
        <f t="shared" si="2170"/>
        <v>2.8487193327343223</v>
      </c>
      <c r="L1008" s="1">
        <f t="shared" ref="L1008:N1008" si="2276">E1008/$H1008</f>
        <v>0.9830217939824476</v>
      </c>
      <c r="M1008" s="1">
        <f t="shared" si="2276"/>
        <v>0</v>
      </c>
      <c r="N1008" s="1">
        <f t="shared" si="2276"/>
        <v>-0.18348883496150428</v>
      </c>
      <c r="O1008" s="1">
        <f t="shared" si="1730"/>
        <v>-0.18348883496150428</v>
      </c>
      <c r="P1008" s="1">
        <f t="shared" si="2172"/>
        <v>0.18037352371960719</v>
      </c>
      <c r="Q1008" s="1">
        <f t="shared" si="2173"/>
        <v>0</v>
      </c>
      <c r="R1008" s="1">
        <f t="shared" si="2174"/>
        <v>0.96633184744446987</v>
      </c>
      <c r="S1008" s="1">
        <f t="shared" si="2175"/>
        <v>1.2552370756093842</v>
      </c>
      <c r="T1008" s="1">
        <f t="shared" ref="T1008:V1008" si="2277">$S1008*P1008</f>
        <v>0.22641153443115963</v>
      </c>
      <c r="U1008" s="1">
        <f t="shared" si="2277"/>
        <v>0</v>
      </c>
      <c r="V1008" s="1">
        <f t="shared" si="2277"/>
        <v>1.2129755622544101</v>
      </c>
      <c r="W1008" s="1">
        <f t="shared" si="2177"/>
        <v>-15.035297384285801</v>
      </c>
      <c r="X1008" s="1">
        <f t="shared" si="2178"/>
        <v>0</v>
      </c>
      <c r="Y1008" s="1">
        <f t="shared" si="2179"/>
        <v>-5.7449551050112673</v>
      </c>
    </row>
    <row r="1009" spans="1:25">
      <c r="A1009" s="1">
        <v>1.0069999999999999</v>
      </c>
      <c r="B1009" s="1">
        <f t="shared" si="2180"/>
        <v>37.884470084376296</v>
      </c>
      <c r="C1009" s="1">
        <f t="shared" si="2181"/>
        <v>0</v>
      </c>
      <c r="D1009" s="1">
        <f t="shared" si="2182"/>
        <v>-0.899487476792727</v>
      </c>
      <c r="E1009" s="1">
        <f t="shared" si="2183"/>
        <v>19.184909832348957</v>
      </c>
      <c r="F1009" s="1">
        <f t="shared" si="2184"/>
        <v>0</v>
      </c>
      <c r="G1009" s="1">
        <f t="shared" si="2185"/>
        <v>-3.5895673939821555</v>
      </c>
      <c r="H1009" s="1">
        <f t="shared" si="1728"/>
        <v>19.517831830182867</v>
      </c>
      <c r="I1009" s="1">
        <f t="shared" si="2168"/>
        <v>-15.239042194032354</v>
      </c>
      <c r="J1009" s="1">
        <f t="shared" si="2169"/>
        <v>0</v>
      </c>
      <c r="K1009" s="1">
        <f t="shared" si="2170"/>
        <v>2.8512810043537895</v>
      </c>
      <c r="L1009" s="1">
        <f t="shared" ref="L1009:N1009" si="2278">E1009/$H1009</f>
        <v>0.98294267515313505</v>
      </c>
      <c r="M1009" s="1">
        <f t="shared" si="2278"/>
        <v>0</v>
      </c>
      <c r="N1009" s="1">
        <f t="shared" si="2278"/>
        <v>-0.18391220014669651</v>
      </c>
      <c r="O1009" s="1">
        <f t="shared" si="1730"/>
        <v>-0.18391220014669651</v>
      </c>
      <c r="P1009" s="1">
        <f t="shared" si="2172"/>
        <v>0.18077515000549266</v>
      </c>
      <c r="Q1009" s="1">
        <f t="shared" si="2173"/>
        <v>0</v>
      </c>
      <c r="R1009" s="1">
        <f t="shared" si="2174"/>
        <v>0.96617630263720145</v>
      </c>
      <c r="S1009" s="1">
        <f t="shared" si="2175"/>
        <v>1.2534736808965792</v>
      </c>
      <c r="T1009" s="1">
        <f t="shared" ref="T1009:V1009" si="2279">$S1009*P1009</f>
        <v>0.22659689269201613</v>
      </c>
      <c r="U1009" s="1">
        <f t="shared" si="2279"/>
        <v>0</v>
      </c>
      <c r="V1009" s="1">
        <f t="shared" si="2279"/>
        <v>1.2110765664617003</v>
      </c>
      <c r="W1009" s="1">
        <f t="shared" si="2177"/>
        <v>-15.012445301340337</v>
      </c>
      <c r="X1009" s="1">
        <f t="shared" si="2178"/>
        <v>0</v>
      </c>
      <c r="Y1009" s="1">
        <f t="shared" si="2179"/>
        <v>-5.7442924291845099</v>
      </c>
    </row>
    <row r="1010" spans="1:25">
      <c r="A1010" s="1">
        <v>1.008</v>
      </c>
      <c r="B1010" s="1">
        <f t="shared" si="2180"/>
        <v>37.903639981763341</v>
      </c>
      <c r="C1010" s="1">
        <f t="shared" si="2181"/>
        <v>0</v>
      </c>
      <c r="D1010" s="1">
        <f t="shared" si="2182"/>
        <v>-0.90308278847913837</v>
      </c>
      <c r="E1010" s="1">
        <f t="shared" si="2183"/>
        <v>19.169897387047616</v>
      </c>
      <c r="F1010" s="1">
        <f t="shared" si="2184"/>
        <v>0</v>
      </c>
      <c r="G1010" s="1">
        <f t="shared" si="2185"/>
        <v>-3.5953116864113399</v>
      </c>
      <c r="H1010" s="1">
        <f t="shared" si="1728"/>
        <v>19.504133714481679</v>
      </c>
      <c r="I1010" s="1">
        <f t="shared" si="2168"/>
        <v>-15.216430660132298</v>
      </c>
      <c r="J1010" s="1">
        <f t="shared" si="2169"/>
        <v>0</v>
      </c>
      <c r="K1010" s="1">
        <f t="shared" si="2170"/>
        <v>2.8538395314940757</v>
      </c>
      <c r="L1010" s="1">
        <f t="shared" ref="L1010:N1010" si="2280">E1010/$H1010</f>
        <v>0.9828633082439393</v>
      </c>
      <c r="M1010" s="1">
        <f t="shared" si="2280"/>
        <v>0</v>
      </c>
      <c r="N1010" s="1">
        <f t="shared" si="2280"/>
        <v>-0.18433588176960902</v>
      </c>
      <c r="O1010" s="1">
        <f t="shared" si="1730"/>
        <v>-0.18433588176960902</v>
      </c>
      <c r="P1010" s="1">
        <f t="shared" si="2172"/>
        <v>0.18117697458414159</v>
      </c>
      <c r="Q1010" s="1">
        <f t="shared" si="2173"/>
        <v>0</v>
      </c>
      <c r="R1010" s="1">
        <f t="shared" si="2174"/>
        <v>0.96602028269222073</v>
      </c>
      <c r="S1010" s="1">
        <f t="shared" si="2175"/>
        <v>1.2517148582563076</v>
      </c>
      <c r="T1010" s="1">
        <f t="shared" ref="T1010:V1010" si="2281">$S1010*P1010</f>
        <v>0.22678191106089543</v>
      </c>
      <c r="U1010" s="1">
        <f t="shared" si="2281"/>
        <v>0</v>
      </c>
      <c r="V1010" s="1">
        <f t="shared" si="2281"/>
        <v>1.2091819412228113</v>
      </c>
      <c r="W1010" s="1">
        <f t="shared" si="2177"/>
        <v>-14.989648749071403</v>
      </c>
      <c r="X1010" s="1">
        <f t="shared" si="2178"/>
        <v>0</v>
      </c>
      <c r="Y1010" s="1">
        <f t="shared" si="2179"/>
        <v>-5.7436285272831125</v>
      </c>
    </row>
    <row r="1011" spans="1:25">
      <c r="A1011" s="1">
        <v>1.0089999999999999</v>
      </c>
      <c r="B1011" s="1">
        <f t="shared" si="2180"/>
        <v>37.922794889501638</v>
      </c>
      <c r="C1011" s="1">
        <f t="shared" si="2181"/>
        <v>0</v>
      </c>
      <c r="D1011" s="1">
        <f t="shared" si="2182"/>
        <v>-0.90668384379407696</v>
      </c>
      <c r="E1011" s="1">
        <f t="shared" si="2183"/>
        <v>19.154907738298544</v>
      </c>
      <c r="F1011" s="1">
        <f t="shared" si="2184"/>
        <v>0</v>
      </c>
      <c r="G1011" s="1">
        <f t="shared" si="2185"/>
        <v>-3.6010553149386229</v>
      </c>
      <c r="H1011" s="1">
        <f t="shared" si="1728"/>
        <v>19.490461509260808</v>
      </c>
      <c r="I1011" s="1">
        <f t="shared" si="2168"/>
        <v>-15.193874145494995</v>
      </c>
      <c r="J1011" s="1">
        <f t="shared" si="2169"/>
        <v>0</v>
      </c>
      <c r="K1011" s="1">
        <f t="shared" si="2170"/>
        <v>2.8563949246671396</v>
      </c>
      <c r="L1011" s="1">
        <f t="shared" ref="L1011:N1011" si="2282">E1011/$H1011</f>
        <v>0.98278369289496681</v>
      </c>
      <c r="M1011" s="1">
        <f t="shared" si="2282"/>
        <v>0</v>
      </c>
      <c r="N1011" s="1">
        <f t="shared" si="2282"/>
        <v>-0.18475987924798995</v>
      </c>
      <c r="O1011" s="1">
        <f t="shared" si="1730"/>
        <v>-0.18475987924798995</v>
      </c>
      <c r="P1011" s="1">
        <f t="shared" si="2172"/>
        <v>0.1815789964261677</v>
      </c>
      <c r="Q1011" s="1">
        <f t="shared" si="2173"/>
        <v>0</v>
      </c>
      <c r="R1011" s="1">
        <f t="shared" si="2174"/>
        <v>0.96586378702026821</v>
      </c>
      <c r="S1011" s="1">
        <f t="shared" si="2175"/>
        <v>1.2499605938114167</v>
      </c>
      <c r="T1011" s="1">
        <f t="shared" ref="T1011:V1011" si="2283">$S1011*P1011</f>
        <v>0.2269665901965337</v>
      </c>
      <c r="U1011" s="1">
        <f t="shared" si="2283"/>
        <v>0</v>
      </c>
      <c r="V1011" s="1">
        <f t="shared" si="2283"/>
        <v>1.2072916727647982</v>
      </c>
      <c r="W1011" s="1">
        <f t="shared" si="2177"/>
        <v>-14.966907555298461</v>
      </c>
      <c r="X1011" s="1">
        <f t="shared" si="2178"/>
        <v>0</v>
      </c>
      <c r="Y1011" s="1">
        <f t="shared" si="2179"/>
        <v>-5.742963402568062</v>
      </c>
    </row>
    <row r="1012" spans="1:25">
      <c r="A1012" s="1">
        <v>1.01</v>
      </c>
      <c r="B1012" s="1">
        <f t="shared" si="2180"/>
        <v>37.941934830332379</v>
      </c>
      <c r="C1012" s="1">
        <f t="shared" si="2181"/>
        <v>0</v>
      </c>
      <c r="D1012" s="1">
        <f t="shared" si="2182"/>
        <v>-0.91029064207241817</v>
      </c>
      <c r="E1012" s="1">
        <f t="shared" si="2183"/>
        <v>19.139940830743246</v>
      </c>
      <c r="F1012" s="1">
        <f t="shared" si="2184"/>
        <v>0</v>
      </c>
      <c r="G1012" s="1">
        <f t="shared" si="2185"/>
        <v>-3.6067982783411909</v>
      </c>
      <c r="H1012" s="1">
        <f t="shared" si="1728"/>
        <v>19.476815161237152</v>
      </c>
      <c r="I1012" s="1">
        <f t="shared" si="2168"/>
        <v>-15.171372479262828</v>
      </c>
      <c r="J1012" s="1">
        <f t="shared" si="2169"/>
        <v>0</v>
      </c>
      <c r="K1012" s="1">
        <f t="shared" si="2170"/>
        <v>2.8589471943604328</v>
      </c>
      <c r="L1012" s="1">
        <f t="shared" ref="L1012:N1012" si="2284">E1012/$H1012</f>
        <v>0.98270382874689111</v>
      </c>
      <c r="M1012" s="1">
        <f t="shared" si="2284"/>
        <v>0</v>
      </c>
      <c r="N1012" s="1">
        <f t="shared" si="2284"/>
        <v>-0.18518419199867223</v>
      </c>
      <c r="O1012" s="1">
        <f t="shared" si="1730"/>
        <v>-0.18518419199867223</v>
      </c>
      <c r="P1012" s="1">
        <f t="shared" si="2172"/>
        <v>0.18198121450049459</v>
      </c>
      <c r="Q1012" s="1">
        <f t="shared" si="2173"/>
        <v>0</v>
      </c>
      <c r="R1012" s="1">
        <f t="shared" si="2174"/>
        <v>0.96570681503379885</v>
      </c>
      <c r="S1012" s="1">
        <f t="shared" si="2175"/>
        <v>1.2482108737385307</v>
      </c>
      <c r="T1012" s="1">
        <f t="shared" ref="T1012:V1012" si="2285">$S1012*P1012</f>
        <v>0.22715093075566131</v>
      </c>
      <c r="U1012" s="1">
        <f t="shared" si="2285"/>
        <v>0</v>
      </c>
      <c r="V1012" s="1">
        <f t="shared" si="2285"/>
        <v>1.2054057473685917</v>
      </c>
      <c r="W1012" s="1">
        <f t="shared" si="2177"/>
        <v>-14.944221548507167</v>
      </c>
      <c r="X1012" s="1">
        <f t="shared" si="2178"/>
        <v>0</v>
      </c>
      <c r="Y1012" s="1">
        <f t="shared" si="2179"/>
        <v>-5.7422970582709745</v>
      </c>
    </row>
    <row r="1013" spans="1:25">
      <c r="A1013" s="1">
        <v>1.0109999999999999</v>
      </c>
      <c r="B1013" s="1">
        <f t="shared" si="2180"/>
        <v>37.961059826941572</v>
      </c>
      <c r="C1013" s="1">
        <f t="shared" si="2181"/>
        <v>0</v>
      </c>
      <c r="D1013" s="1">
        <f t="shared" si="2182"/>
        <v>-0.91390318264781767</v>
      </c>
      <c r="E1013" s="1">
        <f t="shared" si="2183"/>
        <v>19.124996609194739</v>
      </c>
      <c r="F1013" s="1">
        <f t="shared" si="2184"/>
        <v>0</v>
      </c>
      <c r="G1013" s="1">
        <f t="shared" si="2185"/>
        <v>-3.6125405753994619</v>
      </c>
      <c r="H1013" s="1">
        <f t="shared" si="1728"/>
        <v>19.46319461729286</v>
      </c>
      <c r="I1013" s="1">
        <f t="shared" si="2168"/>
        <v>-15.14892549123927</v>
      </c>
      <c r="J1013" s="1">
        <f t="shared" si="2169"/>
        <v>0</v>
      </c>
      <c r="K1013" s="1">
        <f t="shared" si="2170"/>
        <v>2.861496351036966</v>
      </c>
      <c r="L1013" s="1">
        <f t="shared" ref="L1013:N1013" si="2286">E1013/$H1013</f>
        <v>0.98262371544095661</v>
      </c>
      <c r="M1013" s="1">
        <f t="shared" si="2286"/>
        <v>0</v>
      </c>
      <c r="N1013" s="1">
        <f t="shared" si="2286"/>
        <v>-0.18560881943757346</v>
      </c>
      <c r="O1013" s="1">
        <f t="shared" si="1730"/>
        <v>-0.18560881943757346</v>
      </c>
      <c r="P1013" s="1">
        <f t="shared" si="2172"/>
        <v>0.18238362777435807</v>
      </c>
      <c r="Q1013" s="1">
        <f t="shared" si="2173"/>
        <v>0</v>
      </c>
      <c r="R1013" s="1">
        <f t="shared" si="2174"/>
        <v>0.96554936614699027</v>
      </c>
      <c r="S1013" s="1">
        <f t="shared" si="2175"/>
        <v>1.246465684267797</v>
      </c>
      <c r="T1013" s="1">
        <f t="shared" ref="T1013:V1013" si="2287">$S1013*P1013</f>
        <v>0.22733493339300842</v>
      </c>
      <c r="U1013" s="1">
        <f t="shared" si="2287"/>
        <v>0</v>
      </c>
      <c r="V1013" s="1">
        <f t="shared" si="2287"/>
        <v>1.203524151368746</v>
      </c>
      <c r="W1013" s="1">
        <f t="shared" si="2177"/>
        <v>-14.921590557846262</v>
      </c>
      <c r="X1013" s="1">
        <f t="shared" si="2178"/>
        <v>0</v>
      </c>
      <c r="Y1013" s="1">
        <f t="shared" si="2179"/>
        <v>-5.7416294975942872</v>
      </c>
    </row>
    <row r="1014" spans="1:25">
      <c r="A1014" s="1">
        <v>1.012</v>
      </c>
      <c r="B1014" s="1">
        <f t="shared" si="2180"/>
        <v>37.98016990196021</v>
      </c>
      <c r="C1014" s="1">
        <f t="shared" si="2181"/>
        <v>0</v>
      </c>
      <c r="D1014" s="1">
        <f t="shared" si="2182"/>
        <v>-0.91752146485271469</v>
      </c>
      <c r="E1014" s="1">
        <f t="shared" si="2183"/>
        <v>19.110075018636891</v>
      </c>
      <c r="F1014" s="1">
        <f t="shared" si="2184"/>
        <v>0</v>
      </c>
      <c r="G1014" s="1">
        <f t="shared" si="2185"/>
        <v>-3.6182822048970564</v>
      </c>
      <c r="H1014" s="1">
        <f t="shared" si="1728"/>
        <v>19.449599824474653</v>
      </c>
      <c r="I1014" s="1">
        <f t="shared" si="2168"/>
        <v>-15.126533011885764</v>
      </c>
      <c r="J1014" s="1">
        <f t="shared" si="2169"/>
        <v>0</v>
      </c>
      <c r="K1014" s="1">
        <f t="shared" si="2170"/>
        <v>2.8640424051353688</v>
      </c>
      <c r="L1014" s="1">
        <f t="shared" ref="L1014:N1014" si="2288">E1014/$H1014</f>
        <v>0.98254335261898207</v>
      </c>
      <c r="M1014" s="1">
        <f t="shared" si="2288"/>
        <v>0</v>
      </c>
      <c r="N1014" s="1">
        <f t="shared" si="2288"/>
        <v>-0.18603376097969607</v>
      </c>
      <c r="O1014" s="1">
        <f t="shared" si="1730"/>
        <v>-0.18603376097969607</v>
      </c>
      <c r="P1014" s="1">
        <f t="shared" si="2172"/>
        <v>0.18278623521330895</v>
      </c>
      <c r="Q1014" s="1">
        <f t="shared" si="2173"/>
        <v>0</v>
      </c>
      <c r="R1014" s="1">
        <f t="shared" si="2174"/>
        <v>0.96539143977574926</v>
      </c>
      <c r="S1014" s="1">
        <f t="shared" si="2175"/>
        <v>1.2447250116826367</v>
      </c>
      <c r="T1014" s="1">
        <f t="shared" ref="T1014:V1014" si="2289">$S1014*P1014</f>
        <v>0.22751859876131117</v>
      </c>
      <c r="U1014" s="1">
        <f t="shared" si="2289"/>
        <v>0</v>
      </c>
      <c r="V1014" s="1">
        <f t="shared" si="2289"/>
        <v>1.2016468711531869</v>
      </c>
      <c r="W1014" s="1">
        <f t="shared" si="2177"/>
        <v>-14.899014413124453</v>
      </c>
      <c r="X1014" s="1">
        <f t="shared" si="2178"/>
        <v>0</v>
      </c>
      <c r="Y1014" s="1">
        <f t="shared" si="2179"/>
        <v>-5.7409607237114439</v>
      </c>
    </row>
    <row r="1015" spans="1:25">
      <c r="A1015" s="1">
        <v>1.0129999999999999</v>
      </c>
      <c r="B1015" s="1">
        <f t="shared" si="2180"/>
        <v>37.999265077964431</v>
      </c>
      <c r="C1015" s="1">
        <f t="shared" si="2181"/>
        <v>0</v>
      </c>
      <c r="D1015" s="1">
        <f t="shared" si="2182"/>
        <v>-0.9211454880183354</v>
      </c>
      <c r="E1015" s="1">
        <f t="shared" si="2183"/>
        <v>19.095176004223767</v>
      </c>
      <c r="F1015" s="1">
        <f t="shared" si="2184"/>
        <v>0</v>
      </c>
      <c r="G1015" s="1">
        <f t="shared" si="2185"/>
        <v>-3.624023165620768</v>
      </c>
      <c r="H1015" s="1">
        <f t="shared" si="1728"/>
        <v>19.436030729993178</v>
      </c>
      <c r="I1015" s="1">
        <f t="shared" si="2168"/>
        <v>-15.104194872318663</v>
      </c>
      <c r="J1015" s="1">
        <f t="shared" si="2169"/>
        <v>0</v>
      </c>
      <c r="K1015" s="1">
        <f t="shared" si="2170"/>
        <v>2.8665853670699586</v>
      </c>
      <c r="L1015" s="1">
        <f t="shared" ref="L1015:N1015" si="2290">E1015/$H1015</f>
        <v>0.98246273992336242</v>
      </c>
      <c r="M1015" s="1">
        <f t="shared" si="2290"/>
        <v>0</v>
      </c>
      <c r="N1015" s="1">
        <f t="shared" si="2290"/>
        <v>-0.18645901603912726</v>
      </c>
      <c r="O1015" s="1">
        <f t="shared" si="1730"/>
        <v>-0.18645901603912726</v>
      </c>
      <c r="P1015" s="1">
        <f t="shared" si="2172"/>
        <v>0.18318903578121515</v>
      </c>
      <c r="Q1015" s="1">
        <f t="shared" si="2173"/>
        <v>0</v>
      </c>
      <c r="R1015" s="1">
        <f t="shared" si="2174"/>
        <v>0.96523303533772054</v>
      </c>
      <c r="S1015" s="1">
        <f t="shared" si="2175"/>
        <v>1.2429888423194968</v>
      </c>
      <c r="T1015" s="1">
        <f t="shared" ref="T1015:V1015" si="2291">$S1015*P1015</f>
        <v>0.22770192751131749</v>
      </c>
      <c r="U1015" s="1">
        <f t="shared" si="2291"/>
        <v>0</v>
      </c>
      <c r="V1015" s="1">
        <f t="shared" si="2291"/>
        <v>1.1997738931629671</v>
      </c>
      <c r="W1015" s="1">
        <f t="shared" si="2177"/>
        <v>-14.876492944807346</v>
      </c>
      <c r="X1015" s="1">
        <f t="shared" si="2178"/>
        <v>0</v>
      </c>
      <c r="Y1015" s="1">
        <f t="shared" si="2179"/>
        <v>-5.7402907397670742</v>
      </c>
    </row>
    <row r="1016" spans="1:25">
      <c r="A1016" s="1">
        <v>1.014</v>
      </c>
      <c r="B1016" s="1">
        <f t="shared" si="2180"/>
        <v>38.018345377475711</v>
      </c>
      <c r="C1016" s="1">
        <f t="shared" si="2181"/>
        <v>0</v>
      </c>
      <c r="D1016" s="1">
        <f t="shared" si="2182"/>
        <v>-0.92477525147469597</v>
      </c>
      <c r="E1016" s="1">
        <f t="shared" si="2183"/>
        <v>19.080299511278959</v>
      </c>
      <c r="F1016" s="1">
        <f t="shared" si="2184"/>
        <v>0</v>
      </c>
      <c r="G1016" s="1">
        <f t="shared" si="2185"/>
        <v>-3.6297634563605352</v>
      </c>
      <c r="H1016" s="1">
        <f t="shared" si="1728"/>
        <v>19.422487281222313</v>
      </c>
      <c r="I1016" s="1">
        <f t="shared" si="2168"/>
        <v>-15.081910904306151</v>
      </c>
      <c r="J1016" s="1">
        <f t="shared" si="2169"/>
        <v>0</v>
      </c>
      <c r="K1016" s="1">
        <f t="shared" si="2170"/>
        <v>2.8691252472307993</v>
      </c>
      <c r="L1016" s="1">
        <f t="shared" ref="L1016:N1016" si="2292">E1016/$H1016</f>
        <v>0.98238187699707324</v>
      </c>
      <c r="M1016" s="1">
        <f t="shared" si="2292"/>
        <v>0</v>
      </c>
      <c r="N1016" s="1">
        <f t="shared" si="2292"/>
        <v>-0.18688458402903912</v>
      </c>
      <c r="O1016" s="1">
        <f t="shared" si="1730"/>
        <v>-0.18688458402903912</v>
      </c>
      <c r="P1016" s="1">
        <f t="shared" si="2172"/>
        <v>0.1835920284402647</v>
      </c>
      <c r="Q1016" s="1">
        <f t="shared" si="2173"/>
        <v>0</v>
      </c>
      <c r="R1016" s="1">
        <f t="shared" si="2174"/>
        <v>0.96507415225229298</v>
      </c>
      <c r="S1016" s="1">
        <f t="shared" si="2175"/>
        <v>1.2412571625676005</v>
      </c>
      <c r="T1016" s="1">
        <f t="shared" ref="T1016:V1016" si="2293">$S1016*P1016</f>
        <v>0.22788492029179319</v>
      </c>
      <c r="U1016" s="1">
        <f t="shared" si="2293"/>
        <v>0</v>
      </c>
      <c r="V1016" s="1">
        <f t="shared" si="2293"/>
        <v>1.1979052038920137</v>
      </c>
      <c r="W1016" s="1">
        <f t="shared" si="2177"/>
        <v>-14.854025984014358</v>
      </c>
      <c r="X1016" s="1">
        <f t="shared" si="2178"/>
        <v>0</v>
      </c>
      <c r="Y1016" s="1">
        <f t="shared" si="2179"/>
        <v>-5.7396195488771866</v>
      </c>
    </row>
    <row r="1017" spans="1:25">
      <c r="A1017" s="1">
        <v>1.0149999999999999</v>
      </c>
      <c r="B1017" s="1">
        <f t="shared" si="2180"/>
        <v>38.037410822961007</v>
      </c>
      <c r="C1017" s="1">
        <f t="shared" si="2181"/>
        <v>0</v>
      </c>
      <c r="D1017" s="1">
        <f t="shared" si="2182"/>
        <v>-0.9284107545506054</v>
      </c>
      <c r="E1017" s="1">
        <f t="shared" si="2183"/>
        <v>19.065445485294944</v>
      </c>
      <c r="F1017" s="1">
        <f t="shared" si="2184"/>
        <v>0</v>
      </c>
      <c r="G1017" s="1">
        <f t="shared" si="2185"/>
        <v>-3.6355030759094125</v>
      </c>
      <c r="H1017" s="1">
        <f t="shared" si="1728"/>
        <v>19.408969425698526</v>
      </c>
      <c r="I1017" s="1">
        <f t="shared" si="2168"/>
        <v>-15.059680940265199</v>
      </c>
      <c r="J1017" s="1">
        <f t="shared" si="2169"/>
        <v>0</v>
      </c>
      <c r="K1017" s="1">
        <f t="shared" si="2170"/>
        <v>2.8716620559837658</v>
      </c>
      <c r="L1017" s="1">
        <f t="shared" ref="L1017:N1017" si="2294">E1017/$H1017</f>
        <v>0.98230076348367379</v>
      </c>
      <c r="M1017" s="1">
        <f t="shared" si="2294"/>
        <v>0</v>
      </c>
      <c r="N1017" s="1">
        <f t="shared" si="2294"/>
        <v>-0.18731046436168886</v>
      </c>
      <c r="O1017" s="1">
        <f t="shared" si="1730"/>
        <v>-0.18731046436168886</v>
      </c>
      <c r="P1017" s="1">
        <f t="shared" si="2172"/>
        <v>0.18399521215096842</v>
      </c>
      <c r="Q1017" s="1">
        <f t="shared" si="2173"/>
        <v>0</v>
      </c>
      <c r="R1017" s="1">
        <f t="shared" si="2174"/>
        <v>0.96491478994060853</v>
      </c>
      <c r="S1017" s="1">
        <f t="shared" si="2175"/>
        <v>1.239529958868701</v>
      </c>
      <c r="T1017" s="1">
        <f t="shared" ref="T1017:V1017" si="2295">$S1017*P1017</f>
        <v>0.22806757774952779</v>
      </c>
      <c r="U1017" s="1">
        <f t="shared" si="2295"/>
        <v>0</v>
      </c>
      <c r="V1017" s="1">
        <f t="shared" si="2295"/>
        <v>1.1960407898868837</v>
      </c>
      <c r="W1017" s="1">
        <f t="shared" si="2177"/>
        <v>-14.831613362515672</v>
      </c>
      <c r="X1017" s="1">
        <f t="shared" si="2178"/>
        <v>0</v>
      </c>
      <c r="Y1017" s="1">
        <f t="shared" si="2179"/>
        <v>-5.7389471541293497</v>
      </c>
    </row>
    <row r="1018" spans="1:25">
      <c r="A1018" s="1">
        <v>1.016</v>
      </c>
      <c r="B1018" s="1">
        <f t="shared" si="2180"/>
        <v>38.05646143683294</v>
      </c>
      <c r="C1018" s="1">
        <f t="shared" si="2181"/>
        <v>0</v>
      </c>
      <c r="D1018" s="1">
        <f t="shared" si="2182"/>
        <v>-0.93205199657366899</v>
      </c>
      <c r="E1018" s="1">
        <f t="shared" si="2183"/>
        <v>19.050613871932427</v>
      </c>
      <c r="F1018" s="1">
        <f t="shared" si="2184"/>
        <v>0</v>
      </c>
      <c r="G1018" s="1">
        <f t="shared" si="2185"/>
        <v>-3.6412420230635418</v>
      </c>
      <c r="H1018" s="1">
        <f t="shared" si="1728"/>
        <v>19.395477111120211</v>
      </c>
      <c r="I1018" s="1">
        <f t="shared" si="2168"/>
        <v>-15.037504813258538</v>
      </c>
      <c r="J1018" s="1">
        <f t="shared" si="2169"/>
        <v>0</v>
      </c>
      <c r="K1018" s="1">
        <f t="shared" si="2170"/>
        <v>2.8741958036706086</v>
      </c>
      <c r="L1018" s="1">
        <f t="shared" ref="L1018:N1018" si="2296">E1018/$H1018</f>
        <v>0.98221939902730926</v>
      </c>
      <c r="M1018" s="1">
        <f t="shared" si="2296"/>
        <v>0</v>
      </c>
      <c r="N1018" s="1">
        <f t="shared" si="2296"/>
        <v>-0.18773665644841861</v>
      </c>
      <c r="O1018" s="1">
        <f t="shared" si="1730"/>
        <v>-0.18773665644841861</v>
      </c>
      <c r="P1018" s="1">
        <f t="shared" si="2172"/>
        <v>0.18439858587216215</v>
      </c>
      <c r="Q1018" s="1">
        <f t="shared" si="2173"/>
        <v>0</v>
      </c>
      <c r="R1018" s="1">
        <f t="shared" si="2174"/>
        <v>0.96475494782556848</v>
      </c>
      <c r="S1018" s="1">
        <f t="shared" si="2175"/>
        <v>1.2378072177168384</v>
      </c>
      <c r="T1018" s="1">
        <f t="shared" ref="T1018:V1018" si="2297">$S1018*P1018</f>
        <v>0.22824990052934055</v>
      </c>
      <c r="U1018" s="1">
        <f t="shared" si="2297"/>
        <v>0</v>
      </c>
      <c r="V1018" s="1">
        <f t="shared" si="2297"/>
        <v>1.1941806377465205</v>
      </c>
      <c r="W1018" s="1">
        <f t="shared" si="2177"/>
        <v>-14.809254912729198</v>
      </c>
      <c r="X1018" s="1">
        <f t="shared" si="2178"/>
        <v>0</v>
      </c>
      <c r="Y1018" s="1">
        <f t="shared" si="2179"/>
        <v>-5.7382735585828701</v>
      </c>
    </row>
    <row r="1019" spans="1:25">
      <c r="A1019" s="1">
        <v>1.0169999999999999</v>
      </c>
      <c r="B1019" s="1">
        <f t="shared" si="2180"/>
        <v>38.075497241449959</v>
      </c>
      <c r="C1019" s="1">
        <f t="shared" si="2181"/>
        <v>0</v>
      </c>
      <c r="D1019" s="1">
        <f t="shared" si="2182"/>
        <v>-0.93569897687029113</v>
      </c>
      <c r="E1019" s="1">
        <f t="shared" si="2183"/>
        <v>19.035804617019696</v>
      </c>
      <c r="F1019" s="1">
        <f t="shared" si="2184"/>
        <v>0</v>
      </c>
      <c r="G1019" s="1">
        <f t="shared" si="2185"/>
        <v>-3.6469802966221248</v>
      </c>
      <c r="H1019" s="1">
        <f t="shared" si="1728"/>
        <v>19.38201028534704</v>
      </c>
      <c r="I1019" s="1">
        <f t="shared" si="2168"/>
        <v>-15.015382356991651</v>
      </c>
      <c r="J1019" s="1">
        <f t="shared" si="2169"/>
        <v>0</v>
      </c>
      <c r="K1019" s="1">
        <f t="shared" si="2170"/>
        <v>2.8767265006090166</v>
      </c>
      <c r="L1019" s="1">
        <f t="shared" ref="L1019:N1019" si="2298">E1019/$H1019</f>
        <v>0.98213778327271462</v>
      </c>
      <c r="M1019" s="1">
        <f t="shared" si="2298"/>
        <v>0</v>
      </c>
      <c r="N1019" s="1">
        <f t="shared" si="2298"/>
        <v>-0.18816315969965572</v>
      </c>
      <c r="O1019" s="1">
        <f t="shared" si="1730"/>
        <v>-0.18816315969965572</v>
      </c>
      <c r="P1019" s="1">
        <f t="shared" si="2172"/>
        <v>0.18480214856100965</v>
      </c>
      <c r="Q1019" s="1">
        <f t="shared" si="2173"/>
        <v>0</v>
      </c>
      <c r="R1019" s="1">
        <f t="shared" si="2174"/>
        <v>0.96459462533184182</v>
      </c>
      <c r="S1019" s="1">
        <f t="shared" si="2175"/>
        <v>1.2360889256580954</v>
      </c>
      <c r="T1019" s="1">
        <f t="shared" ref="T1019:V1019" si="2299">$S1019*P1019</f>
        <v>0.22843188927408617</v>
      </c>
      <c r="U1019" s="1">
        <f t="shared" si="2299"/>
        <v>0</v>
      </c>
      <c r="V1019" s="1">
        <f t="shared" si="2299"/>
        <v>1.1923247341220093</v>
      </c>
      <c r="W1019" s="1">
        <f t="shared" si="2177"/>
        <v>-14.786950467717565</v>
      </c>
      <c r="X1019" s="1">
        <f t="shared" si="2178"/>
        <v>0</v>
      </c>
      <c r="Y1019" s="1">
        <f t="shared" si="2179"/>
        <v>-5.7375987652689737</v>
      </c>
    </row>
    <row r="1020" spans="1:25">
      <c r="A1020" s="1">
        <v>1.018</v>
      </c>
      <c r="B1020" s="1">
        <f t="shared" si="2180"/>
        <v>38.094518259116512</v>
      </c>
      <c r="C1020" s="1">
        <f t="shared" si="2181"/>
        <v>0</v>
      </c>
      <c r="D1020" s="1">
        <f t="shared" si="2182"/>
        <v>-0.93935169476567848</v>
      </c>
      <c r="E1020" s="1">
        <f t="shared" si="2183"/>
        <v>19.02101766655198</v>
      </c>
      <c r="F1020" s="1">
        <f t="shared" si="2184"/>
        <v>0</v>
      </c>
      <c r="G1020" s="1">
        <f t="shared" si="2185"/>
        <v>-3.6527178953873936</v>
      </c>
      <c r="H1020" s="1">
        <f t="shared" si="1728"/>
        <v>19.368568896399285</v>
      </c>
      <c r="I1020" s="1">
        <f t="shared" si="2168"/>
        <v>-14.99331340580976</v>
      </c>
      <c r="J1020" s="1">
        <f t="shared" si="2169"/>
        <v>0</v>
      </c>
      <c r="K1020" s="1">
        <f t="shared" si="2170"/>
        <v>2.8792541570926757</v>
      </c>
      <c r="L1020" s="1">
        <f t="shared" ref="L1020:N1020" si="2300">E1020/$H1020</f>
        <v>0.98205591586521834</v>
      </c>
      <c r="M1020" s="1">
        <f t="shared" si="2300"/>
        <v>0</v>
      </c>
      <c r="N1020" s="1">
        <f t="shared" si="2300"/>
        <v>-0.18858997352491294</v>
      </c>
      <c r="O1020" s="1">
        <f t="shared" si="1730"/>
        <v>-0.18858997352491294</v>
      </c>
      <c r="P1020" s="1">
        <f t="shared" si="2172"/>
        <v>0.18520589917300564</v>
      </c>
      <c r="Q1020" s="1">
        <f t="shared" si="2173"/>
        <v>0</v>
      </c>
      <c r="R1020" s="1">
        <f t="shared" si="2174"/>
        <v>0.96443382188587268</v>
      </c>
      <c r="S1020" s="1">
        <f t="shared" si="2175"/>
        <v>1.2343750692903526</v>
      </c>
      <c r="T1020" s="1">
        <f t="shared" ref="T1020:V1020" si="2301">$S1020*P1020</f>
        <v>0.22861354462466088</v>
      </c>
      <c r="U1020" s="1">
        <f t="shared" si="2301"/>
        <v>0</v>
      </c>
      <c r="V1020" s="1">
        <f t="shared" si="2301"/>
        <v>1.1904730657163336</v>
      </c>
      <c r="W1020" s="1">
        <f t="shared" si="2177"/>
        <v>-14.764699861185099</v>
      </c>
      <c r="X1020" s="1">
        <f t="shared" si="2178"/>
        <v>0</v>
      </c>
      <c r="Y1020" s="1">
        <f t="shared" si="2179"/>
        <v>-5.7369227771909905</v>
      </c>
    </row>
    <row r="1021" spans="1:25">
      <c r="A1021" s="1">
        <v>1.0189999999999999</v>
      </c>
      <c r="B1021" s="1">
        <f t="shared" si="2180"/>
        <v>38.113524512083202</v>
      </c>
      <c r="C1021" s="1">
        <f t="shared" si="2181"/>
        <v>0</v>
      </c>
      <c r="D1021" s="1">
        <f t="shared" si="2182"/>
        <v>-0.9430101495838431</v>
      </c>
      <c r="E1021" s="1">
        <f t="shared" si="2183"/>
        <v>19.006252966690795</v>
      </c>
      <c r="F1021" s="1">
        <f t="shared" si="2184"/>
        <v>0</v>
      </c>
      <c r="G1021" s="1">
        <f t="shared" si="2185"/>
        <v>-3.6584548181645844</v>
      </c>
      <c r="H1021" s="1">
        <f t="shared" si="1728"/>
        <v>19.355152892457198</v>
      </c>
      <c r="I1021" s="1">
        <f t="shared" si="2168"/>
        <v>-14.971297794694848</v>
      </c>
      <c r="J1021" s="1">
        <f t="shared" si="2169"/>
        <v>0</v>
      </c>
      <c r="K1021" s="1">
        <f t="shared" si="2170"/>
        <v>2.8817787833913369</v>
      </c>
      <c r="L1021" s="1">
        <f t="shared" ref="L1021:N1021" si="2302">E1021/$H1021</f>
        <v>0.98197379645074401</v>
      </c>
      <c r="M1021" s="1">
        <f t="shared" si="2302"/>
        <v>0</v>
      </c>
      <c r="N1021" s="1">
        <f t="shared" si="2302"/>
        <v>-0.18901709733278846</v>
      </c>
      <c r="O1021" s="1">
        <f t="shared" si="1730"/>
        <v>-0.18901709733278846</v>
      </c>
      <c r="P1021" s="1">
        <f t="shared" si="2172"/>
        <v>0.18560983666197808</v>
      </c>
      <c r="Q1021" s="1">
        <f t="shared" si="2173"/>
        <v>0</v>
      </c>
      <c r="R1021" s="1">
        <f t="shared" si="2174"/>
        <v>0.96427253691588721</v>
      </c>
      <c r="S1021" s="1">
        <f t="shared" si="2175"/>
        <v>1.2326656352630505</v>
      </c>
      <c r="T1021" s="1">
        <f t="shared" ref="T1021:V1021" si="2303">$S1021*P1021</f>
        <v>0.22879486722000825</v>
      </c>
      <c r="U1021" s="1">
        <f t="shared" si="2303"/>
        <v>0</v>
      </c>
      <c r="V1021" s="1">
        <f t="shared" si="2303"/>
        <v>1.1886256192841353</v>
      </c>
      <c r="W1021" s="1">
        <f t="shared" si="2177"/>
        <v>-14.74250292747484</v>
      </c>
      <c r="X1021" s="1">
        <f t="shared" si="2178"/>
        <v>0</v>
      </c>
      <c r="Y1021" s="1">
        <f t="shared" si="2179"/>
        <v>-5.736245597324527</v>
      </c>
    </row>
    <row r="1022" spans="1:25">
      <c r="A1022" s="1">
        <v>1.02</v>
      </c>
      <c r="B1022" s="1">
        <f t="shared" si="2180"/>
        <v>38.132516022546966</v>
      </c>
      <c r="C1022" s="1">
        <f t="shared" si="2181"/>
        <v>0</v>
      </c>
      <c r="D1022" s="1">
        <f t="shared" si="2182"/>
        <v>-0.94667434064760503</v>
      </c>
      <c r="E1022" s="1">
        <f t="shared" si="2183"/>
        <v>18.991510463763319</v>
      </c>
      <c r="F1022" s="1">
        <f t="shared" si="2184"/>
        <v>0</v>
      </c>
      <c r="G1022" s="1">
        <f t="shared" si="2185"/>
        <v>-3.6641910637619088</v>
      </c>
      <c r="H1022" s="1">
        <f t="shared" ref="H1022:H1276" si="2304">SQRT(E1022^2+F1022^2+G1022^2)</f>
        <v>19.341762221860353</v>
      </c>
      <c r="I1022" s="1">
        <f t="shared" si="2168"/>
        <v>-14.949335359262706</v>
      </c>
      <c r="J1022" s="1">
        <f t="shared" si="2169"/>
        <v>0</v>
      </c>
      <c r="K1022" s="1">
        <f t="shared" si="2170"/>
        <v>2.8843003897508734</v>
      </c>
      <c r="L1022" s="1">
        <f t="shared" ref="L1022:N1022" si="2305">E1022/$H1022</f>
        <v>0.98189142467581503</v>
      </c>
      <c r="M1022" s="1">
        <f t="shared" si="2305"/>
        <v>0</v>
      </c>
      <c r="N1022" s="1">
        <f t="shared" si="2305"/>
        <v>-0.18944453053096602</v>
      </c>
      <c r="O1022" s="1">
        <f t="shared" ref="O1022:O1276" si="2306">N1022</f>
        <v>-0.18944453053096602</v>
      </c>
      <c r="P1022" s="1">
        <f t="shared" si="2172"/>
        <v>0.18601395998009115</v>
      </c>
      <c r="Q1022" s="1">
        <f t="shared" si="2173"/>
        <v>0</v>
      </c>
      <c r="R1022" s="1">
        <f t="shared" si="2174"/>
        <v>0.96411076985190192</v>
      </c>
      <c r="S1022" s="1">
        <f t="shared" si="2175"/>
        <v>1.2309606102769493</v>
      </c>
      <c r="T1022" s="1">
        <f t="shared" ref="T1022:V1022" si="2307">$S1022*P1022</f>
        <v>0.22897585769712503</v>
      </c>
      <c r="U1022" s="1">
        <f t="shared" si="2307"/>
        <v>0</v>
      </c>
      <c r="V1022" s="1">
        <f t="shared" si="2307"/>
        <v>1.1867823816314766</v>
      </c>
      <c r="W1022" s="1">
        <f t="shared" si="2177"/>
        <v>-14.720359501565582</v>
      </c>
      <c r="X1022" s="1">
        <f t="shared" si="2178"/>
        <v>0</v>
      </c>
      <c r="Y1022" s="1">
        <f t="shared" si="2179"/>
        <v>-5.7355672286176489</v>
      </c>
    </row>
    <row r="1023" spans="1:25">
      <c r="A1023" s="1">
        <v>1.0209999999999999</v>
      </c>
      <c r="B1023" s="1">
        <f t="shared" si="2180"/>
        <v>38.151492812651227</v>
      </c>
      <c r="C1023" s="1">
        <f t="shared" si="2181"/>
        <v>0</v>
      </c>
      <c r="D1023" s="1">
        <f t="shared" si="2182"/>
        <v>-0.95034426727859556</v>
      </c>
      <c r="E1023" s="1">
        <f t="shared" si="2183"/>
        <v>18.976790104261752</v>
      </c>
      <c r="F1023" s="1">
        <f t="shared" si="2184"/>
        <v>0</v>
      </c>
      <c r="G1023" s="1">
        <f t="shared" si="2185"/>
        <v>-3.6699266309905263</v>
      </c>
      <c r="H1023" s="1">
        <f t="shared" si="2304"/>
        <v>19.328396833106989</v>
      </c>
      <c r="I1023" s="1">
        <f t="shared" si="2168"/>
        <v>-14.927425935759969</v>
      </c>
      <c r="J1023" s="1">
        <f t="shared" si="2169"/>
        <v>0</v>
      </c>
      <c r="K1023" s="1">
        <f t="shared" si="2170"/>
        <v>2.8868189863933456</v>
      </c>
      <c r="L1023" s="1">
        <f t="shared" ref="L1023:N1023" si="2308">E1023/$H1023</f>
        <v>0.98180880018755712</v>
      </c>
      <c r="M1023" s="1">
        <f t="shared" si="2308"/>
        <v>0</v>
      </c>
      <c r="N1023" s="1">
        <f t="shared" si="2308"/>
        <v>-0.18987227252621527</v>
      </c>
      <c r="O1023" s="1">
        <f t="shared" si="2306"/>
        <v>-0.18987227252621527</v>
      </c>
      <c r="P1023" s="1">
        <f t="shared" si="2172"/>
        <v>0.18641826807784828</v>
      </c>
      <c r="Q1023" s="1">
        <f t="shared" si="2173"/>
        <v>0</v>
      </c>
      <c r="R1023" s="1">
        <f t="shared" si="2174"/>
        <v>0.96394852012573062</v>
      </c>
      <c r="S1023" s="1">
        <f t="shared" si="2175"/>
        <v>1.2292599810838873</v>
      </c>
      <c r="T1023" s="1">
        <f t="shared" ref="T1023:V1023" si="2309">$S1023*P1023</f>
        <v>0.22915651669106682</v>
      </c>
      <c r="U1023" s="1">
        <f t="shared" si="2309"/>
        <v>0</v>
      </c>
      <c r="V1023" s="1">
        <f t="shared" si="2309"/>
        <v>1.1849433396155968</v>
      </c>
      <c r="W1023" s="1">
        <f t="shared" si="2177"/>
        <v>-14.698269419068902</v>
      </c>
      <c r="X1023" s="1">
        <f t="shared" si="2178"/>
        <v>0</v>
      </c>
      <c r="Y1023" s="1">
        <f t="shared" si="2179"/>
        <v>-5.7348876739910573</v>
      </c>
    </row>
    <row r="1024" spans="1:25">
      <c r="A1024" s="1">
        <v>1.022</v>
      </c>
      <c r="B1024" s="1">
        <f t="shared" si="2180"/>
        <v>38.170454904486071</v>
      </c>
      <c r="C1024" s="1">
        <f t="shared" si="2181"/>
        <v>0</v>
      </c>
      <c r="D1024" s="1">
        <f t="shared" si="2182"/>
        <v>-0.95401992879726005</v>
      </c>
      <c r="E1024" s="1">
        <f t="shared" si="2183"/>
        <v>18.962091834842685</v>
      </c>
      <c r="F1024" s="1">
        <f t="shared" si="2184"/>
        <v>0</v>
      </c>
      <c r="G1024" s="1">
        <f t="shared" si="2185"/>
        <v>-3.6756615186645174</v>
      </c>
      <c r="H1024" s="1">
        <f t="shared" si="2304"/>
        <v>19.315056674853395</v>
      </c>
      <c r="I1024" s="1">
        <f t="shared" si="2168"/>
        <v>-14.905569361061197</v>
      </c>
      <c r="J1024" s="1">
        <f t="shared" si="2169"/>
        <v>0</v>
      </c>
      <c r="K1024" s="1">
        <f t="shared" si="2170"/>
        <v>2.8893345835170634</v>
      </c>
      <c r="L1024" s="1">
        <f t="shared" ref="L1024:N1024" si="2310">E1024/$H1024</f>
        <v>0.98172592263370162</v>
      </c>
      <c r="M1024" s="1">
        <f t="shared" si="2310"/>
        <v>0</v>
      </c>
      <c r="N1024" s="1">
        <f t="shared" si="2310"/>
        <v>-0.19030032272439171</v>
      </c>
      <c r="O1024" s="1">
        <f t="shared" si="2306"/>
        <v>-0.19030032272439171</v>
      </c>
      <c r="P1024" s="1">
        <f t="shared" si="2172"/>
        <v>0.18682275990409461</v>
      </c>
      <c r="Q1024" s="1">
        <f t="shared" si="2173"/>
        <v>0</v>
      </c>
      <c r="R1024" s="1">
        <f t="shared" si="2174"/>
        <v>0.96378578717099239</v>
      </c>
      <c r="S1024" s="1">
        <f t="shared" si="2175"/>
        <v>1.2275637344865491</v>
      </c>
      <c r="T1024" s="1">
        <f t="shared" ref="T1024:V1024" si="2311">$S1024*P1024</f>
        <v>0.22933684483495431</v>
      </c>
      <c r="U1024" s="1">
        <f t="shared" si="2311"/>
        <v>0</v>
      </c>
      <c r="V1024" s="1">
        <f t="shared" si="2311"/>
        <v>1.1831084801446818</v>
      </c>
      <c r="W1024" s="1">
        <f t="shared" si="2177"/>
        <v>-14.676232516226243</v>
      </c>
      <c r="X1024" s="1">
        <f t="shared" si="2178"/>
        <v>0</v>
      </c>
      <c r="Y1024" s="1">
        <f t="shared" si="2179"/>
        <v>-5.7342069363382544</v>
      </c>
    </row>
    <row r="1025" spans="1:25">
      <c r="A1025" s="1">
        <v>1.0229999999999999</v>
      </c>
      <c r="B1025" s="1">
        <f t="shared" si="2180"/>
        <v>38.189402320088398</v>
      </c>
      <c r="C1025" s="1">
        <f t="shared" si="2181"/>
        <v>0</v>
      </c>
      <c r="D1025" s="1">
        <f t="shared" si="2182"/>
        <v>-0.95770132452286094</v>
      </c>
      <c r="E1025" s="1">
        <f t="shared" si="2183"/>
        <v>18.947415602326458</v>
      </c>
      <c r="F1025" s="1">
        <f t="shared" si="2184"/>
        <v>0</v>
      </c>
      <c r="G1025" s="1">
        <f t="shared" si="2185"/>
        <v>-3.6813957256008556</v>
      </c>
      <c r="H1025" s="1">
        <f t="shared" si="2304"/>
        <v>19.301741695913258</v>
      </c>
      <c r="I1025" s="1">
        <f t="shared" si="2168"/>
        <v>-14.883765472665944</v>
      </c>
      <c r="J1025" s="1">
        <f t="shared" si="2169"/>
        <v>0</v>
      </c>
      <c r="K1025" s="1">
        <f t="shared" si="2170"/>
        <v>2.8918471912966455</v>
      </c>
      <c r="L1025" s="1">
        <f t="shared" ref="L1025:N1025" si="2312">E1025/$H1025</f>
        <v>0.98164279166258761</v>
      </c>
      <c r="M1025" s="1">
        <f t="shared" si="2312"/>
        <v>0</v>
      </c>
      <c r="N1025" s="1">
        <f t="shared" si="2312"/>
        <v>-0.19072868053043704</v>
      </c>
      <c r="O1025" s="1">
        <f t="shared" si="2306"/>
        <v>-0.19072868053043704</v>
      </c>
      <c r="P1025" s="1">
        <f t="shared" si="2172"/>
        <v>0.18722743440602005</v>
      </c>
      <c r="Q1025" s="1">
        <f t="shared" si="2173"/>
        <v>0</v>
      </c>
      <c r="R1025" s="1">
        <f t="shared" si="2174"/>
        <v>0.9636225704231185</v>
      </c>
      <c r="S1025" s="1">
        <f t="shared" si="2175"/>
        <v>1.2258718573382261</v>
      </c>
      <c r="T1025" s="1">
        <f t="shared" ref="T1025:V1025" si="2313">$S1025*P1025</f>
        <v>0.22951684275997869</v>
      </c>
      <c r="U1025" s="1">
        <f t="shared" si="2313"/>
        <v>0</v>
      </c>
      <c r="V1025" s="1">
        <f t="shared" si="2313"/>
        <v>1.1812777901776239</v>
      </c>
      <c r="W1025" s="1">
        <f t="shared" si="2177"/>
        <v>-14.654248629905965</v>
      </c>
      <c r="X1025" s="1">
        <f t="shared" si="2178"/>
        <v>0</v>
      </c>
      <c r="Y1025" s="1">
        <f t="shared" si="2179"/>
        <v>-5.7335250185257305</v>
      </c>
    </row>
    <row r="1026" spans="1:25">
      <c r="A1026" s="1">
        <v>1.024</v>
      </c>
      <c r="B1026" s="1">
        <f t="shared" si="2180"/>
        <v>38.208335081442094</v>
      </c>
      <c r="C1026" s="1">
        <f t="shared" si="2181"/>
        <v>0</v>
      </c>
      <c r="D1026" s="1">
        <f t="shared" si="2182"/>
        <v>-0.96138845377348037</v>
      </c>
      <c r="E1026" s="1">
        <f t="shared" si="2183"/>
        <v>18.932761353696552</v>
      </c>
      <c r="F1026" s="1">
        <f t="shared" si="2184"/>
        <v>0</v>
      </c>
      <c r="G1026" s="1">
        <f t="shared" si="2185"/>
        <v>-3.6871292506193813</v>
      </c>
      <c r="H1026" s="1">
        <f t="shared" si="2304"/>
        <v>19.288451845257015</v>
      </c>
      <c r="I1026" s="1">
        <f t="shared" ref="I1026:I1089" si="2314">-K_drag*$H1026*E1026</f>
        <v>-14.86201410869586</v>
      </c>
      <c r="J1026" s="1">
        <f t="shared" ref="J1026:J1089" si="2315">-K_drag*$H1026*F1026</f>
        <v>0</v>
      </c>
      <c r="K1026" s="1">
        <f t="shared" ref="K1026:K1089" si="2316">-K_drag*$H1026*G1026</f>
        <v>2.8943568198830802</v>
      </c>
      <c r="L1026" s="1">
        <f t="shared" ref="L1026:N1026" si="2317">E1026/$H1026</f>
        <v>0.98155940692316757</v>
      </c>
      <c r="M1026" s="1">
        <f t="shared" si="2317"/>
        <v>0</v>
      </c>
      <c r="N1026" s="1">
        <f t="shared" si="2317"/>
        <v>-0.19115734534837941</v>
      </c>
      <c r="O1026" s="1">
        <f t="shared" si="2306"/>
        <v>-0.19115734534837941</v>
      </c>
      <c r="P1026" s="1">
        <f t="shared" ref="P1026:P1089" si="2318">u_axis_f-$O1026*L1026</f>
        <v>0.18763229052916242</v>
      </c>
      <c r="Q1026" s="1">
        <f t="shared" ref="Q1026:Q1089" si="2319">u_axis_r-$O1026*M1026</f>
        <v>0</v>
      </c>
      <c r="R1026" s="1">
        <f t="shared" ref="R1026:R1089" si="2320">u_axis_u-$O1026*N1026</f>
        <v>0.96345886931936042</v>
      </c>
      <c r="S1026" s="1">
        <f t="shared" ref="S1026:S1089" si="2321">K_lift*H1026^2</f>
        <v>1.2241843365425813</v>
      </c>
      <c r="T1026" s="1">
        <f t="shared" ref="T1026:V1026" si="2322">$S1026*P1026</f>
        <v>0.22969651109540756</v>
      </c>
      <c r="U1026" s="1">
        <f t="shared" si="2322"/>
        <v>0</v>
      </c>
      <c r="V1026" s="1">
        <f t="shared" si="2322"/>
        <v>1.1794512567237867</v>
      </c>
      <c r="W1026" s="1">
        <f t="shared" ref="W1026:W1089" si="2323">I1026+T1026+g_f</f>
        <v>-14.632317597600451</v>
      </c>
      <c r="X1026" s="1">
        <f t="shared" ref="X1026:X1089" si="2324">J1026+U1026+g_r</f>
        <v>0</v>
      </c>
      <c r="Y1026" s="1">
        <f t="shared" ref="Y1026:Y1089" si="2325">K1026+V1026+g_u</f>
        <v>-5.7328419233931323</v>
      </c>
    </row>
    <row r="1027" spans="1:25">
      <c r="A1027" s="1">
        <v>1.0249999999999999</v>
      </c>
      <c r="B1027" s="1">
        <f t="shared" ref="B1027:B1090" si="2326">B1026+E1027*dt</f>
        <v>38.227253210478196</v>
      </c>
      <c r="C1027" s="1">
        <f t="shared" ref="C1027:C1090" si="2327">C1026+F1027*dt</f>
        <v>0</v>
      </c>
      <c r="D1027" s="1">
        <f t="shared" ref="D1027:D1090" si="2328">D1026+G1027*dt</f>
        <v>-0.96508131586602319</v>
      </c>
      <c r="E1027" s="1">
        <f t="shared" ref="E1027:E1090" si="2329">E1026+W1026*dt</f>
        <v>18.91812903609895</v>
      </c>
      <c r="F1027" s="1">
        <f t="shared" ref="F1027:F1090" si="2330">F1026+X1026*dt</f>
        <v>0</v>
      </c>
      <c r="G1027" s="1">
        <f t="shared" ref="G1027:G1090" si="2331">G1026+Y1026*dt</f>
        <v>-3.6928620925427746</v>
      </c>
      <c r="H1027" s="1">
        <f t="shared" si="2304"/>
        <v>19.275187072011249</v>
      </c>
      <c r="I1027" s="1">
        <f t="shared" si="2314"/>
        <v>-14.840315107891808</v>
      </c>
      <c r="J1027" s="1">
        <f t="shared" si="2315"/>
        <v>0</v>
      </c>
      <c r="K1027" s="1">
        <f t="shared" si="2316"/>
        <v>2.8968634794037911</v>
      </c>
      <c r="L1027" s="1">
        <f t="shared" ref="L1027:N1027" si="2332">E1027/$H1027</f>
        <v>0.9814757680650078</v>
      </c>
      <c r="M1027" s="1">
        <f t="shared" si="2332"/>
        <v>0</v>
      </c>
      <c r="N1027" s="1">
        <f t="shared" si="2332"/>
        <v>-0.19158631658133354</v>
      </c>
      <c r="O1027" s="1">
        <f t="shared" si="2306"/>
        <v>-0.19158631658133354</v>
      </c>
      <c r="P1027" s="1">
        <f t="shared" si="2318"/>
        <v>0.18803732721741007</v>
      </c>
      <c r="Q1027" s="1">
        <f t="shared" si="2319"/>
        <v>0</v>
      </c>
      <c r="R1027" s="1">
        <f t="shared" si="2320"/>
        <v>0.96329468329879708</v>
      </c>
      <c r="S1027" s="1">
        <f t="shared" si="2321"/>
        <v>1.2225011590534185</v>
      </c>
      <c r="T1027" s="1">
        <f t="shared" ref="T1027:V1027" si="2333">$S1027*P1027</f>
        <v>0.22987585046859071</v>
      </c>
      <c r="U1027" s="1">
        <f t="shared" si="2333"/>
        <v>0</v>
      </c>
      <c r="V1027" s="1">
        <f t="shared" si="2333"/>
        <v>1.1776288668427752</v>
      </c>
      <c r="W1027" s="1">
        <f t="shared" si="2323"/>
        <v>-14.610439257423216</v>
      </c>
      <c r="X1027" s="1">
        <f t="shared" si="2324"/>
        <v>0</v>
      </c>
      <c r="Y1027" s="1">
        <f t="shared" si="2325"/>
        <v>-5.7321576537534327</v>
      </c>
    </row>
    <row r="1028" spans="1:25">
      <c r="A1028" s="1">
        <v>1.026</v>
      </c>
      <c r="B1028" s="1">
        <f t="shared" si="2326"/>
        <v>38.246156729075039</v>
      </c>
      <c r="C1028" s="1">
        <f t="shared" si="2327"/>
        <v>0</v>
      </c>
      <c r="D1028" s="1">
        <f t="shared" si="2328"/>
        <v>-0.96877991011621967</v>
      </c>
      <c r="E1028" s="1">
        <f t="shared" si="2329"/>
        <v>18.903518596841526</v>
      </c>
      <c r="F1028" s="1">
        <f t="shared" si="2330"/>
        <v>0</v>
      </c>
      <c r="G1028" s="1">
        <f t="shared" si="2331"/>
        <v>-3.6985942501965279</v>
      </c>
      <c r="H1028" s="1">
        <f t="shared" si="2304"/>
        <v>19.261947325458042</v>
      </c>
      <c r="I1028" s="1">
        <f t="shared" si="2314"/>
        <v>-14.818668309610995</v>
      </c>
      <c r="J1028" s="1">
        <f t="shared" si="2315"/>
        <v>0</v>
      </c>
      <c r="K1028" s="1">
        <f t="shared" si="2316"/>
        <v>2.8993671799626926</v>
      </c>
      <c r="L1028" s="1">
        <f t="shared" ref="L1028:N1028" si="2334">E1028/$H1028</f>
        <v>0.98139187473829348</v>
      </c>
      <c r="M1028" s="1">
        <f t="shared" si="2334"/>
        <v>0</v>
      </c>
      <c r="N1028" s="1">
        <f t="shared" si="2334"/>
        <v>-0.19201559363150095</v>
      </c>
      <c r="O1028" s="1">
        <f t="shared" si="2306"/>
        <v>-0.19201559363150095</v>
      </c>
      <c r="P1028" s="1">
        <f t="shared" si="2318"/>
        <v>0.18844254341300504</v>
      </c>
      <c r="Q1028" s="1">
        <f t="shared" si="2319"/>
        <v>0</v>
      </c>
      <c r="R1028" s="1">
        <f t="shared" si="2320"/>
        <v>0.96313001180234226</v>
      </c>
      <c r="S1028" s="1">
        <f t="shared" si="2321"/>
        <v>1.2208223118744499</v>
      </c>
      <c r="T1028" s="1">
        <f t="shared" ref="T1028:V1028" si="2335">$S1028*P1028</f>
        <v>0.23005486150496621</v>
      </c>
      <c r="U1028" s="1">
        <f t="shared" si="2335"/>
        <v>0</v>
      </c>
      <c r="V1028" s="1">
        <f t="shared" si="2335"/>
        <v>1.1758106076442016</v>
      </c>
      <c r="W1028" s="1">
        <f t="shared" si="2323"/>
        <v>-14.588613448106029</v>
      </c>
      <c r="X1028" s="1">
        <f t="shared" si="2324"/>
        <v>0</v>
      </c>
      <c r="Y1028" s="1">
        <f t="shared" si="2325"/>
        <v>-5.731472212393105</v>
      </c>
    </row>
    <row r="1029" spans="1:25">
      <c r="A1029" s="1">
        <v>1.0269999999999999</v>
      </c>
      <c r="B1029" s="1">
        <f t="shared" si="2326"/>
        <v>38.26504565905843</v>
      </c>
      <c r="C1029" s="1">
        <f t="shared" si="2327"/>
        <v>0</v>
      </c>
      <c r="D1029" s="1">
        <f t="shared" si="2328"/>
        <v>-0.97248423583862864</v>
      </c>
      <c r="E1029" s="1">
        <f t="shared" si="2329"/>
        <v>18.888929983393421</v>
      </c>
      <c r="F1029" s="1">
        <f t="shared" si="2330"/>
        <v>0</v>
      </c>
      <c r="G1029" s="1">
        <f t="shared" si="2331"/>
        <v>-3.704325722408921</v>
      </c>
      <c r="H1029" s="1">
        <f t="shared" si="2304"/>
        <v>19.248732555034355</v>
      </c>
      <c r="I1029" s="1">
        <f t="shared" si="2314"/>
        <v>-14.79707355382412</v>
      </c>
      <c r="J1029" s="1">
        <f t="shared" si="2315"/>
        <v>0</v>
      </c>
      <c r="K1029" s="1">
        <f t="shared" si="2316"/>
        <v>2.9018679316402558</v>
      </c>
      <c r="L1029" s="1">
        <f t="shared" ref="L1029:N1029" si="2336">E1029/$H1029</f>
        <v>0.9813077265938307</v>
      </c>
      <c r="M1029" s="1">
        <f t="shared" si="2336"/>
        <v>0</v>
      </c>
      <c r="N1029" s="1">
        <f t="shared" si="2336"/>
        <v>-0.1924451759001703</v>
      </c>
      <c r="O1029" s="1">
        <f t="shared" si="2306"/>
        <v>-0.1924451759001703</v>
      </c>
      <c r="P1029" s="1">
        <f t="shared" si="2318"/>
        <v>0.18884793805654596</v>
      </c>
      <c r="Q1029" s="1">
        <f t="shared" si="2319"/>
        <v>0</v>
      </c>
      <c r="R1029" s="1">
        <f t="shared" si="2320"/>
        <v>0.96296485427275247</v>
      </c>
      <c r="S1029" s="1">
        <f t="shared" si="2321"/>
        <v>1.2191477820590635</v>
      </c>
      <c r="T1029" s="1">
        <f t="shared" ref="T1029:V1029" si="2337">$S1029*P1029</f>
        <v>0.23023354482806541</v>
      </c>
      <c r="U1029" s="1">
        <f t="shared" si="2337"/>
        <v>0</v>
      </c>
      <c r="V1029" s="1">
        <f t="shared" si="2337"/>
        <v>1.1739964662874554</v>
      </c>
      <c r="W1029" s="1">
        <f t="shared" si="2323"/>
        <v>-14.566840008996055</v>
      </c>
      <c r="X1029" s="1">
        <f t="shared" si="2324"/>
        <v>0</v>
      </c>
      <c r="Y1029" s="1">
        <f t="shared" si="2325"/>
        <v>-5.730785602072288</v>
      </c>
    </row>
    <row r="1030" spans="1:25">
      <c r="A1030" s="1">
        <v>1.028</v>
      </c>
      <c r="B1030" s="1">
        <f t="shared" si="2326"/>
        <v>38.283920022201812</v>
      </c>
      <c r="C1030" s="1">
        <f t="shared" si="2327"/>
        <v>0</v>
      </c>
      <c r="D1030" s="1">
        <f t="shared" si="2328"/>
        <v>-0.97619429234663968</v>
      </c>
      <c r="E1030" s="1">
        <f t="shared" si="2329"/>
        <v>18.874363143384425</v>
      </c>
      <c r="F1030" s="1">
        <f t="shared" si="2330"/>
        <v>0</v>
      </c>
      <c r="G1030" s="1">
        <f t="shared" si="2331"/>
        <v>-3.7100565080109931</v>
      </c>
      <c r="H1030" s="1">
        <f t="shared" si="2304"/>
        <v>19.235542710331391</v>
      </c>
      <c r="I1030" s="1">
        <f t="shared" si="2314"/>
        <v>-14.775530681112514</v>
      </c>
      <c r="J1030" s="1">
        <f t="shared" si="2315"/>
        <v>0</v>
      </c>
      <c r="K1030" s="1">
        <f t="shared" si="2316"/>
        <v>2.9043657444935636</v>
      </c>
      <c r="L1030" s="1">
        <f t="shared" ref="L1030:N1030" si="2338">E1030/$H1030</f>
        <v>0.98122332328305062</v>
      </c>
      <c r="M1030" s="1">
        <f t="shared" si="2338"/>
        <v>0</v>
      </c>
      <c r="N1030" s="1">
        <f t="shared" si="2338"/>
        <v>-0.19287506278771774</v>
      </c>
      <c r="O1030" s="1">
        <f t="shared" si="2306"/>
        <v>-0.19287506278771774</v>
      </c>
      <c r="P1030" s="1">
        <f t="shared" si="2318"/>
        <v>0.18925351008699146</v>
      </c>
      <c r="Q1030" s="1">
        <f t="shared" si="2319"/>
        <v>0</v>
      </c>
      <c r="R1030" s="1">
        <f t="shared" si="2320"/>
        <v>0.96279921015463399</v>
      </c>
      <c r="S1030" s="1">
        <f t="shared" si="2321"/>
        <v>1.2174775567100942</v>
      </c>
      <c r="T1030" s="1">
        <f t="shared" ref="T1030:V1030" si="2339">$S1030*P1030</f>
        <v>0.23041190105951953</v>
      </c>
      <c r="U1030" s="1">
        <f t="shared" si="2339"/>
        <v>0</v>
      </c>
      <c r="V1030" s="1">
        <f t="shared" si="2339"/>
        <v>1.1721864299814724</v>
      </c>
      <c r="W1030" s="1">
        <f t="shared" si="2323"/>
        <v>-14.545118780052995</v>
      </c>
      <c r="X1030" s="1">
        <f t="shared" si="2324"/>
        <v>0</v>
      </c>
      <c r="Y1030" s="1">
        <f t="shared" si="2325"/>
        <v>-5.7300978255249637</v>
      </c>
    </row>
    <row r="1031" spans="1:25">
      <c r="A1031" s="1">
        <v>1.0289999999999999</v>
      </c>
      <c r="B1031" s="1">
        <f t="shared" si="2326"/>
        <v>38.302779840226414</v>
      </c>
      <c r="C1031" s="1">
        <f t="shared" si="2327"/>
        <v>0</v>
      </c>
      <c r="D1031" s="1">
        <f t="shared" si="2328"/>
        <v>-0.97991007895247617</v>
      </c>
      <c r="E1031" s="1">
        <f t="shared" si="2329"/>
        <v>18.859818024604373</v>
      </c>
      <c r="F1031" s="1">
        <f t="shared" si="2330"/>
        <v>0</v>
      </c>
      <c r="G1031" s="1">
        <f t="shared" si="2331"/>
        <v>-3.7157866058365179</v>
      </c>
      <c r="H1031" s="1">
        <f t="shared" si="2304"/>
        <v>19.222377741094</v>
      </c>
      <c r="I1031" s="1">
        <f t="shared" si="2314"/>
        <v>-14.754039532665338</v>
      </c>
      <c r="J1031" s="1">
        <f t="shared" si="2315"/>
        <v>0</v>
      </c>
      <c r="K1031" s="1">
        <f t="shared" si="2316"/>
        <v>2.9068606285563763</v>
      </c>
      <c r="L1031" s="1">
        <f t="shared" ref="L1031:N1031" si="2340">E1031/$H1031</f>
        <v>0.98113866445801134</v>
      </c>
      <c r="M1031" s="1">
        <f t="shared" si="2340"/>
        <v>0</v>
      </c>
      <c r="N1031" s="1">
        <f t="shared" si="2340"/>
        <v>-0.1933052536936069</v>
      </c>
      <c r="O1031" s="1">
        <f t="shared" si="2306"/>
        <v>-0.1933052536936069</v>
      </c>
      <c r="P1031" s="1">
        <f t="shared" si="2318"/>
        <v>0.18965925844166254</v>
      </c>
      <c r="Q1031" s="1">
        <f t="shared" si="2319"/>
        <v>0</v>
      </c>
      <c r="R1031" s="1">
        <f t="shared" si="2320"/>
        <v>0.96263307889445027</v>
      </c>
      <c r="S1031" s="1">
        <f t="shared" si="2321"/>
        <v>1.2158116229795972</v>
      </c>
      <c r="T1031" s="1">
        <f t="shared" ref="T1031:V1031" si="2341">$S1031*P1031</f>
        <v>0.23058993081906459</v>
      </c>
      <c r="U1031" s="1">
        <f t="shared" si="2341"/>
        <v>0</v>
      </c>
      <c r="V1031" s="1">
        <f t="shared" si="2341"/>
        <v>1.1703804859845082</v>
      </c>
      <c r="W1031" s="1">
        <f t="shared" si="2323"/>
        <v>-14.523449601846274</v>
      </c>
      <c r="X1031" s="1">
        <f t="shared" si="2324"/>
        <v>0</v>
      </c>
      <c r="Y1031" s="1">
        <f t="shared" si="2325"/>
        <v>-5.7294088854591152</v>
      </c>
    </row>
    <row r="1032" spans="1:25">
      <c r="A1032" s="1">
        <v>1.03</v>
      </c>
      <c r="B1032" s="1">
        <f t="shared" si="2326"/>
        <v>38.321625134801415</v>
      </c>
      <c r="C1032" s="1">
        <f t="shared" si="2327"/>
        <v>0</v>
      </c>
      <c r="D1032" s="1">
        <f t="shared" si="2328"/>
        <v>-0.9836315949671981</v>
      </c>
      <c r="E1032" s="1">
        <f t="shared" si="2329"/>
        <v>18.845294575002526</v>
      </c>
      <c r="F1032" s="1">
        <f t="shared" si="2330"/>
        <v>0</v>
      </c>
      <c r="G1032" s="1">
        <f t="shared" si="2331"/>
        <v>-3.7215160147219768</v>
      </c>
      <c r="H1032" s="1">
        <f t="shared" si="2304"/>
        <v>19.209237597220035</v>
      </c>
      <c r="I1032" s="1">
        <f t="shared" si="2314"/>
        <v>-14.732599950276761</v>
      </c>
      <c r="J1032" s="1">
        <f t="shared" si="2315"/>
        <v>0</v>
      </c>
      <c r="K1032" s="1">
        <f t="shared" si="2316"/>
        <v>2.9093525938391873</v>
      </c>
      <c r="L1032" s="1">
        <f t="shared" ref="L1032:N1032" si="2342">E1032/$H1032</f>
        <v>0.98105374977140281</v>
      </c>
      <c r="M1032" s="1">
        <f t="shared" si="2342"/>
        <v>0</v>
      </c>
      <c r="N1032" s="1">
        <f t="shared" si="2342"/>
        <v>-0.19373574801638954</v>
      </c>
      <c r="O1032" s="1">
        <f t="shared" si="2306"/>
        <v>-0.19373574801638954</v>
      </c>
      <c r="P1032" s="1">
        <f t="shared" si="2318"/>
        <v>0.19006518205624656</v>
      </c>
      <c r="Q1032" s="1">
        <f t="shared" si="2319"/>
        <v>0</v>
      </c>
      <c r="R1032" s="1">
        <f t="shared" si="2320"/>
        <v>0.96246645994053004</v>
      </c>
      <c r="S1032" s="1">
        <f t="shared" si="2321"/>
        <v>1.2141499680686181</v>
      </c>
      <c r="T1032" s="1">
        <f t="shared" ref="T1032:V1032" si="2343">$S1032*P1032</f>
        <v>0.23076763472454784</v>
      </c>
      <c r="U1032" s="1">
        <f t="shared" si="2343"/>
        <v>0</v>
      </c>
      <c r="V1032" s="1">
        <f t="shared" si="2343"/>
        <v>1.1685786216039105</v>
      </c>
      <c r="W1032" s="1">
        <f t="shared" si="2323"/>
        <v>-14.501832315552212</v>
      </c>
      <c r="X1032" s="1">
        <f t="shared" si="2324"/>
        <v>0</v>
      </c>
      <c r="Y1032" s="1">
        <f t="shared" si="2325"/>
        <v>-5.7287187845569019</v>
      </c>
    </row>
    <row r="1033" spans="1:25">
      <c r="A1033" s="1">
        <v>1.0309999999999999</v>
      </c>
      <c r="B1033" s="1">
        <f t="shared" si="2326"/>
        <v>38.340455927544106</v>
      </c>
      <c r="C1033" s="1">
        <f t="shared" si="2327"/>
        <v>0</v>
      </c>
      <c r="D1033" s="1">
        <f t="shared" si="2328"/>
        <v>-0.98735883970070459</v>
      </c>
      <c r="E1033" s="1">
        <f t="shared" si="2329"/>
        <v>18.830792742686974</v>
      </c>
      <c r="F1033" s="1">
        <f t="shared" si="2330"/>
        <v>0</v>
      </c>
      <c r="G1033" s="1">
        <f t="shared" si="2331"/>
        <v>-3.7272447335065335</v>
      </c>
      <c r="H1033" s="1">
        <f t="shared" si="2304"/>
        <v>19.196122228759762</v>
      </c>
      <c r="I1033" s="1">
        <f t="shared" si="2314"/>
        <v>-14.711211776343184</v>
      </c>
      <c r="J1033" s="1">
        <f t="shared" si="2315"/>
        <v>0</v>
      </c>
      <c r="K1033" s="1">
        <f t="shared" si="2316"/>
        <v>2.9118416503292885</v>
      </c>
      <c r="L1033" s="1">
        <f t="shared" ref="L1033:N1033" si="2344">E1033/$H1033</f>
        <v>0.98096857887654787</v>
      </c>
      <c r="M1033" s="1">
        <f t="shared" si="2344"/>
        <v>0</v>
      </c>
      <c r="N1033" s="1">
        <f t="shared" si="2344"/>
        <v>-0.19416654515370557</v>
      </c>
      <c r="O1033" s="1">
        <f t="shared" si="2306"/>
        <v>-0.19416654515370557</v>
      </c>
      <c r="P1033" s="1">
        <f t="shared" si="2318"/>
        <v>0.19047127986479961</v>
      </c>
      <c r="Q1033" s="1">
        <f t="shared" si="2319"/>
        <v>0</v>
      </c>
      <c r="R1033" s="1">
        <f t="shared" si="2320"/>
        <v>0.96229935274307399</v>
      </c>
      <c r="S1033" s="1">
        <f t="shared" si="2321"/>
        <v>1.2124925792269696</v>
      </c>
      <c r="T1033" s="1">
        <f t="shared" ref="T1033:V1033" si="2345">$S1033*P1033</f>
        <v>0.23094501339193285</v>
      </c>
      <c r="U1033" s="1">
        <f t="shared" si="2345"/>
        <v>0</v>
      </c>
      <c r="V1033" s="1">
        <f t="shared" si="2345"/>
        <v>1.1667808241958932</v>
      </c>
      <c r="W1033" s="1">
        <f t="shared" si="2323"/>
        <v>-14.480266762951251</v>
      </c>
      <c r="X1033" s="1">
        <f t="shared" si="2324"/>
        <v>0</v>
      </c>
      <c r="Y1033" s="1">
        <f t="shared" si="2325"/>
        <v>-5.7280275254748174</v>
      </c>
    </row>
    <row r="1034" spans="1:25">
      <c r="A1034" s="1">
        <v>1.032</v>
      </c>
      <c r="B1034" s="1">
        <f t="shared" si="2326"/>
        <v>38.359272240020033</v>
      </c>
      <c r="C1034" s="1">
        <f t="shared" si="2327"/>
        <v>0</v>
      </c>
      <c r="D1034" s="1">
        <f t="shared" si="2328"/>
        <v>-0.99109181246173661</v>
      </c>
      <c r="E1034" s="1">
        <f t="shared" si="2329"/>
        <v>18.816312475924022</v>
      </c>
      <c r="F1034" s="1">
        <f t="shared" si="2330"/>
        <v>0</v>
      </c>
      <c r="G1034" s="1">
        <f t="shared" si="2331"/>
        <v>-3.7329727610320083</v>
      </c>
      <c r="H1034" s="1">
        <f t="shared" si="2304"/>
        <v>19.183031585915217</v>
      </c>
      <c r="I1034" s="1">
        <f t="shared" si="2314"/>
        <v>-14.689874853860429</v>
      </c>
      <c r="J1034" s="1">
        <f t="shared" si="2315"/>
        <v>0</v>
      </c>
      <c r="K1034" s="1">
        <f t="shared" si="2316"/>
        <v>2.9143278079908232</v>
      </c>
      <c r="L1034" s="1">
        <f t="shared" ref="L1034:N1034" si="2346">E1034/$H1034</f>
        <v>0.98088315142740778</v>
      </c>
      <c r="M1034" s="1">
        <f t="shared" si="2346"/>
        <v>0</v>
      </c>
      <c r="N1034" s="1">
        <f t="shared" si="2346"/>
        <v>-0.19459764450228367</v>
      </c>
      <c r="O1034" s="1">
        <f t="shared" si="2306"/>
        <v>-0.19459764450228367</v>
      </c>
      <c r="P1034" s="1">
        <f t="shared" si="2318"/>
        <v>0.19087755079975038</v>
      </c>
      <c r="Q1034" s="1">
        <f t="shared" si="2319"/>
        <v>0</v>
      </c>
      <c r="R1034" s="1">
        <f t="shared" si="2320"/>
        <v>0.96213175675416285</v>
      </c>
      <c r="S1034" s="1">
        <f t="shared" si="2321"/>
        <v>1.2108394437530037</v>
      </c>
      <c r="T1034" s="1">
        <f t="shared" ref="T1034:V1034" si="2347">$S1034*P1034</f>
        <v>0.23112206743530544</v>
      </c>
      <c r="U1034" s="1">
        <f t="shared" si="2347"/>
        <v>0</v>
      </c>
      <c r="V1034" s="1">
        <f t="shared" si="2347"/>
        <v>1.1649870811653107</v>
      </c>
      <c r="W1034" s="1">
        <f t="shared" si="2323"/>
        <v>-14.458752786425123</v>
      </c>
      <c r="X1034" s="1">
        <f t="shared" si="2324"/>
        <v>0</v>
      </c>
      <c r="Y1034" s="1">
        <f t="shared" si="2325"/>
        <v>-5.7273351108438657</v>
      </c>
    </row>
    <row r="1035" spans="1:25">
      <c r="A1035" s="1">
        <v>1.0329999999999999</v>
      </c>
      <c r="B1035" s="1">
        <f t="shared" si="2326"/>
        <v>38.378074093743173</v>
      </c>
      <c r="C1035" s="1">
        <f t="shared" si="2327"/>
        <v>0</v>
      </c>
      <c r="D1035" s="1">
        <f t="shared" si="2328"/>
        <v>-0.99483051255787946</v>
      </c>
      <c r="E1035" s="1">
        <f t="shared" si="2329"/>
        <v>18.801853723137597</v>
      </c>
      <c r="F1035" s="1">
        <f t="shared" si="2330"/>
        <v>0</v>
      </c>
      <c r="G1035" s="1">
        <f t="shared" si="2331"/>
        <v>-3.738700096142852</v>
      </c>
      <c r="H1035" s="1">
        <f t="shared" si="2304"/>
        <v>19.169965619039637</v>
      </c>
      <c r="I1035" s="1">
        <f t="shared" si="2314"/>
        <v>-14.668589026421012</v>
      </c>
      <c r="J1035" s="1">
        <f t="shared" si="2315"/>
        <v>0</v>
      </c>
      <c r="K1035" s="1">
        <f t="shared" si="2316"/>
        <v>2.9168110767648523</v>
      </c>
      <c r="L1035" s="1">
        <f t="shared" ref="L1035:N1035" si="2348">E1035/$H1035</f>
        <v>0.98079746707858306</v>
      </c>
      <c r="M1035" s="1">
        <f t="shared" si="2348"/>
        <v>0</v>
      </c>
      <c r="N1035" s="1">
        <f t="shared" si="2348"/>
        <v>-0.19502904545794125</v>
      </c>
      <c r="O1035" s="1">
        <f t="shared" si="2306"/>
        <v>-0.19502904545794125</v>
      </c>
      <c r="P1035" s="1">
        <f t="shared" si="2318"/>
        <v>0.19128399379190261</v>
      </c>
      <c r="Q1035" s="1">
        <f t="shared" si="2319"/>
        <v>0</v>
      </c>
      <c r="R1035" s="1">
        <f t="shared" si="2320"/>
        <v>0.96196367142776429</v>
      </c>
      <c r="S1035" s="1">
        <f t="shared" si="2321"/>
        <v>1.2091905489933936</v>
      </c>
      <c r="T1035" s="1">
        <f t="shared" ref="T1035:V1035" si="2349">$S1035*P1035</f>
        <v>0.23129879746687962</v>
      </c>
      <c r="U1035" s="1">
        <f t="shared" si="2349"/>
        <v>0</v>
      </c>
      <c r="V1035" s="1">
        <f t="shared" si="2349"/>
        <v>1.1631973799654389</v>
      </c>
      <c r="W1035" s="1">
        <f t="shared" si="2323"/>
        <v>-14.437290228954133</v>
      </c>
      <c r="X1035" s="1">
        <f t="shared" si="2324"/>
        <v>0</v>
      </c>
      <c r="Y1035" s="1">
        <f t="shared" si="2325"/>
        <v>-5.7266415432697082</v>
      </c>
    </row>
    <row r="1036" spans="1:25">
      <c r="A1036" s="1">
        <v>1.034</v>
      </c>
      <c r="B1036" s="1">
        <f t="shared" si="2326"/>
        <v>38.39686151017608</v>
      </c>
      <c r="C1036" s="1">
        <f t="shared" si="2327"/>
        <v>0</v>
      </c>
      <c r="D1036" s="1">
        <f t="shared" si="2328"/>
        <v>-0.99857493929556562</v>
      </c>
      <c r="E1036" s="1">
        <f t="shared" si="2329"/>
        <v>18.787416432908643</v>
      </c>
      <c r="F1036" s="1">
        <f t="shared" si="2330"/>
        <v>0</v>
      </c>
      <c r="G1036" s="1">
        <f t="shared" si="2331"/>
        <v>-3.7444267376861218</v>
      </c>
      <c r="H1036" s="1">
        <f t="shared" si="2304"/>
        <v>19.156924278636811</v>
      </c>
      <c r="I1036" s="1">
        <f t="shared" si="2314"/>
        <v>-14.647354138211359</v>
      </c>
      <c r="J1036" s="1">
        <f t="shared" si="2315"/>
        <v>0</v>
      </c>
      <c r="K1036" s="1">
        <f t="shared" si="2316"/>
        <v>2.9192914665694083</v>
      </c>
      <c r="L1036" s="1">
        <f t="shared" ref="L1036:N1036" si="2350">E1036/$H1036</f>
        <v>0.98071152548531848</v>
      </c>
      <c r="M1036" s="1">
        <f t="shared" si="2350"/>
        <v>0</v>
      </c>
      <c r="N1036" s="1">
        <f t="shared" si="2350"/>
        <v>-0.19546074741558522</v>
      </c>
      <c r="O1036" s="1">
        <f t="shared" si="2306"/>
        <v>-0.19546074741558522</v>
      </c>
      <c r="P1036" s="1">
        <f t="shared" si="2318"/>
        <v>0.19169060777043911</v>
      </c>
      <c r="Q1036" s="1">
        <f t="shared" si="2319"/>
        <v>0</v>
      </c>
      <c r="R1036" s="1">
        <f t="shared" si="2320"/>
        <v>0.9617950962197408</v>
      </c>
      <c r="S1036" s="1">
        <f t="shared" si="2321"/>
        <v>1.2075458823429044</v>
      </c>
      <c r="T1036" s="1">
        <f t="shared" ref="T1036:V1036" si="2351">$S1036*P1036</f>
        <v>0.23147520409700251</v>
      </c>
      <c r="U1036" s="1">
        <f t="shared" si="2351"/>
        <v>0</v>
      </c>
      <c r="V1036" s="1">
        <f t="shared" si="2351"/>
        <v>1.1614117080977455</v>
      </c>
      <c r="W1036" s="1">
        <f t="shared" si="2323"/>
        <v>-14.415878934114357</v>
      </c>
      <c r="X1036" s="1">
        <f t="shared" si="2324"/>
        <v>0</v>
      </c>
      <c r="Y1036" s="1">
        <f t="shared" si="2325"/>
        <v>-5.725946825332846</v>
      </c>
    </row>
    <row r="1037" spans="1:25">
      <c r="A1037" s="1">
        <v>1.0349999999999999</v>
      </c>
      <c r="B1037" s="1">
        <f t="shared" si="2326"/>
        <v>38.415634510730058</v>
      </c>
      <c r="C1037" s="1">
        <f t="shared" si="2327"/>
        <v>0</v>
      </c>
      <c r="D1037" s="1">
        <f t="shared" si="2328"/>
        <v>-1.002325091980077</v>
      </c>
      <c r="E1037" s="1">
        <f t="shared" si="2329"/>
        <v>18.77300055397453</v>
      </c>
      <c r="F1037" s="1">
        <f t="shared" si="2330"/>
        <v>0</v>
      </c>
      <c r="G1037" s="1">
        <f t="shared" si="2331"/>
        <v>-3.7501526845114546</v>
      </c>
      <c r="H1037" s="1">
        <f t="shared" si="2304"/>
        <v>19.143907515360507</v>
      </c>
      <c r="I1037" s="1">
        <f t="shared" si="2314"/>
        <v>-14.626170034009096</v>
      </c>
      <c r="J1037" s="1">
        <f t="shared" si="2315"/>
        <v>0</v>
      </c>
      <c r="K1037" s="1">
        <f t="shared" si="2316"/>
        <v>2.9217689872995583</v>
      </c>
      <c r="L1037" s="1">
        <f t="shared" ref="L1037:N1037" si="2352">E1037/$H1037</f>
        <v>0.98062532630350563</v>
      </c>
      <c r="M1037" s="1">
        <f t="shared" si="2352"/>
        <v>0</v>
      </c>
      <c r="N1037" s="1">
        <f t="shared" si="2352"/>
        <v>-0.19589274976921209</v>
      </c>
      <c r="O1037" s="1">
        <f t="shared" si="2306"/>
        <v>-0.19589274976921209</v>
      </c>
      <c r="P1037" s="1">
        <f t="shared" si="2318"/>
        <v>0.19209739166292458</v>
      </c>
      <c r="Q1037" s="1">
        <f t="shared" si="2319"/>
        <v>0</v>
      </c>
      <c r="R1037" s="1">
        <f t="shared" si="2320"/>
        <v>0.96162603058785689</v>
      </c>
      <c r="S1037" s="1">
        <f t="shared" si="2321"/>
        <v>1.205905431244177</v>
      </c>
      <c r="T1037" s="1">
        <f t="shared" ref="T1037:V1037" si="2353">$S1037*P1037</f>
        <v>0.23165128793416065</v>
      </c>
      <c r="U1037" s="1">
        <f t="shared" si="2353"/>
        <v>0</v>
      </c>
      <c r="V1037" s="1">
        <f t="shared" si="2353"/>
        <v>1.1596300531116757</v>
      </c>
      <c r="W1037" s="1">
        <f t="shared" si="2323"/>
        <v>-14.394518746074935</v>
      </c>
      <c r="X1037" s="1">
        <f t="shared" si="2324"/>
        <v>0</v>
      </c>
      <c r="Y1037" s="1">
        <f t="shared" si="2325"/>
        <v>-5.7252509595887657</v>
      </c>
    </row>
    <row r="1038" spans="1:25">
      <c r="A1038" s="1">
        <v>1.036</v>
      </c>
      <c r="B1038" s="1">
        <f t="shared" si="2326"/>
        <v>38.434393116765285</v>
      </c>
      <c r="C1038" s="1">
        <f t="shared" si="2327"/>
        <v>0</v>
      </c>
      <c r="D1038" s="1">
        <f t="shared" si="2328"/>
        <v>-1.006080969915548</v>
      </c>
      <c r="E1038" s="1">
        <f t="shared" si="2329"/>
        <v>18.758606035228453</v>
      </c>
      <c r="F1038" s="1">
        <f t="shared" si="2330"/>
        <v>0</v>
      </c>
      <c r="G1038" s="1">
        <f t="shared" si="2331"/>
        <v>-3.7558779354710432</v>
      </c>
      <c r="H1038" s="1">
        <f t="shared" si="2304"/>
        <v>19.130915280013852</v>
      </c>
      <c r="I1038" s="1">
        <f t="shared" si="2314"/>
        <v>-14.605036559180313</v>
      </c>
      <c r="J1038" s="1">
        <f t="shared" si="2315"/>
        <v>0</v>
      </c>
      <c r="K1038" s="1">
        <f t="shared" si="2316"/>
        <v>2.9242436488274599</v>
      </c>
      <c r="L1038" s="1">
        <f t="shared" ref="L1038:N1038" si="2354">E1038/$H1038</f>
        <v>0.98053886918968525</v>
      </c>
      <c r="M1038" s="1">
        <f t="shared" si="2354"/>
        <v>0</v>
      </c>
      <c r="N1038" s="1">
        <f t="shared" si="2354"/>
        <v>-0.19632505191190852</v>
      </c>
      <c r="O1038" s="1">
        <f t="shared" si="2306"/>
        <v>-0.19632505191190852</v>
      </c>
      <c r="P1038" s="1">
        <f t="shared" si="2318"/>
        <v>0.19250434439530903</v>
      </c>
      <c r="Q1038" s="1">
        <f t="shared" si="2319"/>
        <v>0</v>
      </c>
      <c r="R1038" s="1">
        <f t="shared" si="2320"/>
        <v>0.96145647399178646</v>
      </c>
      <c r="S1038" s="1">
        <f t="shared" si="2321"/>
        <v>1.2042691831875065</v>
      </c>
      <c r="T1038" s="1">
        <f t="shared" ref="T1038:V1038" si="2355">$S1038*P1038</f>
        <v>0.23182704958498526</v>
      </c>
      <c r="U1038" s="1">
        <f t="shared" si="2355"/>
        <v>0</v>
      </c>
      <c r="V1038" s="1">
        <f t="shared" si="2355"/>
        <v>1.1578524026044288</v>
      </c>
      <c r="W1038" s="1">
        <f t="shared" si="2323"/>
        <v>-14.373209509595327</v>
      </c>
      <c r="X1038" s="1">
        <f t="shared" si="2324"/>
        <v>0</v>
      </c>
      <c r="Y1038" s="1">
        <f t="shared" si="2325"/>
        <v>-5.7245539485681105</v>
      </c>
    </row>
    <row r="1039" spans="1:25">
      <c r="A1039" s="1">
        <v>1.0369999999999999</v>
      </c>
      <c r="B1039" s="1">
        <f t="shared" si="2326"/>
        <v>38.453137349591003</v>
      </c>
      <c r="C1039" s="1">
        <f t="shared" si="2327"/>
        <v>0</v>
      </c>
      <c r="D1039" s="1">
        <f t="shared" si="2328"/>
        <v>-1.0098425724049676</v>
      </c>
      <c r="E1039" s="1">
        <f t="shared" si="2329"/>
        <v>18.744232825718857</v>
      </c>
      <c r="F1039" s="1">
        <f t="shared" si="2330"/>
        <v>0</v>
      </c>
      <c r="G1039" s="1">
        <f t="shared" si="2331"/>
        <v>-3.7616024894196114</v>
      </c>
      <c r="H1039" s="1">
        <f t="shared" si="2304"/>
        <v>19.117947523548761</v>
      </c>
      <c r="I1039" s="1">
        <f t="shared" si="2314"/>
        <v>-14.583953559676882</v>
      </c>
      <c r="J1039" s="1">
        <f t="shared" si="2315"/>
        <v>0</v>
      </c>
      <c r="K1039" s="1">
        <f t="shared" si="2316"/>
        <v>2.9267154610024257</v>
      </c>
      <c r="L1039" s="1">
        <f t="shared" ref="L1039:N1039" si="2356">E1039/$H1039</f>
        <v>0.98045215380105133</v>
      </c>
      <c r="M1039" s="1">
        <f t="shared" si="2356"/>
        <v>0</v>
      </c>
      <c r="N1039" s="1">
        <f t="shared" si="2356"/>
        <v>-0.19675765323585143</v>
      </c>
      <c r="O1039" s="1">
        <f t="shared" si="2306"/>
        <v>-0.19675765323585143</v>
      </c>
      <c r="P1039" s="1">
        <f t="shared" si="2318"/>
        <v>0.19291146489193092</v>
      </c>
      <c r="Q1039" s="1">
        <f t="shared" si="2319"/>
        <v>0</v>
      </c>
      <c r="R1039" s="1">
        <f t="shared" si="2320"/>
        <v>0.96128642589312041</v>
      </c>
      <c r="S1039" s="1">
        <f t="shared" si="2321"/>
        <v>1.2026371257106254</v>
      </c>
      <c r="T1039" s="1">
        <f t="shared" ref="T1039:V1039" si="2357">$S1039*P1039</f>
        <v>0.23200248965425804</v>
      </c>
      <c r="U1039" s="1">
        <f t="shared" si="2357"/>
        <v>0</v>
      </c>
      <c r="V1039" s="1">
        <f t="shared" si="2357"/>
        <v>1.1560787442207425</v>
      </c>
      <c r="W1039" s="1">
        <f t="shared" si="2323"/>
        <v>-14.351951070022624</v>
      </c>
      <c r="X1039" s="1">
        <f t="shared" si="2324"/>
        <v>0</v>
      </c>
      <c r="Y1039" s="1">
        <f t="shared" si="2325"/>
        <v>-5.7238557947768314</v>
      </c>
    </row>
    <row r="1040" spans="1:25">
      <c r="A1040" s="1">
        <v>1.038</v>
      </c>
      <c r="B1040" s="1">
        <f t="shared" si="2326"/>
        <v>38.471867230465655</v>
      </c>
      <c r="C1040" s="1">
        <f t="shared" si="2327"/>
        <v>0</v>
      </c>
      <c r="D1040" s="1">
        <f t="shared" si="2328"/>
        <v>-1.013609898750182</v>
      </c>
      <c r="E1040" s="1">
        <f t="shared" si="2329"/>
        <v>18.729880874648835</v>
      </c>
      <c r="F1040" s="1">
        <f t="shared" si="2330"/>
        <v>0</v>
      </c>
      <c r="G1040" s="1">
        <f t="shared" si="2331"/>
        <v>-3.7673263452143884</v>
      </c>
      <c r="H1040" s="1">
        <f t="shared" si="2304"/>
        <v>19.105004197065295</v>
      </c>
      <c r="I1040" s="1">
        <f t="shared" si="2314"/>
        <v>-14.562920882033728</v>
      </c>
      <c r="J1040" s="1">
        <f t="shared" si="2315"/>
        <v>0</v>
      </c>
      <c r="K1040" s="1">
        <f t="shared" si="2316"/>
        <v>2.9291844336509723</v>
      </c>
      <c r="L1040" s="1">
        <f t="shared" ref="L1040:N1040" si="2358">E1040/$H1040</f>
        <v>0.98036517979545468</v>
      </c>
      <c r="M1040" s="1">
        <f t="shared" si="2358"/>
        <v>0</v>
      </c>
      <c r="N1040" s="1">
        <f t="shared" si="2358"/>
        <v>-0.19719055313230888</v>
      </c>
      <c r="O1040" s="1">
        <f t="shared" si="2306"/>
        <v>-0.19719055313230888</v>
      </c>
      <c r="P1040" s="1">
        <f t="shared" si="2318"/>
        <v>0.19331875207552116</v>
      </c>
      <c r="Q1040" s="1">
        <f t="shared" si="2319"/>
        <v>0</v>
      </c>
      <c r="R1040" s="1">
        <f t="shared" si="2320"/>
        <v>0.9611158857553741</v>
      </c>
      <c r="S1040" s="1">
        <f t="shared" si="2321"/>
        <v>1.2010092463984809</v>
      </c>
      <c r="T1040" s="1">
        <f t="shared" ref="T1040:V1040" si="2359">$S1040*P1040</f>
        <v>0.23217760874491644</v>
      </c>
      <c r="U1040" s="1">
        <f t="shared" si="2359"/>
        <v>0</v>
      </c>
      <c r="V1040" s="1">
        <f t="shared" si="2359"/>
        <v>1.1543090656526704</v>
      </c>
      <c r="W1040" s="1">
        <f t="shared" si="2323"/>
        <v>-14.330743273288812</v>
      </c>
      <c r="X1040" s="1">
        <f t="shared" si="2324"/>
        <v>0</v>
      </c>
      <c r="Y1040" s="1">
        <f t="shared" si="2325"/>
        <v>-5.7231565006963567</v>
      </c>
    </row>
    <row r="1041" spans="1:25">
      <c r="A1041" s="1">
        <v>1.0389999999999999</v>
      </c>
      <c r="B1041" s="1">
        <f t="shared" si="2326"/>
        <v>38.49058278059703</v>
      </c>
      <c r="C1041" s="1">
        <f t="shared" si="2327"/>
        <v>0</v>
      </c>
      <c r="D1041" s="1">
        <f t="shared" si="2328"/>
        <v>-1.017382948251897</v>
      </c>
      <c r="E1041" s="1">
        <f t="shared" si="2329"/>
        <v>18.715550131375547</v>
      </c>
      <c r="F1041" s="1">
        <f t="shared" si="2330"/>
        <v>0</v>
      </c>
      <c r="G1041" s="1">
        <f t="shared" si="2331"/>
        <v>-3.7730495017150849</v>
      </c>
      <c r="H1041" s="1">
        <f t="shared" si="2304"/>
        <v>19.09208525181112</v>
      </c>
      <c r="I1041" s="1">
        <f t="shared" si="2314"/>
        <v>-14.541938373366195</v>
      </c>
      <c r="J1041" s="1">
        <f t="shared" si="2315"/>
        <v>0</v>
      </c>
      <c r="K1041" s="1">
        <f t="shared" si="2316"/>
        <v>2.9316505765768888</v>
      </c>
      <c r="L1041" s="1">
        <f t="shared" ref="L1041:N1041" si="2360">E1041/$H1041</f>
        <v>0.98027794683140468</v>
      </c>
      <c r="M1041" s="1">
        <f t="shared" si="2360"/>
        <v>0</v>
      </c>
      <c r="N1041" s="1">
        <f t="shared" si="2360"/>
        <v>-0.19762375099164009</v>
      </c>
      <c r="O1041" s="1">
        <f t="shared" si="2306"/>
        <v>-0.19762375099164009</v>
      </c>
      <c r="P1041" s="1">
        <f t="shared" si="2318"/>
        <v>0.19372620486720571</v>
      </c>
      <c r="Q1041" s="1">
        <f t="shared" si="2319"/>
        <v>0</v>
      </c>
      <c r="R1041" s="1">
        <f t="shared" si="2320"/>
        <v>0.96094485304399424</v>
      </c>
      <c r="S1041" s="1">
        <f t="shared" si="2321"/>
        <v>1.1993855328830254</v>
      </c>
      <c r="T1041" s="1">
        <f t="shared" ref="T1041:V1041" si="2361">$S1041*P1041</f>
        <v>0.23235240745805966</v>
      </c>
      <c r="U1041" s="1">
        <f t="shared" si="2361"/>
        <v>0</v>
      </c>
      <c r="V1041" s="1">
        <f t="shared" si="2361"/>
        <v>1.1525433546393715</v>
      </c>
      <c r="W1041" s="1">
        <f t="shared" si="2323"/>
        <v>-14.309585965908136</v>
      </c>
      <c r="X1041" s="1">
        <f t="shared" si="2324"/>
        <v>0</v>
      </c>
      <c r="Y1041" s="1">
        <f t="shared" si="2325"/>
        <v>-5.7224560687837389</v>
      </c>
    </row>
    <row r="1042" spans="1:25">
      <c r="A1042" s="1">
        <v>1.04</v>
      </c>
      <c r="B1042" s="1">
        <f t="shared" si="2326"/>
        <v>38.509284021142442</v>
      </c>
      <c r="C1042" s="1">
        <f t="shared" si="2327"/>
        <v>0</v>
      </c>
      <c r="D1042" s="1">
        <f t="shared" si="2328"/>
        <v>-1.021161720209681</v>
      </c>
      <c r="E1042" s="1">
        <f t="shared" si="2329"/>
        <v>18.70124054540964</v>
      </c>
      <c r="F1042" s="1">
        <f t="shared" si="2330"/>
        <v>0</v>
      </c>
      <c r="G1042" s="1">
        <f t="shared" si="2331"/>
        <v>-3.7787719577838685</v>
      </c>
      <c r="H1042" s="1">
        <f t="shared" si="2304"/>
        <v>19.079190639180876</v>
      </c>
      <c r="I1042" s="1">
        <f t="shared" si="2314"/>
        <v>-14.521005881367342</v>
      </c>
      <c r="J1042" s="1">
        <f t="shared" si="2315"/>
        <v>0</v>
      </c>
      <c r="K1042" s="1">
        <f t="shared" si="2316"/>
        <v>2.9341138995612877</v>
      </c>
      <c r="L1042" s="1">
        <f t="shared" ref="L1042:N1042" si="2362">E1042/$H1042</f>
        <v>0.98019045456807374</v>
      </c>
      <c r="M1042" s="1">
        <f t="shared" si="2362"/>
        <v>0</v>
      </c>
      <c r="N1042" s="1">
        <f t="shared" si="2362"/>
        <v>-0.19805724620329607</v>
      </c>
      <c r="O1042" s="1">
        <f t="shared" si="2306"/>
        <v>-0.19805724620329607</v>
      </c>
      <c r="P1042" s="1">
        <f t="shared" si="2318"/>
        <v>0.19413382218650968</v>
      </c>
      <c r="Q1042" s="1">
        <f t="shared" si="2319"/>
        <v>0</v>
      </c>
      <c r="R1042" s="1">
        <f t="shared" si="2320"/>
        <v>0.96077332722636699</v>
      </c>
      <c r="S1042" s="1">
        <f t="shared" si="2321"/>
        <v>1.1977659728429955</v>
      </c>
      <c r="T1042" s="1">
        <f t="shared" ref="T1042:V1042" si="2363">$S1042*P1042</f>
        <v>0.23252688639295385</v>
      </c>
      <c r="U1042" s="1">
        <f t="shared" si="2363"/>
        <v>0</v>
      </c>
      <c r="V1042" s="1">
        <f t="shared" si="2363"/>
        <v>1.150781598966891</v>
      </c>
      <c r="W1042" s="1">
        <f t="shared" si="2323"/>
        <v>-14.288478994974389</v>
      </c>
      <c r="X1042" s="1">
        <f t="shared" si="2324"/>
        <v>0</v>
      </c>
      <c r="Y1042" s="1">
        <f t="shared" si="2325"/>
        <v>-5.7217545014718212</v>
      </c>
    </row>
    <row r="1043" spans="1:25">
      <c r="A1043" s="1">
        <v>1.0409999999999999</v>
      </c>
      <c r="B1043" s="1">
        <f t="shared" si="2326"/>
        <v>38.527970973208859</v>
      </c>
      <c r="C1043" s="1">
        <f t="shared" si="2327"/>
        <v>0</v>
      </c>
      <c r="D1043" s="1">
        <f t="shared" si="2328"/>
        <v>-1.0249462139219663</v>
      </c>
      <c r="E1043" s="1">
        <f t="shared" si="2329"/>
        <v>18.686952066414666</v>
      </c>
      <c r="F1043" s="1">
        <f t="shared" si="2330"/>
        <v>0</v>
      </c>
      <c r="G1043" s="1">
        <f t="shared" si="2331"/>
        <v>-3.7844937122853404</v>
      </c>
      <c r="H1043" s="1">
        <f t="shared" si="2304"/>
        <v>19.066320310715611</v>
      </c>
      <c r="I1043" s="1">
        <f t="shared" si="2314"/>
        <v>-14.500123254305329</v>
      </c>
      <c r="J1043" s="1">
        <f t="shared" si="2315"/>
        <v>0</v>
      </c>
      <c r="K1043" s="1">
        <f t="shared" si="2316"/>
        <v>2.9365744123626665</v>
      </c>
      <c r="L1043" s="1">
        <f t="shared" ref="L1043:N1043" si="2364">E1043/$H1043</f>
        <v>0.98010270266529964</v>
      </c>
      <c r="M1043" s="1">
        <f t="shared" si="2364"/>
        <v>0</v>
      </c>
      <c r="N1043" s="1">
        <f t="shared" si="2364"/>
        <v>-0.19849103815582012</v>
      </c>
      <c r="O1043" s="1">
        <f t="shared" si="2306"/>
        <v>-0.19849103815582012</v>
      </c>
      <c r="P1043" s="1">
        <f t="shared" si="2318"/>
        <v>0.19454160295136042</v>
      </c>
      <c r="Q1043" s="1">
        <f t="shared" si="2319"/>
        <v>0</v>
      </c>
      <c r="R1043" s="1">
        <f t="shared" si="2320"/>
        <v>0.96060130777182473</v>
      </c>
      <c r="S1043" s="1">
        <f t="shared" si="2321"/>
        <v>1.1961505540037005</v>
      </c>
      <c r="T1043" s="1">
        <f t="shared" ref="T1043:V1043" si="2365">$S1043*P1043</f>
        <v>0.23270104614703771</v>
      </c>
      <c r="U1043" s="1">
        <f t="shared" si="2365"/>
        <v>0</v>
      </c>
      <c r="V1043" s="1">
        <f t="shared" si="2365"/>
        <v>1.1490237864679473</v>
      </c>
      <c r="W1043" s="1">
        <f t="shared" si="2323"/>
        <v>-14.267422208158292</v>
      </c>
      <c r="X1043" s="1">
        <f t="shared" si="2324"/>
        <v>0</v>
      </c>
      <c r="Y1043" s="1">
        <f t="shared" si="2325"/>
        <v>-5.7210518011693861</v>
      </c>
    </row>
    <row r="1044" spans="1:25">
      <c r="A1044" s="1">
        <v>1.042</v>
      </c>
      <c r="B1044" s="1">
        <f t="shared" si="2326"/>
        <v>38.546643657853068</v>
      </c>
      <c r="C1044" s="1">
        <f t="shared" si="2327"/>
        <v>0</v>
      </c>
      <c r="D1044" s="1">
        <f t="shared" si="2328"/>
        <v>-1.0287364286860528</v>
      </c>
      <c r="E1044" s="1">
        <f t="shared" si="2329"/>
        <v>18.672684644206509</v>
      </c>
      <c r="F1044" s="1">
        <f t="shared" si="2330"/>
        <v>0</v>
      </c>
      <c r="G1044" s="1">
        <f t="shared" si="2331"/>
        <v>-3.7902147640865098</v>
      </c>
      <c r="H1044" s="1">
        <f t="shared" si="2304"/>
        <v>19.053474218102192</v>
      </c>
      <c r="I1044" s="1">
        <f t="shared" si="2314"/>
        <v>-14.479290341020766</v>
      </c>
      <c r="J1044" s="1">
        <f t="shared" si="2315"/>
        <v>0</v>
      </c>
      <c r="K1044" s="1">
        <f t="shared" si="2316"/>
        <v>2.9390321247169653</v>
      </c>
      <c r="L1044" s="1">
        <f t="shared" ref="L1044:N1044" si="2366">E1044/$H1044</f>
        <v>0.98001469078358916</v>
      </c>
      <c r="M1044" s="1">
        <f t="shared" si="2366"/>
        <v>0</v>
      </c>
      <c r="N1044" s="1">
        <f t="shared" si="2366"/>
        <v>-0.19892512623684813</v>
      </c>
      <c r="O1044" s="1">
        <f t="shared" si="2306"/>
        <v>-0.19892512623684813</v>
      </c>
      <c r="P1044" s="1">
        <f t="shared" si="2318"/>
        <v>0.19494954607809117</v>
      </c>
      <c r="Q1044" s="1">
        <f t="shared" si="2319"/>
        <v>0</v>
      </c>
      <c r="R1044" s="1">
        <f t="shared" si="2320"/>
        <v>0.96042879415165405</v>
      </c>
      <c r="S1044" s="1">
        <f t="shared" si="2321"/>
        <v>1.1945392641368098</v>
      </c>
      <c r="T1044" s="1">
        <f t="shared" ref="T1044:V1044" si="2367">$S1044*P1044</f>
        <v>0.23287488731592812</v>
      </c>
      <c r="U1044" s="1">
        <f t="shared" si="2367"/>
        <v>0</v>
      </c>
      <c r="V1044" s="1">
        <f t="shared" si="2367"/>
        <v>1.1472699050217203</v>
      </c>
      <c r="W1044" s="1">
        <f t="shared" si="2323"/>
        <v>-14.246415453704838</v>
      </c>
      <c r="X1044" s="1">
        <f t="shared" si="2324"/>
        <v>0</v>
      </c>
      <c r="Y1044" s="1">
        <f t="shared" si="2325"/>
        <v>-5.7203479702613134</v>
      </c>
    </row>
    <row r="1045" spans="1:25">
      <c r="A1045" s="1">
        <v>1.0429999999999999</v>
      </c>
      <c r="B1045" s="1">
        <f t="shared" si="2326"/>
        <v>38.565302096081822</v>
      </c>
      <c r="C1045" s="1">
        <f t="shared" si="2327"/>
        <v>0</v>
      </c>
      <c r="D1045" s="1">
        <f t="shared" si="2328"/>
        <v>-1.0325323637981094</v>
      </c>
      <c r="E1045" s="1">
        <f t="shared" si="2329"/>
        <v>18.658438228752804</v>
      </c>
      <c r="F1045" s="1">
        <f t="shared" si="2330"/>
        <v>0</v>
      </c>
      <c r="G1045" s="1">
        <f t="shared" si="2331"/>
        <v>-3.795935112056771</v>
      </c>
      <c r="H1045" s="1">
        <f t="shared" si="2304"/>
        <v>19.040652313172718</v>
      </c>
      <c r="I1045" s="1">
        <f t="shared" si="2314"/>
        <v>-14.458506990924095</v>
      </c>
      <c r="J1045" s="1">
        <f t="shared" si="2315"/>
        <v>0</v>
      </c>
      <c r="K1045" s="1">
        <f t="shared" si="2316"/>
        <v>2.9414870463376221</v>
      </c>
      <c r="L1045" s="1">
        <f t="shared" ref="L1045:N1045" si="2368">E1045/$H1045</f>
        <v>0.97992641858412122</v>
      </c>
      <c r="M1045" s="1">
        <f t="shared" si="2368"/>
        <v>0</v>
      </c>
      <c r="N1045" s="1">
        <f t="shared" si="2368"/>
        <v>-0.19935950983310927</v>
      </c>
      <c r="O1045" s="1">
        <f t="shared" si="2306"/>
        <v>-0.19935950983310927</v>
      </c>
      <c r="P1045" s="1">
        <f t="shared" si="2318"/>
        <v>0.19535765048144466</v>
      </c>
      <c r="Q1045" s="1">
        <f t="shared" si="2319"/>
        <v>0</v>
      </c>
      <c r="R1045" s="1">
        <f t="shared" si="2320"/>
        <v>0.96025578583910243</v>
      </c>
      <c r="S1045" s="1">
        <f t="shared" si="2321"/>
        <v>1.1929320910601391</v>
      </c>
      <c r="T1045" s="1">
        <f t="shared" ref="T1045:V1045" si="2369">$S1045*P1045</f>
        <v>0.23304841049342556</v>
      </c>
      <c r="U1045" s="1">
        <f t="shared" si="2369"/>
        <v>0</v>
      </c>
      <c r="V1045" s="1">
        <f t="shared" si="2369"/>
        <v>1.1455199425536375</v>
      </c>
      <c r="W1045" s="1">
        <f t="shared" si="2323"/>
        <v>-14.225458580430669</v>
      </c>
      <c r="X1045" s="1">
        <f t="shared" si="2324"/>
        <v>0</v>
      </c>
      <c r="Y1045" s="1">
        <f t="shared" si="2325"/>
        <v>-5.7196430111087402</v>
      </c>
    </row>
    <row r="1046" spans="1:25">
      <c r="A1046" s="1">
        <v>1.044</v>
      </c>
      <c r="B1046" s="1">
        <f t="shared" si="2326"/>
        <v>38.583946308851992</v>
      </c>
      <c r="C1046" s="1">
        <f t="shared" si="2327"/>
        <v>0</v>
      </c>
      <c r="D1046" s="1">
        <f t="shared" si="2328"/>
        <v>-1.0363340185531773</v>
      </c>
      <c r="E1046" s="1">
        <f t="shared" si="2329"/>
        <v>18.644212770172373</v>
      </c>
      <c r="F1046" s="1">
        <f t="shared" si="2330"/>
        <v>0</v>
      </c>
      <c r="G1046" s="1">
        <f t="shared" si="2331"/>
        <v>-3.8016547550678799</v>
      </c>
      <c r="H1046" s="1">
        <f t="shared" si="2304"/>
        <v>19.027854547903946</v>
      </c>
      <c r="I1046" s="1">
        <f t="shared" si="2314"/>
        <v>-14.437773053992984</v>
      </c>
      <c r="J1046" s="1">
        <f t="shared" si="2315"/>
        <v>0</v>
      </c>
      <c r="K1046" s="1">
        <f t="shared" si="2316"/>
        <v>2.9439391869156339</v>
      </c>
      <c r="L1046" s="1">
        <f t="shared" ref="L1046:N1046" si="2370">E1046/$H1046</f>
        <v>0.97983788572874952</v>
      </c>
      <c r="M1046" s="1">
        <f t="shared" si="2370"/>
        <v>0</v>
      </c>
      <c r="N1046" s="1">
        <f t="shared" si="2370"/>
        <v>-0.19979418833042631</v>
      </c>
      <c r="O1046" s="1">
        <f t="shared" si="2306"/>
        <v>-0.19979418833042631</v>
      </c>
      <c r="P1046" s="1">
        <f t="shared" si="2318"/>
        <v>0.19576591507457652</v>
      </c>
      <c r="Q1046" s="1">
        <f t="shared" si="2319"/>
        <v>0</v>
      </c>
      <c r="R1046" s="1">
        <f t="shared" si="2320"/>
        <v>0.96008228230938619</v>
      </c>
      <c r="S1046" s="1">
        <f t="shared" si="2321"/>
        <v>1.1913290226374422</v>
      </c>
      <c r="T1046" s="1">
        <f t="shared" ref="T1046:V1046" si="2371">$S1046*P1046</f>
        <v>0.23322161627151977</v>
      </c>
      <c r="U1046" s="1">
        <f t="shared" si="2371"/>
        <v>0</v>
      </c>
      <c r="V1046" s="1">
        <f t="shared" si="2371"/>
        <v>1.1437738870351659</v>
      </c>
      <c r="W1046" s="1">
        <f t="shared" si="2323"/>
        <v>-14.204551437721465</v>
      </c>
      <c r="X1046" s="1">
        <f t="shared" si="2324"/>
        <v>0</v>
      </c>
      <c r="Y1046" s="1">
        <f t="shared" si="2325"/>
        <v>-5.7189369260491993</v>
      </c>
    </row>
    <row r="1047" spans="1:25">
      <c r="A1047" s="1">
        <v>1.0449999999999999</v>
      </c>
      <c r="B1047" s="1">
        <f t="shared" si="2326"/>
        <v>38.602576317070728</v>
      </c>
      <c r="C1047" s="1">
        <f t="shared" si="2327"/>
        <v>0</v>
      </c>
      <c r="D1047" s="1">
        <f t="shared" si="2328"/>
        <v>-1.0401413922451712</v>
      </c>
      <c r="E1047" s="1">
        <f t="shared" si="2329"/>
        <v>18.630008218734652</v>
      </c>
      <c r="F1047" s="1">
        <f t="shared" si="2330"/>
        <v>0</v>
      </c>
      <c r="G1047" s="1">
        <f t="shared" si="2331"/>
        <v>-3.8073736919939289</v>
      </c>
      <c r="H1047" s="1">
        <f t="shared" si="2304"/>
        <v>19.015080874416711</v>
      </c>
      <c r="I1047" s="1">
        <f t="shared" si="2314"/>
        <v>-14.417088380769741</v>
      </c>
      <c r="J1047" s="1">
        <f t="shared" si="2315"/>
        <v>0</v>
      </c>
      <c r="K1047" s="1">
        <f t="shared" si="2316"/>
        <v>2.9463885561196101</v>
      </c>
      <c r="L1047" s="1">
        <f t="shared" ref="L1047:N1047" si="2372">E1047/$H1047</f>
        <v>0.97974909188000647</v>
      </c>
      <c r="M1047" s="1">
        <f t="shared" si="2372"/>
        <v>0</v>
      </c>
      <c r="N1047" s="1">
        <f t="shared" si="2372"/>
        <v>-0.2002291611137163</v>
      </c>
      <c r="O1047" s="1">
        <f t="shared" si="2306"/>
        <v>-0.2002291611137163</v>
      </c>
      <c r="P1047" s="1">
        <f t="shared" si="2318"/>
        <v>0.19617433876905904</v>
      </c>
      <c r="Q1047" s="1">
        <f t="shared" si="2319"/>
        <v>0</v>
      </c>
      <c r="R1047" s="1">
        <f t="shared" si="2320"/>
        <v>0.95990828303969744</v>
      </c>
      <c r="S1047" s="1">
        <f t="shared" si="2321"/>
        <v>1.189730046778199</v>
      </c>
      <c r="T1047" s="1">
        <f t="shared" ref="T1047:V1047" si="2373">$S1047*P1047</f>
        <v>0.23339450524039487</v>
      </c>
      <c r="U1047" s="1">
        <f t="shared" si="2373"/>
        <v>0</v>
      </c>
      <c r="V1047" s="1">
        <f t="shared" si="2373"/>
        <v>1.1420317264836</v>
      </c>
      <c r="W1047" s="1">
        <f t="shared" si="2323"/>
        <v>-14.183693875529347</v>
      </c>
      <c r="X1047" s="1">
        <f t="shared" si="2324"/>
        <v>0</v>
      </c>
      <c r="Y1047" s="1">
        <f t="shared" si="2325"/>
        <v>-5.7182297173967891</v>
      </c>
    </row>
    <row r="1048" spans="1:25">
      <c r="A1048" s="1">
        <v>1.046</v>
      </c>
      <c r="B1048" s="1">
        <f t="shared" si="2326"/>
        <v>38.621192141595586</v>
      </c>
      <c r="C1048" s="1">
        <f t="shared" si="2327"/>
        <v>0</v>
      </c>
      <c r="D1048" s="1">
        <f t="shared" si="2328"/>
        <v>-1.0439544841668826</v>
      </c>
      <c r="E1048" s="1">
        <f t="shared" si="2329"/>
        <v>18.615824524859121</v>
      </c>
      <c r="F1048" s="1">
        <f t="shared" si="2330"/>
        <v>0</v>
      </c>
      <c r="G1048" s="1">
        <f t="shared" si="2331"/>
        <v>-3.8130919217113259</v>
      </c>
      <c r="H1048" s="1">
        <f t="shared" si="2304"/>
        <v>19.002331244975352</v>
      </c>
      <c r="I1048" s="1">
        <f t="shared" si="2314"/>
        <v>-14.39645282235872</v>
      </c>
      <c r="J1048" s="1">
        <f t="shared" si="2315"/>
        <v>0</v>
      </c>
      <c r="K1048" s="1">
        <f t="shared" si="2316"/>
        <v>2.9488351635958323</v>
      </c>
      <c r="L1048" s="1">
        <f t="shared" ref="L1048:N1048" si="2374">E1048/$H1048</f>
        <v>0.97966003670110569</v>
      </c>
      <c r="M1048" s="1">
        <f t="shared" si="2374"/>
        <v>0</v>
      </c>
      <c r="N1048" s="1">
        <f t="shared" si="2374"/>
        <v>-0.20066442756699099</v>
      </c>
      <c r="O1048" s="1">
        <f t="shared" si="2306"/>
        <v>-0.20066442756699099</v>
      </c>
      <c r="P1048" s="1">
        <f t="shared" si="2318"/>
        <v>0.19658292047488476</v>
      </c>
      <c r="Q1048" s="1">
        <f t="shared" si="2319"/>
        <v>0</v>
      </c>
      <c r="R1048" s="1">
        <f t="shared" si="2320"/>
        <v>0.95973378750921179</v>
      </c>
      <c r="S1048" s="1">
        <f t="shared" si="2321"/>
        <v>1.1881351514374086</v>
      </c>
      <c r="T1048" s="1">
        <f t="shared" ref="T1048:V1048" si="2375">$S1048*P1048</f>
        <v>0.23356707798843526</v>
      </c>
      <c r="U1048" s="1">
        <f t="shared" si="2375"/>
        <v>0</v>
      </c>
      <c r="V1048" s="1">
        <f t="shared" si="2375"/>
        <v>1.140293448961855</v>
      </c>
      <c r="W1048" s="1">
        <f t="shared" si="2323"/>
        <v>-14.162885744370284</v>
      </c>
      <c r="X1048" s="1">
        <f t="shared" si="2324"/>
        <v>0</v>
      </c>
      <c r="Y1048" s="1">
        <f t="shared" si="2325"/>
        <v>-5.7175213874423125</v>
      </c>
    </row>
    <row r="1049" spans="1:25">
      <c r="A1049" s="1">
        <v>1.0469999999999999</v>
      </c>
      <c r="B1049" s="1">
        <f t="shared" si="2326"/>
        <v>38.639793803234703</v>
      </c>
      <c r="C1049" s="1">
        <f t="shared" si="2327"/>
        <v>0</v>
      </c>
      <c r="D1049" s="1">
        <f t="shared" si="2328"/>
        <v>-1.0477732936099815</v>
      </c>
      <c r="E1049" s="1">
        <f t="shared" si="2329"/>
        <v>18.601661639114752</v>
      </c>
      <c r="F1049" s="1">
        <f t="shared" si="2330"/>
        <v>0</v>
      </c>
      <c r="G1049" s="1">
        <f t="shared" si="2331"/>
        <v>-3.8188094430987682</v>
      </c>
      <c r="H1049" s="1">
        <f t="shared" si="2304"/>
        <v>18.989605611987145</v>
      </c>
      <c r="I1049" s="1">
        <f t="shared" si="2314"/>
        <v>-14.375866230423785</v>
      </c>
      <c r="J1049" s="1">
        <f t="shared" si="2315"/>
        <v>0</v>
      </c>
      <c r="K1049" s="1">
        <f t="shared" si="2316"/>
        <v>2.9512790189683109</v>
      </c>
      <c r="L1049" s="1">
        <f t="shared" ref="L1049:N1049" si="2376">E1049/$H1049</f>
        <v>0.97957071985594568</v>
      </c>
      <c r="M1049" s="1">
        <f t="shared" si="2376"/>
        <v>0</v>
      </c>
      <c r="N1049" s="1">
        <f t="shared" si="2376"/>
        <v>-0.2010999870733573</v>
      </c>
      <c r="O1049" s="1">
        <f t="shared" si="2306"/>
        <v>-0.2010999870733573</v>
      </c>
      <c r="P1049" s="1">
        <f t="shared" si="2318"/>
        <v>0.19699165910046998</v>
      </c>
      <c r="Q1049" s="1">
        <f t="shared" si="2319"/>
        <v>0</v>
      </c>
      <c r="R1049" s="1">
        <f t="shared" si="2320"/>
        <v>0.95955879519909548</v>
      </c>
      <c r="S1049" s="1">
        <f t="shared" si="2321"/>
        <v>1.1865443246153817</v>
      </c>
      <c r="T1049" s="1">
        <f t="shared" ref="T1049:V1049" si="2377">$S1049*P1049</f>
        <v>0.23373933510223066</v>
      </c>
      <c r="U1049" s="1">
        <f t="shared" si="2377"/>
        <v>0</v>
      </c>
      <c r="V1049" s="1">
        <f t="shared" si="2377"/>
        <v>1.1385590425782601</v>
      </c>
      <c r="W1049" s="1">
        <f t="shared" si="2323"/>
        <v>-14.142126895321555</v>
      </c>
      <c r="X1049" s="1">
        <f t="shared" si="2324"/>
        <v>0</v>
      </c>
      <c r="Y1049" s="1">
        <f t="shared" si="2325"/>
        <v>-5.7168119384534286</v>
      </c>
    </row>
    <row r="1050" spans="1:25">
      <c r="A1050" s="1">
        <v>1.048</v>
      </c>
      <c r="B1050" s="1">
        <f t="shared" si="2326"/>
        <v>38.658381322746919</v>
      </c>
      <c r="C1050" s="1">
        <f t="shared" si="2327"/>
        <v>0</v>
      </c>
      <c r="D1050" s="1">
        <f t="shared" si="2328"/>
        <v>-1.0515978198650187</v>
      </c>
      <c r="E1050" s="1">
        <f t="shared" si="2329"/>
        <v>18.58751951221943</v>
      </c>
      <c r="F1050" s="1">
        <f t="shared" si="2330"/>
        <v>0</v>
      </c>
      <c r="G1050" s="1">
        <f t="shared" si="2331"/>
        <v>-3.8245262550372217</v>
      </c>
      <c r="H1050" s="1">
        <f t="shared" si="2304"/>
        <v>18.976903928001718</v>
      </c>
      <c r="I1050" s="1">
        <f t="shared" si="2314"/>
        <v>-14.35532845718572</v>
      </c>
      <c r="J1050" s="1">
        <f t="shared" si="2315"/>
        <v>0</v>
      </c>
      <c r="K1050" s="1">
        <f t="shared" si="2316"/>
        <v>2.9537201318388386</v>
      </c>
      <c r="L1050" s="1">
        <f t="shared" ref="L1050:N1050" si="2378">E1050/$H1050</f>
        <v>0.97948114100911243</v>
      </c>
      <c r="M1050" s="1">
        <f t="shared" si="2378"/>
        <v>0</v>
      </c>
      <c r="N1050" s="1">
        <f t="shared" si="2378"/>
        <v>-0.20153583901501823</v>
      </c>
      <c r="O1050" s="1">
        <f t="shared" si="2306"/>
        <v>-0.20153583901501823</v>
      </c>
      <c r="P1050" s="1">
        <f t="shared" si="2318"/>
        <v>0.19740055355265884</v>
      </c>
      <c r="Q1050" s="1">
        <f t="shared" si="2319"/>
        <v>0</v>
      </c>
      <c r="R1050" s="1">
        <f t="shared" si="2320"/>
        <v>0.95938330559251261</v>
      </c>
      <c r="S1050" s="1">
        <f t="shared" si="2321"/>
        <v>1.184957554357533</v>
      </c>
      <c r="T1050" s="1">
        <f t="shared" ref="T1050:V1050" si="2379">$S1050*P1050</f>
        <v>0.23391127716658186</v>
      </c>
      <c r="U1050" s="1">
        <f t="shared" si="2379"/>
        <v>0</v>
      </c>
      <c r="V1050" s="1">
        <f t="shared" si="2379"/>
        <v>1.1368284954863495</v>
      </c>
      <c r="W1050" s="1">
        <f t="shared" si="2323"/>
        <v>-14.121417180019138</v>
      </c>
      <c r="X1050" s="1">
        <f t="shared" si="2324"/>
        <v>0</v>
      </c>
      <c r="Y1050" s="1">
        <f t="shared" si="2325"/>
        <v>-5.7161013726748111</v>
      </c>
    </row>
    <row r="1051" spans="1:25">
      <c r="A1051" s="1">
        <v>1.0489999999999999</v>
      </c>
      <c r="B1051" s="1">
        <f t="shared" si="2326"/>
        <v>38.676954720841955</v>
      </c>
      <c r="C1051" s="1">
        <f t="shared" si="2327"/>
        <v>0</v>
      </c>
      <c r="D1051" s="1">
        <f t="shared" si="2328"/>
        <v>-1.0554280622214285</v>
      </c>
      <c r="E1051" s="1">
        <f t="shared" si="2329"/>
        <v>18.573398095039412</v>
      </c>
      <c r="F1051" s="1">
        <f t="shared" si="2330"/>
        <v>0</v>
      </c>
      <c r="G1051" s="1">
        <f t="shared" si="2331"/>
        <v>-3.8302423564098964</v>
      </c>
      <c r="H1051" s="1">
        <f t="shared" si="2304"/>
        <v>18.964226145710509</v>
      </c>
      <c r="I1051" s="1">
        <f t="shared" si="2314"/>
        <v>-14.334839355419726</v>
      </c>
      <c r="J1051" s="1">
        <f t="shared" si="2315"/>
        <v>0</v>
      </c>
      <c r="K1051" s="1">
        <f t="shared" si="2316"/>
        <v>2.9561585117870517</v>
      </c>
      <c r="L1051" s="1">
        <f t="shared" ref="L1051:N1051" si="2380">E1051/$H1051</f>
        <v>0.97939129982588313</v>
      </c>
      <c r="M1051" s="1">
        <f t="shared" si="2380"/>
        <v>0</v>
      </c>
      <c r="N1051" s="1">
        <f t="shared" si="2380"/>
        <v>-0.201971982773273</v>
      </c>
      <c r="O1051" s="1">
        <f t="shared" si="2306"/>
        <v>-0.201971982773273</v>
      </c>
      <c r="P1051" s="1">
        <f t="shared" si="2318"/>
        <v>0.19780960273672671</v>
      </c>
      <c r="Q1051" s="1">
        <f t="shared" si="2319"/>
        <v>0</v>
      </c>
      <c r="R1051" s="1">
        <f t="shared" si="2320"/>
        <v>0.95920731817463267</v>
      </c>
      <c r="S1051" s="1">
        <f t="shared" si="2321"/>
        <v>1.1833748287541781</v>
      </c>
      <c r="T1051" s="1">
        <f t="shared" ref="T1051:V1051" si="2381">$S1051*P1051</f>
        <v>0.23408290476450597</v>
      </c>
      <c r="U1051" s="1">
        <f t="shared" si="2381"/>
        <v>0</v>
      </c>
      <c r="V1051" s="1">
        <f t="shared" si="2381"/>
        <v>1.1351017958846603</v>
      </c>
      <c r="W1051" s="1">
        <f t="shared" si="2323"/>
        <v>-14.10075645065522</v>
      </c>
      <c r="X1051" s="1">
        <f t="shared" si="2324"/>
        <v>0</v>
      </c>
      <c r="Y1051" s="1">
        <f t="shared" si="2325"/>
        <v>-5.7153896923282872</v>
      </c>
    </row>
    <row r="1052" spans="1:25">
      <c r="A1052" s="1">
        <v>1.05</v>
      </c>
      <c r="B1052" s="1">
        <f t="shared" si="2326"/>
        <v>38.695514018180546</v>
      </c>
      <c r="C1052" s="1">
        <f t="shared" si="2327"/>
        <v>0</v>
      </c>
      <c r="D1052" s="1">
        <f t="shared" si="2328"/>
        <v>-1.0592640199675307</v>
      </c>
      <c r="E1052" s="1">
        <f t="shared" si="2329"/>
        <v>18.559297338588756</v>
      </c>
      <c r="F1052" s="1">
        <f t="shared" si="2330"/>
        <v>0</v>
      </c>
      <c r="G1052" s="1">
        <f t="shared" si="2331"/>
        <v>-3.8359577461022245</v>
      </c>
      <c r="H1052" s="1">
        <f t="shared" si="2304"/>
        <v>18.951572217946175</v>
      </c>
      <c r="I1052" s="1">
        <f t="shared" si="2314"/>
        <v>-14.314398778452869</v>
      </c>
      <c r="J1052" s="1">
        <f t="shared" si="2315"/>
        <v>0</v>
      </c>
      <c r="K1052" s="1">
        <f t="shared" si="2316"/>
        <v>2.9585941683704822</v>
      </c>
      <c r="L1052" s="1">
        <f t="shared" ref="L1052:N1052" si="2382">E1052/$H1052</f>
        <v>0.97930119597222887</v>
      </c>
      <c r="M1052" s="1">
        <f t="shared" si="2382"/>
        <v>0</v>
      </c>
      <c r="N1052" s="1">
        <f t="shared" si="2382"/>
        <v>-0.20240841772851792</v>
      </c>
      <c r="O1052" s="1">
        <f t="shared" si="2306"/>
        <v>-0.20240841772851792</v>
      </c>
      <c r="P1052" s="1">
        <f t="shared" si="2318"/>
        <v>0.1982188055563841</v>
      </c>
      <c r="Q1052" s="1">
        <f t="shared" si="2319"/>
        <v>0</v>
      </c>
      <c r="R1052" s="1">
        <f t="shared" si="2320"/>
        <v>0.95903083243263776</v>
      </c>
      <c r="S1052" s="1">
        <f t="shared" si="2321"/>
        <v>1.1817961359403273</v>
      </c>
      <c r="T1052" s="1">
        <f t="shared" ref="T1052:V1052" si="2383">$S1052*P1052</f>
        <v>0.23425421847724182</v>
      </c>
      <c r="U1052" s="1">
        <f t="shared" si="2383"/>
        <v>0</v>
      </c>
      <c r="V1052" s="1">
        <f t="shared" si="2383"/>
        <v>1.1333789320165268</v>
      </c>
      <c r="W1052" s="1">
        <f t="shared" si="2323"/>
        <v>-14.080144559975627</v>
      </c>
      <c r="X1052" s="1">
        <f t="shared" si="2324"/>
        <v>0</v>
      </c>
      <c r="Y1052" s="1">
        <f t="shared" si="2325"/>
        <v>-5.7146768996129902</v>
      </c>
    </row>
    <row r="1053" spans="1:25">
      <c r="A1053" s="1">
        <v>1.0509999999999999</v>
      </c>
      <c r="B1053" s="1">
        <f t="shared" si="2326"/>
        <v>38.714059235374577</v>
      </c>
      <c r="C1053" s="1">
        <f t="shared" si="2327"/>
        <v>0</v>
      </c>
      <c r="D1053" s="1">
        <f t="shared" si="2328"/>
        <v>-1.0631056923905327</v>
      </c>
      <c r="E1053" s="1">
        <f t="shared" si="2329"/>
        <v>18.54521719402878</v>
      </c>
      <c r="F1053" s="1">
        <f t="shared" si="2330"/>
        <v>0</v>
      </c>
      <c r="G1053" s="1">
        <f t="shared" si="2331"/>
        <v>-3.8416724230018375</v>
      </c>
      <c r="H1053" s="1">
        <f t="shared" si="2304"/>
        <v>18.938942097682052</v>
      </c>
      <c r="I1053" s="1">
        <f t="shared" si="2314"/>
        <v>-14.294006580161595</v>
      </c>
      <c r="J1053" s="1">
        <f t="shared" si="2315"/>
        <v>0</v>
      </c>
      <c r="K1053" s="1">
        <f t="shared" si="2316"/>
        <v>2.9610271111246163</v>
      </c>
      <c r="L1053" s="1">
        <f t="shared" ref="L1053:N1053" si="2384">E1053/$H1053</f>
        <v>0.97921082911481838</v>
      </c>
      <c r="M1053" s="1">
        <f t="shared" si="2384"/>
        <v>0</v>
      </c>
      <c r="N1053" s="1">
        <f t="shared" si="2384"/>
        <v>-0.20284514326024694</v>
      </c>
      <c r="O1053" s="1">
        <f t="shared" si="2306"/>
        <v>-0.20284514326024694</v>
      </c>
      <c r="P1053" s="1">
        <f t="shared" si="2318"/>
        <v>0.19862816091378052</v>
      </c>
      <c r="Q1053" s="1">
        <f t="shared" si="2319"/>
        <v>0</v>
      </c>
      <c r="R1053" s="1">
        <f t="shared" si="2320"/>
        <v>0.95885384785572991</v>
      </c>
      <c r="S1053" s="1">
        <f t="shared" si="2321"/>
        <v>1.180221464095484</v>
      </c>
      <c r="T1053" s="1">
        <f t="shared" ref="T1053:V1053" si="2385">$S1053*P1053</f>
        <v>0.23442521888425544</v>
      </c>
      <c r="U1053" s="1">
        <f t="shared" si="2385"/>
        <v>0</v>
      </c>
      <c r="V1053" s="1">
        <f t="shared" si="2385"/>
        <v>1.1316598921698779</v>
      </c>
      <c r="W1053" s="1">
        <f t="shared" si="2323"/>
        <v>-14.05958136127734</v>
      </c>
      <c r="X1053" s="1">
        <f t="shared" si="2324"/>
        <v>0</v>
      </c>
      <c r="Y1053" s="1">
        <f t="shared" si="2325"/>
        <v>-5.7139629967055052</v>
      </c>
    </row>
    <row r="1054" spans="1:25">
      <c r="A1054" s="1">
        <v>1.052</v>
      </c>
      <c r="B1054" s="1">
        <f t="shared" si="2326"/>
        <v>38.732590392987248</v>
      </c>
      <c r="C1054" s="1">
        <f t="shared" si="2327"/>
        <v>0</v>
      </c>
      <c r="D1054" s="1">
        <f t="shared" si="2328"/>
        <v>-1.0669530787765311</v>
      </c>
      <c r="E1054" s="1">
        <f t="shared" si="2329"/>
        <v>18.531157612667503</v>
      </c>
      <c r="F1054" s="1">
        <f t="shared" si="2330"/>
        <v>0</v>
      </c>
      <c r="G1054" s="1">
        <f t="shared" si="2331"/>
        <v>-3.8473863859985431</v>
      </c>
      <c r="H1054" s="1">
        <f t="shared" si="2304"/>
        <v>18.926335738031586</v>
      </c>
      <c r="I1054" s="1">
        <f t="shared" si="2314"/>
        <v>-14.273662614969211</v>
      </c>
      <c r="J1054" s="1">
        <f t="shared" si="2315"/>
        <v>0</v>
      </c>
      <c r="K1054" s="1">
        <f t="shared" si="2316"/>
        <v>2.9634573495629493</v>
      </c>
      <c r="L1054" s="1">
        <f t="shared" ref="L1054:N1054" si="2386">E1054/$H1054</f>
        <v>0.97912019892102031</v>
      </c>
      <c r="M1054" s="1">
        <f t="shared" si="2386"/>
        <v>0</v>
      </c>
      <c r="N1054" s="1">
        <f t="shared" si="2386"/>
        <v>-0.20328215874705213</v>
      </c>
      <c r="O1054" s="1">
        <f t="shared" si="2306"/>
        <v>-0.20328215874705213</v>
      </c>
      <c r="P1054" s="1">
        <f t="shared" si="2318"/>
        <v>0.19903766770950812</v>
      </c>
      <c r="Q1054" s="1">
        <f t="shared" si="2319"/>
        <v>0</v>
      </c>
      <c r="R1054" s="1">
        <f t="shared" si="2320"/>
        <v>0.95867636393513833</v>
      </c>
      <c r="S1054" s="1">
        <f t="shared" si="2321"/>
        <v>1.1786508014434425</v>
      </c>
      <c r="T1054" s="1">
        <f t="shared" ref="T1054:V1054" si="2387">$S1054*P1054</f>
        <v>0.23459590656324533</v>
      </c>
      <c r="U1054" s="1">
        <f t="shared" si="2387"/>
        <v>0</v>
      </c>
      <c r="V1054" s="1">
        <f t="shared" si="2387"/>
        <v>1.1299446646770361</v>
      </c>
      <c r="W1054" s="1">
        <f t="shared" si="2323"/>
        <v>-14.039066708405967</v>
      </c>
      <c r="X1054" s="1">
        <f t="shared" si="2324"/>
        <v>0</v>
      </c>
      <c r="Y1054" s="1">
        <f t="shared" si="2325"/>
        <v>-5.713247985760014</v>
      </c>
    </row>
    <row r="1055" spans="1:25">
      <c r="A1055" s="1">
        <v>1.0529999999999999</v>
      </c>
      <c r="B1055" s="1">
        <f t="shared" si="2326"/>
        <v>38.751107511533206</v>
      </c>
      <c r="C1055" s="1">
        <f t="shared" si="2327"/>
        <v>0</v>
      </c>
      <c r="D1055" s="1">
        <f t="shared" si="2328"/>
        <v>-1.0708061784105154</v>
      </c>
      <c r="E1055" s="1">
        <f t="shared" si="2329"/>
        <v>18.517118545959097</v>
      </c>
      <c r="F1055" s="1">
        <f t="shared" si="2330"/>
        <v>0</v>
      </c>
      <c r="G1055" s="1">
        <f t="shared" si="2331"/>
        <v>-3.8530996339843031</v>
      </c>
      <c r="H1055" s="1">
        <f t="shared" si="2304"/>
        <v>18.913753092247777</v>
      </c>
      <c r="I1055" s="1">
        <f t="shared" si="2314"/>
        <v>-14.253366737843422</v>
      </c>
      <c r="J1055" s="1">
        <f t="shared" si="2315"/>
        <v>0</v>
      </c>
      <c r="K1055" s="1">
        <f t="shared" si="2316"/>
        <v>2.9658848931770425</v>
      </c>
      <c r="L1055" s="1">
        <f t="shared" ref="L1055:N1055" si="2388">E1055/$H1055</f>
        <v>0.97902930505890706</v>
      </c>
      <c r="M1055" s="1">
        <f t="shared" si="2388"/>
        <v>0</v>
      </c>
      <c r="N1055" s="1">
        <f t="shared" si="2388"/>
        <v>-0.20371946356662454</v>
      </c>
      <c r="O1055" s="1">
        <f t="shared" si="2306"/>
        <v>-0.20371946356662454</v>
      </c>
      <c r="P1055" s="1">
        <f t="shared" si="2318"/>
        <v>0.19944732484260577</v>
      </c>
      <c r="Q1055" s="1">
        <f t="shared" si="2319"/>
        <v>0</v>
      </c>
      <c r="R1055" s="1">
        <f t="shared" si="2320"/>
        <v>0.9584983801641267</v>
      </c>
      <c r="S1055" s="1">
        <f t="shared" si="2321"/>
        <v>1.177084136252087</v>
      </c>
      <c r="T1055" s="1">
        <f t="shared" ref="T1055:V1055" si="2389">$S1055*P1055</f>
        <v>0.23476628209014802</v>
      </c>
      <c r="U1055" s="1">
        <f t="shared" si="2389"/>
        <v>0</v>
      </c>
      <c r="V1055" s="1">
        <f t="shared" si="2389"/>
        <v>1.1282332379145155</v>
      </c>
      <c r="W1055" s="1">
        <f t="shared" si="2323"/>
        <v>-14.018600455753274</v>
      </c>
      <c r="X1055" s="1">
        <f t="shared" si="2324"/>
        <v>0</v>
      </c>
      <c r="Y1055" s="1">
        <f t="shared" si="2325"/>
        <v>-5.7125318689084414</v>
      </c>
    </row>
    <row r="1056" spans="1:25">
      <c r="A1056" s="1">
        <v>1.054</v>
      </c>
      <c r="B1056" s="1">
        <f t="shared" si="2326"/>
        <v>38.769610611478711</v>
      </c>
      <c r="C1056" s="1">
        <f t="shared" si="2327"/>
        <v>0</v>
      </c>
      <c r="D1056" s="1">
        <f t="shared" si="2328"/>
        <v>-1.0746649905763686</v>
      </c>
      <c r="E1056" s="1">
        <f t="shared" si="2329"/>
        <v>18.503099945503344</v>
      </c>
      <c r="F1056" s="1">
        <f t="shared" si="2330"/>
        <v>0</v>
      </c>
      <c r="G1056" s="1">
        <f t="shared" si="2331"/>
        <v>-3.8588121658532115</v>
      </c>
      <c r="H1056" s="1">
        <f t="shared" si="2304"/>
        <v>18.901194113722621</v>
      </c>
      <c r="I1056" s="1">
        <f t="shared" si="2314"/>
        <v>-14.233118804293827</v>
      </c>
      <c r="J1056" s="1">
        <f t="shared" si="2315"/>
        <v>0</v>
      </c>
      <c r="K1056" s="1">
        <f t="shared" si="2316"/>
        <v>2.9683097514365748</v>
      </c>
      <c r="L1056" s="1">
        <f t="shared" ref="L1056:N1056" si="2390">E1056/$H1056</f>
        <v>0.97893814719725814</v>
      </c>
      <c r="M1056" s="1">
        <f t="shared" si="2390"/>
        <v>0</v>
      </c>
      <c r="N1056" s="1">
        <f t="shared" si="2390"/>
        <v>-0.20415705709575468</v>
      </c>
      <c r="O1056" s="1">
        <f t="shared" si="2306"/>
        <v>-0.20415705709575468</v>
      </c>
      <c r="P1056" s="1">
        <f t="shared" si="2318"/>
        <v>0.19985713121056292</v>
      </c>
      <c r="Q1056" s="1">
        <f t="shared" si="2319"/>
        <v>0</v>
      </c>
      <c r="R1056" s="1">
        <f t="shared" si="2320"/>
        <v>0.95831989603800072</v>
      </c>
      <c r="S1056" s="1">
        <f t="shared" si="2321"/>
        <v>1.1755214568331904</v>
      </c>
      <c r="T1056" s="1">
        <f t="shared" ref="T1056:V1056" si="2391">$S1056*P1056</f>
        <v>0.23493634603914301</v>
      </c>
      <c r="U1056" s="1">
        <f t="shared" si="2391"/>
        <v>0</v>
      </c>
      <c r="V1056" s="1">
        <f t="shared" si="2391"/>
        <v>1.1265256003028221</v>
      </c>
      <c r="W1056" s="1">
        <f t="shared" si="2323"/>
        <v>-13.998182458254684</v>
      </c>
      <c r="X1056" s="1">
        <f t="shared" si="2324"/>
        <v>0</v>
      </c>
      <c r="Y1056" s="1">
        <f t="shared" si="2325"/>
        <v>-5.7118146482606029</v>
      </c>
    </row>
    <row r="1057" spans="1:25">
      <c r="A1057" s="1">
        <v>1.0549999999999999</v>
      </c>
      <c r="B1057" s="1">
        <f t="shared" si="2326"/>
        <v>38.788099713241756</v>
      </c>
      <c r="C1057" s="1">
        <f t="shared" si="2327"/>
        <v>0</v>
      </c>
      <c r="D1057" s="1">
        <f t="shared" si="2328"/>
        <v>-1.0785295145568701</v>
      </c>
      <c r="E1057" s="1">
        <f t="shared" si="2329"/>
        <v>18.489101763045088</v>
      </c>
      <c r="F1057" s="1">
        <f t="shared" si="2330"/>
        <v>0</v>
      </c>
      <c r="G1057" s="1">
        <f t="shared" si="2331"/>
        <v>-3.8645239805014722</v>
      </c>
      <c r="H1057" s="1">
        <f t="shared" si="2304"/>
        <v>18.888658755986565</v>
      </c>
      <c r="I1057" s="1">
        <f t="shared" si="2314"/>
        <v>-14.212918670369492</v>
      </c>
      <c r="J1057" s="1">
        <f t="shared" si="2315"/>
        <v>0</v>
      </c>
      <c r="K1057" s="1">
        <f t="shared" si="2316"/>
        <v>2.9707319337894029</v>
      </c>
      <c r="L1057" s="1">
        <f t="shared" ref="L1057:N1057" si="2392">E1057/$H1057</f>
        <v>0.97884672500556236</v>
      </c>
      <c r="M1057" s="1">
        <f t="shared" si="2392"/>
        <v>0</v>
      </c>
      <c r="N1057" s="1">
        <f t="shared" si="2392"/>
        <v>-0.20459493871033332</v>
      </c>
      <c r="O1057" s="1">
        <f t="shared" si="2306"/>
        <v>-0.20459493871033332</v>
      </c>
      <c r="P1057" s="1">
        <f t="shared" si="2318"/>
        <v>0.20026708570932353</v>
      </c>
      <c r="Q1057" s="1">
        <f t="shared" si="2319"/>
        <v>0</v>
      </c>
      <c r="R1057" s="1">
        <f t="shared" si="2320"/>
        <v>0.95814091105411492</v>
      </c>
      <c r="S1057" s="1">
        <f t="shared" si="2321"/>
        <v>1.1739627515422175</v>
      </c>
      <c r="T1057" s="1">
        <f t="shared" ref="T1057:V1057" si="2393">$S1057*P1057</f>
        <v>0.23510609898265855</v>
      </c>
      <c r="U1057" s="1">
        <f t="shared" si="2393"/>
        <v>0</v>
      </c>
      <c r="V1057" s="1">
        <f t="shared" si="2393"/>
        <v>1.1248217403062559</v>
      </c>
      <c r="W1057" s="1">
        <f t="shared" si="2323"/>
        <v>-13.977812571386833</v>
      </c>
      <c r="X1057" s="1">
        <f t="shared" si="2324"/>
        <v>0</v>
      </c>
      <c r="Y1057" s="1">
        <f t="shared" si="2325"/>
        <v>-5.7110963259043404</v>
      </c>
    </row>
    <row r="1058" spans="1:25">
      <c r="A1058" s="1">
        <v>1.056</v>
      </c>
      <c r="B1058" s="1">
        <f t="shared" si="2326"/>
        <v>38.80657483719223</v>
      </c>
      <c r="C1058" s="1">
        <f t="shared" si="2327"/>
        <v>0</v>
      </c>
      <c r="D1058" s="1">
        <f t="shared" si="2328"/>
        <v>-1.0823997496336974</v>
      </c>
      <c r="E1058" s="1">
        <f t="shared" si="2329"/>
        <v>18.475123950473701</v>
      </c>
      <c r="F1058" s="1">
        <f t="shared" si="2330"/>
        <v>0</v>
      </c>
      <c r="G1058" s="1">
        <f t="shared" si="2331"/>
        <v>-3.8702350768273766</v>
      </c>
      <c r="H1058" s="1">
        <f t="shared" si="2304"/>
        <v>18.876146972707964</v>
      </c>
      <c r="I1058" s="1">
        <f t="shared" si="2314"/>
        <v>-14.192766192656498</v>
      </c>
      <c r="J1058" s="1">
        <f t="shared" si="2315"/>
        <v>0</v>
      </c>
      <c r="K1058" s="1">
        <f t="shared" si="2316"/>
        <v>2.9731514496616152</v>
      </c>
      <c r="L1058" s="1">
        <f t="shared" ref="L1058:N1058" si="2394">E1058/$H1058</f>
        <v>0.97875503815402154</v>
      </c>
      <c r="M1058" s="1">
        <f t="shared" si="2394"/>
        <v>0</v>
      </c>
      <c r="N1058" s="1">
        <f t="shared" si="2394"/>
        <v>-0.20503310778535194</v>
      </c>
      <c r="O1058" s="1">
        <f t="shared" si="2306"/>
        <v>-0.20503310778535194</v>
      </c>
      <c r="P1058" s="1">
        <f t="shared" si="2318"/>
        <v>0.20067718723328976</v>
      </c>
      <c r="Q1058" s="1">
        <f t="shared" si="2319"/>
        <v>0</v>
      </c>
      <c r="R1058" s="1">
        <f t="shared" si="2320"/>
        <v>0.95796142471188028</v>
      </c>
      <c r="S1058" s="1">
        <f t="shared" si="2321"/>
        <v>1.1724080087781279</v>
      </c>
      <c r="T1058" s="1">
        <f t="shared" ref="T1058:V1058" si="2395">$S1058*P1058</f>
        <v>0.23527554149137681</v>
      </c>
      <c r="U1058" s="1">
        <f t="shared" si="2395"/>
        <v>0</v>
      </c>
      <c r="V1058" s="1">
        <f t="shared" si="2395"/>
        <v>1.1231216464327141</v>
      </c>
      <c r="W1058" s="1">
        <f t="shared" si="2323"/>
        <v>-13.95749065116512</v>
      </c>
      <c r="X1058" s="1">
        <f t="shared" si="2324"/>
        <v>0</v>
      </c>
      <c r="Y1058" s="1">
        <f t="shared" si="2325"/>
        <v>-5.7103769039056704</v>
      </c>
    </row>
    <row r="1059" spans="1:25">
      <c r="A1059" s="1">
        <v>1.0569999999999999</v>
      </c>
      <c r="B1059" s="1">
        <f t="shared" si="2326"/>
        <v>38.825036003652052</v>
      </c>
      <c r="C1059" s="1">
        <f t="shared" si="2327"/>
        <v>0</v>
      </c>
      <c r="D1059" s="1">
        <f t="shared" si="2328"/>
        <v>-1.0862756950874288</v>
      </c>
      <c r="E1059" s="1">
        <f t="shared" si="2329"/>
        <v>18.461166459822536</v>
      </c>
      <c r="F1059" s="1">
        <f t="shared" si="2330"/>
        <v>0</v>
      </c>
      <c r="G1059" s="1">
        <f t="shared" si="2331"/>
        <v>-3.8759454537312821</v>
      </c>
      <c r="H1059" s="1">
        <f t="shared" si="2304"/>
        <v>18.863658717692513</v>
      </c>
      <c r="I1059" s="1">
        <f t="shared" si="2314"/>
        <v>-14.172661228275498</v>
      </c>
      <c r="J1059" s="1">
        <f t="shared" si="2315"/>
        <v>0</v>
      </c>
      <c r="K1059" s="1">
        <f t="shared" si="2316"/>
        <v>2.9755683084575839</v>
      </c>
      <c r="L1059" s="1">
        <f t="shared" ref="L1059:N1059" si="2396">E1059/$H1059</f>
        <v>0.97866308631355414</v>
      </c>
      <c r="M1059" s="1">
        <f t="shared" si="2396"/>
        <v>0</v>
      </c>
      <c r="N1059" s="1">
        <f t="shared" si="2396"/>
        <v>-0.20547156369490369</v>
      </c>
      <c r="O1059" s="1">
        <f t="shared" si="2306"/>
        <v>-0.20547156369490369</v>
      </c>
      <c r="P1059" s="1">
        <f t="shared" si="2318"/>
        <v>0.20108743467532647</v>
      </c>
      <c r="Q1059" s="1">
        <f t="shared" si="2319"/>
        <v>0</v>
      </c>
      <c r="R1059" s="1">
        <f t="shared" si="2320"/>
        <v>0.95778143651277114</v>
      </c>
      <c r="S1059" s="1">
        <f t="shared" si="2321"/>
        <v>1.1708572169831752</v>
      </c>
      <c r="T1059" s="1">
        <f t="shared" ref="T1059:V1059" si="2397">$S1059*P1059</f>
        <v>0.23544467413423881</v>
      </c>
      <c r="U1059" s="1">
        <f t="shared" si="2397"/>
        <v>0</v>
      </c>
      <c r="V1059" s="1">
        <f t="shared" si="2397"/>
        <v>1.121425307233491</v>
      </c>
      <c r="W1059" s="1">
        <f t="shared" si="2323"/>
        <v>-13.937216554141258</v>
      </c>
      <c r="X1059" s="1">
        <f t="shared" si="2324"/>
        <v>0</v>
      </c>
      <c r="Y1059" s="1">
        <f t="shared" si="2325"/>
        <v>-5.709656384308925</v>
      </c>
    </row>
    <row r="1060" spans="1:25">
      <c r="A1060" s="1">
        <v>1.0580000000000001</v>
      </c>
      <c r="B1060" s="1">
        <f t="shared" si="2326"/>
        <v>38.843483232895323</v>
      </c>
      <c r="C1060" s="1">
        <f t="shared" si="2327"/>
        <v>0</v>
      </c>
      <c r="D1060" s="1">
        <f t="shared" si="2328"/>
        <v>-1.0901573501975443</v>
      </c>
      <c r="E1060" s="1">
        <f t="shared" si="2329"/>
        <v>18.447229243268396</v>
      </c>
      <c r="F1060" s="1">
        <f t="shared" si="2330"/>
        <v>0</v>
      </c>
      <c r="G1060" s="1">
        <f t="shared" si="2331"/>
        <v>-3.8816551101155912</v>
      </c>
      <c r="H1060" s="1">
        <f t="shared" si="2304"/>
        <v>18.851193944882727</v>
      </c>
      <c r="I1060" s="1">
        <f t="shared" si="2314"/>
        <v>-14.152603634879309</v>
      </c>
      <c r="J1060" s="1">
        <f t="shared" si="2315"/>
        <v>0</v>
      </c>
      <c r="K1060" s="1">
        <f t="shared" si="2316"/>
        <v>2.9779825195600234</v>
      </c>
      <c r="L1060" s="1">
        <f t="shared" ref="L1060:N1060" si="2398">E1060/$H1060</f>
        <v>0.97857086915579738</v>
      </c>
      <c r="M1060" s="1">
        <f t="shared" si="2398"/>
        <v>0</v>
      </c>
      <c r="N1060" s="1">
        <f t="shared" si="2398"/>
        <v>-0.20591030581218386</v>
      </c>
      <c r="O1060" s="1">
        <f t="shared" si="2306"/>
        <v>-0.20591030581218386</v>
      </c>
      <c r="P1060" s="1">
        <f t="shared" si="2318"/>
        <v>0.20149782692676479</v>
      </c>
      <c r="Q1060" s="1">
        <f t="shared" si="2319"/>
        <v>0</v>
      </c>
      <c r="R1060" s="1">
        <f t="shared" si="2320"/>
        <v>0.95760094596033296</v>
      </c>
      <c r="S1060" s="1">
        <f t="shared" si="2321"/>
        <v>1.1693103646427165</v>
      </c>
      <c r="T1060" s="1">
        <f t="shared" ref="T1060:V1060" si="2399">$S1060*P1060</f>
        <v>0.23561349747845034</v>
      </c>
      <c r="U1060" s="1">
        <f t="shared" si="2399"/>
        <v>0</v>
      </c>
      <c r="V1060" s="1">
        <f t="shared" si="2399"/>
        <v>1.1197327113030873</v>
      </c>
      <c r="W1060" s="1">
        <f t="shared" si="2323"/>
        <v>-13.916990137400859</v>
      </c>
      <c r="X1060" s="1">
        <f t="shared" si="2324"/>
        <v>0</v>
      </c>
      <c r="Y1060" s="1">
        <f t="shared" si="2325"/>
        <v>-5.7089347691368886</v>
      </c>
    </row>
    <row r="1061" spans="1:25">
      <c r="A1061" s="1">
        <v>1.0589999999999999</v>
      </c>
      <c r="B1061" s="1">
        <f t="shared" si="2326"/>
        <v>38.861916545148453</v>
      </c>
      <c r="C1061" s="1">
        <f t="shared" si="2327"/>
        <v>0</v>
      </c>
      <c r="D1061" s="1">
        <f t="shared" si="2328"/>
        <v>-1.094044714242429</v>
      </c>
      <c r="E1061" s="1">
        <f t="shared" si="2329"/>
        <v>18.433312253130996</v>
      </c>
      <c r="F1061" s="1">
        <f t="shared" si="2330"/>
        <v>0</v>
      </c>
      <c r="G1061" s="1">
        <f t="shared" si="2331"/>
        <v>-3.8873640448847282</v>
      </c>
      <c r="H1061" s="1">
        <f t="shared" si="2304"/>
        <v>18.838752608357378</v>
      </c>
      <c r="I1061" s="1">
        <f t="shared" si="2314"/>
        <v>-14.132593270650487</v>
      </c>
      <c r="J1061" s="1">
        <f t="shared" si="2315"/>
        <v>0</v>
      </c>
      <c r="K1061" s="1">
        <f t="shared" si="2316"/>
        <v>2.9803940923300405</v>
      </c>
      <c r="L1061" s="1">
        <f t="shared" ref="L1061:N1061" si="2400">E1061/$H1061</f>
        <v>0.97847838635311146</v>
      </c>
      <c r="M1061" s="1">
        <f t="shared" si="2400"/>
        <v>0</v>
      </c>
      <c r="N1061" s="1">
        <f t="shared" si="2400"/>
        <v>-0.20634933350949089</v>
      </c>
      <c r="O1061" s="1">
        <f t="shared" si="2306"/>
        <v>-0.20634933350949089</v>
      </c>
      <c r="P1061" s="1">
        <f t="shared" si="2318"/>
        <v>0.20190836287740668</v>
      </c>
      <c r="Q1061" s="1">
        <f t="shared" si="2319"/>
        <v>0</v>
      </c>
      <c r="R1061" s="1">
        <f t="shared" si="2320"/>
        <v>0.95741995256018886</v>
      </c>
      <c r="S1061" s="1">
        <f t="shared" si="2321"/>
        <v>1.167767440285014</v>
      </c>
      <c r="T1061" s="1">
        <f t="shared" ref="T1061:V1061" si="2401">$S1061*P1061</f>
        <v>0.23578201208948696</v>
      </c>
      <c r="U1061" s="1">
        <f t="shared" si="2401"/>
        <v>0</v>
      </c>
      <c r="V1061" s="1">
        <f t="shared" si="2401"/>
        <v>1.1180438472790113</v>
      </c>
      <c r="W1061" s="1">
        <f t="shared" si="2323"/>
        <v>-13.896811258561</v>
      </c>
      <c r="X1061" s="1">
        <f t="shared" si="2324"/>
        <v>0</v>
      </c>
      <c r="Y1061" s="1">
        <f t="shared" si="2325"/>
        <v>-5.7082120603909479</v>
      </c>
    </row>
    <row r="1062" spans="1:25">
      <c r="A1062" s="1">
        <v>1.06</v>
      </c>
      <c r="B1062" s="1">
        <f t="shared" si="2326"/>
        <v>38.880335960590322</v>
      </c>
      <c r="C1062" s="1">
        <f t="shared" si="2327"/>
        <v>0</v>
      </c>
      <c r="D1062" s="1">
        <f t="shared" si="2328"/>
        <v>-1.097937786499374</v>
      </c>
      <c r="E1062" s="1">
        <f t="shared" si="2329"/>
        <v>18.419415441872435</v>
      </c>
      <c r="F1062" s="1">
        <f t="shared" si="2330"/>
        <v>0</v>
      </c>
      <c r="G1062" s="1">
        <f t="shared" si="2331"/>
        <v>-3.893072256945119</v>
      </c>
      <c r="H1062" s="1">
        <f t="shared" si="2304"/>
        <v>18.826334662330968</v>
      </c>
      <c r="I1062" s="1">
        <f t="shared" si="2314"/>
        <v>-14.112629994298954</v>
      </c>
      <c r="J1062" s="1">
        <f t="shared" si="2315"/>
        <v>0</v>
      </c>
      <c r="K1062" s="1">
        <f t="shared" si="2316"/>
        <v>2.9828030361071929</v>
      </c>
      <c r="L1062" s="1">
        <f t="shared" ref="L1062:N1062" si="2402">E1062/$H1062</f>
        <v>0.97838563757858155</v>
      </c>
      <c r="M1062" s="1">
        <f t="shared" si="2402"/>
        <v>0</v>
      </c>
      <c r="N1062" s="1">
        <f t="shared" si="2402"/>
        <v>-0.20678864615822681</v>
      </c>
      <c r="O1062" s="1">
        <f t="shared" si="2306"/>
        <v>-0.20678864615822681</v>
      </c>
      <c r="P1062" s="1">
        <f t="shared" si="2318"/>
        <v>0.20231904141552845</v>
      </c>
      <c r="Q1062" s="1">
        <f t="shared" si="2319"/>
        <v>0</v>
      </c>
      <c r="R1062" s="1">
        <f t="shared" si="2320"/>
        <v>0.95723845582004763</v>
      </c>
      <c r="S1062" s="1">
        <f t="shared" si="2321"/>
        <v>1.1662284324810424</v>
      </c>
      <c r="T1062" s="1">
        <f t="shared" ref="T1062:V1062" si="2403">$S1062*P1062</f>
        <v>0.23595021853109882</v>
      </c>
      <c r="U1062" s="1">
        <f t="shared" si="2403"/>
        <v>0</v>
      </c>
      <c r="V1062" s="1">
        <f t="shared" si="2403"/>
        <v>1.1163587038415876</v>
      </c>
      <c r="W1062" s="1">
        <f t="shared" si="2323"/>
        <v>-13.876679775767856</v>
      </c>
      <c r="X1062" s="1">
        <f t="shared" si="2324"/>
        <v>0</v>
      </c>
      <c r="Y1062" s="1">
        <f t="shared" si="2325"/>
        <v>-5.7074882600512193</v>
      </c>
    </row>
    <row r="1063" spans="1:25">
      <c r="A1063" s="1">
        <v>1.0609999999999999</v>
      </c>
      <c r="B1063" s="1">
        <f t="shared" si="2326"/>
        <v>38.898741499352418</v>
      </c>
      <c r="C1063" s="1">
        <f t="shared" si="2327"/>
        <v>0</v>
      </c>
      <c r="D1063" s="1">
        <f t="shared" si="2328"/>
        <v>-1.1018365662445793</v>
      </c>
      <c r="E1063" s="1">
        <f t="shared" si="2329"/>
        <v>18.405538762096668</v>
      </c>
      <c r="F1063" s="1">
        <f t="shared" si="2330"/>
        <v>0</v>
      </c>
      <c r="G1063" s="1">
        <f t="shared" si="2331"/>
        <v>-3.8987797452051702</v>
      </c>
      <c r="H1063" s="1">
        <f t="shared" si="2304"/>
        <v>18.813940061153193</v>
      </c>
      <c r="I1063" s="1">
        <f t="shared" si="2314"/>
        <v>-14.092713665059611</v>
      </c>
      <c r="J1063" s="1">
        <f t="shared" si="2315"/>
        <v>0</v>
      </c>
      <c r="K1063" s="1">
        <f t="shared" si="2316"/>
        <v>2.9852093602095424</v>
      </c>
      <c r="L1063" s="1">
        <f t="shared" ref="L1063:N1063" si="2404">E1063/$H1063</f>
        <v>0.97829262250602211</v>
      </c>
      <c r="M1063" s="1">
        <f t="shared" si="2404"/>
        <v>0</v>
      </c>
      <c r="N1063" s="1">
        <f t="shared" si="2404"/>
        <v>-0.20722824312889812</v>
      </c>
      <c r="O1063" s="1">
        <f t="shared" si="2306"/>
        <v>-0.20722824312889812</v>
      </c>
      <c r="P1063" s="1">
        <f t="shared" si="2318"/>
        <v>0.20272986142788529</v>
      </c>
      <c r="Q1063" s="1">
        <f t="shared" si="2319"/>
        <v>0</v>
      </c>
      <c r="R1063" s="1">
        <f t="shared" si="2320"/>
        <v>0.95705645524971028</v>
      </c>
      <c r="S1063" s="1">
        <f t="shared" si="2321"/>
        <v>1.1646933298442974</v>
      </c>
      <c r="T1063" s="1">
        <f t="shared" ref="T1063:V1063" si="2405">$S1063*P1063</f>
        <v>0.23611811736531671</v>
      </c>
      <c r="U1063" s="1">
        <f t="shared" si="2405"/>
        <v>0</v>
      </c>
      <c r="V1063" s="1">
        <f t="shared" si="2405"/>
        <v>1.1146772697137648</v>
      </c>
      <c r="W1063" s="1">
        <f t="shared" si="2323"/>
        <v>-13.856595547694294</v>
      </c>
      <c r="X1063" s="1">
        <f t="shared" si="2324"/>
        <v>0</v>
      </c>
      <c r="Y1063" s="1">
        <f t="shared" si="2325"/>
        <v>-5.7067633700766924</v>
      </c>
    </row>
    <row r="1064" spans="1:25">
      <c r="A1064" s="1">
        <v>1.0620000000000001</v>
      </c>
      <c r="B1064" s="1">
        <f t="shared" si="2326"/>
        <v>38.91713318151897</v>
      </c>
      <c r="C1064" s="1">
        <f t="shared" si="2327"/>
        <v>0</v>
      </c>
      <c r="D1064" s="1">
        <f t="shared" si="2328"/>
        <v>-1.1057410527531546</v>
      </c>
      <c r="E1064" s="1">
        <f t="shared" si="2329"/>
        <v>18.391682166548975</v>
      </c>
      <c r="F1064" s="1">
        <f t="shared" si="2330"/>
        <v>0</v>
      </c>
      <c r="G1064" s="1">
        <f t="shared" si="2331"/>
        <v>-3.9044865085752467</v>
      </c>
      <c r="H1064" s="1">
        <f t="shared" si="2304"/>
        <v>18.801568759308402</v>
      </c>
      <c r="I1064" s="1">
        <f t="shared" si="2314"/>
        <v>-14.072844142689958</v>
      </c>
      <c r="J1064" s="1">
        <f t="shared" si="2315"/>
        <v>0</v>
      </c>
      <c r="K1064" s="1">
        <f t="shared" si="2316"/>
        <v>2.9876130739337072</v>
      </c>
      <c r="L1064" s="1">
        <f t="shared" ref="L1064:N1064" si="2406">E1064/$H1064</f>
        <v>0.97819934080997906</v>
      </c>
      <c r="M1064" s="1">
        <f t="shared" si="2406"/>
        <v>0</v>
      </c>
      <c r="N1064" s="1">
        <f t="shared" si="2406"/>
        <v>-0.20766812379111654</v>
      </c>
      <c r="O1064" s="1">
        <f t="shared" si="2306"/>
        <v>-0.20766812379111654</v>
      </c>
      <c r="P1064" s="1">
        <f t="shared" si="2318"/>
        <v>0.20314082179971532</v>
      </c>
      <c r="Q1064" s="1">
        <f t="shared" si="2319"/>
        <v>0</v>
      </c>
      <c r="R1064" s="1">
        <f t="shared" si="2320"/>
        <v>0.95687395036107747</v>
      </c>
      <c r="S1064" s="1">
        <f t="shared" si="2321"/>
        <v>1.1631621210306033</v>
      </c>
      <c r="T1064" s="1">
        <f t="shared" ref="T1064:V1064" si="2407">$S1064*P1064</f>
        <v>0.2362857091524567</v>
      </c>
      <c r="U1064" s="1">
        <f t="shared" si="2407"/>
        <v>0</v>
      </c>
      <c r="V1064" s="1">
        <f t="shared" si="2407"/>
        <v>1.1129995336609231</v>
      </c>
      <c r="W1064" s="1">
        <f t="shared" si="2323"/>
        <v>-13.836558433537501</v>
      </c>
      <c r="X1064" s="1">
        <f t="shared" si="2324"/>
        <v>0</v>
      </c>
      <c r="Y1064" s="1">
        <f t="shared" si="2325"/>
        <v>-5.7060373924053689</v>
      </c>
    </row>
    <row r="1065" spans="1:25">
      <c r="A1065" s="1">
        <v>1.0629999999999999</v>
      </c>
      <c r="B1065" s="1">
        <f t="shared" si="2326"/>
        <v>38.935511027127085</v>
      </c>
      <c r="C1065" s="1">
        <f t="shared" si="2327"/>
        <v>0</v>
      </c>
      <c r="D1065" s="1">
        <f t="shared" si="2328"/>
        <v>-1.1096512452991223</v>
      </c>
      <c r="E1065" s="1">
        <f t="shared" si="2329"/>
        <v>18.377845608115436</v>
      </c>
      <c r="F1065" s="1">
        <f t="shared" si="2330"/>
        <v>0</v>
      </c>
      <c r="G1065" s="1">
        <f t="shared" si="2331"/>
        <v>-3.9101925459676519</v>
      </c>
      <c r="H1065" s="1">
        <f t="shared" si="2304"/>
        <v>18.789220711415062</v>
      </c>
      <c r="I1065" s="1">
        <f t="shared" si="2314"/>
        <v>-14.053021287467747</v>
      </c>
      <c r="J1065" s="1">
        <f t="shared" si="2315"/>
        <v>0</v>
      </c>
      <c r="K1065" s="1">
        <f t="shared" si="2316"/>
        <v>2.9900141865549164</v>
      </c>
      <c r="L1065" s="1">
        <f t="shared" ref="L1065:N1065" si="2408">E1065/$H1065</f>
        <v>0.97810579216573346</v>
      </c>
      <c r="M1065" s="1">
        <f t="shared" si="2408"/>
        <v>0</v>
      </c>
      <c r="N1065" s="1">
        <f t="shared" si="2408"/>
        <v>-0.20810828751359992</v>
      </c>
      <c r="O1065" s="1">
        <f t="shared" si="2306"/>
        <v>-0.20810828751359992</v>
      </c>
      <c r="P1065" s="1">
        <f t="shared" si="2318"/>
        <v>0.20355192141474387</v>
      </c>
      <c r="Q1065" s="1">
        <f t="shared" si="2319"/>
        <v>0</v>
      </c>
      <c r="R1065" s="1">
        <f t="shared" si="2320"/>
        <v>0.95669094066815685</v>
      </c>
      <c r="S1065" s="1">
        <f t="shared" si="2321"/>
        <v>1.1616347947379211</v>
      </c>
      <c r="T1065" s="1">
        <f t="shared" ref="T1065:V1065" si="2409">$S1065*P1065</f>
        <v>0.23645299445112544</v>
      </c>
      <c r="U1065" s="1">
        <f t="shared" si="2409"/>
        <v>0</v>
      </c>
      <c r="V1065" s="1">
        <f t="shared" si="2409"/>
        <v>1.111325484490683</v>
      </c>
      <c r="W1065" s="1">
        <f t="shared" si="2323"/>
        <v>-13.816568293016621</v>
      </c>
      <c r="X1065" s="1">
        <f t="shared" si="2324"/>
        <v>0</v>
      </c>
      <c r="Y1065" s="1">
        <f t="shared" si="2325"/>
        <v>-5.7053103289544005</v>
      </c>
    </row>
    <row r="1066" spans="1:25">
      <c r="A1066" s="1">
        <v>1.0640000000000001</v>
      </c>
      <c r="B1066" s="1">
        <f t="shared" si="2326"/>
        <v>38.953875056166908</v>
      </c>
      <c r="C1066" s="1">
        <f t="shared" si="2327"/>
        <v>0</v>
      </c>
      <c r="D1066" s="1">
        <f t="shared" si="2328"/>
        <v>-1.1135671431554188</v>
      </c>
      <c r="E1066" s="1">
        <f t="shared" si="2329"/>
        <v>18.36402903982242</v>
      </c>
      <c r="F1066" s="1">
        <f t="shared" si="2330"/>
        <v>0</v>
      </c>
      <c r="G1066" s="1">
        <f t="shared" si="2331"/>
        <v>-3.9158978562966062</v>
      </c>
      <c r="H1066" s="1">
        <f t="shared" si="2304"/>
        <v>18.776895872225246</v>
      </c>
      <c r="I1066" s="1">
        <f t="shared" si="2314"/>
        <v>-14.033244960188641</v>
      </c>
      <c r="J1066" s="1">
        <f t="shared" si="2315"/>
        <v>0</v>
      </c>
      <c r="K1066" s="1">
        <f t="shared" si="2316"/>
        <v>2.9924127073270652</v>
      </c>
      <c r="L1066" s="1">
        <f t="shared" ref="L1066:N1066" si="2410">E1066/$H1066</f>
        <v>0.97801197624930436</v>
      </c>
      <c r="M1066" s="1">
        <f t="shared" si="2410"/>
        <v>0</v>
      </c>
      <c r="N1066" s="1">
        <f t="shared" si="2410"/>
        <v>-0.20854873366417268</v>
      </c>
      <c r="O1066" s="1">
        <f t="shared" si="2306"/>
        <v>-0.20854873366417268</v>
      </c>
      <c r="P1066" s="1">
        <f t="shared" si="2318"/>
        <v>0.20396315915518734</v>
      </c>
      <c r="Q1066" s="1">
        <f t="shared" si="2319"/>
        <v>0</v>
      </c>
      <c r="R1066" s="1">
        <f t="shared" si="2320"/>
        <v>0.95650742568706992</v>
      </c>
      <c r="S1066" s="1">
        <f t="shared" si="2321"/>
        <v>1.1601113397061622</v>
      </c>
      <c r="T1066" s="1">
        <f t="shared" ref="T1066:V1066" si="2411">$S1066*P1066</f>
        <v>0.23661997381822555</v>
      </c>
      <c r="U1066" s="1">
        <f t="shared" si="2411"/>
        <v>0</v>
      </c>
      <c r="V1066" s="1">
        <f t="shared" si="2411"/>
        <v>1.1096551110527191</v>
      </c>
      <c r="W1066" s="1">
        <f t="shared" si="2323"/>
        <v>-13.796624986370416</v>
      </c>
      <c r="X1066" s="1">
        <f t="shared" si="2324"/>
        <v>0</v>
      </c>
      <c r="Y1066" s="1">
        <f t="shared" si="2325"/>
        <v>-5.7045821816202151</v>
      </c>
    </row>
    <row r="1067" spans="1:25">
      <c r="A1067" s="1">
        <v>1.0649999999999999</v>
      </c>
      <c r="B1067" s="1">
        <f t="shared" si="2326"/>
        <v>38.972225288581747</v>
      </c>
      <c r="C1067" s="1">
        <f t="shared" si="2327"/>
        <v>0</v>
      </c>
      <c r="D1067" s="1">
        <f t="shared" si="2328"/>
        <v>-1.1174887455938971</v>
      </c>
      <c r="E1067" s="1">
        <f t="shared" si="2329"/>
        <v>18.35023241483605</v>
      </c>
      <c r="F1067" s="1">
        <f t="shared" si="2330"/>
        <v>0</v>
      </c>
      <c r="G1067" s="1">
        <f t="shared" si="2331"/>
        <v>-3.9216024384782266</v>
      </c>
      <c r="H1067" s="1">
        <f t="shared" si="2304"/>
        <v>18.764594196624078</v>
      </c>
      <c r="I1067" s="1">
        <f t="shared" si="2314"/>
        <v>-14.013515022163869</v>
      </c>
      <c r="J1067" s="1">
        <f t="shared" si="2315"/>
        <v>0</v>
      </c>
      <c r="K1067" s="1">
        <f t="shared" si="2316"/>
        <v>2.9948086454827658</v>
      </c>
      <c r="L1067" s="1">
        <f t="shared" ref="L1067:N1067" si="2412">E1067/$H1067</f>
        <v>0.97791789273745255</v>
      </c>
      <c r="M1067" s="1">
        <f t="shared" si="2412"/>
        <v>0</v>
      </c>
      <c r="N1067" s="1">
        <f t="shared" si="2412"/>
        <v>-0.20898946160976711</v>
      </c>
      <c r="O1067" s="1">
        <f t="shared" si="2306"/>
        <v>-0.20898946160976711</v>
      </c>
      <c r="P1067" s="1">
        <f t="shared" si="2318"/>
        <v>0.20437453390175819</v>
      </c>
      <c r="Q1067" s="1">
        <f t="shared" si="2319"/>
        <v>0</v>
      </c>
      <c r="R1067" s="1">
        <f t="shared" si="2320"/>
        <v>0.95632340493605972</v>
      </c>
      <c r="S1067" s="1">
        <f t="shared" si="2321"/>
        <v>1.158591744716996</v>
      </c>
      <c r="T1067" s="1">
        <f t="shared" ref="T1067:V1067" si="2413">$S1067*P1067</f>
        <v>0.23678664780896086</v>
      </c>
      <c r="U1067" s="1">
        <f t="shared" si="2413"/>
        <v>0</v>
      </c>
      <c r="V1067" s="1">
        <f t="shared" si="2413"/>
        <v>1.1079884022385678</v>
      </c>
      <c r="W1067" s="1">
        <f t="shared" si="2323"/>
        <v>-13.776728374354908</v>
      </c>
      <c r="X1067" s="1">
        <f t="shared" si="2324"/>
        <v>0</v>
      </c>
      <c r="Y1067" s="1">
        <f t="shared" si="2325"/>
        <v>-5.7038529522786661</v>
      </c>
    </row>
    <row r="1068" spans="1:25">
      <c r="A1068" s="1">
        <v>1.0660000000000001</v>
      </c>
      <c r="B1068" s="1">
        <f t="shared" si="2326"/>
        <v>38.990561744268206</v>
      </c>
      <c r="C1068" s="1">
        <f t="shared" si="2327"/>
        <v>0</v>
      </c>
      <c r="D1068" s="1">
        <f t="shared" si="2328"/>
        <v>-1.1214160518853276</v>
      </c>
      <c r="E1068" s="1">
        <f t="shared" si="2329"/>
        <v>18.336455686461694</v>
      </c>
      <c r="F1068" s="1">
        <f t="shared" si="2330"/>
        <v>0</v>
      </c>
      <c r="G1068" s="1">
        <f t="shared" si="2331"/>
        <v>-3.9273062914305052</v>
      </c>
      <c r="H1068" s="1">
        <f t="shared" si="2304"/>
        <v>18.752315639629231</v>
      </c>
      <c r="I1068" s="1">
        <f t="shared" si="2314"/>
        <v>-13.993831335217918</v>
      </c>
      <c r="J1068" s="1">
        <f t="shared" si="2315"/>
        <v>0</v>
      </c>
      <c r="K1068" s="1">
        <f t="shared" si="2316"/>
        <v>2.9972020102334014</v>
      </c>
      <c r="L1068" s="1">
        <f t="shared" ref="L1068:N1068" si="2414">E1068/$H1068</f>
        <v>0.97782354130768245</v>
      </c>
      <c r="M1068" s="1">
        <f t="shared" si="2414"/>
        <v>0</v>
      </c>
      <c r="N1068" s="1">
        <f t="shared" si="2414"/>
        <v>-0.20943047071642379</v>
      </c>
      <c r="O1068" s="1">
        <f t="shared" si="2306"/>
        <v>-0.20943047071642379</v>
      </c>
      <c r="P1068" s="1">
        <f t="shared" si="2318"/>
        <v>0.20478604453366839</v>
      </c>
      <c r="Q1068" s="1">
        <f t="shared" si="2319"/>
        <v>0</v>
      </c>
      <c r="R1068" s="1">
        <f t="shared" si="2320"/>
        <v>0.95613887793549712</v>
      </c>
      <c r="S1068" s="1">
        <f t="shared" si="2321"/>
        <v>1.1570759985936649</v>
      </c>
      <c r="T1068" s="1">
        <f t="shared" ref="T1068:V1068" si="2415">$S1068*P1068</f>
        <v>0.2369530169768411</v>
      </c>
      <c r="U1068" s="1">
        <f t="shared" si="2415"/>
        <v>0</v>
      </c>
      <c r="V1068" s="1">
        <f t="shared" si="2415"/>
        <v>1.1063253469814416</v>
      </c>
      <c r="W1068" s="1">
        <f t="shared" si="2323"/>
        <v>-13.756878318241077</v>
      </c>
      <c r="X1068" s="1">
        <f t="shared" si="2324"/>
        <v>0</v>
      </c>
      <c r="Y1068" s="1">
        <f t="shared" si="2325"/>
        <v>-5.7031226427851562</v>
      </c>
    </row>
    <row r="1069" spans="1:25">
      <c r="A1069" s="1">
        <v>1.0669999999999999</v>
      </c>
      <c r="B1069" s="1">
        <f t="shared" si="2326"/>
        <v>39.008884443076347</v>
      </c>
      <c r="C1069" s="1">
        <f t="shared" si="2327"/>
        <v>0</v>
      </c>
      <c r="D1069" s="1">
        <f t="shared" si="2328"/>
        <v>-1.1253490612994008</v>
      </c>
      <c r="E1069" s="1">
        <f t="shared" si="2329"/>
        <v>18.322698808143453</v>
      </c>
      <c r="F1069" s="1">
        <f t="shared" si="2330"/>
        <v>0</v>
      </c>
      <c r="G1069" s="1">
        <f t="shared" si="2331"/>
        <v>-3.9330094140732905</v>
      </c>
      <c r="H1069" s="1">
        <f t="shared" si="2304"/>
        <v>18.740060156390388</v>
      </c>
      <c r="I1069" s="1">
        <f t="shared" si="2314"/>
        <v>-13.974193761686214</v>
      </c>
      <c r="J1069" s="1">
        <f t="shared" si="2315"/>
        <v>0</v>
      </c>
      <c r="K1069" s="1">
        <f t="shared" si="2316"/>
        <v>2.9995928107691801</v>
      </c>
      <c r="L1069" s="1">
        <f t="shared" ref="L1069:N1069" si="2416">E1069/$H1069</f>
        <v>0.97772892163824698</v>
      </c>
      <c r="M1069" s="1">
        <f t="shared" si="2416"/>
        <v>0</v>
      </c>
      <c r="N1069" s="1">
        <f t="shared" si="2416"/>
        <v>-0.20987176034929261</v>
      </c>
      <c r="O1069" s="1">
        <f t="shared" si="2306"/>
        <v>-0.20987176034929261</v>
      </c>
      <c r="P1069" s="1">
        <f t="shared" si="2318"/>
        <v>0.20519768992863446</v>
      </c>
      <c r="Q1069" s="1">
        <f t="shared" si="2319"/>
        <v>0</v>
      </c>
      <c r="R1069" s="1">
        <f t="shared" si="2320"/>
        <v>0.95595384420788909</v>
      </c>
      <c r="S1069" s="1">
        <f t="shared" si="2321"/>
        <v>1.1555640902007962</v>
      </c>
      <c r="T1069" s="1">
        <f t="shared" ref="T1069:V1069" si="2417">$S1069*P1069</f>
        <v>0.23711908187368758</v>
      </c>
      <c r="U1069" s="1">
        <f t="shared" si="2417"/>
        <v>0</v>
      </c>
      <c r="V1069" s="1">
        <f t="shared" si="2417"/>
        <v>1.104665934256043</v>
      </c>
      <c r="W1069" s="1">
        <f t="shared" si="2323"/>
        <v>-13.737074679812526</v>
      </c>
      <c r="X1069" s="1">
        <f t="shared" si="2324"/>
        <v>0</v>
      </c>
      <c r="Y1069" s="1">
        <f t="shared" si="2325"/>
        <v>-5.7023912549747759</v>
      </c>
    </row>
    <row r="1070" spans="1:25">
      <c r="A1070" s="1">
        <v>1.0680000000000001</v>
      </c>
      <c r="B1070" s="1">
        <f t="shared" si="2326"/>
        <v>39.027193404809807</v>
      </c>
      <c r="C1070" s="1">
        <f t="shared" si="2327"/>
        <v>0</v>
      </c>
      <c r="D1070" s="1">
        <f t="shared" si="2328"/>
        <v>-1.1292877731047291</v>
      </c>
      <c r="E1070" s="1">
        <f t="shared" si="2329"/>
        <v>18.30896173346364</v>
      </c>
      <c r="F1070" s="1">
        <f t="shared" si="2330"/>
        <v>0</v>
      </c>
      <c r="G1070" s="1">
        <f t="shared" si="2331"/>
        <v>-3.9387118053282655</v>
      </c>
      <c r="H1070" s="1">
        <f t="shared" si="2304"/>
        <v>18.727827702188744</v>
      </c>
      <c r="I1070" s="1">
        <f t="shared" si="2314"/>
        <v>-13.95460216441284</v>
      </c>
      <c r="J1070" s="1">
        <f t="shared" si="2315"/>
        <v>0</v>
      </c>
      <c r="K1070" s="1">
        <f t="shared" si="2316"/>
        <v>3.0019810562591873</v>
      </c>
      <c r="L1070" s="1">
        <f t="shared" ref="L1070:N1070" si="2418">E1070/$H1070</f>
        <v>0.97763403340814858</v>
      </c>
      <c r="M1070" s="1">
        <f t="shared" si="2418"/>
        <v>0</v>
      </c>
      <c r="N1070" s="1">
        <f t="shared" si="2418"/>
        <v>-0.21031332987263351</v>
      </c>
      <c r="O1070" s="1">
        <f t="shared" si="2306"/>
        <v>-0.21031332987263351</v>
      </c>
      <c r="P1070" s="1">
        <f t="shared" si="2318"/>
        <v>0.20560946896288115</v>
      </c>
      <c r="Q1070" s="1">
        <f t="shared" si="2319"/>
        <v>0</v>
      </c>
      <c r="R1070" s="1">
        <f t="shared" si="2320"/>
        <v>0.95576830327788487</v>
      </c>
      <c r="S1070" s="1">
        <f t="shared" si="2321"/>
        <v>1.1540560084442186</v>
      </c>
      <c r="T1070" s="1">
        <f t="shared" ref="T1070:V1070" si="2419">$S1070*P1070</f>
        <v>0.23728484304963807</v>
      </c>
      <c r="U1070" s="1">
        <f t="shared" si="2419"/>
        <v>0</v>
      </c>
      <c r="V1070" s="1">
        <f t="shared" si="2419"/>
        <v>1.1030101530783791</v>
      </c>
      <c r="W1070" s="1">
        <f t="shared" si="2323"/>
        <v>-13.717317321363202</v>
      </c>
      <c r="X1070" s="1">
        <f t="shared" si="2324"/>
        <v>0</v>
      </c>
      <c r="Y1070" s="1">
        <f t="shared" si="2325"/>
        <v>-5.7016587906624334</v>
      </c>
    </row>
    <row r="1071" spans="1:25">
      <c r="A1071" s="1">
        <v>1.069</v>
      </c>
      <c r="B1071" s="1">
        <f t="shared" si="2326"/>
        <v>39.045488649225952</v>
      </c>
      <c r="C1071" s="1">
        <f t="shared" si="2327"/>
        <v>0</v>
      </c>
      <c r="D1071" s="1">
        <f t="shared" si="2328"/>
        <v>-1.1332321865688479</v>
      </c>
      <c r="E1071" s="1">
        <f t="shared" si="2329"/>
        <v>18.295244416142278</v>
      </c>
      <c r="F1071" s="1">
        <f t="shared" si="2330"/>
        <v>0</v>
      </c>
      <c r="G1071" s="1">
        <f t="shared" si="2331"/>
        <v>-3.9444134641189281</v>
      </c>
      <c r="H1071" s="1">
        <f t="shared" si="2304"/>
        <v>18.715618232436455</v>
      </c>
      <c r="I1071" s="1">
        <f t="shared" si="2314"/>
        <v>-13.935056406748247</v>
      </c>
      <c r="J1071" s="1">
        <f t="shared" si="2315"/>
        <v>0</v>
      </c>
      <c r="K1071" s="1">
        <f t="shared" si="2316"/>
        <v>3.0043667558514384</v>
      </c>
      <c r="L1071" s="1">
        <f t="shared" ref="L1071:N1071" si="2420">E1071/$H1071</f>
        <v>0.97753887629714431</v>
      </c>
      <c r="M1071" s="1">
        <f t="shared" si="2420"/>
        <v>0</v>
      </c>
      <c r="N1071" s="1">
        <f t="shared" si="2420"/>
        <v>-0.21075517864981758</v>
      </c>
      <c r="O1071" s="1">
        <f t="shared" si="2306"/>
        <v>-0.21075517864981758</v>
      </c>
      <c r="P1071" s="1">
        <f t="shared" si="2318"/>
        <v>0.20602138051114657</v>
      </c>
      <c r="Q1071" s="1">
        <f t="shared" si="2319"/>
        <v>0</v>
      </c>
      <c r="R1071" s="1">
        <f t="shared" si="2320"/>
        <v>0.95558225467228353</v>
      </c>
      <c r="S1071" s="1">
        <f t="shared" si="2321"/>
        <v>1.1525517422707738</v>
      </c>
      <c r="T1071" s="1">
        <f t="shared" ref="T1071:V1071" si="2421">$S1071*P1071</f>
        <v>0.23745030105315204</v>
      </c>
      <c r="U1071" s="1">
        <f t="shared" si="2421"/>
        <v>0</v>
      </c>
      <c r="V1071" s="1">
        <f t="shared" si="2421"/>
        <v>1.1013579925055748</v>
      </c>
      <c r="W1071" s="1">
        <f t="shared" si="2323"/>
        <v>-13.697606105695096</v>
      </c>
      <c r="X1071" s="1">
        <f t="shared" si="2324"/>
        <v>0</v>
      </c>
      <c r="Y1071" s="1">
        <f t="shared" si="2325"/>
        <v>-5.7009252516429862</v>
      </c>
    </row>
    <row r="1072" spans="1:25">
      <c r="A1072" s="1">
        <v>1.07</v>
      </c>
      <c r="B1072" s="1">
        <f t="shared" si="2326"/>
        <v>39.063770196035989</v>
      </c>
      <c r="C1072" s="1">
        <f t="shared" si="2327"/>
        <v>0</v>
      </c>
      <c r="D1072" s="1">
        <f t="shared" si="2328"/>
        <v>-1.1371823009582185</v>
      </c>
      <c r="E1072" s="1">
        <f t="shared" si="2329"/>
        <v>18.281546810036584</v>
      </c>
      <c r="F1072" s="1">
        <f t="shared" si="2330"/>
        <v>0</v>
      </c>
      <c r="G1072" s="1">
        <f t="shared" si="2331"/>
        <v>-3.950114389370571</v>
      </c>
      <c r="H1072" s="1">
        <f t="shared" si="2304"/>
        <v>18.703431702676149</v>
      </c>
      <c r="I1072" s="1">
        <f t="shared" si="2314"/>
        <v>-13.915556352546973</v>
      </c>
      <c r="J1072" s="1">
        <f t="shared" si="2315"/>
        <v>0</v>
      </c>
      <c r="K1072" s="1">
        <f t="shared" si="2316"/>
        <v>3.0067499186729298</v>
      </c>
      <c r="L1072" s="1">
        <f t="shared" ref="L1072:N1072" si="2422">E1072/$H1072</f>
        <v>0.97744344998574784</v>
      </c>
      <c r="M1072" s="1">
        <f t="shared" si="2422"/>
        <v>0</v>
      </c>
      <c r="N1072" s="1">
        <f t="shared" si="2422"/>
        <v>-0.21119730604332765</v>
      </c>
      <c r="O1072" s="1">
        <f t="shared" si="2306"/>
        <v>-0.21119730604332765</v>
      </c>
      <c r="P1072" s="1">
        <f t="shared" si="2318"/>
        <v>0.206433423446686</v>
      </c>
      <c r="Q1072" s="1">
        <f t="shared" si="2319"/>
        <v>0</v>
      </c>
      <c r="R1072" s="1">
        <f t="shared" si="2320"/>
        <v>0.95539569792004098</v>
      </c>
      <c r="S1072" s="1">
        <f t="shared" si="2321"/>
        <v>1.1510512806681363</v>
      </c>
      <c r="T1072" s="1">
        <f t="shared" ref="T1072:V1072" si="2423">$S1072*P1072</f>
        <v>0.23761545643101561</v>
      </c>
      <c r="U1072" s="1">
        <f t="shared" si="2423"/>
        <v>0</v>
      </c>
      <c r="V1072" s="1">
        <f t="shared" si="2423"/>
        <v>1.0997094416356912</v>
      </c>
      <c r="W1072" s="1">
        <f t="shared" si="2323"/>
        <v>-13.677940896115958</v>
      </c>
      <c r="X1072" s="1">
        <f t="shared" si="2324"/>
        <v>0</v>
      </c>
      <c r="Y1072" s="1">
        <f t="shared" si="2325"/>
        <v>-5.7001906396913782</v>
      </c>
    </row>
    <row r="1073" spans="1:25">
      <c r="A1073" s="1">
        <v>1.071</v>
      </c>
      <c r="B1073" s="1">
        <f t="shared" si="2326"/>
        <v>39.082038064905127</v>
      </c>
      <c r="C1073" s="1">
        <f t="shared" si="2327"/>
        <v>0</v>
      </c>
      <c r="D1073" s="1">
        <f t="shared" si="2328"/>
        <v>-1.1411381155382287</v>
      </c>
      <c r="E1073" s="1">
        <f t="shared" si="2329"/>
        <v>18.267868869140468</v>
      </c>
      <c r="F1073" s="1">
        <f t="shared" si="2330"/>
        <v>0</v>
      </c>
      <c r="G1073" s="1">
        <f t="shared" si="2331"/>
        <v>-3.9558145800102622</v>
      </c>
      <c r="H1073" s="1">
        <f t="shared" si="2304"/>
        <v>18.691268068580399</v>
      </c>
      <c r="I1073" s="1">
        <f t="shared" si="2314"/>
        <v>-13.896101866165392</v>
      </c>
      <c r="J1073" s="1">
        <f t="shared" si="2315"/>
        <v>0</v>
      </c>
      <c r="K1073" s="1">
        <f t="shared" si="2316"/>
        <v>3.0091305538296935</v>
      </c>
      <c r="L1073" s="1">
        <f t="shared" ref="L1073:N1073" si="2424">E1073/$H1073</f>
        <v>0.97734775415523278</v>
      </c>
      <c r="M1073" s="1">
        <f t="shared" si="2424"/>
        <v>0</v>
      </c>
      <c r="N1073" s="1">
        <f t="shared" si="2424"/>
        <v>-0.21163971141475935</v>
      </c>
      <c r="O1073" s="1">
        <f t="shared" si="2306"/>
        <v>-0.21163971141475935</v>
      </c>
      <c r="P1073" s="1">
        <f t="shared" si="2318"/>
        <v>0.20684559664127664</v>
      </c>
      <c r="Q1073" s="1">
        <f t="shared" si="2319"/>
        <v>0</v>
      </c>
      <c r="R1073" s="1">
        <f t="shared" si="2320"/>
        <v>0.95520863255227739</v>
      </c>
      <c r="S1073" s="1">
        <f t="shared" si="2321"/>
        <v>1.1495546126646288</v>
      </c>
      <c r="T1073" s="1">
        <f t="shared" ref="T1073:V1073" si="2425">$S1073*P1073</f>
        <v>0.23778030972834679</v>
      </c>
      <c r="U1073" s="1">
        <f t="shared" si="2425"/>
        <v>0</v>
      </c>
      <c r="V1073" s="1">
        <f t="shared" si="2425"/>
        <v>1.0980644896075429</v>
      </c>
      <c r="W1073" s="1">
        <f t="shared" si="2323"/>
        <v>-13.658321556437045</v>
      </c>
      <c r="X1073" s="1">
        <f t="shared" si="2324"/>
        <v>0</v>
      </c>
      <c r="Y1073" s="1">
        <f t="shared" si="2325"/>
        <v>-5.6994549565627626</v>
      </c>
    </row>
    <row r="1074" spans="1:25">
      <c r="A1074" s="1">
        <v>1.0720000000000001</v>
      </c>
      <c r="B1074" s="1">
        <f t="shared" si="2326"/>
        <v>39.100292275452709</v>
      </c>
      <c r="C1074" s="1">
        <f t="shared" si="2327"/>
        <v>0</v>
      </c>
      <c r="D1074" s="1">
        <f t="shared" si="2328"/>
        <v>-1.1450996295731957</v>
      </c>
      <c r="E1074" s="1">
        <f t="shared" si="2329"/>
        <v>18.25421054758403</v>
      </c>
      <c r="F1074" s="1">
        <f t="shared" si="2330"/>
        <v>0</v>
      </c>
      <c r="G1074" s="1">
        <f t="shared" si="2331"/>
        <v>-3.9615140349668247</v>
      </c>
      <c r="H1074" s="1">
        <f t="shared" si="2304"/>
        <v>18.679127285951214</v>
      </c>
      <c r="I1074" s="1">
        <f t="shared" si="2314"/>
        <v>-13.876692812459464</v>
      </c>
      <c r="J1074" s="1">
        <f t="shared" si="2315"/>
        <v>0</v>
      </c>
      <c r="K1074" s="1">
        <f t="shared" si="2316"/>
        <v>3.011508670406847</v>
      </c>
      <c r="L1074" s="1">
        <f t="shared" ref="L1074:N1074" si="2426">E1074/$H1074</f>
        <v>0.97725178848763616</v>
      </c>
      <c r="M1074" s="1">
        <f t="shared" si="2426"/>
        <v>0</v>
      </c>
      <c r="N1074" s="1">
        <f t="shared" si="2426"/>
        <v>-0.21208239412482213</v>
      </c>
      <c r="O1074" s="1">
        <f t="shared" si="2306"/>
        <v>-0.21208239412482213</v>
      </c>
      <c r="P1074" s="1">
        <f t="shared" si="2318"/>
        <v>0.20725789896522218</v>
      </c>
      <c r="Q1074" s="1">
        <f t="shared" si="2319"/>
        <v>0</v>
      </c>
      <c r="R1074" s="1">
        <f t="shared" si="2320"/>
        <v>0.95502105810228366</v>
      </c>
      <c r="S1074" s="1">
        <f t="shared" si="2321"/>
        <v>1.1480617273290403</v>
      </c>
      <c r="T1074" s="1">
        <f t="shared" ref="T1074:V1074" si="2427">$S1074*P1074</f>
        <v>0.2379448614886007</v>
      </c>
      <c r="U1074" s="1">
        <f t="shared" si="2427"/>
        <v>0</v>
      </c>
      <c r="V1074" s="1">
        <f t="shared" si="2427"/>
        <v>1.0964231256005155</v>
      </c>
      <c r="W1074" s="1">
        <f t="shared" si="2323"/>
        <v>-13.638747950970863</v>
      </c>
      <c r="X1074" s="1">
        <f t="shared" si="2324"/>
        <v>0</v>
      </c>
      <c r="Y1074" s="1">
        <f t="shared" si="2325"/>
        <v>-5.6987182039926374</v>
      </c>
    </row>
    <row r="1075" spans="1:25">
      <c r="A1075" s="1">
        <v>1.073</v>
      </c>
      <c r="B1075" s="1">
        <f t="shared" si="2326"/>
        <v>39.118532847252339</v>
      </c>
      <c r="C1075" s="1">
        <f t="shared" si="2327"/>
        <v>0</v>
      </c>
      <c r="D1075" s="1">
        <f t="shared" si="2328"/>
        <v>-1.1490668423263666</v>
      </c>
      <c r="E1075" s="1">
        <f t="shared" si="2329"/>
        <v>18.240571799633059</v>
      </c>
      <c r="F1075" s="1">
        <f t="shared" si="2330"/>
        <v>0</v>
      </c>
      <c r="G1075" s="1">
        <f t="shared" si="2331"/>
        <v>-3.9672127531708172</v>
      </c>
      <c r="H1075" s="1">
        <f t="shared" si="2304"/>
        <v>18.667009310719539</v>
      </c>
      <c r="I1075" s="1">
        <f t="shared" si="2314"/>
        <v>-13.857329056782504</v>
      </c>
      <c r="J1075" s="1">
        <f t="shared" si="2315"/>
        <v>0</v>
      </c>
      <c r="K1075" s="1">
        <f t="shared" si="2316"/>
        <v>3.0138842774686481</v>
      </c>
      <c r="L1075" s="1">
        <f t="shared" ref="L1075:N1075" si="2428">E1075/$H1075</f>
        <v>0.97715555266576115</v>
      </c>
      <c r="M1075" s="1">
        <f t="shared" si="2428"/>
        <v>0</v>
      </c>
      <c r="N1075" s="1">
        <f t="shared" si="2428"/>
        <v>-0.21252535353333987</v>
      </c>
      <c r="O1075" s="1">
        <f t="shared" si="2306"/>
        <v>-0.21252535353333987</v>
      </c>
      <c r="P1075" s="1">
        <f t="shared" si="2318"/>
        <v>0.20767032928735699</v>
      </c>
      <c r="Q1075" s="1">
        <f t="shared" si="2319"/>
        <v>0</v>
      </c>
      <c r="R1075" s="1">
        <f t="shared" si="2320"/>
        <v>0.95483297410552892</v>
      </c>
      <c r="S1075" s="1">
        <f t="shared" si="2321"/>
        <v>1.1465726137704471</v>
      </c>
      <c r="T1075" s="1">
        <f t="shared" ref="T1075:V1075" si="2429">$S1075*P1075</f>
        <v>0.23810911225357431</v>
      </c>
      <c r="U1075" s="1">
        <f t="shared" si="2429"/>
        <v>0</v>
      </c>
      <c r="V1075" s="1">
        <f t="shared" si="2429"/>
        <v>1.0947853388343858</v>
      </c>
      <c r="W1075" s="1">
        <f t="shared" si="2323"/>
        <v>-13.619219944528929</v>
      </c>
      <c r="X1075" s="1">
        <f t="shared" si="2324"/>
        <v>0</v>
      </c>
      <c r="Y1075" s="1">
        <f t="shared" si="2325"/>
        <v>-5.6979803836969651</v>
      </c>
    </row>
    <row r="1076" spans="1:25">
      <c r="A1076" s="1">
        <v>1.0740000000000001</v>
      </c>
      <c r="B1076" s="1">
        <f t="shared" si="2326"/>
        <v>39.136759799832028</v>
      </c>
      <c r="C1076" s="1">
        <f t="shared" si="2327"/>
        <v>0</v>
      </c>
      <c r="D1076" s="1">
        <f t="shared" si="2328"/>
        <v>-1.153039753059921</v>
      </c>
      <c r="E1076" s="1">
        <f t="shared" si="2329"/>
        <v>18.226952579688529</v>
      </c>
      <c r="F1076" s="1">
        <f t="shared" si="2330"/>
        <v>0</v>
      </c>
      <c r="G1076" s="1">
        <f t="shared" si="2331"/>
        <v>-3.9729107335545142</v>
      </c>
      <c r="H1076" s="1">
        <f t="shared" si="2304"/>
        <v>18.654914098944733</v>
      </c>
      <c r="I1076" s="1">
        <f t="shared" si="2314"/>
        <v>-13.838010464982947</v>
      </c>
      <c r="J1076" s="1">
        <f t="shared" si="2315"/>
        <v>0</v>
      </c>
      <c r="K1076" s="1">
        <f t="shared" si="2316"/>
        <v>3.0162573840585436</v>
      </c>
      <c r="L1076" s="1">
        <f t="shared" ref="L1076:N1076" si="2430">E1076/$H1076</f>
        <v>0.97705904637317986</v>
      </c>
      <c r="M1076" s="1">
        <f t="shared" si="2430"/>
        <v>0</v>
      </c>
      <c r="N1076" s="1">
        <f t="shared" si="2430"/>
        <v>-0.21296858899925211</v>
      </c>
      <c r="O1076" s="1">
        <f t="shared" si="2306"/>
        <v>-0.21296858899925211</v>
      </c>
      <c r="P1076" s="1">
        <f t="shared" si="2318"/>
        <v>0.20808288647505097</v>
      </c>
      <c r="Q1076" s="1">
        <f t="shared" si="2319"/>
        <v>0</v>
      </c>
      <c r="R1076" s="1">
        <f t="shared" si="2320"/>
        <v>0.95464438009966768</v>
      </c>
      <c r="S1076" s="1">
        <f t="shared" si="2321"/>
        <v>1.1450872611380301</v>
      </c>
      <c r="T1076" s="1">
        <f t="shared" ref="T1076:V1076" si="2431">$S1076*P1076</f>
        <v>0.23827306256341174</v>
      </c>
      <c r="U1076" s="1">
        <f t="shared" si="2431"/>
        <v>0</v>
      </c>
      <c r="V1076" s="1">
        <f t="shared" si="2431"/>
        <v>1.0931511185691409</v>
      </c>
      <c r="W1076" s="1">
        <f t="shared" si="2323"/>
        <v>-13.599737402419535</v>
      </c>
      <c r="X1076" s="1">
        <f t="shared" si="2324"/>
        <v>0</v>
      </c>
      <c r="Y1076" s="1">
        <f t="shared" si="2325"/>
        <v>-5.6972414973723149</v>
      </c>
    </row>
    <row r="1077" spans="1:25">
      <c r="A1077" s="1">
        <v>1.075</v>
      </c>
      <c r="B1077" s="1">
        <f t="shared" si="2326"/>
        <v>39.154973152674316</v>
      </c>
      <c r="C1077" s="1">
        <f t="shared" si="2327"/>
        <v>0</v>
      </c>
      <c r="D1077" s="1">
        <f t="shared" si="2328"/>
        <v>-1.1570183610349729</v>
      </c>
      <c r="E1077" s="1">
        <f t="shared" si="2329"/>
        <v>18.21335284228611</v>
      </c>
      <c r="F1077" s="1">
        <f t="shared" si="2330"/>
        <v>0</v>
      </c>
      <c r="G1077" s="1">
        <f t="shared" si="2331"/>
        <v>-3.9786079750518866</v>
      </c>
      <c r="H1077" s="1">
        <f t="shared" si="2304"/>
        <v>18.642841606814077</v>
      </c>
      <c r="I1077" s="1">
        <f t="shared" si="2314"/>
        <v>-13.818736903402149</v>
      </c>
      <c r="J1077" s="1">
        <f t="shared" si="2315"/>
        <v>0</v>
      </c>
      <c r="K1077" s="1">
        <f t="shared" si="2316"/>
        <v>3.0186279991992229</v>
      </c>
      <c r="L1077" s="1">
        <f t="shared" ref="L1077:N1077" si="2432">E1077/$H1077</f>
        <v>0.97696226929423746</v>
      </c>
      <c r="M1077" s="1">
        <f t="shared" si="2432"/>
        <v>0</v>
      </c>
      <c r="N1077" s="1">
        <f t="shared" si="2432"/>
        <v>-0.21341209988061477</v>
      </c>
      <c r="O1077" s="1">
        <f t="shared" si="2306"/>
        <v>-0.21341209988061477</v>
      </c>
      <c r="P1077" s="1">
        <f t="shared" si="2318"/>
        <v>0.20849556939421388</v>
      </c>
      <c r="Q1077" s="1">
        <f t="shared" si="2319"/>
        <v>0</v>
      </c>
      <c r="R1077" s="1">
        <f t="shared" si="2320"/>
        <v>0.95445527562454646</v>
      </c>
      <c r="S1077" s="1">
        <f t="shared" si="2321"/>
        <v>1.1436056586208978</v>
      </c>
      <c r="T1077" s="1">
        <f t="shared" ref="T1077:V1077" si="2433">$S1077*P1077</f>
        <v>0.23843671295660906</v>
      </c>
      <c r="U1077" s="1">
        <f t="shared" si="2433"/>
        <v>0</v>
      </c>
      <c r="V1077" s="1">
        <f t="shared" si="2433"/>
        <v>1.0915204541048</v>
      </c>
      <c r="W1077" s="1">
        <f t="shared" si="2323"/>
        <v>-13.58030019044554</v>
      </c>
      <c r="X1077" s="1">
        <f t="shared" si="2324"/>
        <v>0</v>
      </c>
      <c r="Y1077" s="1">
        <f t="shared" si="2325"/>
        <v>-5.696501546695977</v>
      </c>
    </row>
    <row r="1078" spans="1:25">
      <c r="A1078" s="1">
        <v>1.0760000000000001</v>
      </c>
      <c r="B1078" s="1">
        <f t="shared" si="2326"/>
        <v>39.173172925216413</v>
      </c>
      <c r="C1078" s="1">
        <f t="shared" si="2327"/>
        <v>0</v>
      </c>
      <c r="D1078" s="1">
        <f t="shared" si="2328"/>
        <v>-1.1610026655115715</v>
      </c>
      <c r="E1078" s="1">
        <f t="shared" si="2329"/>
        <v>18.199772542095666</v>
      </c>
      <c r="F1078" s="1">
        <f t="shared" si="2330"/>
        <v>0</v>
      </c>
      <c r="G1078" s="1">
        <f t="shared" si="2331"/>
        <v>-3.9843044765985827</v>
      </c>
      <c r="H1078" s="1">
        <f t="shared" si="2304"/>
        <v>18.630791790642256</v>
      </c>
      <c r="I1078" s="1">
        <f t="shared" si="2314"/>
        <v>-13.799508238872161</v>
      </c>
      <c r="J1078" s="1">
        <f t="shared" si="2315"/>
        <v>0</v>
      </c>
      <c r="K1078" s="1">
        <f t="shared" si="2316"/>
        <v>3.0209961318926668</v>
      </c>
      <c r="L1078" s="1">
        <f t="shared" ref="L1078:N1078" si="2434">E1078/$H1078</f>
        <v>0.97686522111405483</v>
      </c>
      <c r="M1078" s="1">
        <f t="shared" si="2434"/>
        <v>0</v>
      </c>
      <c r="N1078" s="1">
        <f t="shared" si="2434"/>
        <v>-0.21385588553460144</v>
      </c>
      <c r="O1078" s="1">
        <f t="shared" si="2306"/>
        <v>-0.21385588553460144</v>
      </c>
      <c r="P1078" s="1">
        <f t="shared" si="2318"/>
        <v>0.20890837690930045</v>
      </c>
      <c r="Q1078" s="1">
        <f t="shared" si="2319"/>
        <v>0</v>
      </c>
      <c r="R1078" s="1">
        <f t="shared" si="2320"/>
        <v>0.95426566022221149</v>
      </c>
      <c r="S1078" s="1">
        <f t="shared" si="2321"/>
        <v>1.142127795447907</v>
      </c>
      <c r="T1078" s="1">
        <f t="shared" ref="T1078:V1078" si="2435">$S1078*P1078</f>
        <v>0.23860006397001976</v>
      </c>
      <c r="U1078" s="1">
        <f t="shared" si="2435"/>
        <v>0</v>
      </c>
      <c r="V1078" s="1">
        <f t="shared" si="2435"/>
        <v>1.0898933347812358</v>
      </c>
      <c r="W1078" s="1">
        <f t="shared" si="2323"/>
        <v>-13.56090817490214</v>
      </c>
      <c r="X1078" s="1">
        <f t="shared" si="2324"/>
        <v>0</v>
      </c>
      <c r="Y1078" s="1">
        <f t="shared" si="2325"/>
        <v>-5.695760533326097</v>
      </c>
    </row>
    <row r="1079" spans="1:25">
      <c r="A1079" s="1">
        <v>1.077</v>
      </c>
      <c r="B1079" s="1">
        <f t="shared" si="2326"/>
        <v>39.19135913685033</v>
      </c>
      <c r="C1079" s="1">
        <f t="shared" si="2327"/>
        <v>0</v>
      </c>
      <c r="D1079" s="1">
        <f t="shared" si="2328"/>
        <v>-1.1649926657487033</v>
      </c>
      <c r="E1079" s="1">
        <f t="shared" si="2329"/>
        <v>18.186211633920763</v>
      </c>
      <c r="F1079" s="1">
        <f t="shared" si="2330"/>
        <v>0</v>
      </c>
      <c r="G1079" s="1">
        <f t="shared" si="2331"/>
        <v>-3.9900002371319085</v>
      </c>
      <c r="H1079" s="1">
        <f t="shared" si="2304"/>
        <v>18.618764606870876</v>
      </c>
      <c r="I1079" s="1">
        <f t="shared" si="2314"/>
        <v>-13.780324338713559</v>
      </c>
      <c r="J1079" s="1">
        <f t="shared" si="2315"/>
        <v>0</v>
      </c>
      <c r="K1079" s="1">
        <f t="shared" si="2316"/>
        <v>3.0233617911202009</v>
      </c>
      <c r="L1079" s="1">
        <f t="shared" ref="L1079:N1079" si="2436">E1079/$H1079</f>
        <v>0.9767679015185311</v>
      </c>
      <c r="M1079" s="1">
        <f t="shared" si="2436"/>
        <v>0</v>
      </c>
      <c r="N1079" s="1">
        <f t="shared" si="2436"/>
        <v>-0.21429994531750404</v>
      </c>
      <c r="O1079" s="1">
        <f t="shared" si="2306"/>
        <v>-0.21429994531750404</v>
      </c>
      <c r="P1079" s="1">
        <f t="shared" si="2318"/>
        <v>0.20932130788331438</v>
      </c>
      <c r="Q1079" s="1">
        <f t="shared" si="2319"/>
        <v>0</v>
      </c>
      <c r="R1079" s="1">
        <f t="shared" si="2320"/>
        <v>0.95407553343691476</v>
      </c>
      <c r="S1079" s="1">
        <f t="shared" si="2321"/>
        <v>1.1406536608874867</v>
      </c>
      <c r="T1079" s="1">
        <f t="shared" ref="T1079:V1079" si="2437">$S1079*P1079</f>
        <v>0.23876311613885925</v>
      </c>
      <c r="U1079" s="1">
        <f t="shared" si="2437"/>
        <v>0</v>
      </c>
      <c r="V1079" s="1">
        <f t="shared" si="2437"/>
        <v>1.0882697499779985</v>
      </c>
      <c r="W1079" s="1">
        <f t="shared" si="2323"/>
        <v>-13.5415612225747</v>
      </c>
      <c r="X1079" s="1">
        <f t="shared" si="2324"/>
        <v>0</v>
      </c>
      <c r="Y1079" s="1">
        <f t="shared" si="2325"/>
        <v>-5.6950184589018003</v>
      </c>
    </row>
    <row r="1080" spans="1:25">
      <c r="A1080" s="1">
        <v>1.0780000000000001</v>
      </c>
      <c r="B1080" s="1">
        <f t="shared" si="2326"/>
        <v>39.209531806923032</v>
      </c>
      <c r="C1080" s="1">
        <f t="shared" si="2327"/>
        <v>0</v>
      </c>
      <c r="D1080" s="1">
        <f t="shared" si="2328"/>
        <v>-1.1689883610042942</v>
      </c>
      <c r="E1080" s="1">
        <f t="shared" si="2329"/>
        <v>18.172670072698189</v>
      </c>
      <c r="F1080" s="1">
        <f t="shared" si="2330"/>
        <v>0</v>
      </c>
      <c r="G1080" s="1">
        <f t="shared" si="2331"/>
        <v>-3.9956952555908103</v>
      </c>
      <c r="H1080" s="1">
        <f t="shared" si="2304"/>
        <v>18.606760012067962</v>
      </c>
      <c r="I1080" s="1">
        <f t="shared" si="2314"/>
        <v>-13.761185070733269</v>
      </c>
      <c r="J1080" s="1">
        <f t="shared" si="2315"/>
        <v>0</v>
      </c>
      <c r="K1080" s="1">
        <f t="shared" si="2316"/>
        <v>3.0257249858425475</v>
      </c>
      <c r="L1080" s="1">
        <f t="shared" ref="L1080:N1080" si="2438">E1080/$H1080</f>
        <v>0.97667031019434702</v>
      </c>
      <c r="M1080" s="1">
        <f t="shared" si="2438"/>
        <v>0</v>
      </c>
      <c r="N1080" s="1">
        <f t="shared" si="2438"/>
        <v>-0.21474427858473397</v>
      </c>
      <c r="O1080" s="1">
        <f t="shared" si="2306"/>
        <v>-0.21474427858473397</v>
      </c>
      <c r="P1080" s="1">
        <f t="shared" si="2318"/>
        <v>0.20973436117781338</v>
      </c>
      <c r="Q1080" s="1">
        <f t="shared" si="2319"/>
        <v>0</v>
      </c>
      <c r="R1080" s="1">
        <f t="shared" si="2320"/>
        <v>0.95388489481512218</v>
      </c>
      <c r="S1080" s="1">
        <f t="shared" si="2321"/>
        <v>1.1391832442474612</v>
      </c>
      <c r="T1080" s="1">
        <f t="shared" ref="T1080:V1080" si="2439">$S1080*P1080</f>
        <v>0.23892586999671023</v>
      </c>
      <c r="U1080" s="1">
        <f t="shared" si="2439"/>
        <v>0</v>
      </c>
      <c r="V1080" s="1">
        <f t="shared" si="2439"/>
        <v>1.0866496891141391</v>
      </c>
      <c r="W1080" s="1">
        <f t="shared" si="2323"/>
        <v>-13.52225920073656</v>
      </c>
      <c r="X1080" s="1">
        <f t="shared" si="2324"/>
        <v>0</v>
      </c>
      <c r="Y1080" s="1">
        <f t="shared" si="2325"/>
        <v>-5.6942753250433125</v>
      </c>
    </row>
    <row r="1081" spans="1:25">
      <c r="A1081" s="1">
        <v>1.079</v>
      </c>
      <c r="B1081" s="1">
        <f t="shared" si="2326"/>
        <v>39.227690954736531</v>
      </c>
      <c r="C1081" s="1">
        <f t="shared" si="2327"/>
        <v>0</v>
      </c>
      <c r="D1081" s="1">
        <f t="shared" si="2328"/>
        <v>-1.17298975053521</v>
      </c>
      <c r="E1081" s="1">
        <f t="shared" si="2329"/>
        <v>18.159147813497452</v>
      </c>
      <c r="F1081" s="1">
        <f t="shared" si="2330"/>
        <v>0</v>
      </c>
      <c r="G1081" s="1">
        <f t="shared" si="2331"/>
        <v>-4.001389530915854</v>
      </c>
      <c r="H1081" s="1">
        <f t="shared" si="2304"/>
        <v>18.594777962927449</v>
      </c>
      <c r="I1081" s="1">
        <f t="shared" si="2314"/>
        <v>-13.742090303222376</v>
      </c>
      <c r="J1081" s="1">
        <f t="shared" si="2315"/>
        <v>0</v>
      </c>
      <c r="K1081" s="1">
        <f t="shared" si="2316"/>
        <v>3.0280857249998734</v>
      </c>
      <c r="L1081" s="1">
        <f t="shared" ref="L1081:N1081" si="2440">E1081/$H1081</f>
        <v>0.97657244682896904</v>
      </c>
      <c r="M1081" s="1">
        <f t="shared" si="2440"/>
        <v>0</v>
      </c>
      <c r="N1081" s="1">
        <f t="shared" si="2440"/>
        <v>-0.21518888469082315</v>
      </c>
      <c r="O1081" s="1">
        <f t="shared" si="2306"/>
        <v>-0.21518888469082315</v>
      </c>
      <c r="P1081" s="1">
        <f t="shared" si="2318"/>
        <v>0.21014753565291402</v>
      </c>
      <c r="Q1081" s="1">
        <f t="shared" si="2319"/>
        <v>0</v>
      </c>
      <c r="R1081" s="1">
        <f t="shared" si="2320"/>
        <v>0.95369374390551964</v>
      </c>
      <c r="S1081" s="1">
        <f t="shared" si="2321"/>
        <v>1.1377165348748748</v>
      </c>
      <c r="T1081" s="1">
        <f t="shared" ref="T1081:V1081" si="2441">$S1081*P1081</f>
        <v>0.23908832607552755</v>
      </c>
      <c r="U1081" s="1">
        <f t="shared" si="2441"/>
        <v>0</v>
      </c>
      <c r="V1081" s="1">
        <f t="shared" si="2441"/>
        <v>1.0850331416480341</v>
      </c>
      <c r="W1081" s="1">
        <f t="shared" si="2323"/>
        <v>-13.503001977146848</v>
      </c>
      <c r="X1081" s="1">
        <f t="shared" si="2324"/>
        <v>0</v>
      </c>
      <c r="Y1081" s="1">
        <f t="shared" si="2325"/>
        <v>-5.6935311333520922</v>
      </c>
    </row>
    <row r="1082" spans="1:25">
      <c r="A1082" s="1">
        <v>1.08</v>
      </c>
      <c r="B1082" s="1">
        <f t="shared" si="2326"/>
        <v>39.245836599548049</v>
      </c>
      <c r="C1082" s="1">
        <f t="shared" si="2327"/>
        <v>0</v>
      </c>
      <c r="D1082" s="1">
        <f t="shared" si="2328"/>
        <v>-1.1769968335972592</v>
      </c>
      <c r="E1082" s="1">
        <f t="shared" si="2329"/>
        <v>18.145644811520306</v>
      </c>
      <c r="F1082" s="1">
        <f t="shared" si="2330"/>
        <v>0</v>
      </c>
      <c r="G1082" s="1">
        <f t="shared" si="2331"/>
        <v>-4.0070830620492064</v>
      </c>
      <c r="H1082" s="1">
        <f t="shared" si="2304"/>
        <v>18.582818416268708</v>
      </c>
      <c r="I1082" s="1">
        <f t="shared" si="2314"/>
        <v>-13.723039904954</v>
      </c>
      <c r="J1082" s="1">
        <f t="shared" si="2315"/>
        <v>0</v>
      </c>
      <c r="K1082" s="1">
        <f t="shared" si="2316"/>
        <v>3.0304440175118428</v>
      </c>
      <c r="L1082" s="1">
        <f t="shared" ref="L1082:N1082" si="2442">E1082/$H1082</f>
        <v>0.97647431111065108</v>
      </c>
      <c r="M1082" s="1">
        <f t="shared" si="2442"/>
        <v>0</v>
      </c>
      <c r="N1082" s="1">
        <f t="shared" si="2442"/>
        <v>-0.21563376298942488</v>
      </c>
      <c r="O1082" s="1">
        <f t="shared" si="2306"/>
        <v>-0.21563376298942488</v>
      </c>
      <c r="P1082" s="1">
        <f t="shared" si="2318"/>
        <v>0.21056083016729607</v>
      </c>
      <c r="Q1082" s="1">
        <f t="shared" si="2319"/>
        <v>0</v>
      </c>
      <c r="R1082" s="1">
        <f t="shared" si="2320"/>
        <v>0.9535020802590205</v>
      </c>
      <c r="S1082" s="1">
        <f t="shared" si="2321"/>
        <v>1.1362535221558179</v>
      </c>
      <c r="T1082" s="1">
        <f t="shared" ref="T1082:V1082" si="2443">$S1082*P1082</f>
        <v>0.23925048490564316</v>
      </c>
      <c r="U1082" s="1">
        <f t="shared" si="2443"/>
        <v>0</v>
      </c>
      <c r="V1082" s="1">
        <f t="shared" si="2443"/>
        <v>1.0834200970772114</v>
      </c>
      <c r="W1082" s="1">
        <f t="shared" si="2323"/>
        <v>-13.483789420048357</v>
      </c>
      <c r="X1082" s="1">
        <f t="shared" si="2324"/>
        <v>0</v>
      </c>
      <c r="Y1082" s="1">
        <f t="shared" si="2325"/>
        <v>-5.6927858854109452</v>
      </c>
    </row>
    <row r="1083" spans="1:25">
      <c r="A1083" s="1">
        <v>1.081</v>
      </c>
      <c r="B1083" s="1">
        <f t="shared" si="2326"/>
        <v>39.263968760570151</v>
      </c>
      <c r="C1083" s="1">
        <f t="shared" si="2327"/>
        <v>0</v>
      </c>
      <c r="D1083" s="1">
        <f t="shared" si="2328"/>
        <v>-1.1810096094451938</v>
      </c>
      <c r="E1083" s="1">
        <f t="shared" si="2329"/>
        <v>18.132161022100256</v>
      </c>
      <c r="F1083" s="1">
        <f t="shared" si="2330"/>
        <v>0</v>
      </c>
      <c r="G1083" s="1">
        <f t="shared" si="2331"/>
        <v>-4.0127758479346172</v>
      </c>
      <c r="H1083" s="1">
        <f t="shared" si="2304"/>
        <v>18.570881329036034</v>
      </c>
      <c r="I1083" s="1">
        <f t="shared" si="2314"/>
        <v>-13.704033745181107</v>
      </c>
      <c r="J1083" s="1">
        <f t="shared" si="2315"/>
        <v>0</v>
      </c>
      <c r="K1083" s="1">
        <f t="shared" si="2316"/>
        <v>3.0327998722776659</v>
      </c>
      <c r="L1083" s="1">
        <f t="shared" ref="L1083:N1083" si="2444">E1083/$H1083</f>
        <v>0.97637590272843822</v>
      </c>
      <c r="M1083" s="1">
        <f t="shared" si="2444"/>
        <v>0</v>
      </c>
      <c r="N1083" s="1">
        <f t="shared" si="2444"/>
        <v>-0.21607891283331515</v>
      </c>
      <c r="O1083" s="1">
        <f t="shared" si="2306"/>
        <v>-0.21607891283331515</v>
      </c>
      <c r="P1083" s="1">
        <f t="shared" si="2318"/>
        <v>0.2109742435782076</v>
      </c>
      <c r="Q1083" s="1">
        <f t="shared" si="2319"/>
        <v>0</v>
      </c>
      <c r="R1083" s="1">
        <f t="shared" si="2320"/>
        <v>0.95330990342877264</v>
      </c>
      <c r="S1083" s="1">
        <f t="shared" si="2321"/>
        <v>1.1347941955152518</v>
      </c>
      <c r="T1083" s="1">
        <f t="shared" ref="T1083:V1083" si="2445">$S1083*P1083</f>
        <v>0.23941234701577088</v>
      </c>
      <c r="U1083" s="1">
        <f t="shared" si="2445"/>
        <v>0</v>
      </c>
      <c r="V1083" s="1">
        <f t="shared" si="2445"/>
        <v>1.0818105449381765</v>
      </c>
      <c r="W1083" s="1">
        <f t="shared" si="2323"/>
        <v>-13.464621398165336</v>
      </c>
      <c r="X1083" s="1">
        <f t="shared" si="2324"/>
        <v>0</v>
      </c>
      <c r="Y1083" s="1">
        <f t="shared" si="2325"/>
        <v>-5.6920395827841572</v>
      </c>
    </row>
    <row r="1084" spans="1:25">
      <c r="A1084" s="1">
        <v>1.0820000000000001</v>
      </c>
      <c r="B1084" s="1">
        <f t="shared" si="2326"/>
        <v>39.282087456970856</v>
      </c>
      <c r="C1084" s="1">
        <f t="shared" si="2327"/>
        <v>0</v>
      </c>
      <c r="D1084" s="1">
        <f t="shared" si="2328"/>
        <v>-1.1850280773327113</v>
      </c>
      <c r="E1084" s="1">
        <f t="shared" si="2329"/>
        <v>18.118696400702092</v>
      </c>
      <c r="F1084" s="1">
        <f t="shared" si="2330"/>
        <v>0</v>
      </c>
      <c r="G1084" s="1">
        <f t="shared" si="2331"/>
        <v>-4.0184678875174011</v>
      </c>
      <c r="H1084" s="1">
        <f t="shared" si="2304"/>
        <v>18.558966658298178</v>
      </c>
      <c r="I1084" s="1">
        <f t="shared" si="2314"/>
        <v>-13.685071693634425</v>
      </c>
      <c r="J1084" s="1">
        <f t="shared" si="2315"/>
        <v>0</v>
      </c>
      <c r="K1084" s="1">
        <f t="shared" si="2316"/>
        <v>3.0351532981761511</v>
      </c>
      <c r="L1084" s="1">
        <f t="shared" ref="L1084:N1084" si="2446">E1084/$H1084</f>
        <v>0.97627722137216999</v>
      </c>
      <c r="M1084" s="1">
        <f t="shared" si="2446"/>
        <v>0</v>
      </c>
      <c r="N1084" s="1">
        <f t="shared" si="2446"/>
        <v>-0.21652433357439346</v>
      </c>
      <c r="O1084" s="1">
        <f t="shared" si="2306"/>
        <v>-0.21652433357439346</v>
      </c>
      <c r="P1084" s="1">
        <f t="shared" si="2318"/>
        <v>0.21138777474146969</v>
      </c>
      <c r="Q1084" s="1">
        <f t="shared" si="2319"/>
        <v>0</v>
      </c>
      <c r="R1084" s="1">
        <f t="shared" si="2320"/>
        <v>0.95311721297016483</v>
      </c>
      <c r="S1084" s="1">
        <f t="shared" si="2321"/>
        <v>1.1333385444168391</v>
      </c>
      <c r="T1084" s="1">
        <f t="shared" ref="T1084:V1084" si="2447">$S1084*P1084</f>
        <v>0.23957391293301192</v>
      </c>
      <c r="U1084" s="1">
        <f t="shared" si="2447"/>
        <v>0</v>
      </c>
      <c r="V1084" s="1">
        <f t="shared" si="2447"/>
        <v>1.0802044748062412</v>
      </c>
      <c r="W1084" s="1">
        <f t="shared" si="2323"/>
        <v>-13.445497780701412</v>
      </c>
      <c r="X1084" s="1">
        <f t="shared" si="2324"/>
        <v>0</v>
      </c>
      <c r="Y1084" s="1">
        <f t="shared" si="2325"/>
        <v>-5.6912922270176072</v>
      </c>
    </row>
    <row r="1085" spans="1:25">
      <c r="A1085" s="1">
        <v>1.083</v>
      </c>
      <c r="B1085" s="1">
        <f t="shared" si="2326"/>
        <v>39.300192707873776</v>
      </c>
      <c r="C1085" s="1">
        <f t="shared" si="2327"/>
        <v>0</v>
      </c>
      <c r="D1085" s="1">
        <f t="shared" si="2328"/>
        <v>-1.1890522365124558</v>
      </c>
      <c r="E1085" s="1">
        <f t="shared" si="2329"/>
        <v>18.105250902921391</v>
      </c>
      <c r="F1085" s="1">
        <f t="shared" si="2330"/>
        <v>0</v>
      </c>
      <c r="G1085" s="1">
        <f t="shared" si="2331"/>
        <v>-4.0241591797444185</v>
      </c>
      <c r="H1085" s="1">
        <f t="shared" si="2304"/>
        <v>18.547074361247844</v>
      </c>
      <c r="I1085" s="1">
        <f t="shared" si="2314"/>
        <v>-13.666153620520282</v>
      </c>
      <c r="J1085" s="1">
        <f t="shared" si="2315"/>
        <v>0</v>
      </c>
      <c r="K1085" s="1">
        <f t="shared" si="2316"/>
        <v>3.0375043040657546</v>
      </c>
      <c r="L1085" s="1">
        <f t="shared" ref="L1085:N1085" si="2448">E1085/$H1085</f>
        <v>0.97617826673248276</v>
      </c>
      <c r="M1085" s="1">
        <f t="shared" si="2448"/>
        <v>0</v>
      </c>
      <c r="N1085" s="1">
        <f t="shared" si="2448"/>
        <v>-0.216970024563684</v>
      </c>
      <c r="O1085" s="1">
        <f t="shared" si="2306"/>
        <v>-0.216970024563684</v>
      </c>
      <c r="P1085" s="1">
        <f t="shared" si="2318"/>
        <v>0.21180142251148126</v>
      </c>
      <c r="Q1085" s="1">
        <f t="shared" si="2319"/>
        <v>0</v>
      </c>
      <c r="R1085" s="1">
        <f t="shared" si="2320"/>
        <v>0.95292400844083436</v>
      </c>
      <c r="S1085" s="1">
        <f t="shared" si="2321"/>
        <v>1.1318865583627693</v>
      </c>
      <c r="T1085" s="1">
        <f t="shared" ref="T1085:V1085" si="2449">$S1085*P1085</f>
        <v>0.2397351831828593</v>
      </c>
      <c r="U1085" s="1">
        <f t="shared" si="2449"/>
        <v>0</v>
      </c>
      <c r="V1085" s="1">
        <f t="shared" si="2449"/>
        <v>1.0786018762953504</v>
      </c>
      <c r="W1085" s="1">
        <f t="shared" si="2323"/>
        <v>-13.426418437337423</v>
      </c>
      <c r="X1085" s="1">
        <f t="shared" si="2324"/>
        <v>0</v>
      </c>
      <c r="Y1085" s="1">
        <f t="shared" si="2325"/>
        <v>-5.6905438196388944</v>
      </c>
    </row>
    <row r="1086" spans="1:25">
      <c r="A1086" s="1">
        <v>1.0840000000000001</v>
      </c>
      <c r="B1086" s="1">
        <f t="shared" si="2326"/>
        <v>39.318284532358263</v>
      </c>
      <c r="C1086" s="1">
        <f t="shared" si="2327"/>
        <v>0</v>
      </c>
      <c r="D1086" s="1">
        <f t="shared" si="2328"/>
        <v>-1.1930820862360199</v>
      </c>
      <c r="E1086" s="1">
        <f t="shared" si="2329"/>
        <v>18.091824484484054</v>
      </c>
      <c r="F1086" s="1">
        <f t="shared" si="2330"/>
        <v>0</v>
      </c>
      <c r="G1086" s="1">
        <f t="shared" si="2331"/>
        <v>-4.0298497235640571</v>
      </c>
      <c r="H1086" s="1">
        <f t="shared" si="2304"/>
        <v>18.535204395201202</v>
      </c>
      <c r="I1086" s="1">
        <f t="shared" si="2314"/>
        <v>-13.647279396518512</v>
      </c>
      <c r="J1086" s="1">
        <f t="shared" si="2315"/>
        <v>0</v>
      </c>
      <c r="K1086" s="1">
        <f t="shared" si="2316"/>
        <v>3.0398528987846287</v>
      </c>
      <c r="L1086" s="1">
        <f t="shared" ref="L1086:N1086" si="2450">E1086/$H1086</f>
        <v>0.97607903850081412</v>
      </c>
      <c r="M1086" s="1">
        <f t="shared" si="2450"/>
        <v>0</v>
      </c>
      <c r="N1086" s="1">
        <f t="shared" si="2450"/>
        <v>-0.21741598515133681</v>
      </c>
      <c r="O1086" s="1">
        <f t="shared" si="2306"/>
        <v>-0.21741598515133681</v>
      </c>
      <c r="P1086" s="1">
        <f t="shared" si="2318"/>
        <v>0.21221518574122411</v>
      </c>
      <c r="Q1086" s="1">
        <f t="shared" si="2319"/>
        <v>0</v>
      </c>
      <c r="R1086" s="1">
        <f t="shared" si="2320"/>
        <v>0.95273028940067372</v>
      </c>
      <c r="S1086" s="1">
        <f t="shared" si="2321"/>
        <v>1.1304382268935877</v>
      </c>
      <c r="T1086" s="1">
        <f t="shared" ref="T1086:V1086" si="2451">$S1086*P1086</f>
        <v>0.23989615828920277</v>
      </c>
      <c r="U1086" s="1">
        <f t="shared" si="2451"/>
        <v>0</v>
      </c>
      <c r="V1086" s="1">
        <f t="shared" si="2451"/>
        <v>1.0770027390579122</v>
      </c>
      <c r="W1086" s="1">
        <f t="shared" si="2323"/>
        <v>-13.407383238229309</v>
      </c>
      <c r="X1086" s="1">
        <f t="shared" si="2324"/>
        <v>0</v>
      </c>
      <c r="Y1086" s="1">
        <f t="shared" si="2325"/>
        <v>-5.6897943621574587</v>
      </c>
    </row>
    <row r="1087" spans="1:25">
      <c r="A1087" s="1">
        <v>1.085</v>
      </c>
      <c r="B1087" s="1">
        <f t="shared" si="2326"/>
        <v>39.336362949459506</v>
      </c>
      <c r="C1087" s="1">
        <f t="shared" si="2327"/>
        <v>0</v>
      </c>
      <c r="D1087" s="1">
        <f t="shared" si="2328"/>
        <v>-1.197117625753946</v>
      </c>
      <c r="E1087" s="1">
        <f t="shared" si="2329"/>
        <v>18.078417101245826</v>
      </c>
      <c r="F1087" s="1">
        <f t="shared" si="2330"/>
        <v>0</v>
      </c>
      <c r="G1087" s="1">
        <f t="shared" si="2331"/>
        <v>-4.0355395179262148</v>
      </c>
      <c r="H1087" s="1">
        <f t="shared" si="2304"/>
        <v>18.523356717597427</v>
      </c>
      <c r="I1087" s="1">
        <f t="shared" si="2314"/>
        <v>-13.628448892780348</v>
      </c>
      <c r="J1087" s="1">
        <f t="shared" si="2315"/>
        <v>0</v>
      </c>
      <c r="K1087" s="1">
        <f t="shared" si="2316"/>
        <v>3.0421990911506747</v>
      </c>
      <c r="L1087" s="1">
        <f t="shared" ref="L1087:N1087" si="2452">E1087/$H1087</f>
        <v>0.97597953636940427</v>
      </c>
      <c r="M1087" s="1">
        <f t="shared" si="2452"/>
        <v>0</v>
      </c>
      <c r="N1087" s="1">
        <f t="shared" si="2452"/>
        <v>-0.21786221468662861</v>
      </c>
      <c r="O1087" s="1">
        <f t="shared" si="2306"/>
        <v>-0.21786221468662861</v>
      </c>
      <c r="P1087" s="1">
        <f t="shared" si="2318"/>
        <v>0.21262906328226741</v>
      </c>
      <c r="Q1087" s="1">
        <f t="shared" si="2319"/>
        <v>0</v>
      </c>
      <c r="R1087" s="1">
        <f t="shared" si="2320"/>
        <v>0.95253605541183739</v>
      </c>
      <c r="S1087" s="1">
        <f t="shared" si="2321"/>
        <v>1.1289935395880288</v>
      </c>
      <c r="T1087" s="1">
        <f t="shared" ref="T1087:V1087" si="2453">$S1087*P1087</f>
        <v>0.24005683877433406</v>
      </c>
      <c r="U1087" s="1">
        <f t="shared" si="2453"/>
        <v>0</v>
      </c>
      <c r="V1087" s="1">
        <f t="shared" si="2453"/>
        <v>1.0754070527846291</v>
      </c>
      <c r="W1087" s="1">
        <f t="shared" si="2323"/>
        <v>-13.388392054006014</v>
      </c>
      <c r="X1087" s="1">
        <f t="shared" si="2324"/>
        <v>0</v>
      </c>
      <c r="Y1087" s="1">
        <f t="shared" si="2325"/>
        <v>-5.6890438560646954</v>
      </c>
    </row>
    <row r="1088" spans="1:25">
      <c r="A1088" s="1">
        <v>1.0860000000000001</v>
      </c>
      <c r="B1088" s="1">
        <f t="shared" si="2326"/>
        <v>39.354427978168701</v>
      </c>
      <c r="C1088" s="1">
        <f t="shared" si="2327"/>
        <v>0</v>
      </c>
      <c r="D1088" s="1">
        <f t="shared" si="2328"/>
        <v>-1.2011588543157283</v>
      </c>
      <c r="E1088" s="1">
        <f t="shared" si="2329"/>
        <v>18.065028709191822</v>
      </c>
      <c r="F1088" s="1">
        <f t="shared" si="2330"/>
        <v>0</v>
      </c>
      <c r="G1088" s="1">
        <f t="shared" si="2331"/>
        <v>-4.0412285617822796</v>
      </c>
      <c r="H1088" s="1">
        <f t="shared" si="2304"/>
        <v>18.511531285998185</v>
      </c>
      <c r="I1088" s="1">
        <f t="shared" si="2314"/>
        <v>-13.609661980926335</v>
      </c>
      <c r="J1088" s="1">
        <f t="shared" si="2315"/>
        <v>0</v>
      </c>
      <c r="K1088" s="1">
        <f t="shared" si="2316"/>
        <v>3.044542889961587</v>
      </c>
      <c r="L1088" s="1">
        <f t="shared" ref="L1088:N1088" si="2454">E1088/$H1088</f>
        <v>0.97587976003130061</v>
      </c>
      <c r="M1088" s="1">
        <f t="shared" si="2454"/>
        <v>0</v>
      </c>
      <c r="N1088" s="1">
        <f t="shared" si="2454"/>
        <v>-0.2183087125179643</v>
      </c>
      <c r="O1088" s="1">
        <f t="shared" si="2306"/>
        <v>-0.2183087125179643</v>
      </c>
      <c r="P1088" s="1">
        <f t="shared" si="2318"/>
        <v>0.21304305398477319</v>
      </c>
      <c r="Q1088" s="1">
        <f t="shared" si="2319"/>
        <v>0</v>
      </c>
      <c r="R1088" s="1">
        <f t="shared" si="2320"/>
        <v>0.95234130603874878</v>
      </c>
      <c r="S1088" s="1">
        <f t="shared" si="2321"/>
        <v>1.127552486062843</v>
      </c>
      <c r="T1088" s="1">
        <f t="shared" ref="T1088:V1088" si="2455">$S1088*P1088</f>
        <v>0.24021722515895147</v>
      </c>
      <c r="U1088" s="1">
        <f t="shared" si="2455"/>
        <v>0</v>
      </c>
      <c r="V1088" s="1">
        <f t="shared" si="2455"/>
        <v>1.0738148072043259</v>
      </c>
      <c r="W1088" s="1">
        <f t="shared" si="2323"/>
        <v>-13.369444755767383</v>
      </c>
      <c r="X1088" s="1">
        <f t="shared" si="2324"/>
        <v>0</v>
      </c>
      <c r="Y1088" s="1">
        <f t="shared" si="2325"/>
        <v>-5.6882923028340864</v>
      </c>
    </row>
    <row r="1089" spans="1:25">
      <c r="A1089" s="1">
        <v>1.087</v>
      </c>
      <c r="B1089" s="1">
        <f t="shared" si="2326"/>
        <v>39.372479637433138</v>
      </c>
      <c r="C1089" s="1">
        <f t="shared" si="2327"/>
        <v>0</v>
      </c>
      <c r="D1089" s="1">
        <f t="shared" si="2328"/>
        <v>-1.2052057711698134</v>
      </c>
      <c r="E1089" s="1">
        <f t="shared" si="2329"/>
        <v>18.051659264436054</v>
      </c>
      <c r="F1089" s="1">
        <f t="shared" si="2330"/>
        <v>0</v>
      </c>
      <c r="G1089" s="1">
        <f t="shared" si="2331"/>
        <v>-4.0469168540851141</v>
      </c>
      <c r="H1089" s="1">
        <f t="shared" si="2304"/>
        <v>18.499728058087186</v>
      </c>
      <c r="I1089" s="1">
        <f t="shared" si="2314"/>
        <v>-13.590918533044245</v>
      </c>
      <c r="J1089" s="1">
        <f t="shared" si="2315"/>
        <v>0</v>
      </c>
      <c r="K1089" s="1">
        <f t="shared" si="2316"/>
        <v>3.0468843039949087</v>
      </c>
      <c r="L1089" s="1">
        <f t="shared" ref="L1089:N1089" si="2456">E1089/$H1089</f>
        <v>0.97577970918035972</v>
      </c>
      <c r="M1089" s="1">
        <f t="shared" si="2456"/>
        <v>0</v>
      </c>
      <c r="N1089" s="1">
        <f t="shared" si="2456"/>
        <v>-0.21875547799287773</v>
      </c>
      <c r="O1089" s="1">
        <f t="shared" si="2306"/>
        <v>-0.21875547799287773</v>
      </c>
      <c r="P1089" s="1">
        <f t="shared" si="2318"/>
        <v>0.21345715669750082</v>
      </c>
      <c r="Q1089" s="1">
        <f t="shared" si="2319"/>
        <v>0</v>
      </c>
      <c r="R1089" s="1">
        <f t="shared" si="2320"/>
        <v>0.95214604084810761</v>
      </c>
      <c r="S1089" s="1">
        <f t="shared" si="2321"/>
        <v>1.1261150559726314</v>
      </c>
      <c r="T1089" s="1">
        <f t="shared" ref="T1089:V1089" si="2457">$S1089*P1089</f>
        <v>0.24037731796216488</v>
      </c>
      <c r="U1089" s="1">
        <f t="shared" si="2457"/>
        <v>0</v>
      </c>
      <c r="V1089" s="1">
        <f t="shared" si="2457"/>
        <v>1.072225992083786</v>
      </c>
      <c r="W1089" s="1">
        <f t="shared" si="2323"/>
        <v>-13.35054121508208</v>
      </c>
      <c r="X1089" s="1">
        <f t="shared" si="2324"/>
        <v>0</v>
      </c>
      <c r="Y1089" s="1">
        <f t="shared" si="2325"/>
        <v>-5.6875397039213045</v>
      </c>
    </row>
    <row r="1090" spans="1:25">
      <c r="A1090" s="1">
        <v>1.0880000000000001</v>
      </c>
      <c r="B1090" s="1">
        <f t="shared" si="2326"/>
        <v>39.390517946156358</v>
      </c>
      <c r="C1090" s="1">
        <f t="shared" si="2327"/>
        <v>0</v>
      </c>
      <c r="D1090" s="1">
        <f t="shared" si="2328"/>
        <v>-1.2092583755636024</v>
      </c>
      <c r="E1090" s="1">
        <f t="shared" si="2329"/>
        <v>18.038308723220972</v>
      </c>
      <c r="F1090" s="1">
        <f t="shared" si="2330"/>
        <v>0</v>
      </c>
      <c r="G1090" s="1">
        <f t="shared" si="2331"/>
        <v>-4.0526043937890357</v>
      </c>
      <c r="H1090" s="1">
        <f t="shared" si="2304"/>
        <v>18.487946991669681</v>
      </c>
      <c r="I1090" s="1">
        <f t="shared" ref="I1090:I1153" si="2458">-K_drag*$H1090*E1090</f>
        <v>-13.572218421687015</v>
      </c>
      <c r="J1090" s="1">
        <f t="shared" ref="J1090:J1153" si="2459">-K_drag*$H1090*F1090</f>
        <v>0</v>
      </c>
      <c r="K1090" s="1">
        <f t="shared" ref="K1090:K1153" si="2460">-K_drag*$H1090*G1090</f>
        <v>3.0492233420080765</v>
      </c>
      <c r="L1090" s="1">
        <f t="shared" ref="L1090:N1090" si="2461">E1090/$H1090</f>
        <v>0.97567938351125161</v>
      </c>
      <c r="M1090" s="1">
        <f t="shared" si="2461"/>
        <v>0</v>
      </c>
      <c r="N1090" s="1">
        <f t="shared" si="2461"/>
        <v>-0.21920251045803316</v>
      </c>
      <c r="O1090" s="1">
        <f t="shared" si="2306"/>
        <v>-0.21920251045803316</v>
      </c>
      <c r="P1090" s="1">
        <f t="shared" ref="P1090:P1153" si="2462">u_axis_f-$O1090*L1090</f>
        <v>0.21387137026781247</v>
      </c>
      <c r="Q1090" s="1">
        <f t="shared" ref="Q1090:Q1153" si="2463">u_axis_r-$O1090*M1090</f>
        <v>0</v>
      </c>
      <c r="R1090" s="1">
        <f t="shared" ref="R1090:R1153" si="2464">u_axis_u-$O1090*N1090</f>
        <v>0.95195025940889588</v>
      </c>
      <c r="S1090" s="1">
        <f t="shared" ref="S1090:S1153" si="2465">K_lift*H1090^2</f>
        <v>1.1246812390096756</v>
      </c>
      <c r="T1090" s="1">
        <f t="shared" ref="T1090:V1090" si="2466">$S1090*P1090</f>
        <v>0.24053711770150044</v>
      </c>
      <c r="U1090" s="1">
        <f t="shared" si="2466"/>
        <v>0</v>
      </c>
      <c r="V1090" s="1">
        <f t="shared" si="2466"/>
        <v>1.0706405972275792</v>
      </c>
      <c r="W1090" s="1">
        <f t="shared" ref="W1090:W1153" si="2467">I1090+T1090+g_f</f>
        <v>-13.331681303985516</v>
      </c>
      <c r="X1090" s="1">
        <f t="shared" ref="X1090:X1153" si="2468">J1090+U1090+g_r</f>
        <v>0</v>
      </c>
      <c r="Y1090" s="1">
        <f t="shared" ref="Y1090:Y1153" si="2469">K1090+V1090+g_u</f>
        <v>-5.6867860607643435</v>
      </c>
    </row>
    <row r="1091" spans="1:25">
      <c r="A1091" s="1">
        <v>1.089</v>
      </c>
      <c r="B1091" s="1">
        <f t="shared" ref="B1091:B1154" si="2470">B1090+E1091*dt</f>
        <v>39.408542923198276</v>
      </c>
      <c r="C1091" s="1">
        <f t="shared" ref="C1091:C1154" si="2471">C1090+F1091*dt</f>
        <v>0</v>
      </c>
      <c r="D1091" s="1">
        <f t="shared" ref="D1091:D1154" si="2472">D1090+G1091*dt</f>
        <v>-1.2133166667434523</v>
      </c>
      <c r="E1091" s="1">
        <f t="shared" ref="E1091:E1154" si="2473">E1090+W1090*dt</f>
        <v>18.024977041916987</v>
      </c>
      <c r="F1091" s="1">
        <f t="shared" ref="F1091:F1154" si="2474">F1090+X1090*dt</f>
        <v>0</v>
      </c>
      <c r="G1091" s="1">
        <f t="shared" ref="G1091:G1154" si="2475">G1090+Y1090*dt</f>
        <v>-4.0582911798498005</v>
      </c>
      <c r="H1091" s="1">
        <f t="shared" si="2304"/>
        <v>18.476188044672014</v>
      </c>
      <c r="I1091" s="1">
        <f t="shared" si="2458"/>
        <v>-13.553561519870687</v>
      </c>
      <c r="J1091" s="1">
        <f t="shared" si="2459"/>
        <v>0</v>
      </c>
      <c r="K1091" s="1">
        <f t="shared" si="2460"/>
        <v>3.0515600127384723</v>
      </c>
      <c r="L1091" s="1">
        <f t="shared" ref="L1091:N1091" si="2476">E1091/$H1091</f>
        <v>0.9755787827194613</v>
      </c>
      <c r="M1091" s="1">
        <f t="shared" si="2476"/>
        <v>0</v>
      </c>
      <c r="N1091" s="1">
        <f t="shared" si="2476"/>
        <v>-0.21964980925922603</v>
      </c>
      <c r="O1091" s="1">
        <f t="shared" si="2306"/>
        <v>-0.21964980925922603</v>
      </c>
      <c r="P1091" s="1">
        <f t="shared" si="2462"/>
        <v>0.21428569354167759</v>
      </c>
      <c r="Q1091" s="1">
        <f t="shared" si="2463"/>
        <v>0</v>
      </c>
      <c r="R1091" s="1">
        <f t="shared" si="2464"/>
        <v>0.95175396129238565</v>
      </c>
      <c r="S1091" s="1">
        <f t="shared" si="2465"/>
        <v>1.1232510249037759</v>
      </c>
      <c r="T1091" s="1">
        <f t="shared" ref="T1091:V1091" si="2477">$S1091*P1091</f>
        <v>0.2406966248929058</v>
      </c>
      <c r="U1091" s="1">
        <f t="shared" si="2477"/>
        <v>0</v>
      </c>
      <c r="V1091" s="1">
        <f t="shared" si="2477"/>
        <v>1.0690586124779009</v>
      </c>
      <c r="W1091" s="1">
        <f t="shared" si="2467"/>
        <v>-13.312864894977782</v>
      </c>
      <c r="X1091" s="1">
        <f t="shared" si="2468"/>
        <v>0</v>
      </c>
      <c r="Y1091" s="1">
        <f t="shared" si="2469"/>
        <v>-5.6860313747836262</v>
      </c>
    </row>
    <row r="1092" spans="1:25">
      <c r="A1092" s="1">
        <v>1.0900000000000001</v>
      </c>
      <c r="B1092" s="1">
        <f t="shared" si="2470"/>
        <v>39.4265545873753</v>
      </c>
      <c r="C1092" s="1">
        <f t="shared" si="2471"/>
        <v>0</v>
      </c>
      <c r="D1092" s="1">
        <f t="shared" si="2472"/>
        <v>-1.2173806439546768</v>
      </c>
      <c r="E1092" s="1">
        <f t="shared" si="2473"/>
        <v>18.011664177022009</v>
      </c>
      <c r="F1092" s="1">
        <f t="shared" si="2474"/>
        <v>0</v>
      </c>
      <c r="G1092" s="1">
        <f t="shared" si="2475"/>
        <v>-4.063977211224584</v>
      </c>
      <c r="H1092" s="1">
        <f t="shared" si="2304"/>
        <v>18.464451175141132</v>
      </c>
      <c r="I1092" s="1">
        <f t="shared" si="2458"/>
        <v>-13.534947701072358</v>
      </c>
      <c r="J1092" s="1">
        <f t="shared" si="2459"/>
        <v>0</v>
      </c>
      <c r="K1092" s="1">
        <f t="shared" si="2460"/>
        <v>3.0538943249034696</v>
      </c>
      <c r="L1092" s="1">
        <f t="shared" ref="L1092:N1092" si="2478">E1092/$H1092</f>
        <v>0.97547790650129285</v>
      </c>
      <c r="M1092" s="1">
        <f t="shared" si="2478"/>
        <v>0</v>
      </c>
      <c r="N1092" s="1">
        <f t="shared" si="2478"/>
        <v>-0.22009737374138449</v>
      </c>
      <c r="O1092" s="1">
        <f t="shared" si="2306"/>
        <v>-0.22009737374138449</v>
      </c>
      <c r="P1092" s="1">
        <f t="shared" si="2462"/>
        <v>0.21470012536367838</v>
      </c>
      <c r="Q1092" s="1">
        <f t="shared" si="2463"/>
        <v>0</v>
      </c>
      <c r="R1092" s="1">
        <f t="shared" si="2464"/>
        <v>0.95155714607214525</v>
      </c>
      <c r="S1092" s="1">
        <f t="shared" si="2465"/>
        <v>1.1218244034220808</v>
      </c>
      <c r="T1092" s="1">
        <f t="shared" ref="T1092:V1092" si="2479">$S1092*P1092</f>
        <v>0.24085584005075447</v>
      </c>
      <c r="U1092" s="1">
        <f t="shared" si="2479"/>
        <v>0</v>
      </c>
      <c r="V1092" s="1">
        <f t="shared" si="2479"/>
        <v>1.0674800277144021</v>
      </c>
      <c r="W1092" s="1">
        <f t="shared" si="2467"/>
        <v>-13.294091861021604</v>
      </c>
      <c r="X1092" s="1">
        <f t="shared" si="2468"/>
        <v>0</v>
      </c>
      <c r="Y1092" s="1">
        <f t="shared" si="2469"/>
        <v>-5.6852756473821273</v>
      </c>
    </row>
    <row r="1093" spans="1:25">
      <c r="A1093" s="1">
        <v>1.091</v>
      </c>
      <c r="B1093" s="1">
        <f t="shared" si="2470"/>
        <v>39.444552957460459</v>
      </c>
      <c r="C1093" s="1">
        <f t="shared" si="2471"/>
        <v>0</v>
      </c>
      <c r="D1093" s="1">
        <f t="shared" si="2472"/>
        <v>-1.2214503064415487</v>
      </c>
      <c r="E1093" s="1">
        <f t="shared" si="2473"/>
        <v>17.998370085160989</v>
      </c>
      <c r="F1093" s="1">
        <f t="shared" si="2474"/>
        <v>0</v>
      </c>
      <c r="G1093" s="1">
        <f t="shared" si="2475"/>
        <v>-4.069662486871966</v>
      </c>
      <c r="H1093" s="1">
        <f t="shared" si="2304"/>
        <v>18.452736341244105</v>
      </c>
      <c r="I1093" s="1">
        <f t="shared" si="2458"/>
        <v>-13.516376839228139</v>
      </c>
      <c r="J1093" s="1">
        <f t="shared" si="2459"/>
        <v>0</v>
      </c>
      <c r="K1093" s="1">
        <f t="shared" si="2460"/>
        <v>3.0562262872004839</v>
      </c>
      <c r="L1093" s="1">
        <f t="shared" ref="L1093:N1093" si="2480">E1093/$H1093</f>
        <v>0.97537675455387329</v>
      </c>
      <c r="M1093" s="1">
        <f t="shared" si="2480"/>
        <v>0</v>
      </c>
      <c r="N1093" s="1">
        <f t="shared" si="2480"/>
        <v>-0.2205452032485706</v>
      </c>
      <c r="O1093" s="1">
        <f t="shared" si="2306"/>
        <v>-0.2205452032485706</v>
      </c>
      <c r="P1093" s="1">
        <f t="shared" si="2462"/>
        <v>0.21511466457701514</v>
      </c>
      <c r="Q1093" s="1">
        <f t="shared" si="2463"/>
        <v>0</v>
      </c>
      <c r="R1093" s="1">
        <f t="shared" si="2464"/>
        <v>0.95135981332404673</v>
      </c>
      <c r="S1093" s="1">
        <f t="shared" si="2465"/>
        <v>1.1204013643689232</v>
      </c>
      <c r="T1093" s="1">
        <f t="shared" ref="T1093:V1093" si="2481">$S1093*P1093</f>
        <v>0.24101476368785105</v>
      </c>
      <c r="U1093" s="1">
        <f t="shared" si="2481"/>
        <v>0</v>
      </c>
      <c r="V1093" s="1">
        <f t="shared" si="2481"/>
        <v>1.0659048328540262</v>
      </c>
      <c r="W1093" s="1">
        <f t="shared" si="2467"/>
        <v>-13.275362075540288</v>
      </c>
      <c r="X1093" s="1">
        <f t="shared" si="2468"/>
        <v>0</v>
      </c>
      <c r="Y1093" s="1">
        <f t="shared" si="2469"/>
        <v>-5.6845188799454895</v>
      </c>
    </row>
    <row r="1094" spans="1:25">
      <c r="A1094" s="1">
        <v>1.0920000000000001</v>
      </c>
      <c r="B1094" s="1">
        <f t="shared" si="2470"/>
        <v>39.462538052183547</v>
      </c>
      <c r="C1094" s="1">
        <f t="shared" si="2471"/>
        <v>0</v>
      </c>
      <c r="D1094" s="1">
        <f t="shared" si="2472"/>
        <v>-1.2255256534473007</v>
      </c>
      <c r="E1094" s="1">
        <f t="shared" si="2473"/>
        <v>17.985094723085449</v>
      </c>
      <c r="F1094" s="1">
        <f t="shared" si="2474"/>
        <v>0</v>
      </c>
      <c r="G1094" s="1">
        <f t="shared" si="2475"/>
        <v>-4.0753470057519117</v>
      </c>
      <c r="H1094" s="1">
        <f t="shared" si="2304"/>
        <v>18.441043501267686</v>
      </c>
      <c r="I1094" s="1">
        <f t="shared" si="2458"/>
        <v>-13.497848808731138</v>
      </c>
      <c r="J1094" s="1">
        <f t="shared" si="2459"/>
        <v>0</v>
      </c>
      <c r="K1094" s="1">
        <f t="shared" si="2460"/>
        <v>3.0585559083070226</v>
      </c>
      <c r="L1094" s="1">
        <f t="shared" ref="L1094:N1094" si="2482">E1094/$H1094</f>
        <v>0.97527532657515326</v>
      </c>
      <c r="M1094" s="1">
        <f t="shared" si="2482"/>
        <v>0</v>
      </c>
      <c r="N1094" s="1">
        <f t="shared" si="2482"/>
        <v>-0.22099329712398116</v>
      </c>
      <c r="O1094" s="1">
        <f t="shared" si="2306"/>
        <v>-0.22099329712398116</v>
      </c>
      <c r="P1094" s="1">
        <f t="shared" si="2462"/>
        <v>0.21552931002351061</v>
      </c>
      <c r="Q1094" s="1">
        <f t="shared" si="2463"/>
        <v>0</v>
      </c>
      <c r="R1094" s="1">
        <f t="shared" si="2464"/>
        <v>0.95116196262627173</v>
      </c>
      <c r="S1094" s="1">
        <f t="shared" si="2465"/>
        <v>1.1189818975856596</v>
      </c>
      <c r="T1094" s="1">
        <f t="shared" ref="T1094:V1094" si="2483">$S1094*P1094</f>
        <v>0.24117339631543583</v>
      </c>
      <c r="U1094" s="1">
        <f t="shared" si="2483"/>
        <v>0</v>
      </c>
      <c r="V1094" s="1">
        <f t="shared" si="2483"/>
        <v>1.0643330178508457</v>
      </c>
      <c r="W1094" s="1">
        <f t="shared" si="2467"/>
        <v>-13.256675412415703</v>
      </c>
      <c r="X1094" s="1">
        <f t="shared" si="2468"/>
        <v>0</v>
      </c>
      <c r="Y1094" s="1">
        <f t="shared" si="2469"/>
        <v>-5.6837610738421311</v>
      </c>
    </row>
    <row r="1095" spans="1:25">
      <c r="A1095" s="1">
        <v>1.093</v>
      </c>
      <c r="B1095" s="1">
        <f t="shared" si="2470"/>
        <v>39.480509890231218</v>
      </c>
      <c r="C1095" s="1">
        <f t="shared" si="2471"/>
        <v>0</v>
      </c>
      <c r="D1095" s="1">
        <f t="shared" si="2472"/>
        <v>-1.2296066842141264</v>
      </c>
      <c r="E1095" s="1">
        <f t="shared" si="2473"/>
        <v>17.971838047673035</v>
      </c>
      <c r="F1095" s="1">
        <f t="shared" si="2474"/>
        <v>0</v>
      </c>
      <c r="G1095" s="1">
        <f t="shared" si="2475"/>
        <v>-4.0810307668257542</v>
      </c>
      <c r="H1095" s="1">
        <f t="shared" si="2304"/>
        <v>18.429372613617822</v>
      </c>
      <c r="I1095" s="1">
        <f t="shared" si="2458"/>
        <v>-13.479363484429436</v>
      </c>
      <c r="J1095" s="1">
        <f t="shared" si="2459"/>
        <v>0</v>
      </c>
      <c r="K1095" s="1">
        <f t="shared" si="2460"/>
        <v>3.0608831968807273</v>
      </c>
      <c r="L1095" s="1">
        <f t="shared" ref="L1095:N1095" si="2484">E1095/$H1095</f>
        <v>0.97517362226391224</v>
      </c>
      <c r="M1095" s="1">
        <f t="shared" si="2484"/>
        <v>0</v>
      </c>
      <c r="N1095" s="1">
        <f t="shared" si="2484"/>
        <v>-0.22144165470994934</v>
      </c>
      <c r="O1095" s="1">
        <f t="shared" si="2306"/>
        <v>-0.22144165470994934</v>
      </c>
      <c r="P1095" s="1">
        <f t="shared" si="2462"/>
        <v>0.21594406054361581</v>
      </c>
      <c r="Q1095" s="1">
        <f t="shared" si="2463"/>
        <v>0</v>
      </c>
      <c r="R1095" s="1">
        <f t="shared" si="2464"/>
        <v>0.95096359355931959</v>
      </c>
      <c r="S1095" s="1">
        <f t="shared" si="2465"/>
        <v>1.1175659929505029</v>
      </c>
      <c r="T1095" s="1">
        <f t="shared" ref="T1095:V1095" si="2485">$S1095*P1095</f>
        <v>0.2413317384431895</v>
      </c>
      <c r="U1095" s="1">
        <f t="shared" si="2485"/>
        <v>0</v>
      </c>
      <c r="V1095" s="1">
        <f t="shared" si="2485"/>
        <v>1.0627645726958994</v>
      </c>
      <c r="W1095" s="1">
        <f t="shared" si="2467"/>
        <v>-13.238031745986246</v>
      </c>
      <c r="X1095" s="1">
        <f t="shared" si="2468"/>
        <v>0</v>
      </c>
      <c r="Y1095" s="1">
        <f t="shared" si="2469"/>
        <v>-5.6830022304233729</v>
      </c>
    </row>
    <row r="1096" spans="1:25">
      <c r="A1096" s="1">
        <v>1.0940000000000001</v>
      </c>
      <c r="B1096" s="1">
        <f t="shared" si="2470"/>
        <v>39.498468490247149</v>
      </c>
      <c r="C1096" s="1">
        <f t="shared" si="2471"/>
        <v>0</v>
      </c>
      <c r="D1096" s="1">
        <f t="shared" si="2472"/>
        <v>-1.2336933979831826</v>
      </c>
      <c r="E1096" s="1">
        <f t="shared" si="2473"/>
        <v>17.95860001592705</v>
      </c>
      <c r="F1096" s="1">
        <f t="shared" si="2474"/>
        <v>0</v>
      </c>
      <c r="G1096" s="1">
        <f t="shared" si="2475"/>
        <v>-4.0867137690561774</v>
      </c>
      <c r="H1096" s="1">
        <f t="shared" si="2304"/>
        <v>18.417723636819193</v>
      </c>
      <c r="I1096" s="1">
        <f t="shared" si="2458"/>
        <v>-13.460920741624081</v>
      </c>
      <c r="J1096" s="1">
        <f t="shared" si="2459"/>
        <v>0</v>
      </c>
      <c r="K1096" s="1">
        <f t="shared" si="2460"/>
        <v>3.0632081615594284</v>
      </c>
      <c r="L1096" s="1">
        <f t="shared" ref="L1096:N1096" si="2486">E1096/$H1096</f>
        <v>0.9750716413197611</v>
      </c>
      <c r="M1096" s="1">
        <f t="shared" si="2486"/>
        <v>0</v>
      </c>
      <c r="N1096" s="1">
        <f t="shared" si="2486"/>
        <v>-0.22189027534794564</v>
      </c>
      <c r="O1096" s="1">
        <f t="shared" si="2306"/>
        <v>-0.22189027534794564</v>
      </c>
      <c r="P1096" s="1">
        <f t="shared" si="2462"/>
        <v>0.21635891497641507</v>
      </c>
      <c r="Q1096" s="1">
        <f t="shared" si="2463"/>
        <v>0</v>
      </c>
      <c r="R1096" s="1">
        <f t="shared" si="2464"/>
        <v>0.9507647057060129</v>
      </c>
      <c r="S1096" s="1">
        <f t="shared" si="2465"/>
        <v>1.1161536403783616</v>
      </c>
      <c r="T1096" s="1">
        <f t="shared" ref="T1096:V1096" si="2487">$S1096*P1096</f>
        <v>0.24148979057923811</v>
      </c>
      <c r="U1096" s="1">
        <f t="shared" si="2487"/>
        <v>0</v>
      </c>
      <c r="V1096" s="1">
        <f t="shared" si="2487"/>
        <v>1.0611994874170279</v>
      </c>
      <c r="W1096" s="1">
        <f t="shared" si="2467"/>
        <v>-13.219430951044844</v>
      </c>
      <c r="X1096" s="1">
        <f t="shared" si="2468"/>
        <v>0</v>
      </c>
      <c r="Y1096" s="1">
        <f t="shared" si="2469"/>
        <v>-5.6822423510235431</v>
      </c>
    </row>
    <row r="1097" spans="1:25">
      <c r="A1097" s="1">
        <v>1.095</v>
      </c>
      <c r="B1097" s="1">
        <f t="shared" si="2470"/>
        <v>39.516413870832125</v>
      </c>
      <c r="C1097" s="1">
        <f t="shared" si="2471"/>
        <v>0</v>
      </c>
      <c r="D1097" s="1">
        <f t="shared" si="2472"/>
        <v>-1.2377857939945898</v>
      </c>
      <c r="E1097" s="1">
        <f t="shared" si="2473"/>
        <v>17.945380584976007</v>
      </c>
      <c r="F1097" s="1">
        <f t="shared" si="2474"/>
        <v>0</v>
      </c>
      <c r="G1097" s="1">
        <f t="shared" si="2475"/>
        <v>-4.0923960114072013</v>
      </c>
      <c r="H1097" s="1">
        <f t="shared" si="2304"/>
        <v>18.406096529514762</v>
      </c>
      <c r="I1097" s="1">
        <f t="shared" si="2458"/>
        <v>-13.442520456067101</v>
      </c>
      <c r="J1097" s="1">
        <f t="shared" si="2459"/>
        <v>0</v>
      </c>
      <c r="K1097" s="1">
        <f t="shared" si="2460"/>
        <v>3.065530810961191</v>
      </c>
      <c r="L1097" s="1">
        <f t="shared" ref="L1097:N1097" si="2488">E1097/$H1097</f>
        <v>0.97496938344314432</v>
      </c>
      <c r="M1097" s="1">
        <f t="shared" si="2488"/>
        <v>0</v>
      </c>
      <c r="N1097" s="1">
        <f t="shared" si="2488"/>
        <v>-0.22233915837857929</v>
      </c>
      <c r="O1097" s="1">
        <f t="shared" si="2306"/>
        <v>-0.22233915837857929</v>
      </c>
      <c r="P1097" s="1">
        <f t="shared" si="2462"/>
        <v>0.21677387215963106</v>
      </c>
      <c r="Q1097" s="1">
        <f t="shared" si="2463"/>
        <v>0</v>
      </c>
      <c r="R1097" s="1">
        <f t="shared" si="2464"/>
        <v>0.95056529865150508</v>
      </c>
      <c r="S1097" s="1">
        <f t="shared" si="2465"/>
        <v>1.1147448298206803</v>
      </c>
      <c r="T1097" s="1">
        <f t="shared" ref="T1097:V1097" si="2489">$S1097*P1097</f>
        <v>0.24164755323015785</v>
      </c>
      <c r="U1097" s="1">
        <f t="shared" si="2489"/>
        <v>0</v>
      </c>
      <c r="V1097" s="1">
        <f t="shared" si="2489"/>
        <v>1.0596377520787161</v>
      </c>
      <c r="W1097" s="1">
        <f t="shared" si="2467"/>
        <v>-13.200872902836943</v>
      </c>
      <c r="X1097" s="1">
        <f t="shared" si="2468"/>
        <v>0</v>
      </c>
      <c r="Y1097" s="1">
        <f t="shared" si="2469"/>
        <v>-5.6814814369600928</v>
      </c>
    </row>
    <row r="1098" spans="1:25">
      <c r="A1098" s="1">
        <v>1.0960000000000001</v>
      </c>
      <c r="B1098" s="1">
        <f t="shared" si="2470"/>
        <v>39.534346050544201</v>
      </c>
      <c r="C1098" s="1">
        <f t="shared" si="2471"/>
        <v>0</v>
      </c>
      <c r="D1098" s="1">
        <f t="shared" si="2472"/>
        <v>-1.2418838714874338</v>
      </c>
      <c r="E1098" s="1">
        <f t="shared" si="2473"/>
        <v>17.932179712073172</v>
      </c>
      <c r="F1098" s="1">
        <f t="shared" si="2474"/>
        <v>0</v>
      </c>
      <c r="G1098" s="1">
        <f t="shared" si="2475"/>
        <v>-4.098077492844161</v>
      </c>
      <c r="H1098" s="1">
        <f t="shared" si="2304"/>
        <v>18.3944912504653</v>
      </c>
      <c r="I1098" s="1">
        <f t="shared" si="2458"/>
        <v>-13.424162503959503</v>
      </c>
      <c r="J1098" s="1">
        <f t="shared" si="2459"/>
        <v>0</v>
      </c>
      <c r="K1098" s="1">
        <f t="shared" si="2460"/>
        <v>3.06785115368436</v>
      </c>
      <c r="L1098" s="1">
        <f t="shared" ref="L1098:N1098" si="2490">E1098/$H1098</f>
        <v>0.9748668483353442</v>
      </c>
      <c r="M1098" s="1">
        <f t="shared" si="2490"/>
        <v>0</v>
      </c>
      <c r="N1098" s="1">
        <f t="shared" si="2490"/>
        <v>-0.22278830314159939</v>
      </c>
      <c r="O1098" s="1">
        <f t="shared" si="2306"/>
        <v>-0.22278830314159939</v>
      </c>
      <c r="P1098" s="1">
        <f t="shared" si="2462"/>
        <v>0.21718893092963026</v>
      </c>
      <c r="Q1098" s="1">
        <f t="shared" si="2463"/>
        <v>0</v>
      </c>
      <c r="R1098" s="1">
        <f t="shared" si="2464"/>
        <v>0.95036537198328686</v>
      </c>
      <c r="S1098" s="1">
        <f t="shared" si="2465"/>
        <v>1.1133395512652762</v>
      </c>
      <c r="T1098" s="1">
        <f t="shared" ref="T1098:V1098" si="2491">$S1098*P1098</f>
        <v>0.24180502690097963</v>
      </c>
      <c r="U1098" s="1">
        <f t="shared" si="2491"/>
        <v>0</v>
      </c>
      <c r="V1098" s="1">
        <f t="shared" si="2491"/>
        <v>1.0580793567819298</v>
      </c>
      <c r="W1098" s="1">
        <f t="shared" si="2467"/>
        <v>-13.182357477058522</v>
      </c>
      <c r="X1098" s="1">
        <f t="shared" si="2468"/>
        <v>0</v>
      </c>
      <c r="Y1098" s="1">
        <f t="shared" si="2469"/>
        <v>-5.6807194895337094</v>
      </c>
    </row>
    <row r="1099" spans="1:25">
      <c r="A1099" s="1">
        <v>1.097</v>
      </c>
      <c r="B1099" s="1">
        <f t="shared" si="2470"/>
        <v>39.5522650478988</v>
      </c>
      <c r="C1099" s="1">
        <f t="shared" si="2471"/>
        <v>0</v>
      </c>
      <c r="D1099" s="1">
        <f t="shared" si="2472"/>
        <v>-1.2459876296997676</v>
      </c>
      <c r="E1099" s="1">
        <f t="shared" si="2473"/>
        <v>17.918997354596112</v>
      </c>
      <c r="F1099" s="1">
        <f t="shared" si="2474"/>
        <v>0</v>
      </c>
      <c r="G1099" s="1">
        <f t="shared" si="2475"/>
        <v>-4.1037582123336946</v>
      </c>
      <c r="H1099" s="1">
        <f t="shared" si="2304"/>
        <v>18.382907758548935</v>
      </c>
      <c r="I1099" s="1">
        <f t="shared" si="2458"/>
        <v>-13.405846761949315</v>
      </c>
      <c r="J1099" s="1">
        <f t="shared" si="2459"/>
        <v>0</v>
      </c>
      <c r="K1099" s="1">
        <f t="shared" si="2460"/>
        <v>3.0701691983076125</v>
      </c>
      <c r="L1099" s="1">
        <f t="shared" ref="L1099:N1099" si="2492">E1099/$H1099</f>
        <v>0.97476403569848291</v>
      </c>
      <c r="M1099" s="1">
        <f t="shared" si="2492"/>
        <v>0</v>
      </c>
      <c r="N1099" s="1">
        <f t="shared" si="2492"/>
        <v>-0.22323770897589637</v>
      </c>
      <c r="O1099" s="1">
        <f t="shared" si="2306"/>
        <v>-0.22323770897589637</v>
      </c>
      <c r="P1099" s="1">
        <f t="shared" si="2462"/>
        <v>0.2176040901214282</v>
      </c>
      <c r="Q1099" s="1">
        <f t="shared" si="2463"/>
        <v>0</v>
      </c>
      <c r="R1099" s="1">
        <f t="shared" si="2464"/>
        <v>0.95016492529119301</v>
      </c>
      <c r="S1099" s="1">
        <f t="shared" si="2465"/>
        <v>1.1119377947361806</v>
      </c>
      <c r="T1099" s="1">
        <f t="shared" ref="T1099:V1099" si="2493">$S1099*P1099</f>
        <v>0.24196221209519397</v>
      </c>
      <c r="U1099" s="1">
        <f t="shared" si="2493"/>
        <v>0</v>
      </c>
      <c r="V1099" s="1">
        <f t="shared" si="2493"/>
        <v>1.056524291663957</v>
      </c>
      <c r="W1099" s="1">
        <f t="shared" si="2467"/>
        <v>-13.163884549854121</v>
      </c>
      <c r="X1099" s="1">
        <f t="shared" si="2468"/>
        <v>0</v>
      </c>
      <c r="Y1099" s="1">
        <f t="shared" si="2469"/>
        <v>-5.6799565100284299</v>
      </c>
    </row>
    <row r="1100" spans="1:25">
      <c r="A1100" s="1">
        <v>1.0980000000000001</v>
      </c>
      <c r="B1100" s="1">
        <f t="shared" si="2470"/>
        <v>39.570170881368846</v>
      </c>
      <c r="C1100" s="1">
        <f t="shared" si="2471"/>
        <v>0</v>
      </c>
      <c r="D1100" s="1">
        <f t="shared" si="2472"/>
        <v>-1.2500970678686114</v>
      </c>
      <c r="E1100" s="1">
        <f t="shared" si="2473"/>
        <v>17.905833470046257</v>
      </c>
      <c r="F1100" s="1">
        <f t="shared" si="2474"/>
        <v>0</v>
      </c>
      <c r="G1100" s="1">
        <f t="shared" si="2475"/>
        <v>-4.1094381688437229</v>
      </c>
      <c r="H1100" s="1">
        <f t="shared" si="2304"/>
        <v>18.3713460127607</v>
      </c>
      <c r="I1100" s="1">
        <f t="shared" si="2458"/>
        <v>-13.387573107129619</v>
      </c>
      <c r="J1100" s="1">
        <f t="shared" si="2459"/>
        <v>0</v>
      </c>
      <c r="K1100" s="1">
        <f t="shared" si="2460"/>
        <v>3.0724849533900018</v>
      </c>
      <c r="L1100" s="1">
        <f t="shared" ref="L1100:N1100" si="2494">E1100/$H1100</f>
        <v>0.97466094523552604</v>
      </c>
      <c r="M1100" s="1">
        <f t="shared" si="2494"/>
        <v>0</v>
      </c>
      <c r="N1100" s="1">
        <f t="shared" si="2494"/>
        <v>-0.22368737521950299</v>
      </c>
      <c r="O1100" s="1">
        <f t="shared" si="2306"/>
        <v>-0.22368737521950299</v>
      </c>
      <c r="P1100" s="1">
        <f t="shared" si="2462"/>
        <v>0.21801934856869457</v>
      </c>
      <c r="Q1100" s="1">
        <f t="shared" si="2463"/>
        <v>0</v>
      </c>
      <c r="R1100" s="1">
        <f t="shared" si="2464"/>
        <v>0.94996395816740931</v>
      </c>
      <c r="S1100" s="1">
        <f t="shared" si="2465"/>
        <v>1.1105395502934805</v>
      </c>
      <c r="T1100" s="1">
        <f t="shared" ref="T1100:V1100" si="2495">$S1100*P1100</f>
        <v>0.24211910931475564</v>
      </c>
      <c r="U1100" s="1">
        <f t="shared" si="2495"/>
        <v>0</v>
      </c>
      <c r="V1100" s="1">
        <f t="shared" si="2495"/>
        <v>1.0549725468982494</v>
      </c>
      <c r="W1100" s="1">
        <f t="shared" si="2467"/>
        <v>-13.145453997814863</v>
      </c>
      <c r="X1100" s="1">
        <f t="shared" si="2468"/>
        <v>0</v>
      </c>
      <c r="Y1100" s="1">
        <f t="shared" si="2469"/>
        <v>-5.679192499711748</v>
      </c>
    </row>
    <row r="1101" spans="1:25">
      <c r="A1101" s="1">
        <v>1.099</v>
      </c>
      <c r="B1101" s="1">
        <f t="shared" si="2470"/>
        <v>39.588063569384893</v>
      </c>
      <c r="C1101" s="1">
        <f t="shared" si="2471"/>
        <v>0</v>
      </c>
      <c r="D1101" s="1">
        <f t="shared" si="2472"/>
        <v>-1.2542121852299548</v>
      </c>
      <c r="E1101" s="1">
        <f t="shared" si="2473"/>
        <v>17.892688016048442</v>
      </c>
      <c r="F1101" s="1">
        <f t="shared" si="2474"/>
        <v>0</v>
      </c>
      <c r="G1101" s="1">
        <f t="shared" si="2475"/>
        <v>-4.1151173613434349</v>
      </c>
      <c r="H1101" s="1">
        <f t="shared" si="2304"/>
        <v>18.359805972212062</v>
      </c>
      <c r="I1101" s="1">
        <f t="shared" si="2458"/>
        <v>-13.369341417036571</v>
      </c>
      <c r="J1101" s="1">
        <f t="shared" si="2459"/>
        <v>0</v>
      </c>
      <c r="K1101" s="1">
        <f t="shared" si="2460"/>
        <v>3.0747984274710043</v>
      </c>
      <c r="L1101" s="1">
        <f t="shared" ref="L1101:N1101" si="2496">E1101/$H1101</f>
        <v>0.97455757665028642</v>
      </c>
      <c r="M1101" s="1">
        <f t="shared" si="2496"/>
        <v>0</v>
      </c>
      <c r="N1101" s="1">
        <f t="shared" si="2496"/>
        <v>-0.22413730120959602</v>
      </c>
      <c r="O1101" s="1">
        <f t="shared" si="2306"/>
        <v>-0.22413730120959602</v>
      </c>
      <c r="P1101" s="1">
        <f t="shared" si="2462"/>
        <v>0.2184347051037592</v>
      </c>
      <c r="Q1101" s="1">
        <f t="shared" si="2463"/>
        <v>0</v>
      </c>
      <c r="R1101" s="1">
        <f t="shared" si="2464"/>
        <v>0.94976247020647886</v>
      </c>
      <c r="S1101" s="1">
        <f t="shared" si="2465"/>
        <v>1.1091448080331585</v>
      </c>
      <c r="T1101" s="1">
        <f t="shared" ref="T1101:V1101" si="2497">$S1101*P1101</f>
        <v>0.2422757190600886</v>
      </c>
      <c r="U1101" s="1">
        <f t="shared" si="2497"/>
        <v>0</v>
      </c>
      <c r="V1101" s="1">
        <f t="shared" si="2497"/>
        <v>1.0534241126942634</v>
      </c>
      <c r="W1101" s="1">
        <f t="shared" si="2467"/>
        <v>-13.127065697976482</v>
      </c>
      <c r="X1101" s="1">
        <f t="shared" si="2468"/>
        <v>0</v>
      </c>
      <c r="Y1101" s="1">
        <f t="shared" si="2469"/>
        <v>-5.6784274598347313</v>
      </c>
    </row>
    <row r="1102" spans="1:25">
      <c r="A1102" s="1">
        <v>1.1000000000000001</v>
      </c>
      <c r="B1102" s="1">
        <f t="shared" si="2470"/>
        <v>39.605943130335241</v>
      </c>
      <c r="C1102" s="1">
        <f t="shared" si="2471"/>
        <v>0</v>
      </c>
      <c r="D1102" s="1">
        <f t="shared" si="2472"/>
        <v>-1.258332981018758</v>
      </c>
      <c r="E1102" s="1">
        <f t="shared" si="2473"/>
        <v>17.879560950350466</v>
      </c>
      <c r="F1102" s="1">
        <f t="shared" si="2474"/>
        <v>0</v>
      </c>
      <c r="G1102" s="1">
        <f t="shared" si="2475"/>
        <v>-4.12079578880327</v>
      </c>
      <c r="H1102" s="1">
        <f t="shared" si="2304"/>
        <v>18.34828759613049</v>
      </c>
      <c r="I1102" s="1">
        <f t="shared" si="2458"/>
        <v>-13.351151569647493</v>
      </c>
      <c r="J1102" s="1">
        <f t="shared" si="2459"/>
        <v>0</v>
      </c>
      <c r="K1102" s="1">
        <f t="shared" si="2460"/>
        <v>3.0771096290705691</v>
      </c>
      <c r="L1102" s="1">
        <f t="shared" ref="L1102:N1102" si="2498">E1102/$H1102</f>
        <v>0.97445392964742528</v>
      </c>
      <c r="M1102" s="1">
        <f t="shared" si="2498"/>
        <v>0</v>
      </c>
      <c r="N1102" s="1">
        <f t="shared" si="2498"/>
        <v>-0.2245874862824972</v>
      </c>
      <c r="O1102" s="1">
        <f t="shared" si="2306"/>
        <v>-0.2245874862824972</v>
      </c>
      <c r="P1102" s="1">
        <f t="shared" si="2462"/>
        <v>0.21885015855761661</v>
      </c>
      <c r="Q1102" s="1">
        <f t="shared" si="2463"/>
        <v>0</v>
      </c>
      <c r="R1102" s="1">
        <f t="shared" si="2464"/>
        <v>0.94956046100530911</v>
      </c>
      <c r="S1102" s="1">
        <f t="shared" si="2465"/>
        <v>1.1077535580869373</v>
      </c>
      <c r="T1102" s="1">
        <f t="shared" ref="T1102:V1102" si="2499">$S1102*P1102</f>
        <v>0.24243204183009021</v>
      </c>
      <c r="U1102" s="1">
        <f t="shared" si="2499"/>
        <v>0</v>
      </c>
      <c r="V1102" s="1">
        <f t="shared" si="2499"/>
        <v>1.0518789792973036</v>
      </c>
      <c r="W1102" s="1">
        <f t="shared" si="2467"/>
        <v>-13.108719527817403</v>
      </c>
      <c r="X1102" s="1">
        <f t="shared" si="2468"/>
        <v>0</v>
      </c>
      <c r="Y1102" s="1">
        <f t="shared" si="2469"/>
        <v>-5.6776613916321264</v>
      </c>
    </row>
    <row r="1103" spans="1:25">
      <c r="A1103" s="1">
        <v>1.101</v>
      </c>
      <c r="B1103" s="1">
        <f t="shared" si="2470"/>
        <v>39.623809582566061</v>
      </c>
      <c r="C1103" s="1">
        <f t="shared" si="2471"/>
        <v>0</v>
      </c>
      <c r="D1103" s="1">
        <f t="shared" si="2472"/>
        <v>-1.2624594544689529</v>
      </c>
      <c r="E1103" s="1">
        <f t="shared" si="2473"/>
        <v>17.866452230822649</v>
      </c>
      <c r="F1103" s="1">
        <f t="shared" si="2474"/>
        <v>0</v>
      </c>
      <c r="G1103" s="1">
        <f t="shared" si="2475"/>
        <v>-4.1264734501949025</v>
      </c>
      <c r="H1103" s="1">
        <f t="shared" si="2304"/>
        <v>18.336790843858992</v>
      </c>
      <c r="I1103" s="1">
        <f t="shared" si="2458"/>
        <v>-13.33300344337891</v>
      </c>
      <c r="J1103" s="1">
        <f t="shared" si="2459"/>
        <v>0</v>
      </c>
      <c r="K1103" s="1">
        <f t="shared" si="2460"/>
        <v>3.0794185666891631</v>
      </c>
      <c r="L1103" s="1">
        <f t="shared" ref="L1103:N1103" si="2500">E1103/$H1103</f>
        <v>0.97435000393245685</v>
      </c>
      <c r="M1103" s="1">
        <f t="shared" si="2500"/>
        <v>0</v>
      </c>
      <c r="N1103" s="1">
        <f t="shared" si="2500"/>
        <v>-0.22503792977367479</v>
      </c>
      <c r="O1103" s="1">
        <f t="shared" si="2306"/>
        <v>-0.22503792977367479</v>
      </c>
      <c r="P1103" s="1">
        <f t="shared" si="2462"/>
        <v>0.21926570775993198</v>
      </c>
      <c r="Q1103" s="1">
        <f t="shared" si="2463"/>
        <v>0</v>
      </c>
      <c r="R1103" s="1">
        <f t="shared" si="2464"/>
        <v>0.9493579301631786</v>
      </c>
      <c r="S1103" s="1">
        <f t="shared" si="2465"/>
        <v>1.1063657906221227</v>
      </c>
      <c r="T1103" s="1">
        <f t="shared" ref="T1103:V1103" si="2501">$S1103*P1103</f>
        <v>0.24258807812213645</v>
      </c>
      <c r="U1103" s="1">
        <f t="shared" si="2501"/>
        <v>0</v>
      </c>
      <c r="V1103" s="1">
        <f t="shared" si="2501"/>
        <v>1.0503371369883669</v>
      </c>
      <c r="W1103" s="1">
        <f t="shared" si="2467"/>
        <v>-13.090415365256774</v>
      </c>
      <c r="X1103" s="1">
        <f t="shared" si="2468"/>
        <v>0</v>
      </c>
      <c r="Y1103" s="1">
        <f t="shared" si="2469"/>
        <v>-5.6768942963224696</v>
      </c>
    </row>
    <row r="1104" spans="1:25">
      <c r="A1104" s="1">
        <v>1.1020000000000001</v>
      </c>
      <c r="B1104" s="1">
        <f t="shared" si="2470"/>
        <v>39.641662944381515</v>
      </c>
      <c r="C1104" s="1">
        <f t="shared" si="2471"/>
        <v>0</v>
      </c>
      <c r="D1104" s="1">
        <f t="shared" si="2472"/>
        <v>-1.2665916048134442</v>
      </c>
      <c r="E1104" s="1">
        <f t="shared" si="2473"/>
        <v>17.853361815457394</v>
      </c>
      <c r="F1104" s="1">
        <f t="shared" si="2474"/>
        <v>0</v>
      </c>
      <c r="G1104" s="1">
        <f t="shared" si="2475"/>
        <v>-4.1321503444912251</v>
      </c>
      <c r="H1104" s="1">
        <f t="shared" si="2304"/>
        <v>18.325315674855673</v>
      </c>
      <c r="I1104" s="1">
        <f t="shared" si="2458"/>
        <v>-13.314896917084635</v>
      </c>
      <c r="J1104" s="1">
        <f t="shared" si="2459"/>
        <v>0</v>
      </c>
      <c r="K1104" s="1">
        <f t="shared" si="2460"/>
        <v>3.0817252488078175</v>
      </c>
      <c r="L1104" s="1">
        <f t="shared" ref="L1104:N1104" si="2502">E1104/$H1104</f>
        <v>0.97424579921175103</v>
      </c>
      <c r="M1104" s="1">
        <f t="shared" si="2502"/>
        <v>0</v>
      </c>
      <c r="N1104" s="1">
        <f t="shared" si="2502"/>
        <v>-0.22548863101774475</v>
      </c>
      <c r="O1104" s="1">
        <f t="shared" si="2306"/>
        <v>-0.22548863101774475</v>
      </c>
      <c r="P1104" s="1">
        <f t="shared" si="2462"/>
        <v>0.21968135153904636</v>
      </c>
      <c r="Q1104" s="1">
        <f t="shared" si="2463"/>
        <v>0</v>
      </c>
      <c r="R1104" s="1">
        <f t="shared" si="2464"/>
        <v>0.94915487728174341</v>
      </c>
      <c r="S1104" s="1">
        <f t="shared" si="2465"/>
        <v>1.1049814958414474</v>
      </c>
      <c r="T1104" s="1">
        <f t="shared" ref="T1104:V1104" si="2503">$S1104*P1104</f>
        <v>0.24274382843208631</v>
      </c>
      <c r="U1104" s="1">
        <f t="shared" si="2503"/>
        <v>0</v>
      </c>
      <c r="V1104" s="1">
        <f t="shared" si="2503"/>
        <v>1.0487985760839864</v>
      </c>
      <c r="W1104" s="1">
        <f t="shared" si="2467"/>
        <v>-13.072153088652549</v>
      </c>
      <c r="X1104" s="1">
        <f t="shared" si="2468"/>
        <v>0</v>
      </c>
      <c r="Y1104" s="1">
        <f t="shared" si="2469"/>
        <v>-5.6761261751081955</v>
      </c>
    </row>
    <row r="1105" spans="1:25">
      <c r="A1105" s="1">
        <v>1.103</v>
      </c>
      <c r="B1105" s="1">
        <f t="shared" si="2470"/>
        <v>39.659503234043882</v>
      </c>
      <c r="C1105" s="1">
        <f t="shared" si="2471"/>
        <v>0</v>
      </c>
      <c r="D1105" s="1">
        <f t="shared" si="2472"/>
        <v>-1.2707294312841106</v>
      </c>
      <c r="E1105" s="1">
        <f t="shared" si="2473"/>
        <v>17.84028966236874</v>
      </c>
      <c r="F1105" s="1">
        <f t="shared" si="2474"/>
        <v>0</v>
      </c>
      <c r="G1105" s="1">
        <f t="shared" si="2475"/>
        <v>-4.137826470666333</v>
      </c>
      <c r="H1105" s="1">
        <f t="shared" si="2304"/>
        <v>18.313862048693277</v>
      </c>
      <c r="I1105" s="1">
        <f t="shared" si="2458"/>
        <v>-13.296831870053849</v>
      </c>
      <c r="J1105" s="1">
        <f t="shared" si="2459"/>
        <v>0</v>
      </c>
      <c r="K1105" s="1">
        <f t="shared" si="2460"/>
        <v>3.0840296838881747</v>
      </c>
      <c r="L1105" s="1">
        <f t="shared" ref="L1105:N1105" si="2504">E1105/$H1105</f>
        <v>0.97414131519253588</v>
      </c>
      <c r="M1105" s="1">
        <f t="shared" si="2504"/>
        <v>0</v>
      </c>
      <c r="N1105" s="1">
        <f t="shared" si="2504"/>
        <v>-0.22593958934847244</v>
      </c>
      <c r="O1105" s="1">
        <f t="shared" si="2306"/>
        <v>-0.22593958934847244</v>
      </c>
      <c r="P1105" s="1">
        <f t="shared" si="2462"/>
        <v>0.22009708872198241</v>
      </c>
      <c r="Q1105" s="1">
        <f t="shared" si="2463"/>
        <v>0</v>
      </c>
      <c r="R1105" s="1">
        <f t="shared" si="2464"/>
        <v>0.94895130196504363</v>
      </c>
      <c r="S1105" s="1">
        <f t="shared" si="2465"/>
        <v>1.1036006639829152</v>
      </c>
      <c r="T1105" s="1">
        <f t="shared" ref="T1105:V1105" si="2505">$S1105*P1105</f>
        <v>0.24289929325428639</v>
      </c>
      <c r="U1105" s="1">
        <f t="shared" si="2505"/>
        <v>0</v>
      </c>
      <c r="V1105" s="1">
        <f t="shared" si="2505"/>
        <v>1.0472632869360741</v>
      </c>
      <c r="W1105" s="1">
        <f t="shared" si="2467"/>
        <v>-13.053932576799562</v>
      </c>
      <c r="X1105" s="1">
        <f t="shared" si="2468"/>
        <v>0</v>
      </c>
      <c r="Y1105" s="1">
        <f t="shared" si="2469"/>
        <v>-5.6753570291757507</v>
      </c>
    </row>
    <row r="1106" spans="1:25">
      <c r="A1106" s="1">
        <v>1.1040000000000001</v>
      </c>
      <c r="B1106" s="1">
        <f t="shared" si="2470"/>
        <v>39.677330469773672</v>
      </c>
      <c r="C1106" s="1">
        <f t="shared" si="2471"/>
        <v>0</v>
      </c>
      <c r="D1106" s="1">
        <f t="shared" si="2472"/>
        <v>-1.2748729331118061</v>
      </c>
      <c r="E1106" s="1">
        <f t="shared" si="2473"/>
        <v>17.827235729791941</v>
      </c>
      <c r="F1106" s="1">
        <f t="shared" si="2474"/>
        <v>0</v>
      </c>
      <c r="G1106" s="1">
        <f t="shared" si="2475"/>
        <v>-4.1435018276955091</v>
      </c>
      <c r="H1106" s="1">
        <f t="shared" si="2304"/>
        <v>18.30242992505876</v>
      </c>
      <c r="I1106" s="1">
        <f t="shared" si="2458"/>
        <v>-13.278808182009211</v>
      </c>
      <c r="J1106" s="1">
        <f t="shared" si="2459"/>
        <v>0</v>
      </c>
      <c r="K1106" s="1">
        <f t="shared" si="2460"/>
        <v>3.0863318803725375</v>
      </c>
      <c r="L1106" s="1">
        <f t="shared" ref="L1106:N1106" si="2506">E1106/$H1106</f>
        <v>0.9740365515829017</v>
      </c>
      <c r="M1106" s="1">
        <f t="shared" si="2506"/>
        <v>0</v>
      </c>
      <c r="N1106" s="1">
        <f t="shared" si="2506"/>
        <v>-0.22639080409877357</v>
      </c>
      <c r="O1106" s="1">
        <f t="shared" si="2306"/>
        <v>-0.22639080409877357</v>
      </c>
      <c r="P1106" s="1">
        <f t="shared" si="2462"/>
        <v>0.22051291813444965</v>
      </c>
      <c r="Q1106" s="1">
        <f t="shared" si="2463"/>
        <v>0</v>
      </c>
      <c r="R1106" s="1">
        <f t="shared" si="2464"/>
        <v>0.94874720381951072</v>
      </c>
      <c r="S1106" s="1">
        <f t="shared" si="2465"/>
        <v>1.102223285319649</v>
      </c>
      <c r="T1106" s="1">
        <f t="shared" ref="T1106:V1106" si="2507">$S1106*P1106</f>
        <v>0.24305447308157588</v>
      </c>
      <c r="U1106" s="1">
        <f t="shared" si="2507"/>
        <v>0</v>
      </c>
      <c r="V1106" s="1">
        <f t="shared" si="2507"/>
        <v>1.0457312599317716</v>
      </c>
      <c r="W1106" s="1">
        <f t="shared" si="2467"/>
        <v>-13.035753708927635</v>
      </c>
      <c r="X1106" s="1">
        <f t="shared" si="2468"/>
        <v>0</v>
      </c>
      <c r="Y1106" s="1">
        <f t="shared" si="2469"/>
        <v>-5.6745868596956903</v>
      </c>
    </row>
    <row r="1107" spans="1:25">
      <c r="A1107" s="1">
        <v>1.105</v>
      </c>
      <c r="B1107" s="1">
        <f t="shared" si="2470"/>
        <v>39.695144669749752</v>
      </c>
      <c r="C1107" s="1">
        <f t="shared" si="2471"/>
        <v>0</v>
      </c>
      <c r="D1107" s="1">
        <f t="shared" si="2472"/>
        <v>-1.2790221095263612</v>
      </c>
      <c r="E1107" s="1">
        <f t="shared" si="2473"/>
        <v>17.814199976083014</v>
      </c>
      <c r="F1107" s="1">
        <f t="shared" si="2474"/>
        <v>0</v>
      </c>
      <c r="G1107" s="1">
        <f t="shared" si="2475"/>
        <v>-4.149176414555205</v>
      </c>
      <c r="H1107" s="1">
        <f t="shared" si="2304"/>
        <v>18.291019263752833</v>
      </c>
      <c r="I1107" s="1">
        <f t="shared" si="2458"/>
        <v>-13.260825733104934</v>
      </c>
      <c r="J1107" s="1">
        <f t="shared" si="2459"/>
        <v>0</v>
      </c>
      <c r="K1107" s="1">
        <f t="shared" si="2460"/>
        <v>3.0886318466839091</v>
      </c>
      <c r="L1107" s="1">
        <f t="shared" ref="L1107:N1107" si="2508">E1107/$H1107</f>
        <v>0.97393150809180284</v>
      </c>
      <c r="M1107" s="1">
        <f t="shared" si="2508"/>
        <v>0</v>
      </c>
      <c r="N1107" s="1">
        <f t="shared" si="2508"/>
        <v>-0.22684227460071593</v>
      </c>
      <c r="O1107" s="1">
        <f t="shared" si="2306"/>
        <v>-0.22684227460071593</v>
      </c>
      <c r="P1107" s="1">
        <f t="shared" si="2462"/>
        <v>0.22092883860085014</v>
      </c>
      <c r="Q1107" s="1">
        <f t="shared" si="2463"/>
        <v>0</v>
      </c>
      <c r="R1107" s="1">
        <f t="shared" si="2464"/>
        <v>0.94854258245397338</v>
      </c>
      <c r="S1107" s="1">
        <f t="shared" si="2465"/>
        <v>1.1008493501597354</v>
      </c>
      <c r="T1107" s="1">
        <f t="shared" ref="T1107:V1107" si="2509">$S1107*P1107</f>
        <v>0.24320936840529095</v>
      </c>
      <c r="U1107" s="1">
        <f t="shared" si="2509"/>
        <v>0</v>
      </c>
      <c r="V1107" s="1">
        <f t="shared" si="2509"/>
        <v>1.0442024854932939</v>
      </c>
      <c r="W1107" s="1">
        <f t="shared" si="2467"/>
        <v>-13.017616364699643</v>
      </c>
      <c r="X1107" s="1">
        <f t="shared" si="2468"/>
        <v>0</v>
      </c>
      <c r="Y1107" s="1">
        <f t="shared" si="2469"/>
        <v>-5.6738156678227964</v>
      </c>
    </row>
    <row r="1108" spans="1:25">
      <c r="A1108" s="1">
        <v>1.1060000000000001</v>
      </c>
      <c r="B1108" s="1">
        <f t="shared" si="2470"/>
        <v>39.71294585210947</v>
      </c>
      <c r="C1108" s="1">
        <f t="shared" si="2471"/>
        <v>0</v>
      </c>
      <c r="D1108" s="1">
        <f t="shared" si="2472"/>
        <v>-1.2831769597565843</v>
      </c>
      <c r="E1108" s="1">
        <f t="shared" si="2473"/>
        <v>17.801182359718315</v>
      </c>
      <c r="F1108" s="1">
        <f t="shared" si="2474"/>
        <v>0</v>
      </c>
      <c r="G1108" s="1">
        <f t="shared" si="2475"/>
        <v>-4.1548502302230279</v>
      </c>
      <c r="H1108" s="1">
        <f t="shared" si="2304"/>
        <v>18.279630024689528</v>
      </c>
      <c r="I1108" s="1">
        <f t="shared" si="2458"/>
        <v>-13.242884403924924</v>
      </c>
      <c r="J1108" s="1">
        <f t="shared" si="2459"/>
        <v>0</v>
      </c>
      <c r="K1108" s="1">
        <f t="shared" si="2460"/>
        <v>3.090929591226045</v>
      </c>
      <c r="L1108" s="1">
        <f t="shared" ref="L1108:N1108" si="2510">E1108/$H1108</f>
        <v>0.97382618442906155</v>
      </c>
      <c r="M1108" s="1">
        <f t="shared" si="2510"/>
        <v>0</v>
      </c>
      <c r="N1108" s="1">
        <f t="shared" si="2510"/>
        <v>-0.22729400018552051</v>
      </c>
      <c r="O1108" s="1">
        <f t="shared" si="2306"/>
        <v>-0.22729400018552051</v>
      </c>
      <c r="P1108" s="1">
        <f t="shared" si="2462"/>
        <v>0.22134484894428386</v>
      </c>
      <c r="Q1108" s="1">
        <f t="shared" si="2463"/>
        <v>0</v>
      </c>
      <c r="R1108" s="1">
        <f t="shared" si="2464"/>
        <v>0.94833743747966459</v>
      </c>
      <c r="S1108" s="1">
        <f t="shared" si="2465"/>
        <v>1.0994788488460727</v>
      </c>
      <c r="T1108" s="1">
        <f t="shared" ref="T1108:V1108" si="2511">$S1108*P1108</f>
        <v>0.24336397971526907</v>
      </c>
      <c r="U1108" s="1">
        <f t="shared" si="2511"/>
        <v>0</v>
      </c>
      <c r="V1108" s="1">
        <f t="shared" si="2511"/>
        <v>1.0426769540777761</v>
      </c>
      <c r="W1108" s="1">
        <f t="shared" si="2467"/>
        <v>-12.999520424209654</v>
      </c>
      <c r="X1108" s="1">
        <f t="shared" si="2468"/>
        <v>0</v>
      </c>
      <c r="Y1108" s="1">
        <f t="shared" si="2469"/>
        <v>-5.6730434546961783</v>
      </c>
    </row>
    <row r="1109" spans="1:25">
      <c r="A1109" s="1">
        <v>1.107</v>
      </c>
      <c r="B1109" s="1">
        <f t="shared" si="2470"/>
        <v>39.730734034948767</v>
      </c>
      <c r="C1109" s="1">
        <f t="shared" si="2471"/>
        <v>0</v>
      </c>
      <c r="D1109" s="1">
        <f t="shared" si="2472"/>
        <v>-1.287337483030262</v>
      </c>
      <c r="E1109" s="1">
        <f t="shared" si="2473"/>
        <v>17.788182839294105</v>
      </c>
      <c r="F1109" s="1">
        <f t="shared" si="2474"/>
        <v>0</v>
      </c>
      <c r="G1109" s="1">
        <f t="shared" si="2475"/>
        <v>-4.1605232736777245</v>
      </c>
      <c r="H1109" s="1">
        <f t="shared" si="2304"/>
        <v>18.268262167895752</v>
      </c>
      <c r="I1109" s="1">
        <f t="shared" si="2458"/>
        <v>-13.224984075480888</v>
      </c>
      <c r="J1109" s="1">
        <f t="shared" si="2459"/>
        <v>0</v>
      </c>
      <c r="K1109" s="1">
        <f t="shared" si="2460"/>
        <v>3.0932251223834966</v>
      </c>
      <c r="L1109" s="1">
        <f t="shared" ref="L1109:N1109" si="2512">E1109/$H1109</f>
        <v>0.9737205803053709</v>
      </c>
      <c r="M1109" s="1">
        <f t="shared" si="2512"/>
        <v>0</v>
      </c>
      <c r="N1109" s="1">
        <f t="shared" si="2512"/>
        <v>-0.22774598018356326</v>
      </c>
      <c r="O1109" s="1">
        <f t="shared" si="2306"/>
        <v>-0.22774598018356326</v>
      </c>
      <c r="P1109" s="1">
        <f t="shared" si="2462"/>
        <v>0.22176094798655471</v>
      </c>
      <c r="Q1109" s="1">
        <f t="shared" si="2463"/>
        <v>0</v>
      </c>
      <c r="R1109" s="1">
        <f t="shared" si="2464"/>
        <v>0.94813176851022796</v>
      </c>
      <c r="S1109" s="1">
        <f t="shared" si="2465"/>
        <v>1.0981117717562194</v>
      </c>
      <c r="T1109" s="1">
        <f t="shared" ref="T1109:V1109" si="2513">$S1109*P1109</f>
        <v>0.24351830749985443</v>
      </c>
      <c r="U1109" s="1">
        <f t="shared" si="2513"/>
        <v>0</v>
      </c>
      <c r="V1109" s="1">
        <f t="shared" si="2513"/>
        <v>1.0411546561771241</v>
      </c>
      <c r="W1109" s="1">
        <f t="shared" si="2467"/>
        <v>-12.981465767981033</v>
      </c>
      <c r="X1109" s="1">
        <f t="shared" si="2468"/>
        <v>0</v>
      </c>
      <c r="Y1109" s="1">
        <f t="shared" si="2469"/>
        <v>-5.672270221439379</v>
      </c>
    </row>
    <row r="1110" spans="1:25">
      <c r="A1110" s="1">
        <v>1.1080000000000001</v>
      </c>
      <c r="B1110" s="1">
        <f t="shared" si="2470"/>
        <v>39.748509236322292</v>
      </c>
      <c r="C1110" s="1">
        <f t="shared" si="2471"/>
        <v>0</v>
      </c>
      <c r="D1110" s="1">
        <f t="shared" si="2472"/>
        <v>-1.2915036785741612</v>
      </c>
      <c r="E1110" s="1">
        <f t="shared" si="2473"/>
        <v>17.775201373526123</v>
      </c>
      <c r="F1110" s="1">
        <f t="shared" si="2474"/>
        <v>0</v>
      </c>
      <c r="G1110" s="1">
        <f t="shared" si="2475"/>
        <v>-4.166195543899164</v>
      </c>
      <c r="H1110" s="1">
        <f t="shared" si="2304"/>
        <v>18.25691565351087</v>
      </c>
      <c r="I1110" s="1">
        <f t="shared" si="2458"/>
        <v>-13.207124629210481</v>
      </c>
      <c r="J1110" s="1">
        <f t="shared" si="2459"/>
        <v>0</v>
      </c>
      <c r="K1110" s="1">
        <f t="shared" si="2460"/>
        <v>3.0955184485216565</v>
      </c>
      <c r="L1110" s="1">
        <f t="shared" ref="L1110:N1110" si="2514">E1110/$H1110</f>
        <v>0.97361469543229706</v>
      </c>
      <c r="M1110" s="1">
        <f t="shared" si="2514"/>
        <v>0</v>
      </c>
      <c r="N1110" s="1">
        <f t="shared" si="2514"/>
        <v>-0.22819821392437609</v>
      </c>
      <c r="O1110" s="1">
        <f t="shared" si="2306"/>
        <v>-0.22819821392437609</v>
      </c>
      <c r="P1110" s="1">
        <f t="shared" si="2462"/>
        <v>0.22217713454817559</v>
      </c>
      <c r="Q1110" s="1">
        <f t="shared" si="2463"/>
        <v>0</v>
      </c>
      <c r="R1110" s="1">
        <f t="shared" si="2464"/>
        <v>0.94792557516172471</v>
      </c>
      <c r="S1110" s="1">
        <f t="shared" si="2465"/>
        <v>1.0967481093022435</v>
      </c>
      <c r="T1110" s="1">
        <f t="shared" ref="T1110:V1110" si="2515">$S1110*P1110</f>
        <v>0.24367235224590175</v>
      </c>
      <c r="U1110" s="1">
        <f t="shared" si="2515"/>
        <v>0</v>
      </c>
      <c r="V1110" s="1">
        <f t="shared" si="2515"/>
        <v>1.0396355823178633</v>
      </c>
      <c r="W1110" s="1">
        <f t="shared" si="2467"/>
        <v>-12.963452276964579</v>
      </c>
      <c r="X1110" s="1">
        <f t="shared" si="2468"/>
        <v>0</v>
      </c>
      <c r="Y1110" s="1">
        <f t="shared" si="2469"/>
        <v>-5.67149596916048</v>
      </c>
    </row>
    <row r="1111" spans="1:25">
      <c r="A1111" s="1">
        <v>1.109</v>
      </c>
      <c r="B1111" s="1">
        <f t="shared" si="2470"/>
        <v>39.766271474243538</v>
      </c>
      <c r="C1111" s="1">
        <f t="shared" si="2471"/>
        <v>0</v>
      </c>
      <c r="D1111" s="1">
        <f t="shared" si="2472"/>
        <v>-1.2956755456140294</v>
      </c>
      <c r="E1111" s="1">
        <f t="shared" si="2473"/>
        <v>17.762237921249159</v>
      </c>
      <c r="F1111" s="1">
        <f t="shared" si="2474"/>
        <v>0</v>
      </c>
      <c r="G1111" s="1">
        <f t="shared" si="2475"/>
        <v>-4.1718670398683244</v>
      </c>
      <c r="H1111" s="1">
        <f t="shared" si="2304"/>
        <v>18.245590441786238</v>
      </c>
      <c r="I1111" s="1">
        <f t="shared" si="2458"/>
        <v>-13.189305946975427</v>
      </c>
      <c r="J1111" s="1">
        <f t="shared" si="2459"/>
        <v>0</v>
      </c>
      <c r="K1111" s="1">
        <f t="shared" si="2460"/>
        <v>3.0978095779868036</v>
      </c>
      <c r="L1111" s="1">
        <f t="shared" ref="L1111:N1111" si="2516">E1111/$H1111</f>
        <v>0.97350852952228395</v>
      </c>
      <c r="M1111" s="1">
        <f t="shared" si="2516"/>
        <v>0</v>
      </c>
      <c r="N1111" s="1">
        <f t="shared" si="2516"/>
        <v>-0.22865070073664878</v>
      </c>
      <c r="O1111" s="1">
        <f t="shared" si="2306"/>
        <v>-0.22865070073664878</v>
      </c>
      <c r="P1111" s="1">
        <f t="shared" si="2462"/>
        <v>0.22259340744837477</v>
      </c>
      <c r="Q1111" s="1">
        <f t="shared" si="2463"/>
        <v>0</v>
      </c>
      <c r="R1111" s="1">
        <f t="shared" si="2464"/>
        <v>0.94771885705263947</v>
      </c>
      <c r="S1111" s="1">
        <f t="shared" si="2465"/>
        <v>1.09538785193057</v>
      </c>
      <c r="T1111" s="1">
        <f t="shared" ref="T1111:V1111" si="2517">$S1111*P1111</f>
        <v>0.24382611443878138</v>
      </c>
      <c r="U1111" s="1">
        <f t="shared" si="2517"/>
        <v>0</v>
      </c>
      <c r="V1111" s="1">
        <f t="shared" si="2517"/>
        <v>1.0381197230609858</v>
      </c>
      <c r="W1111" s="1">
        <f t="shared" si="2467"/>
        <v>-12.945479832536646</v>
      </c>
      <c r="X1111" s="1">
        <f t="shared" si="2468"/>
        <v>0</v>
      </c>
      <c r="Y1111" s="1">
        <f t="shared" si="2469"/>
        <v>-5.6707206989522101</v>
      </c>
    </row>
    <row r="1112" spans="1:25">
      <c r="A1112" s="1">
        <v>1.1100000000000001</v>
      </c>
      <c r="B1112" s="1">
        <f t="shared" si="2470"/>
        <v>39.784020766684954</v>
      </c>
      <c r="C1112" s="1">
        <f t="shared" si="2471"/>
        <v>0</v>
      </c>
      <c r="D1112" s="1">
        <f t="shared" si="2472"/>
        <v>-1.2998530833745967</v>
      </c>
      <c r="E1112" s="1">
        <f t="shared" si="2473"/>
        <v>17.749292441416621</v>
      </c>
      <c r="F1112" s="1">
        <f t="shared" si="2474"/>
        <v>0</v>
      </c>
      <c r="G1112" s="1">
        <f t="shared" si="2475"/>
        <v>-4.1775377605672768</v>
      </c>
      <c r="H1112" s="1">
        <f t="shared" si="2304"/>
        <v>18.234286493084795</v>
      </c>
      <c r="I1112" s="1">
        <f t="shared" si="2458"/>
        <v>-13.171527911059684</v>
      </c>
      <c r="J1112" s="1">
        <f t="shared" si="2459"/>
        <v>0</v>
      </c>
      <c r="K1112" s="1">
        <f t="shared" si="2460"/>
        <v>3.1000985191061501</v>
      </c>
      <c r="L1112" s="1">
        <f t="shared" ref="L1112:N1112" si="2518">E1112/$H1112</f>
        <v>0.97340208228865421</v>
      </c>
      <c r="M1112" s="1">
        <f t="shared" si="2518"/>
        <v>0</v>
      </c>
      <c r="N1112" s="1">
        <f t="shared" si="2518"/>
        <v>-0.22910343994823015</v>
      </c>
      <c r="O1112" s="1">
        <f t="shared" si="2306"/>
        <v>-0.22910343994823015</v>
      </c>
      <c r="P1112" s="1">
        <f t="shared" si="2462"/>
        <v>0.22300976550510088</v>
      </c>
      <c r="Q1112" s="1">
        <f t="shared" si="2463"/>
        <v>0</v>
      </c>
      <c r="R1112" s="1">
        <f t="shared" si="2464"/>
        <v>0.94751161380388771</v>
      </c>
      <c r="S1112" s="1">
        <f t="shared" si="2465"/>
        <v>1.0940309901218332</v>
      </c>
      <c r="T1112" s="1">
        <f t="shared" ref="T1112:V1112" si="2519">$S1112*P1112</f>
        <v>0.24397959456238336</v>
      </c>
      <c r="U1112" s="1">
        <f t="shared" si="2519"/>
        <v>0</v>
      </c>
      <c r="V1112" s="1">
        <f t="shared" si="2519"/>
        <v>1.0366070690018034</v>
      </c>
      <c r="W1112" s="1">
        <f t="shared" si="2467"/>
        <v>-12.927548316497301</v>
      </c>
      <c r="X1112" s="1">
        <f t="shared" si="2468"/>
        <v>0</v>
      </c>
      <c r="Y1112" s="1">
        <f t="shared" si="2469"/>
        <v>-5.6699444118920459</v>
      </c>
    </row>
    <row r="1113" spans="1:25">
      <c r="A1113" s="1">
        <v>1.111</v>
      </c>
      <c r="B1113" s="1">
        <f t="shared" si="2470"/>
        <v>39.801757131578057</v>
      </c>
      <c r="C1113" s="1">
        <f t="shared" si="2471"/>
        <v>0</v>
      </c>
      <c r="D1113" s="1">
        <f t="shared" si="2472"/>
        <v>-1.304036291079576</v>
      </c>
      <c r="E1113" s="1">
        <f t="shared" si="2473"/>
        <v>17.736364893100124</v>
      </c>
      <c r="F1113" s="1">
        <f t="shared" si="2474"/>
        <v>0</v>
      </c>
      <c r="G1113" s="1">
        <f t="shared" si="2475"/>
        <v>-4.1832077049791687</v>
      </c>
      <c r="H1113" s="1">
        <f t="shared" si="2304"/>
        <v>18.22300376788063</v>
      </c>
      <c r="I1113" s="1">
        <f t="shared" si="2458"/>
        <v>-13.153790404167619</v>
      </c>
      <c r="J1113" s="1">
        <f t="shared" si="2459"/>
        <v>0</v>
      </c>
      <c r="K1113" s="1">
        <f t="shared" si="2460"/>
        <v>3.1023852801878875</v>
      </c>
      <c r="L1113" s="1">
        <f t="shared" ref="L1113:N1113" si="2520">E1113/$H1113</f>
        <v>0.97329535344561346</v>
      </c>
      <c r="M1113" s="1">
        <f t="shared" si="2520"/>
        <v>0</v>
      </c>
      <c r="N1113" s="1">
        <f t="shared" si="2520"/>
        <v>-0.22955643088612956</v>
      </c>
      <c r="O1113" s="1">
        <f t="shared" si="2306"/>
        <v>-0.22955643088612956</v>
      </c>
      <c r="P1113" s="1">
        <f t="shared" si="2462"/>
        <v>0.22342620753502901</v>
      </c>
      <c r="Q1113" s="1">
        <f t="shared" si="2463"/>
        <v>0</v>
      </c>
      <c r="R1113" s="1">
        <f t="shared" si="2464"/>
        <v>0.94730384503882159</v>
      </c>
      <c r="S1113" s="1">
        <f t="shared" si="2465"/>
        <v>1.0926775143907288</v>
      </c>
      <c r="T1113" s="1">
        <f t="shared" ref="T1113:V1113" si="2521">$S1113*P1113</f>
        <v>0.24413279309912261</v>
      </c>
      <c r="U1113" s="1">
        <f t="shared" si="2521"/>
        <v>0</v>
      </c>
      <c r="V1113" s="1">
        <f t="shared" si="2521"/>
        <v>1.0350976107697998</v>
      </c>
      <c r="W1113" s="1">
        <f t="shared" si="2467"/>
        <v>-12.909657611068496</v>
      </c>
      <c r="X1113" s="1">
        <f t="shared" si="2468"/>
        <v>0</v>
      </c>
      <c r="Y1113" s="1">
        <f t="shared" si="2469"/>
        <v>-5.6691671090423119</v>
      </c>
    </row>
    <row r="1114" spans="1:25">
      <c r="A1114" s="1">
        <v>1.1120000000000001</v>
      </c>
      <c r="B1114" s="1">
        <f t="shared" si="2470"/>
        <v>39.819480586813548</v>
      </c>
      <c r="C1114" s="1">
        <f t="shared" si="2471"/>
        <v>0</v>
      </c>
      <c r="D1114" s="1">
        <f t="shared" si="2472"/>
        <v>-1.3082251679516641</v>
      </c>
      <c r="E1114" s="1">
        <f t="shared" si="2473"/>
        <v>17.723455235489055</v>
      </c>
      <c r="F1114" s="1">
        <f t="shared" si="2474"/>
        <v>0</v>
      </c>
      <c r="G1114" s="1">
        <f t="shared" si="2475"/>
        <v>-4.188876872088211</v>
      </c>
      <c r="H1114" s="1">
        <f t="shared" si="2304"/>
        <v>18.211742226758535</v>
      </c>
      <c r="I1114" s="1">
        <f t="shared" si="2458"/>
        <v>-13.13609330942214</v>
      </c>
      <c r="J1114" s="1">
        <f t="shared" si="2459"/>
        <v>0</v>
      </c>
      <c r="K1114" s="1">
        <f t="shared" si="2460"/>
        <v>3.104669869521226</v>
      </c>
      <c r="L1114" s="1">
        <f t="shared" ref="L1114:N1114" si="2522">E1114/$H1114</f>
        <v>0.97318834270825338</v>
      </c>
      <c r="M1114" s="1">
        <f t="shared" si="2522"/>
        <v>0</v>
      </c>
      <c r="N1114" s="1">
        <f t="shared" si="2522"/>
        <v>-0.23000967287651861</v>
      </c>
      <c r="O1114" s="1">
        <f t="shared" si="2306"/>
        <v>-0.23000967287651861</v>
      </c>
      <c r="P1114" s="1">
        <f t="shared" si="2462"/>
        <v>0.22384273235356664</v>
      </c>
      <c r="Q1114" s="1">
        <f t="shared" si="2463"/>
        <v>0</v>
      </c>
      <c r="R1114" s="1">
        <f t="shared" si="2464"/>
        <v>0.94709555038323689</v>
      </c>
      <c r="S1114" s="1">
        <f t="shared" si="2465"/>
        <v>1.0913274152858627</v>
      </c>
      <c r="T1114" s="1">
        <f t="shared" ref="T1114:V1114" si="2523">$S1114*P1114</f>
        <v>0.24428571052994305</v>
      </c>
      <c r="U1114" s="1">
        <f t="shared" si="2523"/>
        <v>0</v>
      </c>
      <c r="V1114" s="1">
        <f t="shared" si="2523"/>
        <v>1.0335913390284794</v>
      </c>
      <c r="W1114" s="1">
        <f t="shared" si="2467"/>
        <v>-12.891807598892196</v>
      </c>
      <c r="X1114" s="1">
        <f t="shared" si="2468"/>
        <v>0</v>
      </c>
      <c r="Y1114" s="1">
        <f t="shared" si="2469"/>
        <v>-5.668388791450294</v>
      </c>
    </row>
    <row r="1115" spans="1:25">
      <c r="A1115" s="1">
        <v>1.113</v>
      </c>
      <c r="B1115" s="1">
        <f t="shared" si="2470"/>
        <v>39.837191150241438</v>
      </c>
      <c r="C1115" s="1">
        <f t="shared" si="2471"/>
        <v>0</v>
      </c>
      <c r="D1115" s="1">
        <f t="shared" si="2472"/>
        <v>-1.3124197132125437</v>
      </c>
      <c r="E1115" s="1">
        <f t="shared" si="2473"/>
        <v>17.710563427890165</v>
      </c>
      <c r="F1115" s="1">
        <f t="shared" si="2474"/>
        <v>0</v>
      </c>
      <c r="G1115" s="1">
        <f t="shared" si="2475"/>
        <v>-4.1945452608796616</v>
      </c>
      <c r="H1115" s="1">
        <f t="shared" si="2304"/>
        <v>18.200501830413597</v>
      </c>
      <c r="I1115" s="1">
        <f t="shared" si="2458"/>
        <v>-13.118436510362921</v>
      </c>
      <c r="J1115" s="1">
        <f t="shared" si="2459"/>
        <v>0</v>
      </c>
      <c r="K1115" s="1">
        <f t="shared" si="2460"/>
        <v>3.1069522953764479</v>
      </c>
      <c r="L1115" s="1">
        <f t="shared" ref="L1115:N1115" si="2524">E1115/$H1115</f>
        <v>0.97308104979255405</v>
      </c>
      <c r="M1115" s="1">
        <f t="shared" si="2524"/>
        <v>0</v>
      </c>
      <c r="N1115" s="1">
        <f t="shared" si="2524"/>
        <v>-0.23046316524473232</v>
      </c>
      <c r="O1115" s="1">
        <f t="shared" si="2306"/>
        <v>-0.23046316524473232</v>
      </c>
      <c r="P1115" s="1">
        <f t="shared" si="2462"/>
        <v>0.22425933877485899</v>
      </c>
      <c r="Q1115" s="1">
        <f t="shared" si="2463"/>
        <v>0</v>
      </c>
      <c r="R1115" s="1">
        <f t="shared" si="2464"/>
        <v>0.94688672946537922</v>
      </c>
      <c r="S1115" s="1">
        <f t="shared" si="2465"/>
        <v>1.0899806833896064</v>
      </c>
      <c r="T1115" s="1">
        <f t="shared" ref="T1115:V1115" si="2525">$S1115*P1115</f>
        <v>0.24443834733432204</v>
      </c>
      <c r="U1115" s="1">
        <f t="shared" si="2525"/>
        <v>0</v>
      </c>
      <c r="V1115" s="1">
        <f t="shared" si="2525"/>
        <v>1.0320882444752233</v>
      </c>
      <c r="W1115" s="1">
        <f t="shared" si="2467"/>
        <v>-12.873998163028599</v>
      </c>
      <c r="X1115" s="1">
        <f t="shared" si="2468"/>
        <v>0</v>
      </c>
      <c r="Y1115" s="1">
        <f t="shared" si="2469"/>
        <v>-5.667609460148328</v>
      </c>
    </row>
    <row r="1116" spans="1:25">
      <c r="A1116" s="1">
        <v>1.1140000000000001</v>
      </c>
      <c r="B1116" s="1">
        <f t="shared" si="2470"/>
        <v>39.854888839671162</v>
      </c>
      <c r="C1116" s="1">
        <f t="shared" si="2471"/>
        <v>0</v>
      </c>
      <c r="D1116" s="1">
        <f t="shared" si="2472"/>
        <v>-1.3166199260828835</v>
      </c>
      <c r="E1116" s="1">
        <f t="shared" si="2473"/>
        <v>17.697689429727134</v>
      </c>
      <c r="F1116" s="1">
        <f t="shared" si="2474"/>
        <v>0</v>
      </c>
      <c r="G1116" s="1">
        <f t="shared" si="2475"/>
        <v>-4.2002128703398096</v>
      </c>
      <c r="H1116" s="1">
        <f t="shared" si="2304"/>
        <v>18.189282539650751</v>
      </c>
      <c r="I1116" s="1">
        <f t="shared" si="2458"/>
        <v>-13.100819890944541</v>
      </c>
      <c r="J1116" s="1">
        <f t="shared" si="2459"/>
        <v>0</v>
      </c>
      <c r="K1116" s="1">
        <f t="shared" si="2460"/>
        <v>3.1092325660049425</v>
      </c>
      <c r="L1116" s="1">
        <f t="shared" ref="L1116:N1116" si="2526">E1116/$H1116</f>
        <v>0.97297347441538751</v>
      </c>
      <c r="M1116" s="1">
        <f t="shared" si="2526"/>
        <v>0</v>
      </c>
      <c r="N1116" s="1">
        <f t="shared" si="2526"/>
        <v>-0.23091690731527101</v>
      </c>
      <c r="O1116" s="1">
        <f t="shared" si="2306"/>
        <v>-0.23091690731527101</v>
      </c>
      <c r="P1116" s="1">
        <f t="shared" si="2462"/>
        <v>0.22467602561179525</v>
      </c>
      <c r="Q1116" s="1">
        <f t="shared" si="2463"/>
        <v>0</v>
      </c>
      <c r="R1116" s="1">
        <f t="shared" si="2464"/>
        <v>0.94667738191595052</v>
      </c>
      <c r="S1116" s="1">
        <f t="shared" si="2465"/>
        <v>1.0886373093179487</v>
      </c>
      <c r="T1116" s="1">
        <f t="shared" ref="T1116:V1116" si="2527">$S1116*P1116</f>
        <v>0.2445907039902753</v>
      </c>
      <c r="U1116" s="1">
        <f t="shared" si="2527"/>
        <v>0</v>
      </c>
      <c r="V1116" s="1">
        <f t="shared" si="2527"/>
        <v>1.0305883178411404</v>
      </c>
      <c r="W1116" s="1">
        <f t="shared" si="2467"/>
        <v>-12.856229186954266</v>
      </c>
      <c r="X1116" s="1">
        <f t="shared" si="2468"/>
        <v>0</v>
      </c>
      <c r="Y1116" s="1">
        <f t="shared" si="2469"/>
        <v>-5.6668291161539166</v>
      </c>
    </row>
    <row r="1117" spans="1:25">
      <c r="A1117" s="1">
        <v>1.115</v>
      </c>
      <c r="B1117" s="1">
        <f t="shared" si="2470"/>
        <v>39.872573672871702</v>
      </c>
      <c r="C1117" s="1">
        <f t="shared" si="2471"/>
        <v>0</v>
      </c>
      <c r="D1117" s="1">
        <f t="shared" si="2472"/>
        <v>-1.3208258057823394</v>
      </c>
      <c r="E1117" s="1">
        <f t="shared" si="2473"/>
        <v>17.684833200540179</v>
      </c>
      <c r="F1117" s="1">
        <f t="shared" si="2474"/>
        <v>0</v>
      </c>
      <c r="G1117" s="1">
        <f t="shared" si="2475"/>
        <v>-4.2058796994559637</v>
      </c>
      <c r="H1117" s="1">
        <f t="shared" si="2304"/>
        <v>18.178084315384393</v>
      </c>
      <c r="I1117" s="1">
        <f t="shared" si="2458"/>
        <v>-13.083243335534739</v>
      </c>
      <c r="J1117" s="1">
        <f t="shared" si="2459"/>
        <v>0</v>
      </c>
      <c r="K1117" s="1">
        <f t="shared" si="2460"/>
        <v>3.1115106896392621</v>
      </c>
      <c r="L1117" s="1">
        <f t="shared" ref="L1117:N1117" si="2528">E1117/$H1117</f>
        <v>0.97286561629451973</v>
      </c>
      <c r="M1117" s="1">
        <f t="shared" si="2528"/>
        <v>0</v>
      </c>
      <c r="N1117" s="1">
        <f t="shared" si="2528"/>
        <v>-0.23137089841180145</v>
      </c>
      <c r="O1117" s="1">
        <f t="shared" si="2306"/>
        <v>-0.23137089841180145</v>
      </c>
      <c r="P1117" s="1">
        <f t="shared" si="2462"/>
        <v>0.22509279167601393</v>
      </c>
      <c r="Q1117" s="1">
        <f t="shared" si="2463"/>
        <v>0</v>
      </c>
      <c r="R1117" s="1">
        <f t="shared" si="2464"/>
        <v>0.94646750736811591</v>
      </c>
      <c r="S1117" s="1">
        <f t="shared" si="2465"/>
        <v>1.0872972837203521</v>
      </c>
      <c r="T1117" s="1">
        <f t="shared" ref="T1117:V1117" si="2529">$S1117*P1117</f>
        <v>0.244742780974361</v>
      </c>
      <c r="U1117" s="1">
        <f t="shared" si="2529"/>
        <v>0</v>
      </c>
      <c r="V1117" s="1">
        <f t="shared" si="2529"/>
        <v>1.0290915498909248</v>
      </c>
      <c r="W1117" s="1">
        <f t="shared" si="2467"/>
        <v>-12.838500554560378</v>
      </c>
      <c r="X1117" s="1">
        <f t="shared" si="2468"/>
        <v>0</v>
      </c>
      <c r="Y1117" s="1">
        <f t="shared" si="2469"/>
        <v>-5.6660477604698123</v>
      </c>
    </row>
    <row r="1118" spans="1:25">
      <c r="A1118" s="1">
        <v>1.1160000000000001</v>
      </c>
      <c r="B1118" s="1">
        <f t="shared" si="2470"/>
        <v>39.890245667571691</v>
      </c>
      <c r="C1118" s="1">
        <f t="shared" si="2471"/>
        <v>0</v>
      </c>
      <c r="D1118" s="1">
        <f t="shared" si="2472"/>
        <v>-1.3250373515295559</v>
      </c>
      <c r="E1118" s="1">
        <f t="shared" si="2473"/>
        <v>17.671994699985618</v>
      </c>
      <c r="F1118" s="1">
        <f t="shared" si="2474"/>
        <v>0</v>
      </c>
      <c r="G1118" s="1">
        <f t="shared" si="2475"/>
        <v>-4.2115457472164337</v>
      </c>
      <c r="H1118" s="1">
        <f t="shared" si="2304"/>
        <v>18.166907118637905</v>
      </c>
      <c r="I1118" s="1">
        <f t="shared" si="2458"/>
        <v>-13.065706728912566</v>
      </c>
      <c r="J1118" s="1">
        <f t="shared" si="2459"/>
        <v>0</v>
      </c>
      <c r="K1118" s="1">
        <f t="shared" si="2460"/>
        <v>3.1137866744931539</v>
      </c>
      <c r="L1118" s="1">
        <f t="shared" ref="L1118:N1118" si="2530">E1118/$H1118</f>
        <v>0.97275747514861544</v>
      </c>
      <c r="M1118" s="1">
        <f t="shared" si="2530"/>
        <v>0</v>
      </c>
      <c r="N1118" s="1">
        <f t="shared" si="2530"/>
        <v>-0.23182513785715891</v>
      </c>
      <c r="O1118" s="1">
        <f t="shared" si="2306"/>
        <v>-0.23182513785715891</v>
      </c>
      <c r="P1118" s="1">
        <f t="shared" si="2462"/>
        <v>0.22550963577790961</v>
      </c>
      <c r="Q1118" s="1">
        <f t="shared" si="2463"/>
        <v>0</v>
      </c>
      <c r="R1118" s="1">
        <f t="shared" si="2464"/>
        <v>0.9462571054575093</v>
      </c>
      <c r="S1118" s="1">
        <f t="shared" si="2465"/>
        <v>1.0859605972796045</v>
      </c>
      <c r="T1118" s="1">
        <f t="shared" ref="T1118:V1118" si="2531">$S1118*P1118</f>
        <v>0.24489457876168477</v>
      </c>
      <c r="U1118" s="1">
        <f t="shared" si="2531"/>
        <v>0</v>
      </c>
      <c r="V1118" s="1">
        <f t="shared" si="2531"/>
        <v>1.0275979314227064</v>
      </c>
      <c r="W1118" s="1">
        <f t="shared" si="2467"/>
        <v>-12.820812150150882</v>
      </c>
      <c r="X1118" s="1">
        <f t="shared" si="2468"/>
        <v>0</v>
      </c>
      <c r="Y1118" s="1">
        <f t="shared" si="2469"/>
        <v>-5.6652653940841393</v>
      </c>
    </row>
    <row r="1119" spans="1:25">
      <c r="A1119" s="1">
        <v>1.117</v>
      </c>
      <c r="B1119" s="1">
        <f t="shared" si="2470"/>
        <v>39.907904841459526</v>
      </c>
      <c r="C1119" s="1">
        <f t="shared" si="2471"/>
        <v>0</v>
      </c>
      <c r="D1119" s="1">
        <f t="shared" si="2472"/>
        <v>-1.3292545625421663</v>
      </c>
      <c r="E1119" s="1">
        <f t="shared" si="2473"/>
        <v>17.659173887835468</v>
      </c>
      <c r="F1119" s="1">
        <f t="shared" si="2474"/>
        <v>0</v>
      </c>
      <c r="G1119" s="1">
        <f t="shared" si="2475"/>
        <v>-4.2172110126105178</v>
      </c>
      <c r="H1119" s="1">
        <f t="shared" si="2304"/>
        <v>18.15575091054329</v>
      </c>
      <c r="I1119" s="1">
        <f t="shared" si="2458"/>
        <v>-13.048209956266646</v>
      </c>
      <c r="J1119" s="1">
        <f t="shared" si="2459"/>
        <v>0</v>
      </c>
      <c r="K1119" s="1">
        <f t="shared" si="2460"/>
        <v>3.1160605287616154</v>
      </c>
      <c r="L1119" s="1">
        <f t="shared" ref="L1119:N1119" si="2532">E1119/$H1119</f>
        <v>0.97264905069723928</v>
      </c>
      <c r="M1119" s="1">
        <f t="shared" si="2532"/>
        <v>0</v>
      </c>
      <c r="N1119" s="1">
        <f t="shared" si="2532"/>
        <v>-0.23227962497334806</v>
      </c>
      <c r="O1119" s="1">
        <f t="shared" si="2306"/>
        <v>-0.23227962497334806</v>
      </c>
      <c r="P1119" s="1">
        <f t="shared" si="2462"/>
        <v>0.22592655672663775</v>
      </c>
      <c r="Q1119" s="1">
        <f t="shared" si="2463"/>
        <v>0</v>
      </c>
      <c r="R1119" s="1">
        <f t="shared" si="2464"/>
        <v>0.94604617582224082</v>
      </c>
      <c r="S1119" s="1">
        <f t="shared" si="2465"/>
        <v>1.0846272407116782</v>
      </c>
      <c r="T1119" s="1">
        <f t="shared" ref="T1119:V1119" si="2533">$S1119*P1119</f>
        <v>0.24504609782590353</v>
      </c>
      <c r="U1119" s="1">
        <f t="shared" si="2533"/>
        <v>0</v>
      </c>
      <c r="V1119" s="1">
        <f t="shared" si="2533"/>
        <v>1.0261074532679122</v>
      </c>
      <c r="W1119" s="1">
        <f t="shared" si="2467"/>
        <v>-12.803163858440742</v>
      </c>
      <c r="X1119" s="1">
        <f t="shared" si="2468"/>
        <v>0</v>
      </c>
      <c r="Y1119" s="1">
        <f t="shared" si="2469"/>
        <v>-5.6644820179704718</v>
      </c>
    </row>
    <row r="1120" spans="1:25">
      <c r="A1120" s="1">
        <v>1.1180000000000001</v>
      </c>
      <c r="B1120" s="1">
        <f t="shared" si="2470"/>
        <v>39.925551212183507</v>
      </c>
      <c r="C1120" s="1">
        <f t="shared" si="2471"/>
        <v>0</v>
      </c>
      <c r="D1120" s="1">
        <f t="shared" si="2472"/>
        <v>-1.3334774380367949</v>
      </c>
      <c r="E1120" s="1">
        <f t="shared" si="2473"/>
        <v>17.646370723977029</v>
      </c>
      <c r="F1120" s="1">
        <f t="shared" si="2474"/>
        <v>0</v>
      </c>
      <c r="G1120" s="1">
        <f t="shared" si="2475"/>
        <v>-4.2228754946284885</v>
      </c>
      <c r="H1120" s="1">
        <f t="shared" si="2304"/>
        <v>18.144615652340708</v>
      </c>
      <c r="I1120" s="1">
        <f t="shared" si="2458"/>
        <v>-13.030752903193363</v>
      </c>
      <c r="J1120" s="1">
        <f t="shared" si="2459"/>
        <v>0</v>
      </c>
      <c r="K1120" s="1">
        <f t="shared" si="2460"/>
        <v>3.1183322606209298</v>
      </c>
      <c r="L1120" s="1">
        <f t="shared" ref="L1120:N1120" si="2534">E1120/$H1120</f>
        <v>0.97254034266085965</v>
      </c>
      <c r="M1120" s="1">
        <f t="shared" si="2534"/>
        <v>0</v>
      </c>
      <c r="N1120" s="1">
        <f t="shared" si="2534"/>
        <v>-0.23273435908154524</v>
      </c>
      <c r="O1120" s="1">
        <f t="shared" si="2306"/>
        <v>-0.23273435908154524</v>
      </c>
      <c r="P1120" s="1">
        <f t="shared" si="2462"/>
        <v>0.22634355333012157</v>
      </c>
      <c r="Q1120" s="1">
        <f t="shared" si="2463"/>
        <v>0</v>
      </c>
      <c r="R1120" s="1">
        <f t="shared" si="2464"/>
        <v>0.94583471810290232</v>
      </c>
      <c r="S1120" s="1">
        <f t="shared" si="2465"/>
        <v>1.0832972047655836</v>
      </c>
      <c r="T1120" s="1">
        <f t="shared" ref="T1120:V1120" si="2535">$S1120*P1120</f>
        <v>0.24519733863923049</v>
      </c>
      <c r="U1120" s="1">
        <f t="shared" si="2535"/>
        <v>0</v>
      </c>
      <c r="V1120" s="1">
        <f t="shared" si="2535"/>
        <v>1.0246201062911178</v>
      </c>
      <c r="W1120" s="1">
        <f t="shared" si="2467"/>
        <v>-12.785555564554134</v>
      </c>
      <c r="X1120" s="1">
        <f t="shared" si="2468"/>
        <v>0</v>
      </c>
      <c r="Y1120" s="1">
        <f t="shared" si="2469"/>
        <v>-5.6636976330879518</v>
      </c>
    </row>
    <row r="1121" spans="1:25">
      <c r="A1121" s="1">
        <v>1.119</v>
      </c>
      <c r="B1121" s="1">
        <f t="shared" si="2470"/>
        <v>39.943184797351918</v>
      </c>
      <c r="C1121" s="1">
        <f t="shared" si="2471"/>
        <v>0</v>
      </c>
      <c r="D1121" s="1">
        <f t="shared" si="2472"/>
        <v>-1.3377059772290565</v>
      </c>
      <c r="E1121" s="1">
        <f t="shared" si="2473"/>
        <v>17.633585168412473</v>
      </c>
      <c r="F1121" s="1">
        <f t="shared" si="2474"/>
        <v>0</v>
      </c>
      <c r="G1121" s="1">
        <f t="shared" si="2475"/>
        <v>-4.2285391922615769</v>
      </c>
      <c r="H1121" s="1">
        <f t="shared" si="2304"/>
        <v>18.133501305378079</v>
      </c>
      <c r="I1121" s="1">
        <f t="shared" si="2458"/>
        <v>-13.01333545569512</v>
      </c>
      <c r="J1121" s="1">
        <f t="shared" si="2459"/>
        <v>0</v>
      </c>
      <c r="K1121" s="1">
        <f t="shared" si="2460"/>
        <v>3.1206018782287153</v>
      </c>
      <c r="L1121" s="1">
        <f t="shared" ref="L1121:N1121" si="2536">E1121/$H1121</f>
        <v>0.97243135076085174</v>
      </c>
      <c r="M1121" s="1">
        <f t="shared" si="2536"/>
        <v>0</v>
      </c>
      <c r="N1121" s="1">
        <f t="shared" si="2536"/>
        <v>-0.23318933950209969</v>
      </c>
      <c r="O1121" s="1">
        <f t="shared" si="2306"/>
        <v>-0.23318933950209969</v>
      </c>
      <c r="P1121" s="1">
        <f t="shared" si="2462"/>
        <v>0.22676062439505765</v>
      </c>
      <c r="Q1121" s="1">
        <f t="shared" si="2463"/>
        <v>0</v>
      </c>
      <c r="R1121" s="1">
        <f t="shared" si="2464"/>
        <v>0.94562273194257451</v>
      </c>
      <c r="S1121" s="1">
        <f t="shared" si="2465"/>
        <v>1.0819704802232264</v>
      </c>
      <c r="T1121" s="1">
        <f t="shared" ref="T1121:V1121" si="2537">$S1121*P1121</f>
        <v>0.24534830167243918</v>
      </c>
      <c r="U1121" s="1">
        <f t="shared" si="2537"/>
        <v>0</v>
      </c>
      <c r="V1121" s="1">
        <f t="shared" si="2537"/>
        <v>1.0231358813899065</v>
      </c>
      <c r="W1121" s="1">
        <f t="shared" si="2467"/>
        <v>-12.767987154022681</v>
      </c>
      <c r="X1121" s="1">
        <f t="shared" si="2468"/>
        <v>0</v>
      </c>
      <c r="Y1121" s="1">
        <f t="shared" si="2469"/>
        <v>-5.6629122403813774</v>
      </c>
    </row>
    <row r="1122" spans="1:25">
      <c r="A1122" s="1">
        <v>1.1200000000000001</v>
      </c>
      <c r="B1122" s="1">
        <f t="shared" si="2470"/>
        <v>39.960805614533179</v>
      </c>
      <c r="C1122" s="1">
        <f t="shared" si="2471"/>
        <v>0</v>
      </c>
      <c r="D1122" s="1">
        <f t="shared" si="2472"/>
        <v>-1.3419401793335584</v>
      </c>
      <c r="E1122" s="1">
        <f t="shared" si="2473"/>
        <v>17.620817181258452</v>
      </c>
      <c r="F1122" s="1">
        <f t="shared" si="2474"/>
        <v>0</v>
      </c>
      <c r="G1122" s="1">
        <f t="shared" si="2475"/>
        <v>-4.234202104501958</v>
      </c>
      <c r="H1122" s="1">
        <f t="shared" si="2304"/>
        <v>18.122407831110685</v>
      </c>
      <c r="I1122" s="1">
        <f t="shared" si="2458"/>
        <v>-12.995957500178582</v>
      </c>
      <c r="J1122" s="1">
        <f t="shared" si="2459"/>
        <v>0</v>
      </c>
      <c r="K1122" s="1">
        <f t="shared" si="2460"/>
        <v>3.1228693897239657</v>
      </c>
      <c r="L1122" s="1">
        <f t="shared" ref="L1122:N1122" si="2538">E1122/$H1122</f>
        <v>0.97232207471949983</v>
      </c>
      <c r="M1122" s="1">
        <f t="shared" si="2538"/>
        <v>0</v>
      </c>
      <c r="N1122" s="1">
        <f t="shared" si="2538"/>
        <v>-0.23364456555453494</v>
      </c>
      <c r="O1122" s="1">
        <f t="shared" si="2306"/>
        <v>-0.23364456555453494</v>
      </c>
      <c r="P1122" s="1">
        <f t="shared" si="2462"/>
        <v>0.22717776872692161</v>
      </c>
      <c r="Q1122" s="1">
        <f t="shared" si="2463"/>
        <v>0</v>
      </c>
      <c r="R1122" s="1">
        <f t="shared" si="2464"/>
        <v>0.94541021698683259</v>
      </c>
      <c r="S1122" s="1">
        <f t="shared" si="2465"/>
        <v>1.0806470578992691</v>
      </c>
      <c r="T1122" s="1">
        <f t="shared" ref="T1122:V1122" si="2539">$S1122*P1122</f>
        <v>0.24549898739486842</v>
      </c>
      <c r="U1122" s="1">
        <f t="shared" si="2539"/>
        <v>0</v>
      </c>
      <c r="V1122" s="1">
        <f t="shared" si="2539"/>
        <v>1.0216547694947302</v>
      </c>
      <c r="W1122" s="1">
        <f t="shared" si="2467"/>
        <v>-12.750458512783714</v>
      </c>
      <c r="X1122" s="1">
        <f t="shared" si="2468"/>
        <v>0</v>
      </c>
      <c r="Y1122" s="1">
        <f t="shared" si="2469"/>
        <v>-5.6621258407813038</v>
      </c>
    </row>
    <row r="1123" spans="1:25">
      <c r="A1123" s="1">
        <v>1.121</v>
      </c>
      <c r="B1123" s="1">
        <f t="shared" si="2470"/>
        <v>39.978413681255923</v>
      </c>
      <c r="C1123" s="1">
        <f t="shared" si="2471"/>
        <v>0</v>
      </c>
      <c r="D1123" s="1">
        <f t="shared" si="2472"/>
        <v>-1.3461800435639011</v>
      </c>
      <c r="E1123" s="1">
        <f t="shared" si="2473"/>
        <v>17.608066722745669</v>
      </c>
      <c r="F1123" s="1">
        <f t="shared" si="2474"/>
        <v>0</v>
      </c>
      <c r="G1123" s="1">
        <f t="shared" si="2475"/>
        <v>-4.2398642303427394</v>
      </c>
      <c r="H1123" s="1">
        <f t="shared" si="2304"/>
        <v>18.111335191100718</v>
      </c>
      <c r="I1123" s="1">
        <f t="shared" si="2458"/>
        <v>-12.97861892345291</v>
      </c>
      <c r="J1123" s="1">
        <f t="shared" si="2459"/>
        <v>0</v>
      </c>
      <c r="K1123" s="1">
        <f t="shared" si="2460"/>
        <v>3.1251348032270974</v>
      </c>
      <c r="L1123" s="1">
        <f t="shared" ref="L1123:N1123" si="2540">E1123/$H1123</f>
        <v>0.97221251426000121</v>
      </c>
      <c r="M1123" s="1">
        <f t="shared" si="2540"/>
        <v>0</v>
      </c>
      <c r="N1123" s="1">
        <f t="shared" si="2540"/>
        <v>-0.23410003655755107</v>
      </c>
      <c r="O1123" s="1">
        <f t="shared" si="2306"/>
        <v>-0.23410003655755107</v>
      </c>
      <c r="P1123" s="1">
        <f t="shared" si="2462"/>
        <v>0.22759498512997492</v>
      </c>
      <c r="Q1123" s="1">
        <f t="shared" si="2463"/>
        <v>0</v>
      </c>
      <c r="R1123" s="1">
        <f t="shared" si="2464"/>
        <v>0.94519717288375327</v>
      </c>
      <c r="S1123" s="1">
        <f t="shared" si="2465"/>
        <v>1.0793269286409837</v>
      </c>
      <c r="T1123" s="1">
        <f t="shared" ref="T1123:V1123" si="2541">$S1123*P1123</f>
        <v>0.24564939627442617</v>
      </c>
      <c r="U1123" s="1">
        <f t="shared" si="2541"/>
        <v>0</v>
      </c>
      <c r="V1123" s="1">
        <f t="shared" si="2541"/>
        <v>1.0201767615687622</v>
      </c>
      <c r="W1123" s="1">
        <f t="shared" si="2467"/>
        <v>-12.732969527178483</v>
      </c>
      <c r="X1123" s="1">
        <f t="shared" si="2468"/>
        <v>0</v>
      </c>
      <c r="Y1123" s="1">
        <f t="shared" si="2469"/>
        <v>-5.66133843520414</v>
      </c>
    </row>
    <row r="1124" spans="1:25">
      <c r="A1124" s="1">
        <v>1.1220000000000001</v>
      </c>
      <c r="B1124" s="1">
        <f t="shared" si="2470"/>
        <v>39.996009015009143</v>
      </c>
      <c r="C1124" s="1">
        <f t="shared" si="2471"/>
        <v>0</v>
      </c>
      <c r="D1124" s="1">
        <f t="shared" si="2472"/>
        <v>-1.350425569132679</v>
      </c>
      <c r="E1124" s="1">
        <f t="shared" si="2473"/>
        <v>17.59533375321849</v>
      </c>
      <c r="F1124" s="1">
        <f t="shared" si="2474"/>
        <v>0</v>
      </c>
      <c r="G1124" s="1">
        <f t="shared" si="2475"/>
        <v>-4.2455255687779436</v>
      </c>
      <c r="H1124" s="1">
        <f t="shared" si="2304"/>
        <v>18.100283347016898</v>
      </c>
      <c r="I1124" s="1">
        <f t="shared" si="2458"/>
        <v>-12.961319612728033</v>
      </c>
      <c r="J1124" s="1">
        <f t="shared" si="2459"/>
        <v>0</v>
      </c>
      <c r="K1124" s="1">
        <f t="shared" si="2460"/>
        <v>3.1273981268399869</v>
      </c>
      <c r="L1124" s="1">
        <f t="shared" ref="L1124:N1124" si="2542">E1124/$H1124</f>
        <v>0.97210266910646859</v>
      </c>
      <c r="M1124" s="1">
        <f t="shared" si="2542"/>
        <v>0</v>
      </c>
      <c r="N1124" s="1">
        <f t="shared" si="2542"/>
        <v>-0.23455575182902577</v>
      </c>
      <c r="O1124" s="1">
        <f t="shared" si="2306"/>
        <v>-0.23455575182902577</v>
      </c>
      <c r="P1124" s="1">
        <f t="shared" si="2462"/>
        <v>0.2280122724072704</v>
      </c>
      <c r="Q1124" s="1">
        <f t="shared" si="2463"/>
        <v>0</v>
      </c>
      <c r="R1124" s="1">
        <f t="shared" si="2464"/>
        <v>0.94498359928392051</v>
      </c>
      <c r="S1124" s="1">
        <f t="shared" si="2465"/>
        <v>1.0780100833281152</v>
      </c>
      <c r="T1124" s="1">
        <f t="shared" ref="T1124:V1124" si="2543">$S1124*P1124</f>
        <v>0.24579952877759448</v>
      </c>
      <c r="U1124" s="1">
        <f t="shared" si="2543"/>
        <v>0</v>
      </c>
      <c r="V1124" s="1">
        <f t="shared" si="2543"/>
        <v>1.0187018486077615</v>
      </c>
      <c r="W1124" s="1">
        <f t="shared" si="2467"/>
        <v>-12.715520083950439</v>
      </c>
      <c r="X1124" s="1">
        <f t="shared" si="2468"/>
        <v>0</v>
      </c>
      <c r="Y1124" s="1">
        <f t="shared" si="2469"/>
        <v>-5.6605500245522506</v>
      </c>
    </row>
    <row r="1125" spans="1:25">
      <c r="A1125" s="1">
        <v>1.123</v>
      </c>
      <c r="B1125" s="1">
        <f t="shared" si="2470"/>
        <v>40.013591633242278</v>
      </c>
      <c r="C1125" s="1">
        <f t="shared" si="2471"/>
        <v>0</v>
      </c>
      <c r="D1125" s="1">
        <f t="shared" si="2472"/>
        <v>-1.3546767552514816</v>
      </c>
      <c r="E1125" s="1">
        <f t="shared" si="2473"/>
        <v>17.582618233134539</v>
      </c>
      <c r="F1125" s="1">
        <f t="shared" si="2474"/>
        <v>0</v>
      </c>
      <c r="G1125" s="1">
        <f t="shared" si="2475"/>
        <v>-4.2511861188024955</v>
      </c>
      <c r="H1125" s="1">
        <f t="shared" si="2304"/>
        <v>18.089252260634051</v>
      </c>
      <c r="I1125" s="1">
        <f t="shared" si="2458"/>
        <v>-12.944059455612919</v>
      </c>
      <c r="J1125" s="1">
        <f t="shared" si="2459"/>
        <v>0</v>
      </c>
      <c r="K1125" s="1">
        <f t="shared" si="2460"/>
        <v>3.1296593686460192</v>
      </c>
      <c r="L1125" s="1">
        <f t="shared" ref="L1125:N1125" si="2544">E1125/$H1125</f>
        <v>0.9719925389839329</v>
      </c>
      <c r="M1125" s="1">
        <f t="shared" si="2544"/>
        <v>0</v>
      </c>
      <c r="N1125" s="1">
        <f t="shared" si="2544"/>
        <v>-0.23501171068601628</v>
      </c>
      <c r="O1125" s="1">
        <f t="shared" si="2306"/>
        <v>-0.23501171068601628</v>
      </c>
      <c r="P1125" s="1">
        <f t="shared" si="2462"/>
        <v>0.22842962936065844</v>
      </c>
      <c r="Q1125" s="1">
        <f t="shared" si="2463"/>
        <v>0</v>
      </c>
      <c r="R1125" s="1">
        <f t="shared" si="2464"/>
        <v>0.94476949584043213</v>
      </c>
      <c r="S1125" s="1">
        <f t="shared" si="2465"/>
        <v>1.0766965128727397</v>
      </c>
      <c r="T1125" s="1">
        <f t="shared" ref="T1125:V1125" si="2545">$S1125*P1125</f>
        <v>0.24594938536943334</v>
      </c>
      <c r="U1125" s="1">
        <f t="shared" si="2545"/>
        <v>0</v>
      </c>
      <c r="V1125" s="1">
        <f t="shared" si="2545"/>
        <v>1.0172300216399297</v>
      </c>
      <c r="W1125" s="1">
        <f t="shared" si="2467"/>
        <v>-12.698110070243485</v>
      </c>
      <c r="X1125" s="1">
        <f t="shared" si="2468"/>
        <v>0</v>
      </c>
      <c r="Y1125" s="1">
        <f t="shared" si="2469"/>
        <v>-5.6597606097140503</v>
      </c>
    </row>
    <row r="1126" spans="1:25">
      <c r="A1126" s="1">
        <v>1.1240000000000001</v>
      </c>
      <c r="B1126" s="1">
        <f t="shared" si="2470"/>
        <v>40.031161553365344</v>
      </c>
      <c r="C1126" s="1">
        <f t="shared" si="2471"/>
        <v>0</v>
      </c>
      <c r="D1126" s="1">
        <f t="shared" si="2472"/>
        <v>-1.3589336011308937</v>
      </c>
      <c r="E1126" s="1">
        <f t="shared" si="2473"/>
        <v>17.569920123064296</v>
      </c>
      <c r="F1126" s="1">
        <f t="shared" si="2474"/>
        <v>0</v>
      </c>
      <c r="G1126" s="1">
        <f t="shared" si="2475"/>
        <v>-4.2568458794122099</v>
      </c>
      <c r="H1126" s="1">
        <f t="shared" si="2304"/>
        <v>18.078241893832718</v>
      </c>
      <c r="I1126" s="1">
        <f t="shared" si="2458"/>
        <v>-12.926838340113854</v>
      </c>
      <c r="J1126" s="1">
        <f t="shared" si="2459"/>
        <v>0</v>
      </c>
      <c r="K1126" s="1">
        <f t="shared" si="2460"/>
        <v>3.1319185367101321</v>
      </c>
      <c r="L1126" s="1">
        <f t="shared" ref="L1126:N1126" si="2546">E1126/$H1126</f>
        <v>0.97188212361834625</v>
      </c>
      <c r="M1126" s="1">
        <f t="shared" si="2546"/>
        <v>0</v>
      </c>
      <c r="N1126" s="1">
        <f t="shared" si="2546"/>
        <v>-0.23546791244476084</v>
      </c>
      <c r="O1126" s="1">
        <f t="shared" si="2306"/>
        <v>-0.23546791244476084</v>
      </c>
      <c r="P1126" s="1">
        <f t="shared" si="2462"/>
        <v>0.22884705479079298</v>
      </c>
      <c r="Q1126" s="1">
        <f t="shared" si="2463"/>
        <v>0</v>
      </c>
      <c r="R1126" s="1">
        <f t="shared" si="2464"/>
        <v>0.94455486220890639</v>
      </c>
      <c r="S1126" s="1">
        <f t="shared" si="2465"/>
        <v>1.0753862082191268</v>
      </c>
      <c r="T1126" s="1">
        <f t="shared" ref="T1126:V1126" si="2547">$S1126*P1126</f>
        <v>0.24609896651358562</v>
      </c>
      <c r="U1126" s="1">
        <f t="shared" si="2547"/>
        <v>0</v>
      </c>
      <c r="V1126" s="1">
        <f t="shared" si="2547"/>
        <v>1.0157612717257756</v>
      </c>
      <c r="W1126" s="1">
        <f t="shared" si="2467"/>
        <v>-12.680739373600268</v>
      </c>
      <c r="X1126" s="1">
        <f t="shared" si="2468"/>
        <v>0</v>
      </c>
      <c r="Y1126" s="1">
        <f t="shared" si="2469"/>
        <v>-5.6589701915640918</v>
      </c>
    </row>
    <row r="1127" spans="1:25">
      <c r="A1127" s="1">
        <v>1.125</v>
      </c>
      <c r="B1127" s="1">
        <f t="shared" si="2470"/>
        <v>40.048718792749035</v>
      </c>
      <c r="C1127" s="1">
        <f t="shared" si="2471"/>
        <v>0</v>
      </c>
      <c r="D1127" s="1">
        <f t="shared" si="2472"/>
        <v>-1.3631961059804973</v>
      </c>
      <c r="E1127" s="1">
        <f t="shared" si="2473"/>
        <v>17.557239383690696</v>
      </c>
      <c r="F1127" s="1">
        <f t="shared" si="2474"/>
        <v>0</v>
      </c>
      <c r="G1127" s="1">
        <f t="shared" si="2475"/>
        <v>-4.2625048496037738</v>
      </c>
      <c r="H1127" s="1">
        <f t="shared" si="2304"/>
        <v>18.06725220859872</v>
      </c>
      <c r="I1127" s="1">
        <f t="shared" si="2458"/>
        <v>-12.909656154632719</v>
      </c>
      <c r="J1127" s="1">
        <f t="shared" si="2459"/>
        <v>0</v>
      </c>
      <c r="K1127" s="1">
        <f t="shared" si="2460"/>
        <v>3.1341756390788515</v>
      </c>
      <c r="L1127" s="1">
        <f t="shared" ref="L1127:N1127" si="2548">E1127/$H1127</f>
        <v>0.97177142273658557</v>
      </c>
      <c r="M1127" s="1">
        <f t="shared" si="2548"/>
        <v>0</v>
      </c>
      <c r="N1127" s="1">
        <f t="shared" si="2548"/>
        <v>-0.23592435642068063</v>
      </c>
      <c r="O1127" s="1">
        <f t="shared" si="2306"/>
        <v>-0.23592435642068063</v>
      </c>
      <c r="P1127" s="1">
        <f t="shared" si="2462"/>
        <v>0.22926454749713812</v>
      </c>
      <c r="Q1127" s="1">
        <f t="shared" si="2463"/>
        <v>0</v>
      </c>
      <c r="R1127" s="1">
        <f t="shared" si="2464"/>
        <v>0.94433969804748763</v>
      </c>
      <c r="S1127" s="1">
        <f t="shared" si="2465"/>
        <v>1.074079160343598</v>
      </c>
      <c r="T1127" s="1">
        <f t="shared" ref="T1127:V1127" si="2549">$S1127*P1127</f>
        <v>0.24624827267228105</v>
      </c>
      <c r="U1127" s="1">
        <f t="shared" si="2549"/>
        <v>0</v>
      </c>
      <c r="V1127" s="1">
        <f t="shared" si="2549"/>
        <v>1.0142955899579724</v>
      </c>
      <c r="W1127" s="1">
        <f t="shared" si="2467"/>
        <v>-12.663407881960438</v>
      </c>
      <c r="X1127" s="1">
        <f t="shared" si="2468"/>
        <v>0</v>
      </c>
      <c r="Y1127" s="1">
        <f t="shared" si="2469"/>
        <v>-5.6581787709631755</v>
      </c>
    </row>
    <row r="1128" spans="1:25">
      <c r="A1128" s="1">
        <v>1.1259999999999999</v>
      </c>
      <c r="B1128" s="1">
        <f t="shared" si="2470"/>
        <v>40.066263368724847</v>
      </c>
      <c r="C1128" s="1">
        <f t="shared" si="2471"/>
        <v>0</v>
      </c>
      <c r="D1128" s="1">
        <f t="shared" si="2472"/>
        <v>-1.3674642690088721</v>
      </c>
      <c r="E1128" s="1">
        <f t="shared" si="2473"/>
        <v>17.544575975808737</v>
      </c>
      <c r="F1128" s="1">
        <f t="shared" si="2474"/>
        <v>0</v>
      </c>
      <c r="G1128" s="1">
        <f t="shared" si="2475"/>
        <v>-4.2681630283747367</v>
      </c>
      <c r="H1128" s="1">
        <f t="shared" si="2304"/>
        <v>18.056283167022777</v>
      </c>
      <c r="I1128" s="1">
        <f t="shared" si="2458"/>
        <v>-12.892512787965291</v>
      </c>
      <c r="J1128" s="1">
        <f t="shared" si="2459"/>
        <v>0</v>
      </c>
      <c r="K1128" s="1">
        <f t="shared" si="2460"/>
        <v>3.136430683780342</v>
      </c>
      <c r="L1128" s="1">
        <f t="shared" ref="L1128:N1128" si="2550">E1128/$H1128</f>
        <v>0.97166043606645469</v>
      </c>
      <c r="M1128" s="1">
        <f t="shared" si="2550"/>
        <v>0</v>
      </c>
      <c r="N1128" s="1">
        <f t="shared" si="2550"/>
        <v>-0.2363810419283813</v>
      </c>
      <c r="O1128" s="1">
        <f t="shared" si="2306"/>
        <v>-0.2363810419283813</v>
      </c>
      <c r="P1128" s="1">
        <f t="shared" si="2462"/>
        <v>0.22968210627797389</v>
      </c>
      <c r="Q1128" s="1">
        <f t="shared" si="2463"/>
        <v>0</v>
      </c>
      <c r="R1128" s="1">
        <f t="shared" si="2464"/>
        <v>0.94412400301685284</v>
      </c>
      <c r="S1128" s="1">
        <f t="shared" si="2465"/>
        <v>1.0727753602543912</v>
      </c>
      <c r="T1128" s="1">
        <f t="shared" ref="T1128:V1128" si="2551">$S1128*P1128</f>
        <v>0.24639730430634083</v>
      </c>
      <c r="U1128" s="1">
        <f t="shared" si="2551"/>
        <v>0</v>
      </c>
      <c r="V1128" s="1">
        <f t="shared" si="2551"/>
        <v>1.0128329674612222</v>
      </c>
      <c r="W1128" s="1">
        <f t="shared" si="2467"/>
        <v>-12.646115483658951</v>
      </c>
      <c r="X1128" s="1">
        <f t="shared" si="2468"/>
        <v>0</v>
      </c>
      <c r="Y1128" s="1">
        <f t="shared" si="2469"/>
        <v>-5.6573863487584353</v>
      </c>
    </row>
    <row r="1129" spans="1:25">
      <c r="A1129" s="1">
        <v>1.127</v>
      </c>
      <c r="B1129" s="1">
        <f t="shared" si="2470"/>
        <v>40.083795298585173</v>
      </c>
      <c r="C1129" s="1">
        <f t="shared" si="2471"/>
        <v>0</v>
      </c>
      <c r="D1129" s="1">
        <f t="shared" si="2472"/>
        <v>-1.3717380894235955</v>
      </c>
      <c r="E1129" s="1">
        <f t="shared" si="2473"/>
        <v>17.531929860325079</v>
      </c>
      <c r="F1129" s="1">
        <f t="shared" si="2474"/>
        <v>0</v>
      </c>
      <c r="G1129" s="1">
        <f t="shared" si="2475"/>
        <v>-4.2738204147234953</v>
      </c>
      <c r="H1129" s="1">
        <f t="shared" si="2304"/>
        <v>18.045334731300095</v>
      </c>
      <c r="I1129" s="1">
        <f t="shared" si="2458"/>
        <v>-12.875408129299547</v>
      </c>
      <c r="J1129" s="1">
        <f t="shared" si="2459"/>
        <v>0</v>
      </c>
      <c r="K1129" s="1">
        <f t="shared" si="2460"/>
        <v>3.138683678824445</v>
      </c>
      <c r="L1129" s="1">
        <f t="shared" ref="L1129:N1129" si="2552">E1129/$H1129</f>
        <v>0.97154916333668762</v>
      </c>
      <c r="M1129" s="1">
        <f t="shared" si="2552"/>
        <v>0</v>
      </c>
      <c r="N1129" s="1">
        <f t="shared" si="2552"/>
        <v>-0.23683796828165479</v>
      </c>
      <c r="O1129" s="1">
        <f t="shared" si="2306"/>
        <v>-0.23683796828165479</v>
      </c>
      <c r="P1129" s="1">
        <f t="shared" si="2462"/>
        <v>0.23009972993040267</v>
      </c>
      <c r="Q1129" s="1">
        <f t="shared" si="2463"/>
        <v>0</v>
      </c>
      <c r="R1129" s="1">
        <f t="shared" si="2464"/>
        <v>0.94390777678021787</v>
      </c>
      <c r="S1129" s="1">
        <f t="shared" si="2465"/>
        <v>1.0714747989915223</v>
      </c>
      <c r="T1129" s="1">
        <f t="shared" ref="T1129:V1129" si="2553">$S1129*P1129</f>
        <v>0.24654606187518177</v>
      </c>
      <c r="U1129" s="1">
        <f t="shared" si="2553"/>
        <v>0</v>
      </c>
      <c r="V1129" s="1">
        <f t="shared" si="2553"/>
        <v>1.0113733953921187</v>
      </c>
      <c r="W1129" s="1">
        <f t="shared" si="2467"/>
        <v>-12.628862067424366</v>
      </c>
      <c r="X1129" s="1">
        <f t="shared" si="2468"/>
        <v>0</v>
      </c>
      <c r="Y1129" s="1">
        <f t="shared" si="2469"/>
        <v>-5.6565929257834355</v>
      </c>
    </row>
    <row r="1130" spans="1:25">
      <c r="A1130" s="1">
        <v>1.1279999999999999</v>
      </c>
      <c r="B1130" s="1">
        <f t="shared" si="2470"/>
        <v>40.101314599583432</v>
      </c>
      <c r="C1130" s="1">
        <f t="shared" si="2471"/>
        <v>0</v>
      </c>
      <c r="D1130" s="1">
        <f t="shared" si="2472"/>
        <v>-1.3760175664312448</v>
      </c>
      <c r="E1130" s="1">
        <f t="shared" si="2473"/>
        <v>17.519300998257656</v>
      </c>
      <c r="F1130" s="1">
        <f t="shared" si="2474"/>
        <v>0</v>
      </c>
      <c r="G1130" s="1">
        <f t="shared" si="2475"/>
        <v>-4.2794770076492785</v>
      </c>
      <c r="H1130" s="1">
        <f t="shared" si="2304"/>
        <v>18.034406863729966</v>
      </c>
      <c r="I1130" s="1">
        <f t="shared" si="2458"/>
        <v>-12.858342068213979</v>
      </c>
      <c r="J1130" s="1">
        <f t="shared" si="2459"/>
        <v>0</v>
      </c>
      <c r="K1130" s="1">
        <f t="shared" si="2460"/>
        <v>3.1409346322027218</v>
      </c>
      <c r="L1130" s="1">
        <f t="shared" ref="L1130:N1130" si="2554">E1130/$H1130</f>
        <v>0.9714376042769518</v>
      </c>
      <c r="M1130" s="1">
        <f t="shared" si="2554"/>
        <v>0</v>
      </c>
      <c r="N1130" s="1">
        <f t="shared" si="2554"/>
        <v>-0.23729513479348086</v>
      </c>
      <c r="O1130" s="1">
        <f t="shared" si="2306"/>
        <v>-0.23729513479348086</v>
      </c>
      <c r="P1130" s="1">
        <f t="shared" si="2462"/>
        <v>0.23051741725035541</v>
      </c>
      <c r="Q1130" s="1">
        <f t="shared" si="2463"/>
        <v>0</v>
      </c>
      <c r="R1130" s="1">
        <f t="shared" si="2464"/>
        <v>0.94369101900334373</v>
      </c>
      <c r="S1130" s="1">
        <f t="shared" si="2465"/>
        <v>1.0701774676266484</v>
      </c>
      <c r="T1130" s="1">
        <f t="shared" ref="T1130:V1130" si="2555">$S1130*P1130</f>
        <v>0.24669454583682082</v>
      </c>
      <c r="U1130" s="1">
        <f t="shared" si="2555"/>
        <v>0</v>
      </c>
      <c r="V1130" s="1">
        <f t="shared" si="2555"/>
        <v>1.0099168649390098</v>
      </c>
      <c r="W1130" s="1">
        <f t="shared" si="2467"/>
        <v>-12.611647522377158</v>
      </c>
      <c r="X1130" s="1">
        <f t="shared" si="2468"/>
        <v>0</v>
      </c>
      <c r="Y1130" s="1">
        <f t="shared" si="2469"/>
        <v>-5.6557985028582678</v>
      </c>
    </row>
    <row r="1131" spans="1:25">
      <c r="A1131" s="1">
        <v>1.129</v>
      </c>
      <c r="B1131" s="1">
        <f t="shared" si="2470"/>
        <v>40.118821288934164</v>
      </c>
      <c r="C1131" s="1">
        <f t="shared" si="2471"/>
        <v>0</v>
      </c>
      <c r="D1131" s="1">
        <f t="shared" si="2472"/>
        <v>-1.380302699237397</v>
      </c>
      <c r="E1131" s="1">
        <f t="shared" si="2473"/>
        <v>17.506689350735279</v>
      </c>
      <c r="F1131" s="1">
        <f t="shared" si="2474"/>
        <v>0</v>
      </c>
      <c r="G1131" s="1">
        <f t="shared" si="2475"/>
        <v>-4.285132806152137</v>
      </c>
      <c r="H1131" s="1">
        <f t="shared" si="2304"/>
        <v>18.023499526715373</v>
      </c>
      <c r="I1131" s="1">
        <f t="shared" si="2458"/>
        <v>-12.841314494675901</v>
      </c>
      <c r="J1131" s="1">
        <f t="shared" si="2459"/>
        <v>0</v>
      </c>
      <c r="K1131" s="1">
        <f t="shared" si="2460"/>
        <v>3.1431835518884981</v>
      </c>
      <c r="L1131" s="1">
        <f t="shared" ref="L1131:N1131" si="2556">E1131/$H1131</f>
        <v>0.97132575861785053</v>
      </c>
      <c r="M1131" s="1">
        <f t="shared" si="2556"/>
        <v>0</v>
      </c>
      <c r="N1131" s="1">
        <f t="shared" si="2556"/>
        <v>-0.23775254077602906</v>
      </c>
      <c r="O1131" s="1">
        <f t="shared" si="2306"/>
        <v>-0.23775254077602906</v>
      </c>
      <c r="P1131" s="1">
        <f t="shared" si="2462"/>
        <v>0.23093516703259787</v>
      </c>
      <c r="Q1131" s="1">
        <f t="shared" si="2463"/>
        <v>0</v>
      </c>
      <c r="R1131" s="1">
        <f t="shared" si="2464"/>
        <v>0.94347372935454266</v>
      </c>
      <c r="S1131" s="1">
        <f t="shared" si="2465"/>
        <v>1.068883357262933</v>
      </c>
      <c r="T1131" s="1">
        <f t="shared" ref="T1131:V1131" si="2557">$S1131*P1131</f>
        <v>0.24684275664787941</v>
      </c>
      <c r="U1131" s="1">
        <f t="shared" si="2557"/>
        <v>0</v>
      </c>
      <c r="V1131" s="1">
        <f t="shared" si="2557"/>
        <v>1.0084633673218635</v>
      </c>
      <c r="W1131" s="1">
        <f t="shared" si="2467"/>
        <v>-12.594471738028021</v>
      </c>
      <c r="X1131" s="1">
        <f t="shared" si="2468"/>
        <v>0</v>
      </c>
      <c r="Y1131" s="1">
        <f t="shared" si="2469"/>
        <v>-5.6550030807896379</v>
      </c>
    </row>
    <row r="1132" spans="1:25">
      <c r="A1132" s="1">
        <v>1.1299999999999999</v>
      </c>
      <c r="B1132" s="1">
        <f t="shared" si="2470"/>
        <v>40.136315383813162</v>
      </c>
      <c r="C1132" s="1">
        <f t="shared" si="2471"/>
        <v>0</v>
      </c>
      <c r="D1132" s="1">
        <f t="shared" si="2472"/>
        <v>-1.3845934870466299</v>
      </c>
      <c r="E1132" s="1">
        <f t="shared" si="2473"/>
        <v>17.494094878997252</v>
      </c>
      <c r="F1132" s="1">
        <f t="shared" si="2474"/>
        <v>0</v>
      </c>
      <c r="G1132" s="1">
        <f t="shared" si="2475"/>
        <v>-4.2907878092329268</v>
      </c>
      <c r="H1132" s="1">
        <f t="shared" si="2304"/>
        <v>18.012612682762594</v>
      </c>
      <c r="I1132" s="1">
        <f t="shared" si="2458"/>
        <v>-12.824325299039806</v>
      </c>
      <c r="J1132" s="1">
        <f t="shared" si="2459"/>
        <v>0</v>
      </c>
      <c r="K1132" s="1">
        <f t="shared" si="2460"/>
        <v>3.1454304458369031</v>
      </c>
      <c r="L1132" s="1">
        <f t="shared" ref="L1132:N1132" si="2558">E1132/$H1132</f>
        <v>0.97121362609092554</v>
      </c>
      <c r="M1132" s="1">
        <f t="shared" si="2558"/>
        <v>0</v>
      </c>
      <c r="N1132" s="1">
        <f t="shared" si="2558"/>
        <v>-0.2382101855406602</v>
      </c>
      <c r="O1132" s="1">
        <f t="shared" si="2306"/>
        <v>-0.2382101855406602</v>
      </c>
      <c r="P1132" s="1">
        <f t="shared" si="2462"/>
        <v>0.23135297807073676</v>
      </c>
      <c r="Q1132" s="1">
        <f t="shared" si="2463"/>
        <v>0</v>
      </c>
      <c r="R1132" s="1">
        <f t="shared" si="2464"/>
        <v>0.94325590750468424</v>
      </c>
      <c r="S1132" s="1">
        <f t="shared" si="2465"/>
        <v>1.06759245903491</v>
      </c>
      <c r="T1132" s="1">
        <f t="shared" ref="T1132:V1132" si="2559">$S1132*P1132</f>
        <v>0.24699069476358745</v>
      </c>
      <c r="U1132" s="1">
        <f t="shared" si="2559"/>
        <v>0</v>
      </c>
      <c r="V1132" s="1">
        <f t="shared" si="2559"/>
        <v>1.0070128937921314</v>
      </c>
      <c r="W1132" s="1">
        <f t="shared" si="2467"/>
        <v>-12.577334604276219</v>
      </c>
      <c r="X1132" s="1">
        <f t="shared" si="2468"/>
        <v>0</v>
      </c>
      <c r="Y1132" s="1">
        <f t="shared" si="2469"/>
        <v>-5.6542066603709653</v>
      </c>
    </row>
    <row r="1133" spans="1:25">
      <c r="A1133" s="1">
        <v>1.131</v>
      </c>
      <c r="B1133" s="1">
        <f t="shared" si="2470"/>
        <v>40.153796901357552</v>
      </c>
      <c r="C1133" s="1">
        <f t="shared" si="2471"/>
        <v>0</v>
      </c>
      <c r="D1133" s="1">
        <f t="shared" si="2472"/>
        <v>-1.3888899290625232</v>
      </c>
      <c r="E1133" s="1">
        <f t="shared" si="2473"/>
        <v>17.481517544392975</v>
      </c>
      <c r="F1133" s="1">
        <f t="shared" si="2474"/>
        <v>0</v>
      </c>
      <c r="G1133" s="1">
        <f t="shared" si="2475"/>
        <v>-4.2964420158932981</v>
      </c>
      <c r="H1133" s="1">
        <f t="shared" si="2304"/>
        <v>18.001746294480785</v>
      </c>
      <c r="I1133" s="1">
        <f t="shared" si="2458"/>
        <v>-12.807374372045667</v>
      </c>
      <c r="J1133" s="1">
        <f t="shared" si="2459"/>
        <v>0</v>
      </c>
      <c r="K1133" s="1">
        <f t="shared" si="2460"/>
        <v>3.1476753219849121</v>
      </c>
      <c r="L1133" s="1">
        <f t="shared" ref="L1133:N1133" si="2560">E1133/$H1133</f>
        <v>0.97110120642866138</v>
      </c>
      <c r="M1133" s="1">
        <f t="shared" si="2560"/>
        <v>0</v>
      </c>
      <c r="N1133" s="1">
        <f t="shared" si="2560"/>
        <v>-0.23866806839792862</v>
      </c>
      <c r="O1133" s="1">
        <f t="shared" si="2306"/>
        <v>-0.23866806839792862</v>
      </c>
      <c r="P1133" s="1">
        <f t="shared" si="2462"/>
        <v>0.23177084915722676</v>
      </c>
      <c r="Q1133" s="1">
        <f t="shared" si="2463"/>
        <v>0</v>
      </c>
      <c r="R1133" s="1">
        <f t="shared" si="2464"/>
        <v>0.94303755312720172</v>
      </c>
      <c r="S1133" s="1">
        <f t="shared" si="2465"/>
        <v>1.0663047641083474</v>
      </c>
      <c r="T1133" s="1">
        <f t="shared" ref="T1133:V1133" si="2561">$S1133*P1133</f>
        <v>0.24713836063778805</v>
      </c>
      <c r="U1133" s="1">
        <f t="shared" si="2561"/>
        <v>0</v>
      </c>
      <c r="V1133" s="1">
        <f t="shared" si="2561"/>
        <v>1.005565435632614</v>
      </c>
      <c r="W1133" s="1">
        <f t="shared" si="2467"/>
        <v>-12.560236011407879</v>
      </c>
      <c r="X1133" s="1">
        <f t="shared" si="2468"/>
        <v>0</v>
      </c>
      <c r="Y1133" s="1">
        <f t="shared" si="2469"/>
        <v>-5.6534092423824731</v>
      </c>
    </row>
    <row r="1134" spans="1:25">
      <c r="A1134" s="1">
        <v>1.1319999999999999</v>
      </c>
      <c r="B1134" s="1">
        <f t="shared" si="2470"/>
        <v>40.171265858665933</v>
      </c>
      <c r="C1134" s="1">
        <f t="shared" si="2471"/>
        <v>0</v>
      </c>
      <c r="D1134" s="1">
        <f t="shared" si="2472"/>
        <v>-1.3931920244876588</v>
      </c>
      <c r="E1134" s="1">
        <f t="shared" si="2473"/>
        <v>17.468957308381569</v>
      </c>
      <c r="F1134" s="1">
        <f t="shared" si="2474"/>
        <v>0</v>
      </c>
      <c r="G1134" s="1">
        <f t="shared" si="2475"/>
        <v>-4.3020954251356809</v>
      </c>
      <c r="H1134" s="1">
        <f t="shared" si="2304"/>
        <v>17.990900324581624</v>
      </c>
      <c r="I1134" s="1">
        <f t="shared" si="2458"/>
        <v>-12.790461604817315</v>
      </c>
      <c r="J1134" s="1">
        <f t="shared" si="2459"/>
        <v>0</v>
      </c>
      <c r="K1134" s="1">
        <f t="shared" si="2460"/>
        <v>3.14991818825139</v>
      </c>
      <c r="L1134" s="1">
        <f t="shared" ref="L1134:N1134" si="2562">E1134/$H1134</f>
        <v>0.97098849936448672</v>
      </c>
      <c r="M1134" s="1">
        <f t="shared" si="2562"/>
        <v>0</v>
      </c>
      <c r="N1134" s="1">
        <f t="shared" si="2562"/>
        <v>-0.23912618865758323</v>
      </c>
      <c r="O1134" s="1">
        <f t="shared" si="2306"/>
        <v>-0.23912618865758323</v>
      </c>
      <c r="P1134" s="1">
        <f t="shared" si="2462"/>
        <v>0.23218877908337587</v>
      </c>
      <c r="Q1134" s="1">
        <f t="shared" si="2463"/>
        <v>0</v>
      </c>
      <c r="R1134" s="1">
        <f t="shared" si="2464"/>
        <v>0.94281866589809793</v>
      </c>
      <c r="S1134" s="1">
        <f t="shared" si="2465"/>
        <v>1.0650202636801178</v>
      </c>
      <c r="T1134" s="1">
        <f t="shared" ref="T1134:V1134" si="2563">$S1134*P1134</f>
        <v>0.24728575472294159</v>
      </c>
      <c r="U1134" s="1">
        <f t="shared" si="2563"/>
        <v>0</v>
      </c>
      <c r="V1134" s="1">
        <f t="shared" si="2563"/>
        <v>1.0041209841573291</v>
      </c>
      <c r="W1134" s="1">
        <f t="shared" si="2467"/>
        <v>-12.543175850094373</v>
      </c>
      <c r="X1134" s="1">
        <f t="shared" si="2468"/>
        <v>0</v>
      </c>
      <c r="Y1134" s="1">
        <f t="shared" si="2469"/>
        <v>-5.6526108275912801</v>
      </c>
    </row>
    <row r="1135" spans="1:25">
      <c r="A1135" s="1">
        <v>1.133</v>
      </c>
      <c r="B1135" s="1">
        <f t="shared" si="2470"/>
        <v>40.188722272798465</v>
      </c>
      <c r="C1135" s="1">
        <f t="shared" si="2471"/>
        <v>0</v>
      </c>
      <c r="D1135" s="1">
        <f t="shared" si="2472"/>
        <v>-1.397499772523622</v>
      </c>
      <c r="E1135" s="1">
        <f t="shared" si="2473"/>
        <v>17.456414132531474</v>
      </c>
      <c r="F1135" s="1">
        <f t="shared" si="2474"/>
        <v>0</v>
      </c>
      <c r="G1135" s="1">
        <f t="shared" si="2475"/>
        <v>-4.3077480359632725</v>
      </c>
      <c r="H1135" s="1">
        <f t="shared" si="2304"/>
        <v>17.98007473587888</v>
      </c>
      <c r="I1135" s="1">
        <f t="shared" si="2458"/>
        <v>-12.77358688886077</v>
      </c>
      <c r="J1135" s="1">
        <f t="shared" si="2459"/>
        <v>0</v>
      </c>
      <c r="K1135" s="1">
        <f t="shared" si="2460"/>
        <v>3.1521590525371308</v>
      </c>
      <c r="L1135" s="1">
        <f t="shared" ref="L1135:N1135" si="2564">E1135/$H1135</f>
        <v>0.97087550463277827</v>
      </c>
      <c r="M1135" s="1">
        <f t="shared" si="2564"/>
        <v>0</v>
      </c>
      <c r="N1135" s="1">
        <f t="shared" si="2564"/>
        <v>-0.23958454562857001</v>
      </c>
      <c r="O1135" s="1">
        <f t="shared" si="2306"/>
        <v>-0.23958454562857001</v>
      </c>
      <c r="P1135" s="1">
        <f t="shared" si="2462"/>
        <v>0.23260676663935281</v>
      </c>
      <c r="Q1135" s="1">
        <f t="shared" si="2463"/>
        <v>0</v>
      </c>
      <c r="R1135" s="1">
        <f t="shared" si="2464"/>
        <v>0.94259924549595164</v>
      </c>
      <c r="S1135" s="1">
        <f t="shared" si="2465"/>
        <v>1.0637389489780602</v>
      </c>
      <c r="T1135" s="1">
        <f t="shared" ref="T1135:V1135" si="2565">$S1135*P1135</f>
        <v>0.24743287747013007</v>
      </c>
      <c r="U1135" s="1">
        <f t="shared" si="2565"/>
        <v>0</v>
      </c>
      <c r="V1135" s="1">
        <f t="shared" si="2565"/>
        <v>1.0026795307113761</v>
      </c>
      <c r="W1135" s="1">
        <f t="shared" si="2467"/>
        <v>-12.52615401139064</v>
      </c>
      <c r="X1135" s="1">
        <f t="shared" si="2468"/>
        <v>0</v>
      </c>
      <c r="Y1135" s="1">
        <f t="shared" si="2469"/>
        <v>-5.6518114167514923</v>
      </c>
    </row>
    <row r="1136" spans="1:25">
      <c r="A1136" s="1">
        <v>1.1339999999999999</v>
      </c>
      <c r="B1136" s="1">
        <f t="shared" si="2470"/>
        <v>40.206166160776988</v>
      </c>
      <c r="C1136" s="1">
        <f t="shared" si="2471"/>
        <v>0</v>
      </c>
      <c r="D1136" s="1">
        <f t="shared" si="2472"/>
        <v>-1.4018131723710021</v>
      </c>
      <c r="E1136" s="1">
        <f t="shared" si="2473"/>
        <v>17.443887978520085</v>
      </c>
      <c r="F1136" s="1">
        <f t="shared" si="2474"/>
        <v>0</v>
      </c>
      <c r="G1136" s="1">
        <f t="shared" si="2475"/>
        <v>-4.3133998473800244</v>
      </c>
      <c r="H1136" s="1">
        <f t="shared" si="2304"/>
        <v>17.969269491288053</v>
      </c>
      <c r="I1136" s="1">
        <f t="shared" si="2458"/>
        <v>-12.756750116062626</v>
      </c>
      <c r="J1136" s="1">
        <f t="shared" si="2459"/>
        <v>0</v>
      </c>
      <c r="K1136" s="1">
        <f t="shared" si="2460"/>
        <v>3.1543979227249017</v>
      </c>
      <c r="L1136" s="1">
        <f t="shared" ref="L1136:N1136" si="2566">E1136/$H1136</f>
        <v>0.97076222196886264</v>
      </c>
      <c r="M1136" s="1">
        <f t="shared" si="2566"/>
        <v>0</v>
      </c>
      <c r="N1136" s="1">
        <f t="shared" si="2566"/>
        <v>-0.24004313861903331</v>
      </c>
      <c r="O1136" s="1">
        <f t="shared" si="2306"/>
        <v>-0.24004313861903331</v>
      </c>
      <c r="P1136" s="1">
        <f t="shared" si="2462"/>
        <v>0.23302481061419247</v>
      </c>
      <c r="Q1136" s="1">
        <f t="shared" si="2463"/>
        <v>0</v>
      </c>
      <c r="R1136" s="1">
        <f t="shared" si="2464"/>
        <v>0.94237929160192357</v>
      </c>
      <c r="S1136" s="1">
        <f t="shared" si="2465"/>
        <v>1.062460811260852</v>
      </c>
      <c r="T1136" s="1">
        <f t="shared" ref="T1136:V1136" si="2567">$S1136*P1136</f>
        <v>0.24757972932906133</v>
      </c>
      <c r="U1136" s="1">
        <f t="shared" si="2567"/>
        <v>0</v>
      </c>
      <c r="V1136" s="1">
        <f t="shared" si="2567"/>
        <v>1.0012410666708067</v>
      </c>
      <c r="W1136" s="1">
        <f t="shared" si="2467"/>
        <v>-12.509170386733565</v>
      </c>
      <c r="X1136" s="1">
        <f t="shared" si="2468"/>
        <v>0</v>
      </c>
      <c r="Y1136" s="1">
        <f t="shared" si="2469"/>
        <v>-5.6510110106042912</v>
      </c>
    </row>
    <row r="1137" spans="1:25">
      <c r="A1137" s="1">
        <v>1.135</v>
      </c>
      <c r="B1137" s="1">
        <f t="shared" si="2470"/>
        <v>40.223597539585121</v>
      </c>
      <c r="C1137" s="1">
        <f t="shared" si="2471"/>
        <v>0</v>
      </c>
      <c r="D1137" s="1">
        <f t="shared" si="2472"/>
        <v>-1.4061322232293927</v>
      </c>
      <c r="E1137" s="1">
        <f t="shared" si="2473"/>
        <v>17.431378808133353</v>
      </c>
      <c r="F1137" s="1">
        <f t="shared" si="2474"/>
        <v>0</v>
      </c>
      <c r="G1137" s="1">
        <f t="shared" si="2475"/>
        <v>-4.3190508583906286</v>
      </c>
      <c r="H1137" s="1">
        <f t="shared" si="2304"/>
        <v>17.958484553825954</v>
      </c>
      <c r="I1137" s="1">
        <f t="shared" si="2458"/>
        <v>-12.739951178688393</v>
      </c>
      <c r="J1137" s="1">
        <f t="shared" si="2459"/>
        <v>0</v>
      </c>
      <c r="K1137" s="1">
        <f t="shared" si="2460"/>
        <v>3.1566348066794796</v>
      </c>
      <c r="L1137" s="1">
        <f t="shared" ref="L1137:N1137" si="2568">E1137/$H1137</f>
        <v>0.9706486511090211</v>
      </c>
      <c r="M1137" s="1">
        <f t="shared" si="2568"/>
        <v>0</v>
      </c>
      <c r="N1137" s="1">
        <f t="shared" si="2568"/>
        <v>-0.24050196693631809</v>
      </c>
      <c r="O1137" s="1">
        <f t="shared" si="2306"/>
        <v>-0.24050196693631809</v>
      </c>
      <c r="P1137" s="1">
        <f t="shared" si="2462"/>
        <v>0.23344290979580354</v>
      </c>
      <c r="Q1137" s="1">
        <f t="shared" si="2463"/>
        <v>0</v>
      </c>
      <c r="R1137" s="1">
        <f t="shared" si="2464"/>
        <v>0.94215880389976214</v>
      </c>
      <c r="S1137" s="1">
        <f t="shared" si="2465"/>
        <v>1.0611858418178719</v>
      </c>
      <c r="T1137" s="1">
        <f t="shared" ref="T1137:V1137" si="2569">$S1137*P1137</f>
        <v>0.2477263107480733</v>
      </c>
      <c r="U1137" s="1">
        <f t="shared" si="2569"/>
        <v>0</v>
      </c>
      <c r="V1137" s="1">
        <f t="shared" si="2569"/>
        <v>0.99980558344248838</v>
      </c>
      <c r="W1137" s="1">
        <f t="shared" si="2467"/>
        <v>-12.492224867940321</v>
      </c>
      <c r="X1137" s="1">
        <f t="shared" si="2468"/>
        <v>0</v>
      </c>
      <c r="Y1137" s="1">
        <f t="shared" si="2469"/>
        <v>-5.650209609878031</v>
      </c>
    </row>
    <row r="1138" spans="1:25">
      <c r="A1138" s="1">
        <v>1.1359999999999999</v>
      </c>
      <c r="B1138" s="1">
        <f t="shared" si="2470"/>
        <v>40.241016426168386</v>
      </c>
      <c r="C1138" s="1">
        <f t="shared" si="2471"/>
        <v>0</v>
      </c>
      <c r="D1138" s="1">
        <f t="shared" si="2472"/>
        <v>-1.4104569242973932</v>
      </c>
      <c r="E1138" s="1">
        <f t="shared" si="2473"/>
        <v>17.418886583265412</v>
      </c>
      <c r="F1138" s="1">
        <f t="shared" si="2474"/>
        <v>0</v>
      </c>
      <c r="G1138" s="1">
        <f t="shared" si="2475"/>
        <v>-4.3247010680005067</v>
      </c>
      <c r="H1138" s="1">
        <f t="shared" si="2304"/>
        <v>17.947719886610347</v>
      </c>
      <c r="I1138" s="1">
        <f t="shared" si="2458"/>
        <v>-12.723189969380892</v>
      </c>
      <c r="J1138" s="1">
        <f t="shared" si="2459"/>
        <v>0</v>
      </c>
      <c r="K1138" s="1">
        <f t="shared" si="2460"/>
        <v>3.158869712247697</v>
      </c>
      <c r="L1138" s="1">
        <f t="shared" ref="L1138:N1138" si="2570">E1138/$H1138</f>
        <v>0.97053479179049007</v>
      </c>
      <c r="M1138" s="1">
        <f t="shared" si="2570"/>
        <v>0</v>
      </c>
      <c r="N1138" s="1">
        <f t="shared" si="2570"/>
        <v>-0.24096102988697141</v>
      </c>
      <c r="O1138" s="1">
        <f t="shared" si="2306"/>
        <v>-0.24096102988697141</v>
      </c>
      <c r="P1138" s="1">
        <f t="shared" si="2462"/>
        <v>0.23386106297097384</v>
      </c>
      <c r="Q1138" s="1">
        <f t="shared" si="2463"/>
        <v>0</v>
      </c>
      <c r="R1138" s="1">
        <f t="shared" si="2464"/>
        <v>0.94193778207581003</v>
      </c>
      <c r="S1138" s="1">
        <f t="shared" si="2465"/>
        <v>1.0599140319690732</v>
      </c>
      <c r="T1138" s="1">
        <f t="shared" ref="T1138:V1138" si="2571">$S1138*P1138</f>
        <v>0.24787262217413819</v>
      </c>
      <c r="U1138" s="1">
        <f t="shared" si="2571"/>
        <v>0</v>
      </c>
      <c r="V1138" s="1">
        <f t="shared" si="2571"/>
        <v>0.998373072463978</v>
      </c>
      <c r="W1138" s="1">
        <f t="shared" si="2467"/>
        <v>-12.475317347206753</v>
      </c>
      <c r="X1138" s="1">
        <f t="shared" si="2468"/>
        <v>0</v>
      </c>
      <c r="Y1138" s="1">
        <f t="shared" si="2469"/>
        <v>-5.6494072152883241</v>
      </c>
    </row>
    <row r="1139" spans="1:25">
      <c r="A1139" s="1">
        <v>1.137</v>
      </c>
      <c r="B1139" s="1">
        <f t="shared" si="2470"/>
        <v>40.258422837434303</v>
      </c>
      <c r="C1139" s="1">
        <f t="shared" si="2471"/>
        <v>0</v>
      </c>
      <c r="D1139" s="1">
        <f t="shared" si="2472"/>
        <v>-1.4147872747726091</v>
      </c>
      <c r="E1139" s="1">
        <f t="shared" si="2473"/>
        <v>17.406411265918205</v>
      </c>
      <c r="F1139" s="1">
        <f t="shared" si="2474"/>
        <v>0</v>
      </c>
      <c r="G1139" s="1">
        <f t="shared" si="2475"/>
        <v>-4.3303504752157949</v>
      </c>
      <c r="H1139" s="1">
        <f t="shared" si="2304"/>
        <v>17.936975452859546</v>
      </c>
      <c r="I1139" s="1">
        <f t="shared" si="2458"/>
        <v>-12.706466381158654</v>
      </c>
      <c r="J1139" s="1">
        <f t="shared" si="2459"/>
        <v>0</v>
      </c>
      <c r="K1139" s="1">
        <f t="shared" si="2460"/>
        <v>3.161102647258482</v>
      </c>
      <c r="L1139" s="1">
        <f t="shared" ref="L1139:N1139" si="2572">E1139/$H1139</f>
        <v>0.97042064375146608</v>
      </c>
      <c r="M1139" s="1">
        <f t="shared" si="2572"/>
        <v>0</v>
      </c>
      <c r="N1139" s="1">
        <f t="shared" si="2572"/>
        <v>-0.24142032677674444</v>
      </c>
      <c r="O1139" s="1">
        <f t="shared" si="2306"/>
        <v>-0.24142032677674444</v>
      </c>
      <c r="P1139" s="1">
        <f t="shared" si="2462"/>
        <v>0.23427926892537765</v>
      </c>
      <c r="Q1139" s="1">
        <f t="shared" si="2463"/>
        <v>0</v>
      </c>
      <c r="R1139" s="1">
        <f t="shared" si="2464"/>
        <v>0.94171622581900993</v>
      </c>
      <c r="S1139" s="1">
        <f t="shared" si="2465"/>
        <v>1.0586453730648511</v>
      </c>
      <c r="T1139" s="1">
        <f t="shared" ref="T1139:V1139" si="2573">$S1139*P1139</f>
        <v>0.24801866405286699</v>
      </c>
      <c r="U1139" s="1">
        <f t="shared" si="2573"/>
        <v>0</v>
      </c>
      <c r="V1139" s="1">
        <f t="shared" si="2573"/>
        <v>0.99694352520338936</v>
      </c>
      <c r="W1139" s="1">
        <f t="shared" si="2467"/>
        <v>-12.458447717105788</v>
      </c>
      <c r="X1139" s="1">
        <f t="shared" si="2468"/>
        <v>0</v>
      </c>
      <c r="Y1139" s="1">
        <f t="shared" si="2469"/>
        <v>-5.6486038275381283</v>
      </c>
    </row>
    <row r="1140" spans="1:25">
      <c r="A1140" s="1">
        <v>1.1379999999999999</v>
      </c>
      <c r="B1140" s="1">
        <f t="shared" si="2470"/>
        <v>40.275816790252506</v>
      </c>
      <c r="C1140" s="1">
        <f t="shared" si="2471"/>
        <v>0</v>
      </c>
      <c r="D1140" s="1">
        <f t="shared" si="2472"/>
        <v>-1.4191232738516524</v>
      </c>
      <c r="E1140" s="1">
        <f t="shared" si="2473"/>
        <v>17.3939528182011</v>
      </c>
      <c r="F1140" s="1">
        <f t="shared" si="2474"/>
        <v>0</v>
      </c>
      <c r="G1140" s="1">
        <f t="shared" si="2475"/>
        <v>-4.3359990790433329</v>
      </c>
      <c r="H1140" s="1">
        <f t="shared" si="2304"/>
        <v>17.926251215892034</v>
      </c>
      <c r="I1140" s="1">
        <f t="shared" si="2458"/>
        <v>-12.689780307414287</v>
      </c>
      <c r="J1140" s="1">
        <f t="shared" si="2459"/>
        <v>0</v>
      </c>
      <c r="K1140" s="1">
        <f t="shared" si="2460"/>
        <v>3.1633336195228963</v>
      </c>
      <c r="L1140" s="1">
        <f t="shared" ref="L1140:N1140" si="2574">E1140/$H1140</f>
        <v>0.97030620673110735</v>
      </c>
      <c r="M1140" s="1">
        <f t="shared" si="2574"/>
        <v>0</v>
      </c>
      <c r="N1140" s="1">
        <f t="shared" si="2574"/>
        <v>-0.24187985691059433</v>
      </c>
      <c r="O1140" s="1">
        <f t="shared" si="2306"/>
        <v>-0.24187985691059433</v>
      </c>
      <c r="P1140" s="1">
        <f t="shared" si="2462"/>
        <v>0.2346975264435818</v>
      </c>
      <c r="Q1140" s="1">
        <f t="shared" si="2463"/>
        <v>0</v>
      </c>
      <c r="R1140" s="1">
        <f t="shared" si="2464"/>
        <v>0.94149413482091038</v>
      </c>
      <c r="S1140" s="1">
        <f t="shared" si="2465"/>
        <v>1.0573798564859136</v>
      </c>
      <c r="T1140" s="1">
        <f t="shared" ref="T1140:V1140" si="2575">$S1140*P1140</f>
        <v>0.24816443682851344</v>
      </c>
      <c r="U1140" s="1">
        <f t="shared" si="2575"/>
        <v>0</v>
      </c>
      <c r="V1140" s="1">
        <f t="shared" si="2575"/>
        <v>0.9955169331592636</v>
      </c>
      <c r="W1140" s="1">
        <f t="shared" si="2467"/>
        <v>-12.441615870585773</v>
      </c>
      <c r="X1140" s="1">
        <f t="shared" si="2468"/>
        <v>0</v>
      </c>
      <c r="Y1140" s="1">
        <f t="shared" si="2469"/>
        <v>-5.6477994473178397</v>
      </c>
    </row>
    <row r="1141" spans="1:25">
      <c r="A1141" s="1">
        <v>1.139</v>
      </c>
      <c r="B1141" s="1">
        <f t="shared" si="2470"/>
        <v>40.293198301454836</v>
      </c>
      <c r="C1141" s="1">
        <f t="shared" si="2471"/>
        <v>0</v>
      </c>
      <c r="D1141" s="1">
        <f t="shared" si="2472"/>
        <v>-1.4234649207301431</v>
      </c>
      <c r="E1141" s="1">
        <f t="shared" si="2473"/>
        <v>17.381511202330515</v>
      </c>
      <c r="F1141" s="1">
        <f t="shared" si="2474"/>
        <v>0</v>
      </c>
      <c r="G1141" s="1">
        <f t="shared" si="2475"/>
        <v>-4.3416468784906508</v>
      </c>
      <c r="H1141" s="1">
        <f t="shared" si="2304"/>
        <v>17.915547139126083</v>
      </c>
      <c r="I1141" s="1">
        <f t="shared" si="2458"/>
        <v>-12.673131641912892</v>
      </c>
      <c r="J1141" s="1">
        <f t="shared" si="2459"/>
        <v>0</v>
      </c>
      <c r="K1141" s="1">
        <f t="shared" si="2460"/>
        <v>3.1655626368341787</v>
      </c>
      <c r="L1141" s="1">
        <f t="shared" ref="L1141:N1141" si="2576">E1141/$H1141</f>
        <v>0.97019148046953707</v>
      </c>
      <c r="M1141" s="1">
        <f t="shared" si="2576"/>
        <v>0</v>
      </c>
      <c r="N1141" s="1">
        <f t="shared" si="2576"/>
        <v>-0.2423396195926861</v>
      </c>
      <c r="O1141" s="1">
        <f t="shared" si="2306"/>
        <v>-0.2423396195926861</v>
      </c>
      <c r="P1141" s="1">
        <f t="shared" si="2462"/>
        <v>0.23511583430905256</v>
      </c>
      <c r="Q1141" s="1">
        <f t="shared" si="2463"/>
        <v>0</v>
      </c>
      <c r="R1141" s="1">
        <f t="shared" si="2464"/>
        <v>0.94127150877567223</v>
      </c>
      <c r="S1141" s="1">
        <f t="shared" si="2465"/>
        <v>1.0561174736431505</v>
      </c>
      <c r="T1141" s="1">
        <f t="shared" ref="T1141:V1141" si="2577">$S1141*P1141</f>
        <v>0.24830994094397815</v>
      </c>
      <c r="U1141" s="1">
        <f t="shared" si="2577"/>
        <v>0</v>
      </c>
      <c r="V1141" s="1">
        <f t="shared" si="2577"/>
        <v>0.99409328786043949</v>
      </c>
      <c r="W1141" s="1">
        <f t="shared" si="2467"/>
        <v>-12.424821700968915</v>
      </c>
      <c r="X1141" s="1">
        <f t="shared" si="2468"/>
        <v>0</v>
      </c>
      <c r="Y1141" s="1">
        <f t="shared" si="2469"/>
        <v>-5.6469940753053809</v>
      </c>
    </row>
    <row r="1142" spans="1:25">
      <c r="A1142" s="1">
        <v>1.1399999999999999</v>
      </c>
      <c r="B1142" s="1">
        <f t="shared" si="2470"/>
        <v>40.310567387835469</v>
      </c>
      <c r="C1142" s="1">
        <f t="shared" si="2471"/>
        <v>0</v>
      </c>
      <c r="D1142" s="1">
        <f t="shared" si="2472"/>
        <v>-1.427812214602709</v>
      </c>
      <c r="E1142" s="1">
        <f t="shared" si="2473"/>
        <v>17.369086380629547</v>
      </c>
      <c r="F1142" s="1">
        <f t="shared" si="2474"/>
        <v>0</v>
      </c>
      <c r="G1142" s="1">
        <f t="shared" si="2475"/>
        <v>-4.347293872565956</v>
      </c>
      <c r="H1142" s="1">
        <f t="shared" si="2304"/>
        <v>17.904863186079371</v>
      </c>
      <c r="I1142" s="1">
        <f t="shared" si="2458"/>
        <v>-12.656520278790486</v>
      </c>
      <c r="J1142" s="1">
        <f t="shared" si="2459"/>
        <v>0</v>
      </c>
      <c r="K1142" s="1">
        <f t="shared" si="2460"/>
        <v>3.1677897069677865</v>
      </c>
      <c r="L1142" s="1">
        <f t="shared" ref="L1142:N1142" si="2578">E1142/$H1142</f>
        <v>0.97007646470784659</v>
      </c>
      <c r="M1142" s="1">
        <f t="shared" si="2578"/>
        <v>0</v>
      </c>
      <c r="N1142" s="1">
        <f t="shared" si="2578"/>
        <v>-0.24279961412639439</v>
      </c>
      <c r="O1142" s="1">
        <f t="shared" si="2306"/>
        <v>-0.24279961412639439</v>
      </c>
      <c r="P1142" s="1">
        <f t="shared" si="2462"/>
        <v>0.235534191304162</v>
      </c>
      <c r="Q1142" s="1">
        <f t="shared" si="2463"/>
        <v>0</v>
      </c>
      <c r="R1142" s="1">
        <f t="shared" si="2464"/>
        <v>0.94104834738007404</v>
      </c>
      <c r="S1142" s="1">
        <f t="shared" si="2465"/>
        <v>1.0548582159775071</v>
      </c>
      <c r="T1142" s="1">
        <f t="shared" ref="T1142:V1142" si="2579">$S1142*P1142</f>
        <v>0.2484551768408132</v>
      </c>
      <c r="U1142" s="1">
        <f t="shared" si="2579"/>
        <v>0</v>
      </c>
      <c r="V1142" s="1">
        <f t="shared" si="2579"/>
        <v>0.99267258086592625</v>
      </c>
      <c r="W1142" s="1">
        <f t="shared" si="2467"/>
        <v>-12.408065101949672</v>
      </c>
      <c r="X1142" s="1">
        <f t="shared" si="2468"/>
        <v>0</v>
      </c>
      <c r="Y1142" s="1">
        <f t="shared" si="2469"/>
        <v>-5.6461877121662862</v>
      </c>
    </row>
    <row r="1143" spans="1:25">
      <c r="A1143" s="1">
        <v>1.141</v>
      </c>
      <c r="B1143" s="1">
        <f t="shared" si="2470"/>
        <v>40.327924066150999</v>
      </c>
      <c r="C1143" s="1">
        <f t="shared" si="2471"/>
        <v>0</v>
      </c>
      <c r="D1143" s="1">
        <f t="shared" si="2472"/>
        <v>-1.4321651546629872</v>
      </c>
      <c r="E1143" s="1">
        <f t="shared" si="2473"/>
        <v>17.356678315527596</v>
      </c>
      <c r="F1143" s="1">
        <f t="shared" si="2474"/>
        <v>0</v>
      </c>
      <c r="G1143" s="1">
        <f t="shared" si="2475"/>
        <v>-4.3529400602781223</v>
      </c>
      <c r="H1143" s="1">
        <f t="shared" si="2304"/>
        <v>17.894199320368596</v>
      </c>
      <c r="I1143" s="1">
        <f t="shared" si="2458"/>
        <v>-12.639946112552391</v>
      </c>
      <c r="J1143" s="1">
        <f t="shared" si="2459"/>
        <v>0</v>
      </c>
      <c r="K1143" s="1">
        <f t="shared" si="2460"/>
        <v>3.170014837681431</v>
      </c>
      <c r="L1143" s="1">
        <f t="shared" ref="L1143:N1143" si="2580">E1143/$H1143</f>
        <v>0.96996115918809778</v>
      </c>
      <c r="M1143" s="1">
        <f t="shared" si="2580"/>
        <v>0</v>
      </c>
      <c r="N1143" s="1">
        <f t="shared" si="2580"/>
        <v>-0.24325983981430568</v>
      </c>
      <c r="O1143" s="1">
        <f t="shared" si="2306"/>
        <v>-0.24325983981430568</v>
      </c>
      <c r="P1143" s="1">
        <f t="shared" si="2462"/>
        <v>0.23595259621019493</v>
      </c>
      <c r="Q1143" s="1">
        <f t="shared" si="2463"/>
        <v>0</v>
      </c>
      <c r="R1143" s="1">
        <f t="shared" si="2464"/>
        <v>0.94082465033351836</v>
      </c>
      <c r="S1143" s="1">
        <f t="shared" si="2465"/>
        <v>1.0536020749598531</v>
      </c>
      <c r="T1143" s="1">
        <f t="shared" ref="T1143:V1143" si="2581">$S1143*P1143</f>
        <v>0.24860014495922575</v>
      </c>
      <c r="U1143" s="1">
        <f t="shared" si="2581"/>
        <v>0</v>
      </c>
      <c r="V1143" s="1">
        <f t="shared" si="2581"/>
        <v>0.99125480376477326</v>
      </c>
      <c r="W1143" s="1">
        <f t="shared" si="2467"/>
        <v>-12.391345967593164</v>
      </c>
      <c r="X1143" s="1">
        <f t="shared" si="2468"/>
        <v>0</v>
      </c>
      <c r="Y1143" s="1">
        <f t="shared" si="2469"/>
        <v>-5.6453803585537949</v>
      </c>
    </row>
    <row r="1144" spans="1:25">
      <c r="A1144" s="1">
        <v>1.1419999999999999</v>
      </c>
      <c r="B1144" s="1">
        <f t="shared" si="2470"/>
        <v>40.345268353120559</v>
      </c>
      <c r="C1144" s="1">
        <f t="shared" si="2471"/>
        <v>0</v>
      </c>
      <c r="D1144" s="1">
        <f t="shared" si="2472"/>
        <v>-1.4365237401036239</v>
      </c>
      <c r="E1144" s="1">
        <f t="shared" si="2473"/>
        <v>17.344286969560002</v>
      </c>
      <c r="F1144" s="1">
        <f t="shared" si="2474"/>
        <v>0</v>
      </c>
      <c r="G1144" s="1">
        <f t="shared" si="2475"/>
        <v>-4.3585854406366762</v>
      </c>
      <c r="H1144" s="1">
        <f t="shared" si="2304"/>
        <v>17.883555505709118</v>
      </c>
      <c r="I1144" s="1">
        <f t="shared" si="2458"/>
        <v>-12.623409038071694</v>
      </c>
      <c r="J1144" s="1">
        <f t="shared" si="2459"/>
        <v>0</v>
      </c>
      <c r="K1144" s="1">
        <f t="shared" si="2460"/>
        <v>3.1722380367151231</v>
      </c>
      <c r="L1144" s="1">
        <f t="shared" ref="L1144:N1144" si="2582">E1144/$H1144</f>
        <v>0.96984556365332608</v>
      </c>
      <c r="M1144" s="1">
        <f t="shared" si="2582"/>
        <v>0</v>
      </c>
      <c r="N1144" s="1">
        <f t="shared" si="2582"/>
        <v>-0.24372029595821973</v>
      </c>
      <c r="O1144" s="1">
        <f t="shared" si="2306"/>
        <v>-0.24372029595821973</v>
      </c>
      <c r="P1144" s="1">
        <f t="shared" si="2462"/>
        <v>0.23637104780735507</v>
      </c>
      <c r="Q1144" s="1">
        <f t="shared" si="2463"/>
        <v>0</v>
      </c>
      <c r="R1144" s="1">
        <f t="shared" si="2464"/>
        <v>0.94060041733803779</v>
      </c>
      <c r="S1144" s="1">
        <f t="shared" si="2465"/>
        <v>1.0523490420908597</v>
      </c>
      <c r="T1144" s="1">
        <f t="shared" ref="T1144:V1144" si="2583">$S1144*P1144</f>
        <v>0.24874484573808289</v>
      </c>
      <c r="U1144" s="1">
        <f t="shared" si="2583"/>
        <v>0</v>
      </c>
      <c r="V1144" s="1">
        <f t="shared" si="2583"/>
        <v>0.98983994817594689</v>
      </c>
      <c r="W1144" s="1">
        <f t="shared" si="2467"/>
        <v>-12.374664192333611</v>
      </c>
      <c r="X1144" s="1">
        <f t="shared" si="2468"/>
        <v>0</v>
      </c>
      <c r="Y1144" s="1">
        <f t="shared" si="2469"/>
        <v>-5.6445720151089294</v>
      </c>
    </row>
    <row r="1145" spans="1:25">
      <c r="A1145" s="1">
        <v>1.143</v>
      </c>
      <c r="B1145" s="1">
        <f t="shared" si="2470"/>
        <v>40.362600265425925</v>
      </c>
      <c r="C1145" s="1">
        <f t="shared" si="2471"/>
        <v>0</v>
      </c>
      <c r="D1145" s="1">
        <f t="shared" si="2472"/>
        <v>-1.4408879701162758</v>
      </c>
      <c r="E1145" s="1">
        <f t="shared" si="2473"/>
        <v>17.33191230536767</v>
      </c>
      <c r="F1145" s="1">
        <f t="shared" si="2474"/>
        <v>0</v>
      </c>
      <c r="G1145" s="1">
        <f t="shared" si="2475"/>
        <v>-4.3642300126517855</v>
      </c>
      <c r="H1145" s="1">
        <f t="shared" si="2304"/>
        <v>17.872931705914556</v>
      </c>
      <c r="I1145" s="1">
        <f t="shared" si="2458"/>
        <v>-12.60690895058765</v>
      </c>
      <c r="J1145" s="1">
        <f t="shared" si="2459"/>
        <v>0</v>
      </c>
      <c r="K1145" s="1">
        <f t="shared" si="2460"/>
        <v>3.1744593117912094</v>
      </c>
      <c r="L1145" s="1">
        <f t="shared" ref="L1145:N1145" si="2584">E1145/$H1145</f>
        <v>0.9697296778475436</v>
      </c>
      <c r="M1145" s="1">
        <f t="shared" si="2584"/>
        <v>0</v>
      </c>
      <c r="N1145" s="1">
        <f t="shared" si="2584"/>
        <v>-0.24418098185915202</v>
      </c>
      <c r="O1145" s="1">
        <f t="shared" si="2306"/>
        <v>-0.24418098185915202</v>
      </c>
      <c r="P1145" s="1">
        <f t="shared" si="2462"/>
        <v>0.23678954487477238</v>
      </c>
      <c r="Q1145" s="1">
        <f t="shared" si="2463"/>
        <v>0</v>
      </c>
      <c r="R1145" s="1">
        <f t="shared" si="2464"/>
        <v>0.94037564809830043</v>
      </c>
      <c r="S1145" s="1">
        <f t="shared" si="2465"/>
        <v>1.0510991089008672</v>
      </c>
      <c r="T1145" s="1">
        <f t="shared" ref="T1145:V1145" si="2585">$S1145*P1145</f>
        <v>0.24888927961491517</v>
      </c>
      <c r="U1145" s="1">
        <f t="shared" si="2585"/>
        <v>0</v>
      </c>
      <c r="V1145" s="1">
        <f t="shared" si="2585"/>
        <v>0.98842800574819911</v>
      </c>
      <c r="W1145" s="1">
        <f t="shared" si="2467"/>
        <v>-12.358019670972736</v>
      </c>
      <c r="X1145" s="1">
        <f t="shared" si="2468"/>
        <v>0</v>
      </c>
      <c r="Y1145" s="1">
        <f t="shared" si="2469"/>
        <v>-5.6437626824605909</v>
      </c>
    </row>
    <row r="1146" spans="1:25">
      <c r="A1146" s="1">
        <v>1.1439999999999999</v>
      </c>
      <c r="B1146" s="1">
        <f t="shared" si="2470"/>
        <v>40.379919819711624</v>
      </c>
      <c r="C1146" s="1">
        <f t="shared" si="2471"/>
        <v>0</v>
      </c>
      <c r="D1146" s="1">
        <f t="shared" si="2472"/>
        <v>-1.4452578438916099</v>
      </c>
      <c r="E1146" s="1">
        <f t="shared" si="2473"/>
        <v>17.319554285696697</v>
      </c>
      <c r="F1146" s="1">
        <f t="shared" si="2474"/>
        <v>0</v>
      </c>
      <c r="G1146" s="1">
        <f t="shared" si="2475"/>
        <v>-4.3698737753342458</v>
      </c>
      <c r="H1146" s="1">
        <f t="shared" si="2304"/>
        <v>17.862327884896438</v>
      </c>
      <c r="I1146" s="1">
        <f t="shared" si="2458"/>
        <v>-12.590445745704146</v>
      </c>
      <c r="J1146" s="1">
        <f t="shared" si="2459"/>
        <v>0</v>
      </c>
      <c r="K1146" s="1">
        <f t="shared" si="2460"/>
        <v>3.176678670614415</v>
      </c>
      <c r="L1146" s="1">
        <f t="shared" ref="L1146:N1146" si="2586">E1146/$H1146</f>
        <v>0.96961350151574111</v>
      </c>
      <c r="M1146" s="1">
        <f t="shared" si="2586"/>
        <v>0</v>
      </c>
      <c r="N1146" s="1">
        <f t="shared" si="2586"/>
        <v>-0.24464189681733534</v>
      </c>
      <c r="O1146" s="1">
        <f t="shared" si="2306"/>
        <v>-0.24464189681733534</v>
      </c>
      <c r="P1146" s="1">
        <f t="shared" si="2462"/>
        <v>0.23720808619050915</v>
      </c>
      <c r="Q1146" s="1">
        <f t="shared" si="2463"/>
        <v>0</v>
      </c>
      <c r="R1146" s="1">
        <f t="shared" si="2464"/>
        <v>0.94015034232161621</v>
      </c>
      <c r="S1146" s="1">
        <f t="shared" si="2465"/>
        <v>1.0498522669497639</v>
      </c>
      <c r="T1146" s="1">
        <f t="shared" ref="T1146:V1146" si="2587">$S1146*P1146</f>
        <v>0.24903344702592101</v>
      </c>
      <c r="U1146" s="1">
        <f t="shared" si="2587"/>
        <v>0</v>
      </c>
      <c r="V1146" s="1">
        <f t="shared" si="2587"/>
        <v>0.98701896815994528</v>
      </c>
      <c r="W1146" s="1">
        <f t="shared" si="2467"/>
        <v>-12.341412298678225</v>
      </c>
      <c r="X1146" s="1">
        <f t="shared" si="2468"/>
        <v>0</v>
      </c>
      <c r="Y1146" s="1">
        <f t="shared" si="2469"/>
        <v>-5.6429523612256389</v>
      </c>
    </row>
    <row r="1147" spans="1:25">
      <c r="A1147" s="1">
        <v>1.145</v>
      </c>
      <c r="B1147" s="1">
        <f t="shared" si="2470"/>
        <v>40.397227032585022</v>
      </c>
      <c r="C1147" s="1">
        <f t="shared" si="2471"/>
        <v>0</v>
      </c>
      <c r="D1147" s="1">
        <f t="shared" si="2472"/>
        <v>-1.4496333606193055</v>
      </c>
      <c r="E1147" s="1">
        <f t="shared" si="2473"/>
        <v>17.307212873398019</v>
      </c>
      <c r="F1147" s="1">
        <f t="shared" si="2474"/>
        <v>0</v>
      </c>
      <c r="G1147" s="1">
        <f t="shared" si="2475"/>
        <v>-4.3755167276954712</v>
      </c>
      <c r="H1147" s="1">
        <f t="shared" si="2304"/>
        <v>17.851744006663804</v>
      </c>
      <c r="I1147" s="1">
        <f t="shared" si="2458"/>
        <v>-12.574019319388141</v>
      </c>
      <c r="J1147" s="1">
        <f t="shared" si="2459"/>
        <v>0</v>
      </c>
      <c r="K1147" s="1">
        <f t="shared" si="2460"/>
        <v>3.1788961208718804</v>
      </c>
      <c r="L1147" s="1">
        <f t="shared" ref="L1147:N1147" si="2588">E1147/$H1147</f>
        <v>0.96949703440389245</v>
      </c>
      <c r="M1147" s="1">
        <f t="shared" si="2588"/>
        <v>0</v>
      </c>
      <c r="N1147" s="1">
        <f t="shared" si="2588"/>
        <v>-0.24510304013222195</v>
      </c>
      <c r="O1147" s="1">
        <f t="shared" si="2306"/>
        <v>-0.24510304013222195</v>
      </c>
      <c r="P1147" s="1">
        <f t="shared" si="2462"/>
        <v>0.23762667053156741</v>
      </c>
      <c r="Q1147" s="1">
        <f t="shared" si="2463"/>
        <v>0</v>
      </c>
      <c r="R1147" s="1">
        <f t="shared" si="2464"/>
        <v>0.93992449971794234</v>
      </c>
      <c r="S1147" s="1">
        <f t="shared" si="2465"/>
        <v>1.0486085078268566</v>
      </c>
      <c r="T1147" s="1">
        <f t="shared" ref="T1147:V1147" si="2589">$S1147*P1147</f>
        <v>0.24917734840597097</v>
      </c>
      <c r="U1147" s="1">
        <f t="shared" si="2589"/>
        <v>0</v>
      </c>
      <c r="V1147" s="1">
        <f t="shared" si="2589"/>
        <v>0.98561282711913611</v>
      </c>
      <c r="W1147" s="1">
        <f t="shared" si="2467"/>
        <v>-12.32484197098217</v>
      </c>
      <c r="X1147" s="1">
        <f t="shared" si="2468"/>
        <v>0</v>
      </c>
      <c r="Y1147" s="1">
        <f t="shared" si="2469"/>
        <v>-5.6421410520089825</v>
      </c>
    </row>
    <row r="1148" spans="1:25">
      <c r="A1148" s="1">
        <v>1.1459999999999999</v>
      </c>
      <c r="B1148" s="1">
        <f t="shared" si="2470"/>
        <v>40.414521920616451</v>
      </c>
      <c r="C1148" s="1">
        <f t="shared" si="2471"/>
        <v>0</v>
      </c>
      <c r="D1148" s="1">
        <f t="shared" si="2472"/>
        <v>-1.4540145194880529</v>
      </c>
      <c r="E1148" s="1">
        <f t="shared" si="2473"/>
        <v>17.294888031427035</v>
      </c>
      <c r="F1148" s="1">
        <f t="shared" si="2474"/>
        <v>0</v>
      </c>
      <c r="G1148" s="1">
        <f t="shared" si="2475"/>
        <v>-4.3811588687474803</v>
      </c>
      <c r="H1148" s="1">
        <f t="shared" si="2304"/>
        <v>17.841180035322854</v>
      </c>
      <c r="I1148" s="1">
        <f t="shared" si="2458"/>
        <v>-12.557629567968116</v>
      </c>
      <c r="J1148" s="1">
        <f t="shared" si="2459"/>
        <v>0</v>
      </c>
      <c r="K1148" s="1">
        <f t="shared" si="2460"/>
        <v>3.1811116702332036</v>
      </c>
      <c r="L1148" s="1">
        <f t="shared" ref="L1148:N1148" si="2590">E1148/$H1148</f>
        <v>0.96938027625895584</v>
      </c>
      <c r="M1148" s="1">
        <f t="shared" si="2590"/>
        <v>0</v>
      </c>
      <c r="N1148" s="1">
        <f t="shared" si="2590"/>
        <v>-0.24556441110248564</v>
      </c>
      <c r="O1148" s="1">
        <f t="shared" si="2306"/>
        <v>-0.24556441110248564</v>
      </c>
      <c r="P1148" s="1">
        <f t="shared" si="2462"/>
        <v>0.23804529667389535</v>
      </c>
      <c r="Q1148" s="1">
        <f t="shared" si="2463"/>
        <v>0</v>
      </c>
      <c r="R1148" s="1">
        <f t="shared" si="2464"/>
        <v>0.93969811999988939</v>
      </c>
      <c r="S1148" s="1">
        <f t="shared" si="2465"/>
        <v>1.0473678231507482</v>
      </c>
      <c r="T1148" s="1">
        <f t="shared" ref="T1148:V1148" si="2591">$S1148*P1148</f>
        <v>0.24932098418861179</v>
      </c>
      <c r="U1148" s="1">
        <f t="shared" si="2591"/>
        <v>0</v>
      </c>
      <c r="V1148" s="1">
        <f t="shared" si="2591"/>
        <v>0.98420957436313472</v>
      </c>
      <c r="W1148" s="1">
        <f t="shared" si="2467"/>
        <v>-12.308308583779503</v>
      </c>
      <c r="X1148" s="1">
        <f t="shared" si="2468"/>
        <v>0</v>
      </c>
      <c r="Y1148" s="1">
        <f t="shared" si="2469"/>
        <v>-5.6413287554036611</v>
      </c>
    </row>
    <row r="1149" spans="1:25">
      <c r="A1149" s="1">
        <v>1.147</v>
      </c>
      <c r="B1149" s="1">
        <f t="shared" si="2470"/>
        <v>40.431804500339297</v>
      </c>
      <c r="C1149" s="1">
        <f t="shared" si="2471"/>
        <v>0</v>
      </c>
      <c r="D1149" s="1">
        <f t="shared" si="2472"/>
        <v>-1.4584013196855559</v>
      </c>
      <c r="E1149" s="1">
        <f t="shared" si="2473"/>
        <v>17.282579722843256</v>
      </c>
      <c r="F1149" s="1">
        <f t="shared" si="2474"/>
        <v>0</v>
      </c>
      <c r="G1149" s="1">
        <f t="shared" si="2475"/>
        <v>-4.3868001975028843</v>
      </c>
      <c r="H1149" s="1">
        <f t="shared" si="2304"/>
        <v>17.830635935076579</v>
      </c>
      <c r="I1149" s="1">
        <f t="shared" si="2458"/>
        <v>-12.541276388132566</v>
      </c>
      <c r="J1149" s="1">
        <f t="shared" si="2459"/>
        <v>0</v>
      </c>
      <c r="K1149" s="1">
        <f t="shared" si="2460"/>
        <v>3.1833253263504804</v>
      </c>
      <c r="L1149" s="1">
        <f t="shared" ref="L1149:N1149" si="2592">E1149/$H1149</f>
        <v>0.969263226828877</v>
      </c>
      <c r="M1149" s="1">
        <f t="shared" si="2592"/>
        <v>0</v>
      </c>
      <c r="N1149" s="1">
        <f t="shared" si="2592"/>
        <v>-0.24602600902602323</v>
      </c>
      <c r="O1149" s="1">
        <f t="shared" si="2306"/>
        <v>-0.24602600902602323</v>
      </c>
      <c r="P1149" s="1">
        <f t="shared" si="2462"/>
        <v>0.2384639633923937</v>
      </c>
      <c r="Q1149" s="1">
        <f t="shared" si="2463"/>
        <v>0</v>
      </c>
      <c r="R1149" s="1">
        <f t="shared" si="2464"/>
        <v>0.93947120288272712</v>
      </c>
      <c r="S1149" s="1">
        <f t="shared" si="2465"/>
        <v>1.0461302045692138</v>
      </c>
      <c r="T1149" s="1">
        <f t="shared" ref="T1149:V1149" si="2593">$S1149*P1149</f>
        <v>0.24946435480607032</v>
      </c>
      <c r="U1149" s="1">
        <f t="shared" si="2593"/>
        <v>0</v>
      </c>
      <c r="V1149" s="1">
        <f t="shared" si="2593"/>
        <v>0.98280920165859265</v>
      </c>
      <c r="W1149" s="1">
        <f t="shared" si="2467"/>
        <v>-12.291812033326496</v>
      </c>
      <c r="X1149" s="1">
        <f t="shared" si="2468"/>
        <v>0</v>
      </c>
      <c r="Y1149" s="1">
        <f t="shared" si="2469"/>
        <v>-5.6405154719909261</v>
      </c>
    </row>
    <row r="1150" spans="1:25">
      <c r="A1150" s="1">
        <v>1.1479999999999999</v>
      </c>
      <c r="B1150" s="1">
        <f t="shared" si="2470"/>
        <v>40.449074788250108</v>
      </c>
      <c r="C1150" s="1">
        <f t="shared" si="2471"/>
        <v>0</v>
      </c>
      <c r="D1150" s="1">
        <f t="shared" si="2472"/>
        <v>-1.4627937603985308</v>
      </c>
      <c r="E1150" s="1">
        <f t="shared" si="2473"/>
        <v>17.27028791080993</v>
      </c>
      <c r="F1150" s="1">
        <f t="shared" si="2474"/>
        <v>0</v>
      </c>
      <c r="G1150" s="1">
        <f t="shared" si="2475"/>
        <v>-4.3924407129748753</v>
      </c>
      <c r="H1150" s="1">
        <f t="shared" si="2304"/>
        <v>17.820111670224374</v>
      </c>
      <c r="I1150" s="1">
        <f t="shared" si="2458"/>
        <v>-12.524959676928438</v>
      </c>
      <c r="J1150" s="1">
        <f t="shared" si="2459"/>
        <v>0</v>
      </c>
      <c r="K1150" s="1">
        <f t="shared" si="2460"/>
        <v>3.1855370968583379</v>
      </c>
      <c r="L1150" s="1">
        <f t="shared" ref="L1150:N1150" si="2594">E1150/$H1150</f>
        <v>0.96914588586259287</v>
      </c>
      <c r="M1150" s="1">
        <f t="shared" si="2594"/>
        <v>0</v>
      </c>
      <c r="N1150" s="1">
        <f t="shared" si="2594"/>
        <v>-0.24648783319995715</v>
      </c>
      <c r="O1150" s="1">
        <f t="shared" si="2306"/>
        <v>-0.24648783319995715</v>
      </c>
      <c r="P1150" s="1">
        <f t="shared" si="2462"/>
        <v>0.23888266946092351</v>
      </c>
      <c r="Q1150" s="1">
        <f t="shared" si="2463"/>
        <v>0</v>
      </c>
      <c r="R1150" s="1">
        <f t="shared" si="2464"/>
        <v>0.93924374808439015</v>
      </c>
      <c r="S1150" s="1">
        <f t="shared" si="2465"/>
        <v>1.0448956437590746</v>
      </c>
      <c r="T1150" s="1">
        <f t="shared" ref="T1150:V1150" si="2595">$S1150*P1150</f>
        <v>0.2496074606892579</v>
      </c>
      <c r="U1150" s="1">
        <f t="shared" si="2595"/>
        <v>0</v>
      </c>
      <c r="V1150" s="1">
        <f t="shared" si="2595"/>
        <v>0.981411700801325</v>
      </c>
      <c r="W1150" s="1">
        <f t="shared" si="2467"/>
        <v>-12.275352216239179</v>
      </c>
      <c r="X1150" s="1">
        <f t="shared" si="2468"/>
        <v>0</v>
      </c>
      <c r="Y1150" s="1">
        <f t="shared" si="2469"/>
        <v>-5.639701202340337</v>
      </c>
    </row>
    <row r="1151" spans="1:25">
      <c r="A1151" s="1">
        <v>1.149</v>
      </c>
      <c r="B1151" s="1">
        <f t="shared" si="2470"/>
        <v>40.466332800808701</v>
      </c>
      <c r="C1151" s="1">
        <f t="shared" si="2471"/>
        <v>0</v>
      </c>
      <c r="D1151" s="1">
        <f t="shared" si="2472"/>
        <v>-1.467191840812708</v>
      </c>
      <c r="E1151" s="1">
        <f t="shared" si="2473"/>
        <v>17.258012558593691</v>
      </c>
      <c r="F1151" s="1">
        <f t="shared" si="2474"/>
        <v>0</v>
      </c>
      <c r="G1151" s="1">
        <f t="shared" si="2475"/>
        <v>-4.3980804141772154</v>
      </c>
      <c r="H1151" s="1">
        <f t="shared" si="2304"/>
        <v>17.809607205161679</v>
      </c>
      <c r="I1151" s="1">
        <f t="shared" si="2458"/>
        <v>-12.508679331759629</v>
      </c>
      <c r="J1151" s="1">
        <f t="shared" si="2459"/>
        <v>0</v>
      </c>
      <c r="K1151" s="1">
        <f t="shared" si="2460"/>
        <v>3.1877469893739794</v>
      </c>
      <c r="L1151" s="1">
        <f t="shared" ref="L1151:N1151" si="2596">E1151/$H1151</f>
        <v>0.96902825311003371</v>
      </c>
      <c r="M1151" s="1">
        <f t="shared" si="2596"/>
        <v>0</v>
      </c>
      <c r="N1151" s="1">
        <f t="shared" si="2596"/>
        <v>-0.2469498829206373</v>
      </c>
      <c r="O1151" s="1">
        <f t="shared" si="2306"/>
        <v>-0.2469498829206373</v>
      </c>
      <c r="P1151" s="1">
        <f t="shared" si="2462"/>
        <v>0.2393014136523125</v>
      </c>
      <c r="Q1151" s="1">
        <f t="shared" si="2463"/>
        <v>0</v>
      </c>
      <c r="R1151" s="1">
        <f t="shared" si="2464"/>
        <v>0.93901575532548354</v>
      </c>
      <c r="S1151" s="1">
        <f t="shared" si="2465"/>
        <v>1.0436641324260747</v>
      </c>
      <c r="T1151" s="1">
        <f t="shared" ref="T1151:V1151" si="2597">$S1151*P1151</f>
        <v>0.24975030226777395</v>
      </c>
      <c r="U1151" s="1">
        <f t="shared" si="2597"/>
        <v>0</v>
      </c>
      <c r="V1151" s="1">
        <f t="shared" si="2597"/>
        <v>0.98001706361618601</v>
      </c>
      <c r="W1151" s="1">
        <f t="shared" si="2467"/>
        <v>-12.258929029491854</v>
      </c>
      <c r="X1151" s="1">
        <f t="shared" si="2468"/>
        <v>0</v>
      </c>
      <c r="Y1151" s="1">
        <f t="shared" si="2469"/>
        <v>-5.6388859470098343</v>
      </c>
    </row>
    <row r="1152" spans="1:25">
      <c r="A1152" s="1">
        <v>1.1499999999999999</v>
      </c>
      <c r="B1152" s="1">
        <f t="shared" si="2470"/>
        <v>40.483578554438267</v>
      </c>
      <c r="C1152" s="1">
        <f t="shared" si="2471"/>
        <v>0</v>
      </c>
      <c r="D1152" s="1">
        <f t="shared" si="2472"/>
        <v>-1.4715955601128323</v>
      </c>
      <c r="E1152" s="1">
        <f t="shared" si="2473"/>
        <v>17.245753629564199</v>
      </c>
      <c r="F1152" s="1">
        <f t="shared" si="2474"/>
        <v>0</v>
      </c>
      <c r="G1152" s="1">
        <f t="shared" si="2475"/>
        <v>-4.4037193001242256</v>
      </c>
      <c r="H1152" s="1">
        <f t="shared" si="2304"/>
        <v>17.799122504379628</v>
      </c>
      <c r="I1152" s="1">
        <f t="shared" si="2458"/>
        <v>-12.492435250385473</v>
      </c>
      <c r="J1152" s="1">
        <f t="shared" si="2459"/>
        <v>0</v>
      </c>
      <c r="K1152" s="1">
        <f t="shared" si="2460"/>
        <v>3.1899550114972222</v>
      </c>
      <c r="L1152" s="1">
        <f t="shared" ref="L1152:N1152" si="2598">E1152/$H1152</f>
        <v>0.96891032832212554</v>
      </c>
      <c r="M1152" s="1">
        <f t="shared" si="2598"/>
        <v>0</v>
      </c>
      <c r="N1152" s="1">
        <f t="shared" si="2598"/>
        <v>-0.24741215748364292</v>
      </c>
      <c r="O1152" s="1">
        <f t="shared" si="2306"/>
        <v>-0.24741215748364292</v>
      </c>
      <c r="P1152" s="1">
        <f t="shared" si="2462"/>
        <v>0.2397201947383619</v>
      </c>
      <c r="Q1152" s="1">
        <f t="shared" si="2463"/>
        <v>0</v>
      </c>
      <c r="R1152" s="1">
        <f t="shared" si="2464"/>
        <v>0.93878722432928907</v>
      </c>
      <c r="S1152" s="1">
        <f t="shared" si="2465"/>
        <v>1.0424356623047628</v>
      </c>
      <c r="T1152" s="1">
        <f t="shared" ref="T1152:V1152" si="2599">$S1152*P1152</f>
        <v>0.249892879969911</v>
      </c>
      <c r="U1152" s="1">
        <f t="shared" si="2599"/>
        <v>0</v>
      </c>
      <c r="V1152" s="1">
        <f t="shared" si="2599"/>
        <v>0.97862528195695242</v>
      </c>
      <c r="W1152" s="1">
        <f t="shared" si="2467"/>
        <v>-12.242542370415562</v>
      </c>
      <c r="X1152" s="1">
        <f t="shared" si="2468"/>
        <v>0</v>
      </c>
      <c r="Y1152" s="1">
        <f t="shared" si="2469"/>
        <v>-5.6380697065458252</v>
      </c>
    </row>
    <row r="1153" spans="1:25">
      <c r="A1153" s="1">
        <v>1.151</v>
      </c>
      <c r="B1153" s="1">
        <f t="shared" si="2470"/>
        <v>40.500812065525459</v>
      </c>
      <c r="C1153" s="1">
        <f t="shared" si="2471"/>
        <v>0</v>
      </c>
      <c r="D1153" s="1">
        <f t="shared" si="2472"/>
        <v>-1.476004917482663</v>
      </c>
      <c r="E1153" s="1">
        <f t="shared" si="2473"/>
        <v>17.233511087193783</v>
      </c>
      <c r="F1153" s="1">
        <f t="shared" si="2474"/>
        <v>0</v>
      </c>
      <c r="G1153" s="1">
        <f t="shared" si="2475"/>
        <v>-4.4093573698307713</v>
      </c>
      <c r="H1153" s="1">
        <f t="shared" si="2304"/>
        <v>17.788657532464669</v>
      </c>
      <c r="I1153" s="1">
        <f t="shared" si="2458"/>
        <v>-12.476227330919238</v>
      </c>
      <c r="J1153" s="1">
        <f t="shared" si="2459"/>
        <v>0</v>
      </c>
      <c r="K1153" s="1">
        <f t="shared" si="2460"/>
        <v>3.1921611708105346</v>
      </c>
      <c r="L1153" s="1">
        <f t="shared" ref="L1153:N1153" si="2600">E1153/$H1153</f>
        <v>0.96879211125079379</v>
      </c>
      <c r="M1153" s="1">
        <f t="shared" si="2600"/>
        <v>0</v>
      </c>
      <c r="N1153" s="1">
        <f t="shared" si="2600"/>
        <v>-0.24787465618378468</v>
      </c>
      <c r="O1153" s="1">
        <f t="shared" si="2306"/>
        <v>-0.24787465618378468</v>
      </c>
      <c r="P1153" s="1">
        <f t="shared" si="2462"/>
        <v>0.24013901148985339</v>
      </c>
      <c r="Q1153" s="1">
        <f t="shared" si="2463"/>
        <v>0</v>
      </c>
      <c r="R1153" s="1">
        <f t="shared" si="2464"/>
        <v>0.93855815482177052</v>
      </c>
      <c r="S1153" s="1">
        <f t="shared" si="2465"/>
        <v>1.0412102251583655</v>
      </c>
      <c r="T1153" s="1">
        <f t="shared" ref="T1153:V1153" si="2601">$S1153*P1153</f>
        <v>0.25003519422265758</v>
      </c>
      <c r="U1153" s="1">
        <f t="shared" si="2601"/>
        <v>0</v>
      </c>
      <c r="V1153" s="1">
        <f t="shared" si="2601"/>
        <v>0.97723634770619572</v>
      </c>
      <c r="W1153" s="1">
        <f t="shared" si="2467"/>
        <v>-12.22619213669658</v>
      </c>
      <c r="X1153" s="1">
        <f t="shared" si="2468"/>
        <v>0</v>
      </c>
      <c r="Y1153" s="1">
        <f t="shared" si="2469"/>
        <v>-5.6372524814832694</v>
      </c>
    </row>
    <row r="1154" spans="1:25">
      <c r="A1154" s="1">
        <v>1.1519999999999999</v>
      </c>
      <c r="B1154" s="1">
        <f t="shared" si="2470"/>
        <v>40.518033350420517</v>
      </c>
      <c r="C1154" s="1">
        <f t="shared" si="2471"/>
        <v>0</v>
      </c>
      <c r="D1154" s="1">
        <f t="shared" si="2472"/>
        <v>-1.4804199121049753</v>
      </c>
      <c r="E1154" s="1">
        <f t="shared" si="2473"/>
        <v>17.221284895057085</v>
      </c>
      <c r="F1154" s="1">
        <f t="shared" si="2474"/>
        <v>0</v>
      </c>
      <c r="G1154" s="1">
        <f t="shared" si="2475"/>
        <v>-4.4149946223122543</v>
      </c>
      <c r="H1154" s="1">
        <f t="shared" si="2304"/>
        <v>17.778212254098204</v>
      </c>
      <c r="I1154" s="1">
        <f t="shared" ref="I1154:I1217" si="2602">-K_drag*$H1154*E1154</f>
        <v>-12.460055471826617</v>
      </c>
      <c r="J1154" s="1">
        <f t="shared" ref="J1154:J1217" si="2603">-K_drag*$H1154*F1154</f>
        <v>0</v>
      </c>
      <c r="K1154" s="1">
        <f t="shared" ref="K1154:K1217" si="2604">-K_drag*$H1154*G1154</f>
        <v>3.1943654748790768</v>
      </c>
      <c r="L1154" s="1">
        <f t="shared" ref="L1154:N1154" si="2605">E1154/$H1154</f>
        <v>0.96867360164896577</v>
      </c>
      <c r="M1154" s="1">
        <f t="shared" si="2605"/>
        <v>0</v>
      </c>
      <c r="N1154" s="1">
        <f t="shared" si="2605"/>
        <v>-0.24833737831510685</v>
      </c>
      <c r="O1154" s="1">
        <f t="shared" si="2306"/>
        <v>-0.24833737831510685</v>
      </c>
      <c r="P1154" s="1">
        <f t="shared" ref="P1154:P1217" si="2606">u_axis_f-$O1154*L1154</f>
        <v>0.24055786267655632</v>
      </c>
      <c r="Q1154" s="1">
        <f t="shared" ref="Q1154:Q1217" si="2607">u_axis_r-$O1154*M1154</f>
        <v>0</v>
      </c>
      <c r="R1154" s="1">
        <f t="shared" ref="R1154:R1217" si="2608">u_axis_u-$O1154*N1154</f>
        <v>0.93832854653157949</v>
      </c>
      <c r="S1154" s="1">
        <f t="shared" ref="S1154:S1217" si="2609">K_lift*H1154^2</f>
        <v>1.0399878127786688</v>
      </c>
      <c r="T1154" s="1">
        <f t="shared" ref="T1154:V1154" si="2610">$S1154*P1154</f>
        <v>0.25017724545170317</v>
      </c>
      <c r="U1154" s="1">
        <f t="shared" si="2610"/>
        <v>0</v>
      </c>
      <c r="V1154" s="1">
        <f t="shared" si="2610"/>
        <v>0.97585025277516468</v>
      </c>
      <c r="W1154" s="1">
        <f t="shared" ref="W1154:W1217" si="2611">I1154+T1154+g_f</f>
        <v>-12.209878226374915</v>
      </c>
      <c r="X1154" s="1">
        <f t="shared" ref="X1154:X1217" si="2612">J1154+U1154+g_r</f>
        <v>0</v>
      </c>
      <c r="Y1154" s="1">
        <f t="shared" ref="Y1154:Y1217" si="2613">K1154+V1154+g_u</f>
        <v>-5.6364342723457579</v>
      </c>
    </row>
    <row r="1155" spans="1:25">
      <c r="A1155" s="1">
        <v>1.153</v>
      </c>
      <c r="B1155" s="1">
        <f t="shared" ref="B1155:B1218" si="2614">B1154+E1155*dt</f>
        <v>40.535242425437346</v>
      </c>
      <c r="C1155" s="1">
        <f t="shared" ref="C1155:C1218" si="2615">C1154+F1155*dt</f>
        <v>0</v>
      </c>
      <c r="D1155" s="1">
        <f t="shared" ref="D1155:D1218" si="2616">D1154+G1155*dt</f>
        <v>-1.4848405431615599</v>
      </c>
      <c r="E1155" s="1">
        <f t="shared" ref="E1155:E1218" si="2617">E1154+W1154*dt</f>
        <v>17.20907501683071</v>
      </c>
      <c r="F1155" s="1">
        <f t="shared" ref="F1155:F1218" si="2618">F1154+X1154*dt</f>
        <v>0</v>
      </c>
      <c r="G1155" s="1">
        <f t="shared" ref="G1155:G1218" si="2619">G1154+Y1154*dt</f>
        <v>-4.4206310565846003</v>
      </c>
      <c r="H1155" s="1">
        <f t="shared" si="2304"/>
        <v>17.767786634056229</v>
      </c>
      <c r="I1155" s="1">
        <f t="shared" si="2602"/>
        <v>-12.443919571924246</v>
      </c>
      <c r="J1155" s="1">
        <f t="shared" si="2603"/>
        <v>0</v>
      </c>
      <c r="K1155" s="1">
        <f t="shared" si="2604"/>
        <v>3.196567931250736</v>
      </c>
      <c r="L1155" s="1">
        <f t="shared" ref="L1155:N1155" si="2620">E1155/$H1155</f>
        <v>0.96855479927057353</v>
      </c>
      <c r="M1155" s="1">
        <f t="shared" si="2620"/>
        <v>0</v>
      </c>
      <c r="N1155" s="1">
        <f t="shared" si="2620"/>
        <v>-0.24880032317088949</v>
      </c>
      <c r="O1155" s="1">
        <f t="shared" si="2306"/>
        <v>-0.24880032317088949</v>
      </c>
      <c r="P1155" s="1">
        <f t="shared" si="2606"/>
        <v>0.24097674706723468</v>
      </c>
      <c r="Q1155" s="1">
        <f t="shared" si="2607"/>
        <v>0</v>
      </c>
      <c r="R1155" s="1">
        <f t="shared" si="2608"/>
        <v>0.93809839919006099</v>
      </c>
      <c r="S1155" s="1">
        <f t="shared" si="2609"/>
        <v>1.0387684169858959</v>
      </c>
      <c r="T1155" s="1">
        <f t="shared" ref="T1155:V1155" si="2621">$S1155*P1155</f>
        <v>0.25031903408144202</v>
      </c>
      <c r="U1155" s="1">
        <f t="shared" si="2621"/>
        <v>0</v>
      </c>
      <c r="V1155" s="1">
        <f t="shared" si="2621"/>
        <v>0.97446698910366281</v>
      </c>
      <c r="W1155" s="1">
        <f t="shared" si="2611"/>
        <v>-12.193600537842803</v>
      </c>
      <c r="X1155" s="1">
        <f t="shared" si="2612"/>
        <v>0</v>
      </c>
      <c r="Y1155" s="1">
        <f t="shared" si="2613"/>
        <v>-5.6356150796456008</v>
      </c>
    </row>
    <row r="1156" spans="1:25">
      <c r="A1156" s="1">
        <v>1.1539999999999999</v>
      </c>
      <c r="B1156" s="1">
        <f t="shared" si="2614"/>
        <v>40.552439306853636</v>
      </c>
      <c r="C1156" s="1">
        <f t="shared" si="2615"/>
        <v>0</v>
      </c>
      <c r="D1156" s="1">
        <f t="shared" si="2616"/>
        <v>-1.4892668098332242</v>
      </c>
      <c r="E1156" s="1">
        <f t="shared" si="2617"/>
        <v>17.196881416292868</v>
      </c>
      <c r="F1156" s="1">
        <f t="shared" si="2618"/>
        <v>0</v>
      </c>
      <c r="G1156" s="1">
        <f t="shared" si="2619"/>
        <v>-4.426266671664246</v>
      </c>
      <c r="H1156" s="1">
        <f t="shared" si="2304"/>
        <v>17.757380637208989</v>
      </c>
      <c r="I1156" s="1">
        <f t="shared" si="2602"/>
        <v>-12.427819530378233</v>
      </c>
      <c r="J1156" s="1">
        <f t="shared" si="2603"/>
        <v>0</v>
      </c>
      <c r="K1156" s="1">
        <f t="shared" si="2604"/>
        <v>3.1987685474561718</v>
      </c>
      <c r="L1156" s="1">
        <f t="shared" ref="L1156:N1156" si="2622">E1156/$H1156</f>
        <v>0.96843570387055589</v>
      </c>
      <c r="M1156" s="1">
        <f t="shared" si="2622"/>
        <v>0</v>
      </c>
      <c r="N1156" s="1">
        <f t="shared" si="2622"/>
        <v>-0.24926349004365</v>
      </c>
      <c r="O1156" s="1">
        <f t="shared" si="2306"/>
        <v>-0.24926349004365</v>
      </c>
      <c r="P1156" s="1">
        <f t="shared" si="2606"/>
        <v>0.24139566342965349</v>
      </c>
      <c r="Q1156" s="1">
        <f t="shared" si="2607"/>
        <v>0</v>
      </c>
      <c r="R1156" s="1">
        <f t="shared" si="2608"/>
        <v>0.93786771253125922</v>
      </c>
      <c r="S1156" s="1">
        <f t="shared" si="2609"/>
        <v>1.0375520296285894</v>
      </c>
      <c r="T1156" s="1">
        <f t="shared" ref="T1156:V1156" si="2623">$S1156*P1156</f>
        <v>0.25046056053497684</v>
      </c>
      <c r="U1156" s="1">
        <f t="shared" si="2623"/>
        <v>0</v>
      </c>
      <c r="V1156" s="1">
        <f t="shared" si="2623"/>
        <v>0.97308654865993038</v>
      </c>
      <c r="W1156" s="1">
        <f t="shared" si="2611"/>
        <v>-12.177358969843256</v>
      </c>
      <c r="X1156" s="1">
        <f t="shared" si="2612"/>
        <v>0</v>
      </c>
      <c r="Y1156" s="1">
        <f t="shared" si="2613"/>
        <v>-5.6347949038838969</v>
      </c>
    </row>
    <row r="1157" spans="1:25">
      <c r="A1157" s="1">
        <v>1.155</v>
      </c>
      <c r="B1157" s="1">
        <f t="shared" si="2614"/>
        <v>40.569624010910957</v>
      </c>
      <c r="C1157" s="1">
        <f t="shared" si="2615"/>
        <v>0</v>
      </c>
      <c r="D1157" s="1">
        <f t="shared" si="2616"/>
        <v>-1.4936987112997924</v>
      </c>
      <c r="E1157" s="1">
        <f t="shared" si="2617"/>
        <v>17.184704057323025</v>
      </c>
      <c r="F1157" s="1">
        <f t="shared" si="2618"/>
        <v>0</v>
      </c>
      <c r="G1157" s="1">
        <f t="shared" si="2619"/>
        <v>-4.4319014665681298</v>
      </c>
      <c r="H1157" s="1">
        <f t="shared" si="2304"/>
        <v>17.746994228520592</v>
      </c>
      <c r="I1157" s="1">
        <f t="shared" si="2602"/>
        <v>-12.411755246702644</v>
      </c>
      <c r="J1157" s="1">
        <f t="shared" si="2603"/>
        <v>0</v>
      </c>
      <c r="K1157" s="1">
        <f t="shared" si="2604"/>
        <v>3.2009673310088433</v>
      </c>
      <c r="L1157" s="1">
        <f t="shared" ref="L1157:N1157" si="2624">E1157/$H1157</f>
        <v>0.96831631520486272</v>
      </c>
      <c r="M1157" s="1">
        <f t="shared" si="2624"/>
        <v>0</v>
      </c>
      <c r="N1157" s="1">
        <f t="shared" si="2624"/>
        <v>-0.24972687822514594</v>
      </c>
      <c r="O1157" s="1">
        <f t="shared" si="2306"/>
        <v>-0.24972687822514594</v>
      </c>
      <c r="P1157" s="1">
        <f t="shared" si="2606"/>
        <v>0.24181461053058678</v>
      </c>
      <c r="Q1157" s="1">
        <f t="shared" si="2607"/>
        <v>0</v>
      </c>
      <c r="R1157" s="1">
        <f t="shared" si="2608"/>
        <v>0.93763648629192309</v>
      </c>
      <c r="S1157" s="1">
        <f t="shared" si="2609"/>
        <v>1.0363386425834875</v>
      </c>
      <c r="T1157" s="1">
        <f t="shared" ref="T1157:V1157" si="2625">$S1157*P1157</f>
        <v>0.250601825234123</v>
      </c>
      <c r="U1157" s="1">
        <f t="shared" si="2625"/>
        <v>0</v>
      </c>
      <c r="V1157" s="1">
        <f t="shared" si="2625"/>
        <v>0.9717089234405224</v>
      </c>
      <c r="W1157" s="1">
        <f t="shared" si="2611"/>
        <v>-12.161153421468521</v>
      </c>
      <c r="X1157" s="1">
        <f t="shared" si="2612"/>
        <v>0</v>
      </c>
      <c r="Y1157" s="1">
        <f t="shared" si="2613"/>
        <v>-5.6339737455506338</v>
      </c>
    </row>
    <row r="1158" spans="1:25">
      <c r="A1158" s="1">
        <v>1.1559999999999999</v>
      </c>
      <c r="B1158" s="1">
        <f t="shared" si="2614"/>
        <v>40.586796553814857</v>
      </c>
      <c r="C1158" s="1">
        <f t="shared" si="2615"/>
        <v>0</v>
      </c>
      <c r="D1158" s="1">
        <f t="shared" si="2616"/>
        <v>-1.498136246740106</v>
      </c>
      <c r="E1158" s="1">
        <f t="shared" si="2617"/>
        <v>17.172542903901554</v>
      </c>
      <c r="F1158" s="1">
        <f t="shared" si="2618"/>
        <v>0</v>
      </c>
      <c r="G1158" s="1">
        <f t="shared" si="2619"/>
        <v>-4.4375354403136802</v>
      </c>
      <c r="H1158" s="1">
        <f t="shared" si="2304"/>
        <v>17.736627373048677</v>
      </c>
      <c r="I1158" s="1">
        <f t="shared" si="2602"/>
        <v>-12.395726620758078</v>
      </c>
      <c r="J1158" s="1">
        <f t="shared" si="2603"/>
        <v>0</v>
      </c>
      <c r="K1158" s="1">
        <f t="shared" si="2604"/>
        <v>3.2031642894050583</v>
      </c>
      <c r="L1158" s="1">
        <f t="shared" ref="L1158:N1158" si="2626">E1158/$H1158</f>
        <v>0.96819663303045622</v>
      </c>
      <c r="M1158" s="1">
        <f t="shared" si="2626"/>
        <v>0</v>
      </c>
      <c r="N1158" s="1">
        <f t="shared" si="2626"/>
        <v>-0.25019048700637669</v>
      </c>
      <c r="O1158" s="1">
        <f t="shared" si="2306"/>
        <v>-0.25019048700637669</v>
      </c>
      <c r="P1158" s="1">
        <f t="shared" si="2606"/>
        <v>0.24223358713582402</v>
      </c>
      <c r="Q1158" s="1">
        <f t="shared" si="2607"/>
        <v>0</v>
      </c>
      <c r="R1158" s="1">
        <f t="shared" si="2608"/>
        <v>0.93740472021151211</v>
      </c>
      <c r="S1158" s="1">
        <f t="shared" si="2609"/>
        <v>1.0351282477554105</v>
      </c>
      <c r="T1158" s="1">
        <f t="shared" ref="T1158:V1158" si="2627">$S1158*P1158</f>
        <v>0.25074282859941305</v>
      </c>
      <c r="U1158" s="1">
        <f t="shared" si="2627"/>
        <v>0</v>
      </c>
      <c r="V1158" s="1">
        <f t="shared" si="2627"/>
        <v>0.97033410547019328</v>
      </c>
      <c r="W1158" s="1">
        <f t="shared" si="2611"/>
        <v>-12.144983792158664</v>
      </c>
      <c r="X1158" s="1">
        <f t="shared" si="2612"/>
        <v>0</v>
      </c>
      <c r="Y1158" s="1">
        <f t="shared" si="2613"/>
        <v>-5.6331516051247483</v>
      </c>
    </row>
    <row r="1159" spans="1:25">
      <c r="A1159" s="1">
        <v>1.157</v>
      </c>
      <c r="B1159" s="1">
        <f t="shared" si="2614"/>
        <v>40.603956951734965</v>
      </c>
      <c r="C1159" s="1">
        <f t="shared" si="2615"/>
        <v>0</v>
      </c>
      <c r="D1159" s="1">
        <f t="shared" si="2616"/>
        <v>-1.5025794153320249</v>
      </c>
      <c r="E1159" s="1">
        <f t="shared" si="2617"/>
        <v>17.160397920109396</v>
      </c>
      <c r="F1159" s="1">
        <f t="shared" si="2618"/>
        <v>0</v>
      </c>
      <c r="G1159" s="1">
        <f t="shared" si="2619"/>
        <v>-4.4431685919188046</v>
      </c>
      <c r="H1159" s="1">
        <f t="shared" si="2304"/>
        <v>17.72628003594405</v>
      </c>
      <c r="I1159" s="1">
        <f t="shared" si="2602"/>
        <v>-12.379733552750187</v>
      </c>
      <c r="J1159" s="1">
        <f t="shared" si="2603"/>
        <v>0</v>
      </c>
      <c r="K1159" s="1">
        <f t="shared" si="2604"/>
        <v>3.2053594301240058</v>
      </c>
      <c r="L1159" s="1">
        <f t="shared" ref="L1159:N1159" si="2628">E1159/$H1159</f>
        <v>0.96807665710531488</v>
      </c>
      <c r="M1159" s="1">
        <f t="shared" si="2628"/>
        <v>0</v>
      </c>
      <c r="N1159" s="1">
        <f t="shared" si="2628"/>
        <v>-0.25065431567758567</v>
      </c>
      <c r="O1159" s="1">
        <f t="shared" si="2306"/>
        <v>-0.25065431567758567</v>
      </c>
      <c r="P1159" s="1">
        <f t="shared" si="2606"/>
        <v>0.24265259201017744</v>
      </c>
      <c r="Q1159" s="1">
        <f t="shared" si="2607"/>
        <v>0</v>
      </c>
      <c r="R1159" s="1">
        <f t="shared" si="2608"/>
        <v>0.9371724140322012</v>
      </c>
      <c r="S1159" s="1">
        <f t="shared" si="2609"/>
        <v>1.0339208370771373</v>
      </c>
      <c r="T1159" s="1">
        <f t="shared" ref="T1159:V1159" si="2629">$S1159*P1159</f>
        <v>0.25088357105009973</v>
      </c>
      <c r="U1159" s="1">
        <f t="shared" si="2629"/>
        <v>0</v>
      </c>
      <c r="V1159" s="1">
        <f t="shared" si="2629"/>
        <v>0.96896208680177498</v>
      </c>
      <c r="W1159" s="1">
        <f t="shared" si="2611"/>
        <v>-12.128849981700087</v>
      </c>
      <c r="X1159" s="1">
        <f t="shared" si="2612"/>
        <v>0</v>
      </c>
      <c r="Y1159" s="1">
        <f t="shared" si="2613"/>
        <v>-5.6323284830742182</v>
      </c>
    </row>
    <row r="1160" spans="1:25">
      <c r="A1160" s="1">
        <v>1.1579999999999999</v>
      </c>
      <c r="B1160" s="1">
        <f t="shared" si="2614"/>
        <v>40.621105220805092</v>
      </c>
      <c r="C1160" s="1">
        <f t="shared" si="2615"/>
        <v>0</v>
      </c>
      <c r="D1160" s="1">
        <f t="shared" si="2616"/>
        <v>-1.5070282162524267</v>
      </c>
      <c r="E1160" s="1">
        <f t="shared" si="2617"/>
        <v>17.148269070127697</v>
      </c>
      <c r="F1160" s="1">
        <f t="shared" si="2618"/>
        <v>0</v>
      </c>
      <c r="G1160" s="1">
        <f t="shared" si="2619"/>
        <v>-4.4488009204018786</v>
      </c>
      <c r="H1160" s="1">
        <f t="shared" si="2304"/>
        <v>17.715952182450337</v>
      </c>
      <c r="I1160" s="1">
        <f t="shared" si="2602"/>
        <v>-12.363775943228216</v>
      </c>
      <c r="J1160" s="1">
        <f t="shared" si="2603"/>
        <v>0</v>
      </c>
      <c r="K1160" s="1">
        <f t="shared" si="2604"/>
        <v>3.2075527606277934</v>
      </c>
      <c r="L1160" s="1">
        <f t="shared" ref="L1160:N1160" si="2630">E1160/$H1160</f>
        <v>0.96795638718843491</v>
      </c>
      <c r="M1160" s="1">
        <f t="shared" si="2630"/>
        <v>0</v>
      </c>
      <c r="N1160" s="1">
        <f t="shared" si="2630"/>
        <v>-0.25111836352826244</v>
      </c>
      <c r="O1160" s="1">
        <f t="shared" si="2306"/>
        <v>-0.25111836352826244</v>
      </c>
      <c r="P1160" s="1">
        <f t="shared" si="2606"/>
        <v>0.24307162391748896</v>
      </c>
      <c r="Q1160" s="1">
        <f t="shared" si="2607"/>
        <v>0</v>
      </c>
      <c r="R1160" s="1">
        <f t="shared" si="2608"/>
        <v>0.9369395674988874</v>
      </c>
      <c r="S1160" s="1">
        <f t="shared" si="2609"/>
        <v>1.0327164025092925</v>
      </c>
      <c r="T1160" s="1">
        <f t="shared" ref="T1160:V1160" si="2631">$S1160*P1160</f>
        <v>0.25102405300416092</v>
      </c>
      <c r="U1160" s="1">
        <f t="shared" si="2631"/>
        <v>0</v>
      </c>
      <c r="V1160" s="1">
        <f t="shared" si="2631"/>
        <v>0.96759285951606344</v>
      </c>
      <c r="W1160" s="1">
        <f t="shared" si="2611"/>
        <v>-12.112751890224056</v>
      </c>
      <c r="X1160" s="1">
        <f t="shared" si="2612"/>
        <v>0</v>
      </c>
      <c r="Y1160" s="1">
        <f t="shared" si="2613"/>
        <v>-5.6315043798561426</v>
      </c>
    </row>
    <row r="1161" spans="1:25">
      <c r="A1161" s="1">
        <v>1.159</v>
      </c>
      <c r="B1161" s="1">
        <f t="shared" si="2614"/>
        <v>40.638241377123329</v>
      </c>
      <c r="C1161" s="1">
        <f t="shared" si="2615"/>
        <v>0</v>
      </c>
      <c r="D1161" s="1">
        <f t="shared" si="2616"/>
        <v>-1.5114826486772084</v>
      </c>
      <c r="E1161" s="1">
        <f t="shared" si="2617"/>
        <v>17.136156318237472</v>
      </c>
      <c r="F1161" s="1">
        <f t="shared" si="2618"/>
        <v>0</v>
      </c>
      <c r="G1161" s="1">
        <f t="shared" si="2619"/>
        <v>-4.4544324247817348</v>
      </c>
      <c r="H1161" s="1">
        <f t="shared" si="2304"/>
        <v>17.705643777903614</v>
      </c>
      <c r="I1161" s="1">
        <f t="shared" si="2602"/>
        <v>-12.347853693083563</v>
      </c>
      <c r="J1161" s="1">
        <f t="shared" si="2603"/>
        <v>0</v>
      </c>
      <c r="K1161" s="1">
        <f t="shared" si="2604"/>
        <v>3.209744288361486</v>
      </c>
      <c r="L1161" s="1">
        <f t="shared" ref="L1161:N1161" si="2632">E1161/$H1161</f>
        <v>0.96783582303983462</v>
      </c>
      <c r="M1161" s="1">
        <f t="shared" si="2632"/>
        <v>0</v>
      </c>
      <c r="N1161" s="1">
        <f t="shared" si="2632"/>
        <v>-0.25158262984714524</v>
      </c>
      <c r="O1161" s="1">
        <f t="shared" si="2306"/>
        <v>-0.25158262984714524</v>
      </c>
      <c r="P1161" s="1">
        <f t="shared" si="2606"/>
        <v>0.24349068162063789</v>
      </c>
      <c r="Q1161" s="1">
        <f t="shared" si="2607"/>
        <v>0</v>
      </c>
      <c r="R1161" s="1">
        <f t="shared" si="2608"/>
        <v>0.93670618035919428</v>
      </c>
      <c r="S1161" s="1">
        <f t="shared" si="2609"/>
        <v>1.0315149360402245</v>
      </c>
      <c r="T1161" s="1">
        <f t="shared" ref="T1161:V1161" si="2633">$S1161*P1161</f>
        <v>0.25116427487830295</v>
      </c>
      <c r="U1161" s="1">
        <f t="shared" si="2633"/>
        <v>0</v>
      </c>
      <c r="V1161" s="1">
        <f t="shared" si="2633"/>
        <v>0.96622641572169732</v>
      </c>
      <c r="W1161" s="1">
        <f t="shared" si="2611"/>
        <v>-12.09668941820526</v>
      </c>
      <c r="X1161" s="1">
        <f t="shared" si="2612"/>
        <v>0</v>
      </c>
      <c r="Y1161" s="1">
        <f t="shared" si="2613"/>
        <v>-5.6306792959168162</v>
      </c>
    </row>
    <row r="1162" spans="1:25">
      <c r="A1162" s="1">
        <v>1.1599999999999999</v>
      </c>
      <c r="B1162" s="1">
        <f t="shared" si="2614"/>
        <v>40.655365436752149</v>
      </c>
      <c r="C1162" s="1">
        <f t="shared" si="2615"/>
        <v>0</v>
      </c>
      <c r="D1162" s="1">
        <f t="shared" si="2616"/>
        <v>-1.515942711781286</v>
      </c>
      <c r="E1162" s="1">
        <f t="shared" si="2617"/>
        <v>17.124059628819268</v>
      </c>
      <c r="F1162" s="1">
        <f t="shared" si="2618"/>
        <v>0</v>
      </c>
      <c r="G1162" s="1">
        <f t="shared" si="2619"/>
        <v>-4.4600631040776513</v>
      </c>
      <c r="H1162" s="1">
        <f t="shared" si="2304"/>
        <v>17.695354787732079</v>
      </c>
      <c r="I1162" s="1">
        <f t="shared" si="2602"/>
        <v>-12.331966703548341</v>
      </c>
      <c r="J1162" s="1">
        <f t="shared" si="2603"/>
        <v>0</v>
      </c>
      <c r="K1162" s="1">
        <f t="shared" si="2604"/>
        <v>3.2119340207531439</v>
      </c>
      <c r="L1162" s="1">
        <f t="shared" ref="L1162:N1162" si="2634">E1162/$H1162</f>
        <v>0.96771496442055627</v>
      </c>
      <c r="M1162" s="1">
        <f t="shared" si="2634"/>
        <v>0</v>
      </c>
      <c r="N1162" s="1">
        <f t="shared" si="2634"/>
        <v>-0.2520471139222224</v>
      </c>
      <c r="O1162" s="1">
        <f t="shared" si="2306"/>
        <v>-0.2520471139222224</v>
      </c>
      <c r="P1162" s="1">
        <f t="shared" si="2606"/>
        <v>0.24390976388154734</v>
      </c>
      <c r="Q1162" s="1">
        <f t="shared" si="2607"/>
        <v>0</v>
      </c>
      <c r="R1162" s="1">
        <f t="shared" si="2608"/>
        <v>0.9364722523634782</v>
      </c>
      <c r="S1162" s="1">
        <f t="shared" si="2609"/>
        <v>1.0303164296858924</v>
      </c>
      <c r="T1162" s="1">
        <f t="shared" ref="T1162:V1162" si="2635">$S1162*P1162</f>
        <v>0.2513042370879649</v>
      </c>
      <c r="U1162" s="1">
        <f t="shared" si="2635"/>
        <v>0</v>
      </c>
      <c r="V1162" s="1">
        <f t="shared" si="2635"/>
        <v>0.96486274755504486</v>
      </c>
      <c r="W1162" s="1">
        <f t="shared" si="2611"/>
        <v>-12.080662466460376</v>
      </c>
      <c r="X1162" s="1">
        <f t="shared" si="2612"/>
        <v>0</v>
      </c>
      <c r="Y1162" s="1">
        <f t="shared" si="2613"/>
        <v>-5.6298532316918104</v>
      </c>
    </row>
    <row r="1163" spans="1:25">
      <c r="A1163" s="1">
        <v>1.161</v>
      </c>
      <c r="B1163" s="1">
        <f t="shared" si="2614"/>
        <v>40.672477415718504</v>
      </c>
      <c r="C1163" s="1">
        <f t="shared" si="2615"/>
        <v>0</v>
      </c>
      <c r="D1163" s="1">
        <f t="shared" si="2616"/>
        <v>-1.5204084047385953</v>
      </c>
      <c r="E1163" s="1">
        <f t="shared" si="2617"/>
        <v>17.111978966352808</v>
      </c>
      <c r="F1163" s="1">
        <f t="shared" si="2618"/>
        <v>0</v>
      </c>
      <c r="G1163" s="1">
        <f t="shared" si="2619"/>
        <v>-4.4656929573093427</v>
      </c>
      <c r="H1163" s="1">
        <f t="shared" si="2304"/>
        <v>17.685085177455697</v>
      </c>
      <c r="I1163" s="1">
        <f t="shared" si="2602"/>
        <v>-12.316114876193947</v>
      </c>
      <c r="J1163" s="1">
        <f t="shared" si="2603"/>
        <v>0</v>
      </c>
      <c r="K1163" s="1">
        <f t="shared" si="2604"/>
        <v>3.2141219652138608</v>
      </c>
      <c r="L1163" s="1">
        <f t="shared" ref="L1163:N1163" si="2636">E1163/$H1163</f>
        <v>0.96759381109266784</v>
      </c>
      <c r="M1163" s="1">
        <f t="shared" si="2636"/>
        <v>0</v>
      </c>
      <c r="N1163" s="1">
        <f t="shared" si="2636"/>
        <v>-0.25251181504073533</v>
      </c>
      <c r="O1163" s="1">
        <f t="shared" si="2306"/>
        <v>-0.25251181504073533</v>
      </c>
      <c r="P1163" s="1">
        <f t="shared" si="2606"/>
        <v>0.24432886946119195</v>
      </c>
      <c r="Q1163" s="1">
        <f t="shared" si="2607"/>
        <v>0</v>
      </c>
      <c r="R1163" s="1">
        <f t="shared" si="2608"/>
        <v>0.93623778326483342</v>
      </c>
      <c r="S1163" s="1">
        <f t="shared" si="2609"/>
        <v>1.029120875489749</v>
      </c>
      <c r="T1163" s="1">
        <f t="shared" ref="T1163:V1163" si="2637">$S1163*P1163</f>
        <v>0.25144394004732246</v>
      </c>
      <c r="U1163" s="1">
        <f t="shared" si="2637"/>
        <v>0</v>
      </c>
      <c r="V1163" s="1">
        <f t="shared" si="2637"/>
        <v>0.96350184718008725</v>
      </c>
      <c r="W1163" s="1">
        <f t="shared" si="2611"/>
        <v>-12.064670936146625</v>
      </c>
      <c r="X1163" s="1">
        <f t="shared" si="2612"/>
        <v>0</v>
      </c>
      <c r="Y1163" s="1">
        <f t="shared" si="2613"/>
        <v>-5.6290261876060512</v>
      </c>
    </row>
    <row r="1164" spans="1:25">
      <c r="A1164" s="1">
        <v>1.1619999999999999</v>
      </c>
      <c r="B1164" s="1">
        <f t="shared" si="2614"/>
        <v>40.689577330013918</v>
      </c>
      <c r="C1164" s="1">
        <f t="shared" si="2615"/>
        <v>0</v>
      </c>
      <c r="D1164" s="1">
        <f t="shared" si="2616"/>
        <v>-1.5248797267220922</v>
      </c>
      <c r="E1164" s="1">
        <f t="shared" si="2617"/>
        <v>17.09991429541666</v>
      </c>
      <c r="F1164" s="1">
        <f t="shared" si="2618"/>
        <v>0</v>
      </c>
      <c r="G1164" s="1">
        <f t="shared" si="2619"/>
        <v>-4.4713219834969484</v>
      </c>
      <c r="H1164" s="1">
        <f t="shared" si="2304"/>
        <v>17.674834912685835</v>
      </c>
      <c r="I1164" s="1">
        <f t="shared" si="2602"/>
        <v>-12.300298112929617</v>
      </c>
      <c r="J1164" s="1">
        <f t="shared" si="2603"/>
        <v>0</v>
      </c>
      <c r="K1164" s="1">
        <f t="shared" si="2604"/>
        <v>3.2163081291377971</v>
      </c>
      <c r="L1164" s="1">
        <f t="shared" ref="L1164:N1164" si="2638">E1164/$H1164</f>
        <v>0.96747236281926829</v>
      </c>
      <c r="M1164" s="1">
        <f t="shared" si="2638"/>
        <v>0</v>
      </c>
      <c r="N1164" s="1">
        <f t="shared" si="2638"/>
        <v>-0.25297673248918029</v>
      </c>
      <c r="O1164" s="1">
        <f t="shared" si="2306"/>
        <v>-0.25297673248918029</v>
      </c>
      <c r="P1164" s="1">
        <f t="shared" si="2606"/>
        <v>0.24474799711960521</v>
      </c>
      <c r="Q1164" s="1">
        <f t="shared" si="2607"/>
        <v>0</v>
      </c>
      <c r="R1164" s="1">
        <f t="shared" si="2608"/>
        <v>0.93600277281909772</v>
      </c>
      <c r="S1164" s="1">
        <f t="shared" si="2609"/>
        <v>1.0279282655226227</v>
      </c>
      <c r="T1164" s="1">
        <f t="shared" ref="T1164:V1164" si="2639">$S1164*P1164</f>
        <v>0.25158338416929166</v>
      </c>
      <c r="U1164" s="1">
        <f t="shared" si="2639"/>
        <v>0</v>
      </c>
      <c r="V1164" s="1">
        <f t="shared" si="2639"/>
        <v>0.96214370678830063</v>
      </c>
      <c r="W1164" s="1">
        <f t="shared" si="2611"/>
        <v>-12.048714728760325</v>
      </c>
      <c r="X1164" s="1">
        <f t="shared" si="2612"/>
        <v>0</v>
      </c>
      <c r="Y1164" s="1">
        <f t="shared" si="2613"/>
        <v>-5.6281981640739014</v>
      </c>
    </row>
    <row r="1165" spans="1:25">
      <c r="A1165" s="1">
        <v>1.163</v>
      </c>
      <c r="B1165" s="1">
        <f t="shared" si="2614"/>
        <v>40.706665195594603</v>
      </c>
      <c r="C1165" s="1">
        <f t="shared" si="2615"/>
        <v>0</v>
      </c>
      <c r="D1165" s="1">
        <f t="shared" si="2616"/>
        <v>-1.5293566769037532</v>
      </c>
      <c r="E1165" s="1">
        <f t="shared" si="2617"/>
        <v>17.0878655806879</v>
      </c>
      <c r="F1165" s="1">
        <f t="shared" si="2618"/>
        <v>0</v>
      </c>
      <c r="G1165" s="1">
        <f t="shared" si="2619"/>
        <v>-4.4769501816610227</v>
      </c>
      <c r="H1165" s="1">
        <f t="shared" si="2304"/>
        <v>17.66460395912495</v>
      </c>
      <c r="I1165" s="1">
        <f t="shared" si="2602"/>
        <v>-12.284516316001042</v>
      </c>
      <c r="J1165" s="1">
        <f t="shared" si="2603"/>
        <v>0</v>
      </c>
      <c r="K1165" s="1">
        <f t="shared" si="2604"/>
        <v>3.218492519902223</v>
      </c>
      <c r="L1165" s="1">
        <f t="shared" ref="L1165:N1165" si="2640">E1165/$H1165</f>
        <v>0.96735061936448763</v>
      </c>
      <c r="M1165" s="1">
        <f t="shared" si="2640"/>
        <v>0</v>
      </c>
      <c r="N1165" s="1">
        <f t="shared" si="2640"/>
        <v>-0.25344186555331055</v>
      </c>
      <c r="O1165" s="1">
        <f t="shared" si="2306"/>
        <v>-0.25344186555331055</v>
      </c>
      <c r="P1165" s="1">
        <f t="shared" si="2606"/>
        <v>0.24516714561588618</v>
      </c>
      <c r="Q1165" s="1">
        <f t="shared" si="2607"/>
        <v>0</v>
      </c>
      <c r="R1165" s="1">
        <f t="shared" si="2608"/>
        <v>0.93576722078485763</v>
      </c>
      <c r="S1165" s="1">
        <f t="shared" si="2609"/>
        <v>1.0267385918826084</v>
      </c>
      <c r="T1165" s="1">
        <f t="shared" ref="T1165:V1165" si="2641">$S1165*P1165</f>
        <v>0.25172256986553337</v>
      </c>
      <c r="U1165" s="1">
        <f t="shared" si="2641"/>
        <v>0</v>
      </c>
      <c r="V1165" s="1">
        <f t="shared" si="2641"/>
        <v>0.96078831859854663</v>
      </c>
      <c r="W1165" s="1">
        <f t="shared" si="2611"/>
        <v>-12.032793746135509</v>
      </c>
      <c r="X1165" s="1">
        <f t="shared" si="2612"/>
        <v>0</v>
      </c>
      <c r="Y1165" s="1">
        <f t="shared" si="2613"/>
        <v>-5.6273691614992298</v>
      </c>
    </row>
    <row r="1166" spans="1:25">
      <c r="A1166" s="1">
        <v>1.1639999999999999</v>
      </c>
      <c r="B1166" s="1">
        <f t="shared" si="2614"/>
        <v>40.723741028381546</v>
      </c>
      <c r="C1166" s="1">
        <f t="shared" si="2615"/>
        <v>0</v>
      </c>
      <c r="D1166" s="1">
        <f t="shared" si="2616"/>
        <v>-1.5338392544545758</v>
      </c>
      <c r="E1166" s="1">
        <f t="shared" si="2617"/>
        <v>17.075832786941763</v>
      </c>
      <c r="F1166" s="1">
        <f t="shared" si="2618"/>
        <v>0</v>
      </c>
      <c r="G1166" s="1">
        <f t="shared" si="2619"/>
        <v>-4.4825775508225219</v>
      </c>
      <c r="H1166" s="1">
        <f t="shared" si="2304"/>
        <v>17.65439228256621</v>
      </c>
      <c r="I1166" s="1">
        <f t="shared" si="2602"/>
        <v>-12.268769387988922</v>
      </c>
      <c r="J1166" s="1">
        <f t="shared" si="2603"/>
        <v>0</v>
      </c>
      <c r="K1166" s="1">
        <f t="shared" si="2604"/>
        <v>3.220675144867549</v>
      </c>
      <c r="L1166" s="1">
        <f t="shared" ref="L1166:N1166" si="2642">E1166/$H1166</f>
        <v>0.96722858049349136</v>
      </c>
      <c r="M1166" s="1">
        <f t="shared" si="2642"/>
        <v>0</v>
      </c>
      <c r="N1166" s="1">
        <f t="shared" si="2642"/>
        <v>-0.25390721351813889</v>
      </c>
      <c r="O1166" s="1">
        <f t="shared" si="2306"/>
        <v>-0.25390721351813889</v>
      </c>
      <c r="P1166" s="1">
        <f t="shared" si="2606"/>
        <v>0.2455863137082073</v>
      </c>
      <c r="Q1166" s="1">
        <f t="shared" si="2607"/>
        <v>0</v>
      </c>
      <c r="R1166" s="1">
        <f t="shared" si="2608"/>
        <v>0.93553112692345419</v>
      </c>
      <c r="S1166" s="1">
        <f t="shared" si="2609"/>
        <v>1.0255518466949467</v>
      </c>
      <c r="T1166" s="1">
        <f t="shared" ref="T1166:V1166" si="2643">$S1166*P1166</f>
        <v>0.25186149754645648</v>
      </c>
      <c r="U1166" s="1">
        <f t="shared" si="2643"/>
        <v>0</v>
      </c>
      <c r="V1166" s="1">
        <f t="shared" si="2643"/>
        <v>0.95943567485695302</v>
      </c>
      <c r="W1166" s="1">
        <f t="shared" si="2611"/>
        <v>-12.016907890442464</v>
      </c>
      <c r="X1166" s="1">
        <f t="shared" si="2612"/>
        <v>0</v>
      </c>
      <c r="Y1166" s="1">
        <f t="shared" si="2613"/>
        <v>-5.6265391802754969</v>
      </c>
    </row>
    <row r="1167" spans="1:25">
      <c r="A1167" s="1">
        <v>1.165</v>
      </c>
      <c r="B1167" s="1">
        <f t="shared" si="2614"/>
        <v>40.740804844260595</v>
      </c>
      <c r="C1167" s="1">
        <f t="shared" si="2615"/>
        <v>0</v>
      </c>
      <c r="D1167" s="1">
        <f t="shared" si="2616"/>
        <v>-1.5383274585445785</v>
      </c>
      <c r="E1167" s="1">
        <f t="shared" si="2617"/>
        <v>17.063815879051322</v>
      </c>
      <c r="F1167" s="1">
        <f t="shared" si="2618"/>
        <v>0</v>
      </c>
      <c r="G1167" s="1">
        <f t="shared" si="2619"/>
        <v>-4.4882040900027977</v>
      </c>
      <c r="H1167" s="1">
        <f t="shared" si="2304"/>
        <v>17.644199848893173</v>
      </c>
      <c r="I1167" s="1">
        <f t="shared" si="2602"/>
        <v>-12.253057231807579</v>
      </c>
      <c r="J1167" s="1">
        <f t="shared" si="2603"/>
        <v>0</v>
      </c>
      <c r="K1167" s="1">
        <f t="shared" si="2604"/>
        <v>3.2228560113773681</v>
      </c>
      <c r="L1167" s="1">
        <f t="shared" ref="L1167:N1167" si="2644">E1167/$H1167</f>
        <v>0.96710624597248263</v>
      </c>
      <c r="M1167" s="1">
        <f t="shared" si="2644"/>
        <v>0</v>
      </c>
      <c r="N1167" s="1">
        <f t="shared" si="2644"/>
        <v>-0.25437277566793964</v>
      </c>
      <c r="O1167" s="1">
        <f t="shared" si="2306"/>
        <v>-0.25437277566793964</v>
      </c>
      <c r="P1167" s="1">
        <f t="shared" si="2606"/>
        <v>0.24600550015382158</v>
      </c>
      <c r="Q1167" s="1">
        <f t="shared" si="2607"/>
        <v>0</v>
      </c>
      <c r="R1167" s="1">
        <f t="shared" si="2608"/>
        <v>0.93529449099898809</v>
      </c>
      <c r="S1167" s="1">
        <f t="shared" si="2609"/>
        <v>1.0243680221119147</v>
      </c>
      <c r="T1167" s="1">
        <f t="shared" ref="T1167:V1167" si="2645">$S1167*P1167</f>
        <v>0.25200016762122252</v>
      </c>
      <c r="U1167" s="1">
        <f t="shared" si="2645"/>
        <v>0</v>
      </c>
      <c r="V1167" s="1">
        <f t="shared" si="2645"/>
        <v>0.95808576783680344</v>
      </c>
      <c r="W1167" s="1">
        <f t="shared" si="2611"/>
        <v>-12.001057064186357</v>
      </c>
      <c r="X1167" s="1">
        <f t="shared" si="2612"/>
        <v>0</v>
      </c>
      <c r="Y1167" s="1">
        <f t="shared" si="2613"/>
        <v>-5.6257082207858282</v>
      </c>
    </row>
    <row r="1168" spans="1:25">
      <c r="A1168" s="1">
        <v>1.1659999999999999</v>
      </c>
      <c r="B1168" s="1">
        <f t="shared" si="2614"/>
        <v>40.757856659082584</v>
      </c>
      <c r="C1168" s="1">
        <f t="shared" si="2615"/>
        <v>0</v>
      </c>
      <c r="D1168" s="1">
        <f t="shared" si="2616"/>
        <v>-1.5428212883428021</v>
      </c>
      <c r="E1168" s="1">
        <f t="shared" si="2617"/>
        <v>17.051814821987136</v>
      </c>
      <c r="F1168" s="1">
        <f t="shared" si="2618"/>
        <v>0</v>
      </c>
      <c r="G1168" s="1">
        <f t="shared" si="2619"/>
        <v>-4.493829798223584</v>
      </c>
      <c r="H1168" s="1">
        <f t="shared" si="2304"/>
        <v>17.634026624079436</v>
      </c>
      <c r="I1168" s="1">
        <f t="shared" si="2602"/>
        <v>-12.23737975070356</v>
      </c>
      <c r="J1168" s="1">
        <f t="shared" si="2603"/>
        <v>0</v>
      </c>
      <c r="K1168" s="1">
        <f t="shared" si="2604"/>
        <v>3.2250351267584882</v>
      </c>
      <c r="L1168" s="1">
        <f t="shared" ref="L1168:N1168" si="2646">E1168/$H1168</f>
        <v>0.96698361556870494</v>
      </c>
      <c r="M1168" s="1">
        <f t="shared" si="2646"/>
        <v>0</v>
      </c>
      <c r="N1168" s="1">
        <f t="shared" si="2646"/>
        <v>-0.25483855128625105</v>
      </c>
      <c r="O1168" s="1">
        <f t="shared" si="2306"/>
        <v>-0.25483855128625105</v>
      </c>
      <c r="P1168" s="1">
        <f t="shared" si="2606"/>
        <v>0.24642470370906988</v>
      </c>
      <c r="Q1168" s="1">
        <f t="shared" si="2607"/>
        <v>0</v>
      </c>
      <c r="R1168" s="1">
        <f t="shared" si="2608"/>
        <v>0.93505731277832482</v>
      </c>
      <c r="S1168" s="1">
        <f t="shared" si="2609"/>
        <v>1.0231871103127097</v>
      </c>
      <c r="T1168" s="1">
        <f t="shared" ref="T1168:V1168" si="2647">$S1168*P1168</f>
        <v>0.2521385804977489</v>
      </c>
      <c r="U1168" s="1">
        <f t="shared" si="2647"/>
        <v>0</v>
      </c>
      <c r="V1168" s="1">
        <f t="shared" si="2647"/>
        <v>0.95673858983842175</v>
      </c>
      <c r="W1168" s="1">
        <f t="shared" si="2611"/>
        <v>-11.985241170205812</v>
      </c>
      <c r="X1168" s="1">
        <f t="shared" si="2612"/>
        <v>0</v>
      </c>
      <c r="Y1168" s="1">
        <f t="shared" si="2613"/>
        <v>-5.6248762834030899</v>
      </c>
    </row>
    <row r="1169" spans="1:25">
      <c r="A1169" s="1">
        <v>1.167</v>
      </c>
      <c r="B1169" s="1">
        <f t="shared" si="2614"/>
        <v>40.774896488663401</v>
      </c>
      <c r="C1169" s="1">
        <f t="shared" si="2615"/>
        <v>0</v>
      </c>
      <c r="D1169" s="1">
        <f t="shared" si="2616"/>
        <v>-1.547320743017309</v>
      </c>
      <c r="E1169" s="1">
        <f t="shared" si="2617"/>
        <v>17.039829580816932</v>
      </c>
      <c r="F1169" s="1">
        <f t="shared" si="2618"/>
        <v>0</v>
      </c>
      <c r="G1169" s="1">
        <f t="shared" si="2619"/>
        <v>-4.4994546745069872</v>
      </c>
      <c r="H1169" s="1">
        <f t="shared" si="2304"/>
        <v>17.623872574188301</v>
      </c>
      <c r="I1169" s="1">
        <f t="shared" si="2602"/>
        <v>-12.221736848254235</v>
      </c>
      <c r="J1169" s="1">
        <f t="shared" si="2603"/>
        <v>0</v>
      </c>
      <c r="K1169" s="1">
        <f t="shared" si="2604"/>
        <v>3.2272124983209722</v>
      </c>
      <c r="L1169" s="1">
        <f t="shared" ref="L1169:N1169" si="2648">E1169/$H1169</f>
        <v>0.96686068905044453</v>
      </c>
      <c r="M1169" s="1">
        <f t="shared" si="2648"/>
        <v>0</v>
      </c>
      <c r="N1169" s="1">
        <f t="shared" si="2648"/>
        <v>-0.2553045396558774</v>
      </c>
      <c r="O1169" s="1">
        <f t="shared" si="2306"/>
        <v>-0.2553045396558774</v>
      </c>
      <c r="P1169" s="1">
        <f t="shared" si="2606"/>
        <v>0.24684392312938816</v>
      </c>
      <c r="Q1169" s="1">
        <f t="shared" si="2607"/>
        <v>0</v>
      </c>
      <c r="R1169" s="1">
        <f t="shared" si="2608"/>
        <v>0.93481959203110054</v>
      </c>
      <c r="S1169" s="1">
        <f t="shared" si="2609"/>
        <v>1.0220091035033394</v>
      </c>
      <c r="T1169" s="1">
        <f t="shared" ref="T1169:V1169" si="2649">$S1169*P1169</f>
        <v>0.25227673658271321</v>
      </c>
      <c r="U1169" s="1">
        <f t="shared" si="2649"/>
        <v>0</v>
      </c>
      <c r="V1169" s="1">
        <f t="shared" si="2649"/>
        <v>0.95539413318906252</v>
      </c>
      <c r="W1169" s="1">
        <f t="shared" si="2611"/>
        <v>-11.969460111671522</v>
      </c>
      <c r="X1169" s="1">
        <f t="shared" si="2612"/>
        <v>0</v>
      </c>
      <c r="Y1169" s="1">
        <f t="shared" si="2613"/>
        <v>-5.6240433684899642</v>
      </c>
    </row>
    <row r="1170" spans="1:25">
      <c r="A1170" s="1">
        <v>1.1679999999999999</v>
      </c>
      <c r="B1170" s="1">
        <f t="shared" si="2614"/>
        <v>40.791924348784107</v>
      </c>
      <c r="C1170" s="1">
        <f t="shared" si="2615"/>
        <v>0</v>
      </c>
      <c r="D1170" s="1">
        <f t="shared" si="2616"/>
        <v>-1.5518258217351846</v>
      </c>
      <c r="E1170" s="1">
        <f t="shared" si="2617"/>
        <v>17.02786012070526</v>
      </c>
      <c r="F1170" s="1">
        <f t="shared" si="2618"/>
        <v>0</v>
      </c>
      <c r="G1170" s="1">
        <f t="shared" si="2619"/>
        <v>-4.5050787178754774</v>
      </c>
      <c r="H1170" s="1">
        <f t="shared" si="2304"/>
        <v>17.613737665372422</v>
      </c>
      <c r="I1170" s="1">
        <f t="shared" si="2602"/>
        <v>-12.206128428366416</v>
      </c>
      <c r="J1170" s="1">
        <f t="shared" si="2603"/>
        <v>0</v>
      </c>
      <c r="K1170" s="1">
        <f t="shared" si="2604"/>
        <v>3.2293881333581704</v>
      </c>
      <c r="L1170" s="1">
        <f t="shared" ref="L1170:N1170" si="2650">E1170/$H1170</f>
        <v>0.96673746618703404</v>
      </c>
      <c r="M1170" s="1">
        <f t="shared" si="2650"/>
        <v>0</v>
      </c>
      <c r="N1170" s="1">
        <f t="shared" si="2650"/>
        <v>-0.25577074005889155</v>
      </c>
      <c r="O1170" s="1">
        <f t="shared" si="2306"/>
        <v>-0.25577074005889155</v>
      </c>
      <c r="P1170" s="1">
        <f t="shared" si="2606"/>
        <v>0.24726315716931535</v>
      </c>
      <c r="Q1170" s="1">
        <f t="shared" si="2607"/>
        <v>0</v>
      </c>
      <c r="R1170" s="1">
        <f t="shared" si="2608"/>
        <v>0.93458132852972697</v>
      </c>
      <c r="S1170" s="1">
        <f t="shared" si="2609"/>
        <v>1.0208339939165065</v>
      </c>
      <c r="T1170" s="1">
        <f t="shared" ref="T1170:V1170" si="2651">$S1170*P1170</f>
        <v>0.25241463628155708</v>
      </c>
      <c r="U1170" s="1">
        <f t="shared" si="2651"/>
        <v>0</v>
      </c>
      <c r="V1170" s="1">
        <f t="shared" si="2651"/>
        <v>0.95405239024279587</v>
      </c>
      <c r="W1170" s="1">
        <f t="shared" si="2611"/>
        <v>-11.953713792084859</v>
      </c>
      <c r="X1170" s="1">
        <f t="shared" si="2612"/>
        <v>0</v>
      </c>
      <c r="Y1170" s="1">
        <f t="shared" si="2613"/>
        <v>-5.6232094763990332</v>
      </c>
    </row>
    <row r="1171" spans="1:25">
      <c r="A1171" s="1">
        <v>1.169</v>
      </c>
      <c r="B1171" s="1">
        <f t="shared" si="2614"/>
        <v>40.808940255191018</v>
      </c>
      <c r="C1171" s="1">
        <f t="shared" si="2615"/>
        <v>0</v>
      </c>
      <c r="D1171" s="1">
        <f t="shared" si="2616"/>
        <v>-1.5563365236625364</v>
      </c>
      <c r="E1171" s="1">
        <f t="shared" si="2617"/>
        <v>17.015906406913174</v>
      </c>
      <c r="F1171" s="1">
        <f t="shared" si="2618"/>
        <v>0</v>
      </c>
      <c r="G1171" s="1">
        <f t="shared" si="2619"/>
        <v>-4.5107019273518763</v>
      </c>
      <c r="H1171" s="1">
        <f t="shared" si="2304"/>
        <v>17.603621863873489</v>
      </c>
      <c r="I1171" s="1">
        <f t="shared" si="2602"/>
        <v>-12.190554395274985</v>
      </c>
      <c r="J1171" s="1">
        <f t="shared" si="2603"/>
        <v>0</v>
      </c>
      <c r="K1171" s="1">
        <f t="shared" si="2604"/>
        <v>3.2315620391467603</v>
      </c>
      <c r="L1171" s="1">
        <f t="shared" ref="L1171:N1171" si="2652">E1171/$H1171</f>
        <v>0.96661394674885426</v>
      </c>
      <c r="M1171" s="1">
        <f t="shared" si="2652"/>
        <v>0</v>
      </c>
      <c r="N1171" s="1">
        <f t="shared" si="2652"/>
        <v>-0.25623715177663697</v>
      </c>
      <c r="O1171" s="1">
        <f t="shared" si="2306"/>
        <v>-0.25623715177663697</v>
      </c>
      <c r="P1171" s="1">
        <f t="shared" si="2606"/>
        <v>0.24768240458250027</v>
      </c>
      <c r="Q1171" s="1">
        <f t="shared" si="2607"/>
        <v>0</v>
      </c>
      <c r="R1171" s="1">
        <f t="shared" si="2608"/>
        <v>0.93434252204939672</v>
      </c>
      <c r="S1171" s="1">
        <f t="shared" si="2609"/>
        <v>1.0196617738114997</v>
      </c>
      <c r="T1171" s="1">
        <f t="shared" ref="T1171:V1171" si="2653">$S1171*P1171</f>
        <v>0.25255227999848973</v>
      </c>
      <c r="U1171" s="1">
        <f t="shared" si="2653"/>
        <v>0</v>
      </c>
      <c r="V1171" s="1">
        <f t="shared" si="2653"/>
        <v>0.95271335338039809</v>
      </c>
      <c r="W1171" s="1">
        <f t="shared" si="2611"/>
        <v>-11.938002115276495</v>
      </c>
      <c r="X1171" s="1">
        <f t="shared" si="2612"/>
        <v>0</v>
      </c>
      <c r="Y1171" s="1">
        <f t="shared" si="2613"/>
        <v>-5.6223746074728407</v>
      </c>
    </row>
    <row r="1172" spans="1:25">
      <c r="A1172" s="1">
        <v>1.17</v>
      </c>
      <c r="B1172" s="1">
        <f t="shared" si="2614"/>
        <v>40.825944223595819</v>
      </c>
      <c r="C1172" s="1">
        <f t="shared" si="2615"/>
        <v>0</v>
      </c>
      <c r="D1172" s="1">
        <f t="shared" si="2616"/>
        <v>-1.5608528479644956</v>
      </c>
      <c r="E1172" s="1">
        <f t="shared" si="2617"/>
        <v>17.003968404797899</v>
      </c>
      <c r="F1172" s="1">
        <f t="shared" si="2618"/>
        <v>0</v>
      </c>
      <c r="G1172" s="1">
        <f t="shared" si="2619"/>
        <v>-4.5163243019593491</v>
      </c>
      <c r="H1172" s="1">
        <f t="shared" si="2304"/>
        <v>17.593525136021881</v>
      </c>
      <c r="I1172" s="1">
        <f t="shared" si="2602"/>
        <v>-12.175014653541528</v>
      </c>
      <c r="J1172" s="1">
        <f t="shared" si="2603"/>
        <v>0</v>
      </c>
      <c r="K1172" s="1">
        <f t="shared" si="2604"/>
        <v>3.2337342229467834</v>
      </c>
      <c r="L1172" s="1">
        <f t="shared" ref="L1172:N1172" si="2654">E1172/$H1172</f>
        <v>0.96649013050733679</v>
      </c>
      <c r="M1172" s="1">
        <f t="shared" si="2654"/>
        <v>0</v>
      </c>
      <c r="N1172" s="1">
        <f t="shared" si="2654"/>
        <v>-0.25670377408973011</v>
      </c>
      <c r="O1172" s="1">
        <f t="shared" si="2306"/>
        <v>-0.25670377408973011</v>
      </c>
      <c r="P1172" s="1">
        <f t="shared" si="2606"/>
        <v>0.24810166412170914</v>
      </c>
      <c r="Q1172" s="1">
        <f t="shared" si="2607"/>
        <v>0</v>
      </c>
      <c r="R1172" s="1">
        <f t="shared" si="2608"/>
        <v>0.93410317236808882</v>
      </c>
      <c r="S1172" s="1">
        <f t="shared" si="2609"/>
        <v>1.0184924354740823</v>
      </c>
      <c r="T1172" s="1">
        <f t="shared" ref="T1172:V1172" si="2655">$S1172*P1172</f>
        <v>0.2526896681364923</v>
      </c>
      <c r="U1172" s="1">
        <f t="shared" si="2655"/>
        <v>0</v>
      </c>
      <c r="V1172" s="1">
        <f t="shared" si="2655"/>
        <v>0.95137701500924132</v>
      </c>
      <c r="W1172" s="1">
        <f t="shared" si="2611"/>
        <v>-11.922324985405035</v>
      </c>
      <c r="X1172" s="1">
        <f t="shared" si="2612"/>
        <v>0</v>
      </c>
      <c r="Y1172" s="1">
        <f t="shared" si="2613"/>
        <v>-5.6215387620439747</v>
      </c>
    </row>
    <row r="1173" spans="1:25">
      <c r="A1173" s="1">
        <v>1.171</v>
      </c>
      <c r="B1173" s="1">
        <f t="shared" si="2614"/>
        <v>40.842936269675633</v>
      </c>
      <c r="C1173" s="1">
        <f t="shared" si="2615"/>
        <v>0</v>
      </c>
      <c r="D1173" s="1">
        <f t="shared" si="2616"/>
        <v>-1.5653747938052169</v>
      </c>
      <c r="E1173" s="1">
        <f t="shared" si="2617"/>
        <v>16.992046079812493</v>
      </c>
      <c r="F1173" s="1">
        <f t="shared" si="2618"/>
        <v>0</v>
      </c>
      <c r="G1173" s="1">
        <f t="shared" si="2619"/>
        <v>-4.5219458407213935</v>
      </c>
      <c r="H1173" s="1">
        <f t="shared" si="2304"/>
        <v>17.583447448236328</v>
      </c>
      <c r="I1173" s="1">
        <f t="shared" si="2602"/>
        <v>-12.15950910805295</v>
      </c>
      <c r="J1173" s="1">
        <f t="shared" si="2603"/>
        <v>0</v>
      </c>
      <c r="K1173" s="1">
        <f t="shared" si="2604"/>
        <v>3.2359046920016765</v>
      </c>
      <c r="L1173" s="1">
        <f t="shared" ref="L1173:N1173" si="2656">E1173/$H1173</f>
        <v>0.96636601723496751</v>
      </c>
      <c r="M1173" s="1">
        <f t="shared" si="2656"/>
        <v>0</v>
      </c>
      <c r="N1173" s="1">
        <f t="shared" si="2656"/>
        <v>-0.25717060627806287</v>
      </c>
      <c r="O1173" s="1">
        <f t="shared" si="2306"/>
        <v>-0.25717060627806287</v>
      </c>
      <c r="P1173" s="1">
        <f t="shared" si="2606"/>
        <v>0.24852093453883356</v>
      </c>
      <c r="Q1173" s="1">
        <f t="shared" si="2607"/>
        <v>0</v>
      </c>
      <c r="R1173" s="1">
        <f t="shared" si="2608"/>
        <v>0.93386327926657353</v>
      </c>
      <c r="S1173" s="1">
        <f t="shared" si="2609"/>
        <v>1.01732597121638</v>
      </c>
      <c r="T1173" s="1">
        <f t="shared" ref="T1173:V1173" si="2657">$S1173*P1173</f>
        <v>0.25282680109732125</v>
      </c>
      <c r="U1173" s="1">
        <f t="shared" si="2657"/>
        <v>0</v>
      </c>
      <c r="V1173" s="1">
        <f t="shared" si="2657"/>
        <v>0.95004336756318042</v>
      </c>
      <c r="W1173" s="1">
        <f t="shared" si="2611"/>
        <v>-11.906682306955629</v>
      </c>
      <c r="X1173" s="1">
        <f t="shared" si="2612"/>
        <v>0</v>
      </c>
      <c r="Y1173" s="1">
        <f t="shared" si="2613"/>
        <v>-5.6207019404351426</v>
      </c>
    </row>
    <row r="1174" spans="1:25">
      <c r="A1174" s="1">
        <v>1.1719999999999999</v>
      </c>
      <c r="B1174" s="1">
        <f t="shared" si="2614"/>
        <v>40.859916409073136</v>
      </c>
      <c r="C1174" s="1">
        <f t="shared" si="2615"/>
        <v>0</v>
      </c>
      <c r="D1174" s="1">
        <f t="shared" si="2616"/>
        <v>-1.5699023603478788</v>
      </c>
      <c r="E1174" s="1">
        <f t="shared" si="2617"/>
        <v>16.980139397505535</v>
      </c>
      <c r="F1174" s="1">
        <f t="shared" si="2618"/>
        <v>0</v>
      </c>
      <c r="G1174" s="1">
        <f t="shared" si="2619"/>
        <v>-4.5275665426618286</v>
      </c>
      <c r="H1174" s="1">
        <f t="shared" si="2304"/>
        <v>17.573388767023577</v>
      </c>
      <c r="I1174" s="1">
        <f t="shared" si="2602"/>
        <v>-12.144037664020132</v>
      </c>
      <c r="J1174" s="1">
        <f t="shared" si="2603"/>
        <v>0</v>
      </c>
      <c r="K1174" s="1">
        <f t="shared" si="2604"/>
        <v>3.2380734535383096</v>
      </c>
      <c r="L1174" s="1">
        <f t="shared" ref="L1174:N1174" si="2658">E1174/$H1174</f>
        <v>0.9662416067052888</v>
      </c>
      <c r="M1174" s="1">
        <f t="shared" si="2658"/>
        <v>0</v>
      </c>
      <c r="N1174" s="1">
        <f t="shared" si="2658"/>
        <v>-0.25763764762080477</v>
      </c>
      <c r="O1174" s="1">
        <f t="shared" si="2306"/>
        <v>-0.25763764762080477</v>
      </c>
      <c r="P1174" s="1">
        <f t="shared" si="2606"/>
        <v>0.24894021458489743</v>
      </c>
      <c r="Q1174" s="1">
        <f t="shared" si="2607"/>
        <v>0</v>
      </c>
      <c r="R1174" s="1">
        <f t="shared" si="2608"/>
        <v>0.93362284252841798</v>
      </c>
      <c r="S1174" s="1">
        <f t="shared" si="2609"/>
        <v>1.0161623733767722</v>
      </c>
      <c r="T1174" s="1">
        <f t="shared" ref="T1174:V1174" si="2659">$S1174*P1174</f>
        <v>0.25296367928151231</v>
      </c>
      <c r="U1174" s="1">
        <f t="shared" si="2659"/>
        <v>0</v>
      </c>
      <c r="V1174" s="1">
        <f t="shared" si="2659"/>
        <v>0.94871240350244568</v>
      </c>
      <c r="W1174" s="1">
        <f t="shared" si="2611"/>
        <v>-11.89107398473862</v>
      </c>
      <c r="X1174" s="1">
        <f t="shared" si="2612"/>
        <v>0</v>
      </c>
      <c r="Y1174" s="1">
        <f t="shared" si="2613"/>
        <v>-5.6198641429592442</v>
      </c>
    </row>
    <row r="1175" spans="1:25">
      <c r="A1175" s="1">
        <v>1.173</v>
      </c>
      <c r="B1175" s="1">
        <f t="shared" si="2614"/>
        <v>40.876884657396658</v>
      </c>
      <c r="C1175" s="1">
        <f t="shared" si="2615"/>
        <v>0</v>
      </c>
      <c r="D1175" s="1">
        <f t="shared" si="2616"/>
        <v>-1.5744355467546836</v>
      </c>
      <c r="E1175" s="1">
        <f t="shared" si="2617"/>
        <v>16.968248323520797</v>
      </c>
      <c r="F1175" s="1">
        <f t="shared" si="2618"/>
        <v>0</v>
      </c>
      <c r="G1175" s="1">
        <f t="shared" si="2619"/>
        <v>-4.5331864068047878</v>
      </c>
      <c r="H1175" s="1">
        <f t="shared" si="2304"/>
        <v>17.563349058978076</v>
      </c>
      <c r="I1175" s="1">
        <f t="shared" si="2602"/>
        <v>-12.128600226976586</v>
      </c>
      <c r="J1175" s="1">
        <f t="shared" si="2603"/>
        <v>0</v>
      </c>
      <c r="K1175" s="1">
        <f t="shared" si="2604"/>
        <v>3.2402405147670241</v>
      </c>
      <c r="L1175" s="1">
        <f t="shared" ref="L1175:N1175" si="2660">E1175/$H1175</f>
        <v>0.96611689869290196</v>
      </c>
      <c r="M1175" s="1">
        <f t="shared" si="2660"/>
        <v>0</v>
      </c>
      <c r="N1175" s="1">
        <f t="shared" si="2660"/>
        <v>-0.2581048973964053</v>
      </c>
      <c r="O1175" s="1">
        <f t="shared" si="2306"/>
        <v>-0.2581048973964053</v>
      </c>
      <c r="P1175" s="1">
        <f t="shared" si="2606"/>
        <v>0.24935950301006476</v>
      </c>
      <c r="Q1175" s="1">
        <f t="shared" si="2607"/>
        <v>0</v>
      </c>
      <c r="R1175" s="1">
        <f t="shared" si="2608"/>
        <v>0.93338186193999106</v>
      </c>
      <c r="S1175" s="1">
        <f t="shared" si="2609"/>
        <v>1.015001634319783</v>
      </c>
      <c r="T1175" s="1">
        <f t="shared" ref="T1175:V1175" si="2661">$S1175*P1175</f>
        <v>0.25310030308838455</v>
      </c>
      <c r="U1175" s="1">
        <f t="shared" si="2661"/>
        <v>0</v>
      </c>
      <c r="V1175" s="1">
        <f t="shared" si="2661"/>
        <v>0.94738411531353295</v>
      </c>
      <c r="W1175" s="1">
        <f t="shared" si="2611"/>
        <v>-11.875499923888201</v>
      </c>
      <c r="X1175" s="1">
        <f t="shared" si="2612"/>
        <v>0</v>
      </c>
      <c r="Y1175" s="1">
        <f t="shared" si="2613"/>
        <v>-5.6190253699194423</v>
      </c>
    </row>
    <row r="1176" spans="1:25">
      <c r="A1176" s="1">
        <v>1.1739999999999999</v>
      </c>
      <c r="B1176" s="1">
        <f t="shared" si="2614"/>
        <v>40.893841030220258</v>
      </c>
      <c r="C1176" s="1">
        <f t="shared" si="2615"/>
        <v>0</v>
      </c>
      <c r="D1176" s="1">
        <f t="shared" si="2616"/>
        <v>-1.5789743521868582</v>
      </c>
      <c r="E1176" s="1">
        <f t="shared" si="2617"/>
        <v>16.956372823596908</v>
      </c>
      <c r="F1176" s="1">
        <f t="shared" si="2618"/>
        <v>0</v>
      </c>
      <c r="G1176" s="1">
        <f t="shared" si="2619"/>
        <v>-4.5388054321747076</v>
      </c>
      <c r="H1176" s="1">
        <f t="shared" si="2304"/>
        <v>17.553328290781621</v>
      </c>
      <c r="I1176" s="1">
        <f t="shared" si="2602"/>
        <v>-12.113196702777085</v>
      </c>
      <c r="J1176" s="1">
        <f t="shared" si="2603"/>
        <v>0</v>
      </c>
      <c r="K1176" s="1">
        <f t="shared" si="2604"/>
        <v>3.2424058828816644</v>
      </c>
      <c r="L1176" s="1">
        <f t="shared" ref="L1176:N1176" si="2662">E1176/$H1176</f>
        <v>0.96599189297347032</v>
      </c>
      <c r="M1176" s="1">
        <f t="shared" si="2662"/>
        <v>0</v>
      </c>
      <c r="N1176" s="1">
        <f t="shared" si="2662"/>
        <v>-0.25857235488259656</v>
      </c>
      <c r="O1176" s="1">
        <f t="shared" si="2306"/>
        <v>-0.25857235488259656</v>
      </c>
      <c r="P1176" s="1">
        <f t="shared" si="2606"/>
        <v>0.2497787985636474</v>
      </c>
      <c r="Q1176" s="1">
        <f t="shared" si="2607"/>
        <v>0</v>
      </c>
      <c r="R1176" s="1">
        <f t="shared" si="2608"/>
        <v>0.93314033729046852</v>
      </c>
      <c r="S1176" s="1">
        <f t="shared" si="2609"/>
        <v>1.0138437464359706</v>
      </c>
      <c r="T1176" s="1">
        <f t="shared" ref="T1176:V1176" si="2663">$S1176*P1176</f>
        <v>0.2532366729160439</v>
      </c>
      <c r="U1176" s="1">
        <f t="shared" si="2663"/>
        <v>0</v>
      </c>
      <c r="V1176" s="1">
        <f t="shared" si="2663"/>
        <v>0.94605849550909393</v>
      </c>
      <c r="W1176" s="1">
        <f t="shared" si="2611"/>
        <v>-11.859960029861041</v>
      </c>
      <c r="X1176" s="1">
        <f t="shared" si="2612"/>
        <v>0</v>
      </c>
      <c r="Y1176" s="1">
        <f t="shared" si="2613"/>
        <v>-5.618185621609241</v>
      </c>
    </row>
    <row r="1177" spans="1:25">
      <c r="A1177" s="1">
        <v>1.175</v>
      </c>
      <c r="B1177" s="1">
        <f t="shared" si="2614"/>
        <v>40.910785543083826</v>
      </c>
      <c r="C1177" s="1">
        <f t="shared" si="2615"/>
        <v>0</v>
      </c>
      <c r="D1177" s="1">
        <f t="shared" si="2616"/>
        <v>-1.5835187758046545</v>
      </c>
      <c r="E1177" s="1">
        <f t="shared" si="2617"/>
        <v>16.944512863567049</v>
      </c>
      <c r="F1177" s="1">
        <f t="shared" si="2618"/>
        <v>0</v>
      </c>
      <c r="G1177" s="1">
        <f t="shared" si="2619"/>
        <v>-4.5444236177963164</v>
      </c>
      <c r="H1177" s="1">
        <f t="shared" si="2304"/>
        <v>17.543326429203045</v>
      </c>
      <c r="I1177" s="1">
        <f t="shared" si="2602"/>
        <v>-12.097826997596361</v>
      </c>
      <c r="J1177" s="1">
        <f t="shared" si="2603"/>
        <v>0</v>
      </c>
      <c r="K1177" s="1">
        <f t="shared" si="2604"/>
        <v>3.2445695650596154</v>
      </c>
      <c r="L1177" s="1">
        <f t="shared" ref="L1177:N1177" si="2664">E1177/$H1177</f>
        <v>0.9658665893237216</v>
      </c>
      <c r="M1177" s="1">
        <f t="shared" si="2664"/>
        <v>0</v>
      </c>
      <c r="N1177" s="1">
        <f t="shared" si="2664"/>
        <v>-0.2590400193563952</v>
      </c>
      <c r="O1177" s="1">
        <f t="shared" si="2306"/>
        <v>-0.2590400193563952</v>
      </c>
      <c r="P1177" s="1">
        <f t="shared" si="2606"/>
        <v>0.25019809999411224</v>
      </c>
      <c r="Q1177" s="1">
        <f t="shared" si="2607"/>
        <v>0</v>
      </c>
      <c r="R1177" s="1">
        <f t="shared" si="2608"/>
        <v>0.93289826837183842</v>
      </c>
      <c r="S1177" s="1">
        <f t="shared" si="2609"/>
        <v>1.0126887021418205</v>
      </c>
      <c r="T1177" s="1">
        <f t="shared" ref="T1177:V1177" si="2665">$S1177*P1177</f>
        <v>0.25337278916138695</v>
      </c>
      <c r="U1177" s="1">
        <f t="shared" si="2665"/>
        <v>0</v>
      </c>
      <c r="V1177" s="1">
        <f t="shared" si="2665"/>
        <v>0.94473553662782883</v>
      </c>
      <c r="W1177" s="1">
        <f t="shared" si="2611"/>
        <v>-11.844454208434973</v>
      </c>
      <c r="X1177" s="1">
        <f t="shared" si="2612"/>
        <v>0</v>
      </c>
      <c r="Y1177" s="1">
        <f t="shared" si="2613"/>
        <v>-5.6173448983125551</v>
      </c>
    </row>
    <row r="1178" spans="1:25">
      <c r="A1178" s="1">
        <v>1.1759999999999999</v>
      </c>
      <c r="B1178" s="1">
        <f t="shared" si="2614"/>
        <v>40.927718211493186</v>
      </c>
      <c r="C1178" s="1">
        <f t="shared" si="2615"/>
        <v>0</v>
      </c>
      <c r="D1178" s="1">
        <f t="shared" si="2616"/>
        <v>-1.5880688167673491</v>
      </c>
      <c r="E1178" s="1">
        <f t="shared" si="2617"/>
        <v>16.932668409358612</v>
      </c>
      <c r="F1178" s="1">
        <f t="shared" si="2618"/>
        <v>0</v>
      </c>
      <c r="G1178" s="1">
        <f t="shared" si="2619"/>
        <v>-4.550040962694629</v>
      </c>
      <c r="H1178" s="1">
        <f t="shared" si="2304"/>
        <v>17.533343441097884</v>
      </c>
      <c r="I1178" s="1">
        <f t="shared" si="2602"/>
        <v>-12.082491017927735</v>
      </c>
      <c r="J1178" s="1">
        <f t="shared" si="2603"/>
        <v>0</v>
      </c>
      <c r="K1178" s="1">
        <f t="shared" si="2604"/>
        <v>3.246731568461839</v>
      </c>
      <c r="L1178" s="1">
        <f t="shared" ref="L1178:N1178" si="2666">E1178/$H1178</f>
        <v>0.96574098752145021</v>
      </c>
      <c r="M1178" s="1">
        <f t="shared" si="2666"/>
        <v>0</v>
      </c>
      <c r="N1178" s="1">
        <f t="shared" si="2666"/>
        <v>-0.25950789009410513</v>
      </c>
      <c r="O1178" s="1">
        <f t="shared" si="2306"/>
        <v>-0.25950789009410513</v>
      </c>
      <c r="P1178" s="1">
        <f t="shared" si="2606"/>
        <v>0.25061740604908905</v>
      </c>
      <c r="Q1178" s="1">
        <f t="shared" si="2607"/>
        <v>0</v>
      </c>
      <c r="R1178" s="1">
        <f t="shared" si="2608"/>
        <v>0.93265565497890579</v>
      </c>
      <c r="S1178" s="1">
        <f t="shared" si="2609"/>
        <v>1.0115364938796374</v>
      </c>
      <c r="T1178" s="1">
        <f t="shared" ref="T1178:V1178" si="2667">$S1178*P1178</f>
        <v>0.25350865222010499</v>
      </c>
      <c r="U1178" s="1">
        <f t="shared" si="2667"/>
        <v>0</v>
      </c>
      <c r="V1178" s="1">
        <f t="shared" si="2667"/>
        <v>0.94341523123437909</v>
      </c>
      <c r="W1178" s="1">
        <f t="shared" si="2611"/>
        <v>-11.828982365707629</v>
      </c>
      <c r="X1178" s="1">
        <f t="shared" si="2612"/>
        <v>0</v>
      </c>
      <c r="Y1178" s="1">
        <f t="shared" si="2613"/>
        <v>-5.6165032003037814</v>
      </c>
    </row>
    <row r="1179" spans="1:25">
      <c r="A1179" s="1">
        <v>1.177</v>
      </c>
      <c r="B1179" s="1">
        <f t="shared" si="2614"/>
        <v>40.944639050920181</v>
      </c>
      <c r="C1179" s="1">
        <f t="shared" si="2615"/>
        <v>0</v>
      </c>
      <c r="D1179" s="1">
        <f t="shared" si="2616"/>
        <v>-1.592624474233244</v>
      </c>
      <c r="E1179" s="1">
        <f t="shared" si="2617"/>
        <v>16.920839426992906</v>
      </c>
      <c r="F1179" s="1">
        <f t="shared" si="2618"/>
        <v>0</v>
      </c>
      <c r="G1179" s="1">
        <f t="shared" si="2619"/>
        <v>-4.5556574658949325</v>
      </c>
      <c r="H1179" s="1">
        <f t="shared" si="2304"/>
        <v>17.523379293408045</v>
      </c>
      <c r="I1179" s="1">
        <f t="shared" si="2602"/>
        <v>-12.06718867058183</v>
      </c>
      <c r="J1179" s="1">
        <f t="shared" si="2603"/>
        <v>0</v>
      </c>
      <c r="K1179" s="1">
        <f t="shared" si="2604"/>
        <v>3.248891900232906</v>
      </c>
      <c r="L1179" s="1">
        <f t="shared" ref="L1179:N1179" si="2668">E1179/$H1179</f>
        <v>0.96561508734552115</v>
      </c>
      <c r="M1179" s="1">
        <f t="shared" si="2668"/>
        <v>0</v>
      </c>
      <c r="N1179" s="1">
        <f t="shared" si="2668"/>
        <v>-0.25997596637131987</v>
      </c>
      <c r="O1179" s="1">
        <f t="shared" si="2306"/>
        <v>-0.25997596637131987</v>
      </c>
      <c r="P1179" s="1">
        <f t="shared" si="2606"/>
        <v>0.25103671547537831</v>
      </c>
      <c r="Q1179" s="1">
        <f t="shared" si="2607"/>
        <v>0</v>
      </c>
      <c r="R1179" s="1">
        <f t="shared" si="2608"/>
        <v>0.93241249690929839</v>
      </c>
      <c r="S1179" s="1">
        <f t="shared" si="2609"/>
        <v>1.0103871141174359</v>
      </c>
      <c r="T1179" s="1">
        <f t="shared" ref="T1179:V1179" si="2669">$S1179*P1179</f>
        <v>0.25364426248668737</v>
      </c>
      <c r="U1179" s="1">
        <f t="shared" si="2669"/>
        <v>0</v>
      </c>
      <c r="V1179" s="1">
        <f t="shared" si="2669"/>
        <v>0.94209757191921861</v>
      </c>
      <c r="W1179" s="1">
        <f t="shared" si="2611"/>
        <v>-11.813544408095142</v>
      </c>
      <c r="X1179" s="1">
        <f t="shared" si="2612"/>
        <v>0</v>
      </c>
      <c r="Y1179" s="1">
        <f t="shared" si="2613"/>
        <v>-5.6156605278478748</v>
      </c>
    </row>
    <row r="1180" spans="1:25">
      <c r="A1180" s="1">
        <v>1.1779999999999999</v>
      </c>
      <c r="B1180" s="1">
        <f t="shared" si="2614"/>
        <v>40.961548076802764</v>
      </c>
      <c r="C1180" s="1">
        <f t="shared" si="2615"/>
        <v>0</v>
      </c>
      <c r="D1180" s="1">
        <f t="shared" si="2616"/>
        <v>-1.5971857473596669</v>
      </c>
      <c r="E1180" s="1">
        <f t="shared" si="2617"/>
        <v>16.90902588258481</v>
      </c>
      <c r="F1180" s="1">
        <f t="shared" si="2618"/>
        <v>0</v>
      </c>
      <c r="G1180" s="1">
        <f t="shared" si="2619"/>
        <v>-4.5612731264227806</v>
      </c>
      <c r="H1180" s="1">
        <f t="shared" si="2304"/>
        <v>17.513433953161488</v>
      </c>
      <c r="I1180" s="1">
        <f t="shared" si="2602"/>
        <v>-12.051919862685216</v>
      </c>
      <c r="J1180" s="1">
        <f t="shared" si="2603"/>
        <v>0</v>
      </c>
      <c r="K1180" s="1">
        <f t="shared" si="2604"/>
        <v>3.2510505675010331</v>
      </c>
      <c r="L1180" s="1">
        <f t="shared" ref="L1180:N1180" si="2670">E1180/$H1180</f>
        <v>0.96548888857587112</v>
      </c>
      <c r="M1180" s="1">
        <f t="shared" si="2670"/>
        <v>0</v>
      </c>
      <c r="N1180" s="1">
        <f t="shared" si="2670"/>
        <v>-0.26044424746292483</v>
      </c>
      <c r="O1180" s="1">
        <f t="shared" si="2306"/>
        <v>-0.26044424746292483</v>
      </c>
      <c r="P1180" s="1">
        <f t="shared" si="2606"/>
        <v>0.25145602701895842</v>
      </c>
      <c r="Q1180" s="1">
        <f t="shared" si="2607"/>
        <v>0</v>
      </c>
      <c r="R1180" s="1">
        <f t="shared" si="2608"/>
        <v>0.93216879396347074</v>
      </c>
      <c r="S1180" s="1">
        <f t="shared" si="2609"/>
        <v>1.0092405553488362</v>
      </c>
      <c r="T1180" s="1">
        <f t="shared" ref="T1180:V1180" si="2671">$S1180*P1180</f>
        <v>0.25377962035442553</v>
      </c>
      <c r="U1180" s="1">
        <f t="shared" si="2671"/>
        <v>0</v>
      </c>
      <c r="V1180" s="1">
        <f t="shared" si="2671"/>
        <v>0.94078255129854804</v>
      </c>
      <c r="W1180" s="1">
        <f t="shared" si="2611"/>
        <v>-11.79814024233079</v>
      </c>
      <c r="X1180" s="1">
        <f t="shared" si="2612"/>
        <v>0</v>
      </c>
      <c r="Y1180" s="1">
        <f t="shared" si="2613"/>
        <v>-5.6148168812004187</v>
      </c>
    </row>
    <row r="1181" spans="1:25">
      <c r="A1181" s="1">
        <v>1.179</v>
      </c>
      <c r="B1181" s="1">
        <f t="shared" si="2614"/>
        <v>40.978445304545104</v>
      </c>
      <c r="C1181" s="1">
        <f t="shared" si="2615"/>
        <v>0</v>
      </c>
      <c r="D1181" s="1">
        <f t="shared" si="2616"/>
        <v>-1.601752635302971</v>
      </c>
      <c r="E1181" s="1">
        <f t="shared" si="2617"/>
        <v>16.89722774234248</v>
      </c>
      <c r="F1181" s="1">
        <f t="shared" si="2618"/>
        <v>0</v>
      </c>
      <c r="G1181" s="1">
        <f t="shared" si="2619"/>
        <v>-4.5668879433039811</v>
      </c>
      <c r="H1181" s="1">
        <f t="shared" si="2304"/>
        <v>17.503507387471906</v>
      </c>
      <c r="I1181" s="1">
        <f t="shared" si="2602"/>
        <v>-12.036684501679124</v>
      </c>
      <c r="J1181" s="1">
        <f t="shared" si="2603"/>
        <v>0</v>
      </c>
      <c r="K1181" s="1">
        <f t="shared" si="2604"/>
        <v>3.2532075773781162</v>
      </c>
      <c r="L1181" s="1">
        <f t="shared" ref="L1181:N1181" si="2672">E1181/$H1181</f>
        <v>0.96536239099351195</v>
      </c>
      <c r="M1181" s="1">
        <f t="shared" si="2672"/>
        <v>0</v>
      </c>
      <c r="N1181" s="1">
        <f t="shared" si="2672"/>
        <v>-0.26091273264309989</v>
      </c>
      <c r="O1181" s="1">
        <f t="shared" si="2306"/>
        <v>-0.26091273264309989</v>
      </c>
      <c r="P1181" s="1">
        <f t="shared" si="2606"/>
        <v>0.25187533942499385</v>
      </c>
      <c r="Q1181" s="1">
        <f t="shared" si="2607"/>
        <v>0</v>
      </c>
      <c r="R1181" s="1">
        <f t="shared" si="2608"/>
        <v>0.9319245459447103</v>
      </c>
      <c r="S1181" s="1">
        <f t="shared" si="2609"/>
        <v>1.008096810092957</v>
      </c>
      <c r="T1181" s="1">
        <f t="shared" ref="T1181:V1181" si="2673">$S1181*P1181</f>
        <v>0.25391472621541711</v>
      </c>
      <c r="U1181" s="1">
        <f t="shared" si="2673"/>
        <v>0</v>
      </c>
      <c r="V1181" s="1">
        <f t="shared" si="2673"/>
        <v>0.93947016201418987</v>
      </c>
      <c r="W1181" s="1">
        <f t="shared" si="2611"/>
        <v>-11.782769775463708</v>
      </c>
      <c r="X1181" s="1">
        <f t="shared" si="2612"/>
        <v>0</v>
      </c>
      <c r="Y1181" s="1">
        <f t="shared" si="2613"/>
        <v>-5.6139722606076932</v>
      </c>
    </row>
    <row r="1182" spans="1:25">
      <c r="A1182" s="1">
        <v>1.18</v>
      </c>
      <c r="B1182" s="1">
        <f t="shared" si="2614"/>
        <v>40.99533074951767</v>
      </c>
      <c r="C1182" s="1">
        <f t="shared" si="2615"/>
        <v>0</v>
      </c>
      <c r="D1182" s="1">
        <f t="shared" si="2616"/>
        <v>-1.6063251372185356</v>
      </c>
      <c r="E1182" s="1">
        <f t="shared" si="2617"/>
        <v>16.885444972567015</v>
      </c>
      <c r="F1182" s="1">
        <f t="shared" si="2618"/>
        <v>0</v>
      </c>
      <c r="G1182" s="1">
        <f t="shared" si="2619"/>
        <v>-4.5725019155645885</v>
      </c>
      <c r="H1182" s="1">
        <f t="shared" si="2304"/>
        <v>17.493599563538389</v>
      </c>
      <c r="I1182" s="1">
        <f t="shared" si="2602"/>
        <v>-12.021482495318127</v>
      </c>
      <c r="J1182" s="1">
        <f t="shared" si="2603"/>
        <v>0</v>
      </c>
      <c r="K1182" s="1">
        <f t="shared" si="2604"/>
        <v>3.2553629369597679</v>
      </c>
      <c r="L1182" s="1">
        <f t="shared" ref="L1182:N1182" si="2674">E1182/$H1182</f>
        <v>0.9652355943805333</v>
      </c>
      <c r="M1182" s="1">
        <f t="shared" si="2674"/>
        <v>0</v>
      </c>
      <c r="N1182" s="1">
        <f t="shared" si="2674"/>
        <v>-0.26138142118532176</v>
      </c>
      <c r="O1182" s="1">
        <f t="shared" si="2306"/>
        <v>-0.26138142118532176</v>
      </c>
      <c r="P1182" s="1">
        <f t="shared" si="2606"/>
        <v>0.25229465143784258</v>
      </c>
      <c r="Q1182" s="1">
        <f t="shared" si="2607"/>
        <v>0</v>
      </c>
      <c r="R1182" s="1">
        <f t="shared" si="2608"/>
        <v>0.93167975265914138</v>
      </c>
      <c r="S1182" s="1">
        <f t="shared" si="2609"/>
        <v>1.0069558708943089</v>
      </c>
      <c r="T1182" s="1">
        <f t="shared" ref="T1182:V1182" si="2675">$S1182*P1182</f>
        <v>0.25404958046056886</v>
      </c>
      <c r="U1182" s="1">
        <f t="shared" si="2675"/>
        <v>0</v>
      </c>
      <c r="V1182" s="1">
        <f t="shared" si="2675"/>
        <v>0.93816039673348006</v>
      </c>
      <c r="W1182" s="1">
        <f t="shared" si="2611"/>
        <v>-11.767432914857558</v>
      </c>
      <c r="X1182" s="1">
        <f t="shared" si="2612"/>
        <v>0</v>
      </c>
      <c r="Y1182" s="1">
        <f t="shared" si="2613"/>
        <v>-5.6131266663067514</v>
      </c>
    </row>
    <row r="1183" spans="1:25">
      <c r="A1183" s="1">
        <v>1.181</v>
      </c>
      <c r="B1183" s="1">
        <f t="shared" si="2614"/>
        <v>41.01220442705732</v>
      </c>
      <c r="C1183" s="1">
        <f t="shared" si="2615"/>
        <v>0</v>
      </c>
      <c r="D1183" s="1">
        <f t="shared" si="2616"/>
        <v>-1.6109032522607665</v>
      </c>
      <c r="E1183" s="1">
        <f t="shared" si="2617"/>
        <v>16.873677539652157</v>
      </c>
      <c r="F1183" s="1">
        <f t="shared" si="2618"/>
        <v>0</v>
      </c>
      <c r="G1183" s="1">
        <f t="shared" si="2619"/>
        <v>-4.5781150422308956</v>
      </c>
      <c r="H1183" s="1">
        <f t="shared" si="2304"/>
        <v>17.483710448645116</v>
      </c>
      <c r="I1183" s="1">
        <f t="shared" si="2602"/>
        <v>-12.006313751668849</v>
      </c>
      <c r="J1183" s="1">
        <f t="shared" si="2603"/>
        <v>0</v>
      </c>
      <c r="K1183" s="1">
        <f t="shared" si="2604"/>
        <v>3.2575166533253497</v>
      </c>
      <c r="L1183" s="1">
        <f t="shared" ref="L1183:N1183" si="2676">E1183/$H1183</f>
        <v>0.96510849852010483</v>
      </c>
      <c r="M1183" s="1">
        <f t="shared" si="2676"/>
        <v>0</v>
      </c>
      <c r="N1183" s="1">
        <f t="shared" si="2676"/>
        <v>-0.26185031236236656</v>
      </c>
      <c r="O1183" s="1">
        <f t="shared" si="2306"/>
        <v>-0.26185031236236656</v>
      </c>
      <c r="P1183" s="1">
        <f t="shared" si="2606"/>
        <v>0.25271396180106404</v>
      </c>
      <c r="Q1183" s="1">
        <f t="shared" si="2607"/>
        <v>0</v>
      </c>
      <c r="R1183" s="1">
        <f t="shared" si="2608"/>
        <v>0.93143441391573112</v>
      </c>
      <c r="S1183" s="1">
        <f t="shared" si="2609"/>
        <v>1.0058177303226892</v>
      </c>
      <c r="T1183" s="1">
        <f t="shared" ref="T1183:V1183" si="2677">$S1183*P1183</f>
        <v>0.25418418347960098</v>
      </c>
      <c r="U1183" s="1">
        <f t="shared" si="2677"/>
        <v>0</v>
      </c>
      <c r="V1183" s="1">
        <f t="shared" si="2677"/>
        <v>0.93685324814916493</v>
      </c>
      <c r="W1183" s="1">
        <f t="shared" si="2611"/>
        <v>-11.752129568189247</v>
      </c>
      <c r="X1183" s="1">
        <f t="shared" si="2612"/>
        <v>0</v>
      </c>
      <c r="Y1183" s="1">
        <f t="shared" si="2613"/>
        <v>-5.6122800985254848</v>
      </c>
    </row>
    <row r="1184" spans="1:25">
      <c r="A1184" s="1">
        <v>1.1819999999999999</v>
      </c>
      <c r="B1184" s="1">
        <f t="shared" si="2614"/>
        <v>41.029066352467403</v>
      </c>
      <c r="C1184" s="1">
        <f t="shared" si="2615"/>
        <v>0</v>
      </c>
      <c r="D1184" s="1">
        <f t="shared" si="2616"/>
        <v>-1.615486979583096</v>
      </c>
      <c r="E1184" s="1">
        <f t="shared" si="2617"/>
        <v>16.861925410083966</v>
      </c>
      <c r="F1184" s="1">
        <f t="shared" si="2618"/>
        <v>0</v>
      </c>
      <c r="G1184" s="1">
        <f t="shared" si="2619"/>
        <v>-4.5837273223294215</v>
      </c>
      <c r="H1184" s="1">
        <f t="shared" si="2304"/>
        <v>17.473840010161034</v>
      </c>
      <c r="I1184" s="1">
        <f t="shared" si="2602"/>
        <v>-11.991178179108662</v>
      </c>
      <c r="J1184" s="1">
        <f t="shared" si="2603"/>
        <v>0</v>
      </c>
      <c r="K1184" s="1">
        <f t="shared" si="2604"/>
        <v>3.2596687335380068</v>
      </c>
      <c r="L1184" s="1">
        <f t="shared" ref="L1184:N1184" si="2678">E1184/$H1184</f>
        <v>0.9649811031964789</v>
      </c>
      <c r="M1184" s="1">
        <f t="shared" si="2678"/>
        <v>0</v>
      </c>
      <c r="N1184" s="1">
        <f t="shared" si="2678"/>
        <v>-0.26231940544631205</v>
      </c>
      <c r="O1184" s="1">
        <f t="shared" si="2306"/>
        <v>-0.26231940544631205</v>
      </c>
      <c r="P1184" s="1">
        <f t="shared" si="2606"/>
        <v>0.25313326925742663</v>
      </c>
      <c r="Q1184" s="1">
        <f t="shared" si="2607"/>
        <v>0</v>
      </c>
      <c r="R1184" s="1">
        <f t="shared" si="2608"/>
        <v>0.93118852952629338</v>
      </c>
      <c r="S1184" s="1">
        <f t="shared" si="2609"/>
        <v>1.0046823809730785</v>
      </c>
      <c r="T1184" s="1">
        <f t="shared" ref="T1184:V1184" si="2679">$S1184*P1184</f>
        <v>0.25431853566105078</v>
      </c>
      <c r="U1184" s="1">
        <f t="shared" si="2679"/>
        <v>0</v>
      </c>
      <c r="V1184" s="1">
        <f t="shared" si="2679"/>
        <v>0.93554870897929621</v>
      </c>
      <c r="W1184" s="1">
        <f t="shared" si="2611"/>
        <v>-11.736859643447611</v>
      </c>
      <c r="X1184" s="1">
        <f t="shared" si="2612"/>
        <v>0</v>
      </c>
      <c r="Y1184" s="1">
        <f t="shared" si="2613"/>
        <v>-5.6114325574826962</v>
      </c>
    </row>
    <row r="1185" spans="1:25">
      <c r="A1185" s="1">
        <v>1.1830000000000001</v>
      </c>
      <c r="B1185" s="1">
        <f t="shared" si="2614"/>
        <v>41.045916541017846</v>
      </c>
      <c r="C1185" s="1">
        <f t="shared" si="2615"/>
        <v>0</v>
      </c>
      <c r="D1185" s="1">
        <f t="shared" si="2616"/>
        <v>-1.6200763183379829</v>
      </c>
      <c r="E1185" s="1">
        <f t="shared" si="2617"/>
        <v>16.850188550440517</v>
      </c>
      <c r="F1185" s="1">
        <f t="shared" si="2618"/>
        <v>0</v>
      </c>
      <c r="G1185" s="1">
        <f t="shared" si="2619"/>
        <v>-4.5893387548869038</v>
      </c>
      <c r="H1185" s="1">
        <f t="shared" si="2304"/>
        <v>17.46398821553953</v>
      </c>
      <c r="I1185" s="1">
        <f t="shared" si="2602"/>
        <v>-11.976075686324409</v>
      </c>
      <c r="J1185" s="1">
        <f t="shared" si="2603"/>
        <v>0</v>
      </c>
      <c r="K1185" s="1">
        <f t="shared" si="2604"/>
        <v>3.2618191846447018</v>
      </c>
      <c r="L1185" s="1">
        <f t="shared" ref="L1185:N1185" si="2680">E1185/$H1185</f>
        <v>0.96485340819499343</v>
      </c>
      <c r="M1185" s="1">
        <f t="shared" si="2680"/>
        <v>0</v>
      </c>
      <c r="N1185" s="1">
        <f t="shared" si="2680"/>
        <v>-0.2627886997085403</v>
      </c>
      <c r="O1185" s="1">
        <f t="shared" si="2306"/>
        <v>-0.2627886997085403</v>
      </c>
      <c r="P1185" s="1">
        <f t="shared" si="2606"/>
        <v>0.25355257254891578</v>
      </c>
      <c r="Q1185" s="1">
        <f t="shared" si="2607"/>
        <v>0</v>
      </c>
      <c r="R1185" s="1">
        <f t="shared" si="2608"/>
        <v>0.93094209930549465</v>
      </c>
      <c r="S1185" s="1">
        <f t="shared" si="2609"/>
        <v>1.0035498154655345</v>
      </c>
      <c r="T1185" s="1">
        <f t="shared" ref="T1185:V1185" si="2681">$S1185*P1185</f>
        <v>0.25445263739227597</v>
      </c>
      <c r="U1185" s="1">
        <f t="shared" si="2681"/>
        <v>0</v>
      </c>
      <c r="V1185" s="1">
        <f t="shared" si="2681"/>
        <v>0.93424677196712647</v>
      </c>
      <c r="W1185" s="1">
        <f t="shared" si="2611"/>
        <v>-11.721623048932132</v>
      </c>
      <c r="X1185" s="1">
        <f t="shared" si="2612"/>
        <v>0</v>
      </c>
      <c r="Y1185" s="1">
        <f t="shared" si="2613"/>
        <v>-5.6105840433881715</v>
      </c>
    </row>
    <row r="1186" spans="1:25">
      <c r="A1186" s="1">
        <v>1.1839999999999999</v>
      </c>
      <c r="B1186" s="1">
        <f t="shared" si="2614"/>
        <v>41.062755007945235</v>
      </c>
      <c r="C1186" s="1">
        <f t="shared" si="2615"/>
        <v>0</v>
      </c>
      <c r="D1186" s="1">
        <f t="shared" si="2616"/>
        <v>-1.6246712676769133</v>
      </c>
      <c r="E1186" s="1">
        <f t="shared" si="2617"/>
        <v>16.838466927391586</v>
      </c>
      <c r="F1186" s="1">
        <f t="shared" si="2618"/>
        <v>0</v>
      </c>
      <c r="G1186" s="1">
        <f t="shared" si="2619"/>
        <v>-4.5949493389302916</v>
      </c>
      <c r="H1186" s="1">
        <f t="shared" si="2304"/>
        <v>17.454155032318127</v>
      </c>
      <c r="I1186" s="1">
        <f t="shared" si="2602"/>
        <v>-11.961006182311113</v>
      </c>
      <c r="J1186" s="1">
        <f t="shared" si="2603"/>
        <v>0</v>
      </c>
      <c r="K1186" s="1">
        <f t="shared" si="2604"/>
        <v>3.2639680136762523</v>
      </c>
      <c r="L1186" s="1">
        <f t="shared" ref="L1186:N1186" si="2682">E1186/$H1186</f>
        <v>0.9647254133020744</v>
      </c>
      <c r="M1186" s="1">
        <f t="shared" si="2682"/>
        <v>0</v>
      </c>
      <c r="N1186" s="1">
        <f t="shared" si="2682"/>
        <v>-0.26325819441974019</v>
      </c>
      <c r="O1186" s="1">
        <f t="shared" si="2306"/>
        <v>-0.26325819441974019</v>
      </c>
      <c r="P1186" s="1">
        <f t="shared" si="2606"/>
        <v>0.25397187041674169</v>
      </c>
      <c r="Q1186" s="1">
        <f t="shared" si="2607"/>
        <v>0</v>
      </c>
      <c r="R1186" s="1">
        <f t="shared" si="2608"/>
        <v>0.93069512307085822</v>
      </c>
      <c r="S1186" s="1">
        <f t="shared" si="2609"/>
        <v>1.0024200264450898</v>
      </c>
      <c r="T1186" s="1">
        <f t="shared" ref="T1186:V1186" si="2683">$S1186*P1186</f>
        <v>0.25458648905945913</v>
      </c>
      <c r="U1186" s="1">
        <f t="shared" si="2683"/>
        <v>0</v>
      </c>
      <c r="V1186" s="1">
        <f t="shared" si="2683"/>
        <v>0.93294742988100576</v>
      </c>
      <c r="W1186" s="1">
        <f t="shared" si="2611"/>
        <v>-11.706419693251654</v>
      </c>
      <c r="X1186" s="1">
        <f t="shared" si="2612"/>
        <v>0</v>
      </c>
      <c r="Y1186" s="1">
        <f t="shared" si="2613"/>
        <v>-5.6097345564427412</v>
      </c>
    </row>
    <row r="1187" spans="1:25">
      <c r="A1187" s="1">
        <v>1.1850000000000001</v>
      </c>
      <c r="B1187" s="1">
        <f t="shared" si="2614"/>
        <v>41.079581768452933</v>
      </c>
      <c r="C1187" s="1">
        <f t="shared" si="2615"/>
        <v>0</v>
      </c>
      <c r="D1187" s="1">
        <f t="shared" si="2616"/>
        <v>-1.6292718267504001</v>
      </c>
      <c r="E1187" s="1">
        <f t="shared" si="2617"/>
        <v>16.826760507698335</v>
      </c>
      <c r="F1187" s="1">
        <f t="shared" si="2618"/>
        <v>0</v>
      </c>
      <c r="G1187" s="1">
        <f t="shared" si="2619"/>
        <v>-4.6005590734867345</v>
      </c>
      <c r="H1187" s="1">
        <f t="shared" si="2304"/>
        <v>17.444340428118153</v>
      </c>
      <c r="I1187" s="1">
        <f t="shared" si="2602"/>
        <v>-11.945969576370707</v>
      </c>
      <c r="J1187" s="1">
        <f t="shared" si="2603"/>
        <v>0</v>
      </c>
      <c r="K1187" s="1">
        <f t="shared" si="2604"/>
        <v>3.2661152276473593</v>
      </c>
      <c r="L1187" s="1">
        <f t="shared" ref="L1187:N1187" si="2684">E1187/$H1187</f>
        <v>0.9645971183052382</v>
      </c>
      <c r="M1187" s="1">
        <f t="shared" si="2684"/>
        <v>0</v>
      </c>
      <c r="N1187" s="1">
        <f t="shared" si="2684"/>
        <v>-0.26372788884990994</v>
      </c>
      <c r="O1187" s="1">
        <f t="shared" si="2306"/>
        <v>-0.26372788884990994</v>
      </c>
      <c r="P1187" s="1">
        <f t="shared" si="2606"/>
        <v>0.25439116160134728</v>
      </c>
      <c r="Q1187" s="1">
        <f t="shared" si="2607"/>
        <v>0</v>
      </c>
      <c r="R1187" s="1">
        <f t="shared" si="2608"/>
        <v>0.93044760064276955</v>
      </c>
      <c r="S1187" s="1">
        <f t="shared" si="2609"/>
        <v>1.0012930065816468</v>
      </c>
      <c r="T1187" s="1">
        <f t="shared" ref="T1187:V1187" si="2685">$S1187*P1187</f>
        <v>0.25472009104761056</v>
      </c>
      <c r="U1187" s="1">
        <f t="shared" si="2685"/>
        <v>0</v>
      </c>
      <c r="V1187" s="1">
        <f t="shared" si="2685"/>
        <v>0.93165067551427805</v>
      </c>
      <c r="W1187" s="1">
        <f t="shared" si="2611"/>
        <v>-11.691249485323096</v>
      </c>
      <c r="X1187" s="1">
        <f t="shared" si="2612"/>
        <v>0</v>
      </c>
      <c r="Y1187" s="1">
        <f t="shared" si="2613"/>
        <v>-5.608884096838362</v>
      </c>
    </row>
    <row r="1188" spans="1:25">
      <c r="A1188" s="1">
        <v>1.1859999999999999</v>
      </c>
      <c r="B1188" s="1">
        <f t="shared" si="2614"/>
        <v>41.096396837711147</v>
      </c>
      <c r="C1188" s="1">
        <f t="shared" si="2615"/>
        <v>0</v>
      </c>
      <c r="D1188" s="1">
        <f t="shared" si="2616"/>
        <v>-1.6338779947079836</v>
      </c>
      <c r="E1188" s="1">
        <f t="shared" si="2617"/>
        <v>16.815069258213011</v>
      </c>
      <c r="F1188" s="1">
        <f t="shared" si="2618"/>
        <v>0</v>
      </c>
      <c r="G1188" s="1">
        <f t="shared" si="2619"/>
        <v>-4.6061679575835726</v>
      </c>
      <c r="H1188" s="1">
        <f t="shared" si="2304"/>
        <v>17.434544370644442</v>
      </c>
      <c r="I1188" s="1">
        <f t="shared" si="2602"/>
        <v>-11.930965778110766</v>
      </c>
      <c r="J1188" s="1">
        <f t="shared" si="2603"/>
        <v>0</v>
      </c>
      <c r="K1188" s="1">
        <f t="shared" si="2604"/>
        <v>3.2682608335566448</v>
      </c>
      <c r="L1188" s="1">
        <f t="shared" ref="L1188:N1188" si="2686">E1188/$H1188</f>
        <v>0.96446852299309427</v>
      </c>
      <c r="M1188" s="1">
        <f t="shared" si="2686"/>
        <v>0</v>
      </c>
      <c r="N1188" s="1">
        <f t="shared" si="2686"/>
        <v>-0.26419778226835949</v>
      </c>
      <c r="O1188" s="1">
        <f t="shared" si="2306"/>
        <v>-0.26419778226835949</v>
      </c>
      <c r="P1188" s="1">
        <f t="shared" si="2606"/>
        <v>0.25481044484241577</v>
      </c>
      <c r="Q1188" s="1">
        <f t="shared" si="2607"/>
        <v>0</v>
      </c>
      <c r="R1188" s="1">
        <f t="shared" si="2608"/>
        <v>0.93019953184448045</v>
      </c>
      <c r="S1188" s="1">
        <f t="shared" si="2609"/>
        <v>1.0001687485698769</v>
      </c>
      <c r="T1188" s="1">
        <f t="shared" ref="T1188:V1188" si="2687">$S1188*P1188</f>
        <v>0.25485344374057262</v>
      </c>
      <c r="U1188" s="1">
        <f t="shared" si="2687"/>
        <v>0</v>
      </c>
      <c r="V1188" s="1">
        <f t="shared" si="2687"/>
        <v>0.93035650168517936</v>
      </c>
      <c r="W1188" s="1">
        <f t="shared" si="2611"/>
        <v>-11.676112334370194</v>
      </c>
      <c r="X1188" s="1">
        <f t="shared" si="2612"/>
        <v>0</v>
      </c>
      <c r="Y1188" s="1">
        <f t="shared" si="2613"/>
        <v>-5.6080326647581753</v>
      </c>
    </row>
    <row r="1189" spans="1:25">
      <c r="A1189" s="1">
        <v>1.1870000000000001</v>
      </c>
      <c r="B1189" s="1">
        <f t="shared" si="2614"/>
        <v>41.113200230857025</v>
      </c>
      <c r="C1189" s="1">
        <f t="shared" si="2615"/>
        <v>0</v>
      </c>
      <c r="D1189" s="1">
        <f t="shared" si="2616"/>
        <v>-1.638489770698232</v>
      </c>
      <c r="E1189" s="1">
        <f t="shared" si="2617"/>
        <v>16.803393145878641</v>
      </c>
      <c r="F1189" s="1">
        <f t="shared" si="2618"/>
        <v>0</v>
      </c>
      <c r="G1189" s="1">
        <f t="shared" si="2619"/>
        <v>-4.6117759902483311</v>
      </c>
      <c r="H1189" s="1">
        <f t="shared" si="2304"/>
        <v>17.424766827685019</v>
      </c>
      <c r="I1189" s="1">
        <f t="shared" si="2602"/>
        <v>-11.915994697443246</v>
      </c>
      <c r="J1189" s="1">
        <f t="shared" si="2603"/>
        <v>0</v>
      </c>
      <c r="K1189" s="1">
        <f t="shared" si="2604"/>
        <v>3.2704048383866864</v>
      </c>
      <c r="L1189" s="1">
        <f t="shared" ref="L1189:N1189" si="2688">E1189/$H1189</f>
        <v>0.9643396271553476</v>
      </c>
      <c r="M1189" s="1">
        <f t="shared" si="2688"/>
        <v>0</v>
      </c>
      <c r="N1189" s="1">
        <f t="shared" si="2688"/>
        <v>-0.26466787394371305</v>
      </c>
      <c r="O1189" s="1">
        <f t="shared" si="2306"/>
        <v>-0.26466787394371305</v>
      </c>
      <c r="P1189" s="1">
        <f t="shared" si="2606"/>
        <v>0.2552297188788788</v>
      </c>
      <c r="Q1189" s="1">
        <f t="shared" si="2607"/>
        <v>0</v>
      </c>
      <c r="R1189" s="1">
        <f t="shared" si="2608"/>
        <v>0.92995091650211481</v>
      </c>
      <c r="S1189" s="1">
        <f t="shared" si="2609"/>
        <v>0.99904724512911736</v>
      </c>
      <c r="T1189" s="1">
        <f t="shared" ref="T1189:V1189" si="2689">$S1189*P1189</f>
        <v>0.25498654752102295</v>
      </c>
      <c r="U1189" s="1">
        <f t="shared" si="2689"/>
        <v>0</v>
      </c>
      <c r="V1189" s="1">
        <f t="shared" si="2689"/>
        <v>0.92906490123673569</v>
      </c>
      <c r="W1189" s="1">
        <f t="shared" si="2611"/>
        <v>-11.661008149922223</v>
      </c>
      <c r="X1189" s="1">
        <f t="shared" si="2612"/>
        <v>0</v>
      </c>
      <c r="Y1189" s="1">
        <f t="shared" si="2613"/>
        <v>-5.6071802603765777</v>
      </c>
    </row>
    <row r="1190" spans="1:25">
      <c r="A1190" s="1">
        <v>1.1879999999999999</v>
      </c>
      <c r="B1190" s="1">
        <f t="shared" si="2614"/>
        <v>41.129991962994751</v>
      </c>
      <c r="C1190" s="1">
        <f t="shared" si="2615"/>
        <v>0</v>
      </c>
      <c r="D1190" s="1">
        <f t="shared" si="2616"/>
        <v>-1.6431071538687407</v>
      </c>
      <c r="E1190" s="1">
        <f t="shared" si="2617"/>
        <v>16.791732137728719</v>
      </c>
      <c r="F1190" s="1">
        <f t="shared" si="2618"/>
        <v>0</v>
      </c>
      <c r="G1190" s="1">
        <f t="shared" si="2619"/>
        <v>-4.6173831705087078</v>
      </c>
      <c r="H1190" s="1">
        <f t="shared" si="2304"/>
        <v>17.415007767110772</v>
      </c>
      <c r="I1190" s="1">
        <f t="shared" si="2602"/>
        <v>-11.901056244583225</v>
      </c>
      <c r="J1190" s="1">
        <f t="shared" si="2603"/>
        <v>0</v>
      </c>
      <c r="K1190" s="1">
        <f t="shared" si="2604"/>
        <v>3.2725472491040479</v>
      </c>
      <c r="L1190" s="1">
        <f t="shared" ref="L1190:N1190" si="2690">E1190/$H1190</f>
        <v>0.96421043058280198</v>
      </c>
      <c r="M1190" s="1">
        <f t="shared" si="2690"/>
        <v>0</v>
      </c>
      <c r="N1190" s="1">
        <f t="shared" si="2690"/>
        <v>-0.26513816314391186</v>
      </c>
      <c r="O1190" s="1">
        <f t="shared" si="2306"/>
        <v>-0.26513816314391186</v>
      </c>
      <c r="P1190" s="1">
        <f t="shared" si="2606"/>
        <v>0.25564898244892448</v>
      </c>
      <c r="Q1190" s="1">
        <f t="shared" si="2607"/>
        <v>0</v>
      </c>
      <c r="R1190" s="1">
        <f t="shared" si="2608"/>
        <v>0.9297017544446724</v>
      </c>
      <c r="S1190" s="1">
        <f t="shared" si="2609"/>
        <v>0.99792848900326847</v>
      </c>
      <c r="T1190" s="1">
        <f t="shared" ref="T1190:V1190" si="2691">$S1190*P1190</f>
        <v>0.25511940277047829</v>
      </c>
      <c r="U1190" s="1">
        <f t="shared" si="2691"/>
        <v>0</v>
      </c>
      <c r="V1190" s="1">
        <f t="shared" si="2691"/>
        <v>0.92777586703665971</v>
      </c>
      <c r="W1190" s="1">
        <f t="shared" si="2611"/>
        <v>-11.645936841812746</v>
      </c>
      <c r="X1190" s="1">
        <f t="shared" si="2612"/>
        <v>0</v>
      </c>
      <c r="Y1190" s="1">
        <f t="shared" si="2613"/>
        <v>-5.6063268838592917</v>
      </c>
    </row>
    <row r="1191" spans="1:25">
      <c r="A1191" s="1">
        <v>1.1890000000000001</v>
      </c>
      <c r="B1191" s="1">
        <f t="shared" si="2614"/>
        <v>41.14677204919564</v>
      </c>
      <c r="C1191" s="1">
        <f t="shared" si="2615"/>
        <v>0</v>
      </c>
      <c r="D1191" s="1">
        <f t="shared" si="2616"/>
        <v>-1.6477301433661333</v>
      </c>
      <c r="E1191" s="1">
        <f t="shared" si="2617"/>
        <v>16.780086200886906</v>
      </c>
      <c r="F1191" s="1">
        <f t="shared" si="2618"/>
        <v>0</v>
      </c>
      <c r="G1191" s="1">
        <f t="shared" si="2619"/>
        <v>-4.6229894973925667</v>
      </c>
      <c r="H1191" s="1">
        <f t="shared" si="2304"/>
        <v>17.405267156875162</v>
      </c>
      <c r="I1191" s="1">
        <f t="shared" si="2602"/>
        <v>-11.886150330047652</v>
      </c>
      <c r="J1191" s="1">
        <f t="shared" si="2603"/>
        <v>0</v>
      </c>
      <c r="K1191" s="1">
        <f t="shared" si="2604"/>
        <v>3.2746880726593139</v>
      </c>
      <c r="L1191" s="1">
        <f t="shared" ref="L1191:N1191" si="2692">E1191/$H1191</f>
        <v>0.96408093306736131</v>
      </c>
      <c r="M1191" s="1">
        <f t="shared" si="2692"/>
        <v>0</v>
      </c>
      <c r="N1191" s="1">
        <f t="shared" si="2692"/>
        <v>-0.26560864913621646</v>
      </c>
      <c r="O1191" s="1">
        <f t="shared" si="2306"/>
        <v>-0.26560864913621646</v>
      </c>
      <c r="P1191" s="1">
        <f t="shared" si="2606"/>
        <v>0.25606823429000497</v>
      </c>
      <c r="Q1191" s="1">
        <f t="shared" si="2607"/>
        <v>0</v>
      </c>
      <c r="R1191" s="1">
        <f t="shared" si="2608"/>
        <v>0.92945204550403426</v>
      </c>
      <c r="S1191" s="1">
        <f t="shared" si="2609"/>
        <v>0.99681247296069353</v>
      </c>
      <c r="T1191" s="1">
        <f t="shared" ref="T1191:V1191" si="2693">$S1191*P1191</f>
        <v>0.25525200986929814</v>
      </c>
      <c r="U1191" s="1">
        <f t="shared" si="2693"/>
        <v>0</v>
      </c>
      <c r="V1191" s="1">
        <f t="shared" si="2693"/>
        <v>0.92648939197725144</v>
      </c>
      <c r="W1191" s="1">
        <f t="shared" si="2611"/>
        <v>-11.630898320178353</v>
      </c>
      <c r="X1191" s="1">
        <f t="shared" si="2612"/>
        <v>0</v>
      </c>
      <c r="Y1191" s="1">
        <f t="shared" si="2613"/>
        <v>-5.6054725353634343</v>
      </c>
    </row>
    <row r="1192" spans="1:25">
      <c r="A1192" s="1">
        <v>1.19</v>
      </c>
      <c r="B1192" s="1">
        <f t="shared" si="2614"/>
        <v>41.163540504498208</v>
      </c>
      <c r="C1192" s="1">
        <f t="shared" si="2615"/>
        <v>0</v>
      </c>
      <c r="D1192" s="1">
        <f t="shared" si="2616"/>
        <v>-1.6523587383360612</v>
      </c>
      <c r="E1192" s="1">
        <f t="shared" si="2617"/>
        <v>16.768455302566728</v>
      </c>
      <c r="F1192" s="1">
        <f t="shared" si="2618"/>
        <v>0</v>
      </c>
      <c r="G1192" s="1">
        <f t="shared" si="2619"/>
        <v>-4.6285949699279305</v>
      </c>
      <c r="H1192" s="1">
        <f t="shared" si="2304"/>
        <v>17.395544965013897</v>
      </c>
      <c r="I1192" s="1">
        <f t="shared" si="2602"/>
        <v>-11.871276864654099</v>
      </c>
      <c r="J1192" s="1">
        <f t="shared" si="2603"/>
        <v>0</v>
      </c>
      <c r="K1192" s="1">
        <f t="shared" si="2604"/>
        <v>3.2768273159871235</v>
      </c>
      <c r="L1192" s="1">
        <f t="shared" ref="L1192:N1192" si="2694">E1192/$H1192</f>
        <v>0.9639511344020335</v>
      </c>
      <c r="M1192" s="1">
        <f t="shared" si="2694"/>
        <v>0</v>
      </c>
      <c r="N1192" s="1">
        <f t="shared" si="2694"/>
        <v>-0.26607933118720967</v>
      </c>
      <c r="O1192" s="1">
        <f t="shared" si="2306"/>
        <v>-0.26607933118720967</v>
      </c>
      <c r="P1192" s="1">
        <f t="shared" si="2606"/>
        <v>0.25648747313884512</v>
      </c>
      <c r="Q1192" s="1">
        <f t="shared" si="2607"/>
        <v>0</v>
      </c>
      <c r="R1192" s="1">
        <f t="shared" si="2608"/>
        <v>0.92920178951496724</v>
      </c>
      <c r="S1192" s="1">
        <f t="shared" si="2609"/>
        <v>0.99569918979411731</v>
      </c>
      <c r="T1192" s="1">
        <f t="shared" ref="T1192:V1192" si="2695">$S1192*P1192</f>
        <v>0.2553843691966885</v>
      </c>
      <c r="U1192" s="1">
        <f t="shared" si="2695"/>
        <v>0</v>
      </c>
      <c r="V1192" s="1">
        <f t="shared" si="2695"/>
        <v>0.92520546897529676</v>
      </c>
      <c r="W1192" s="1">
        <f t="shared" si="2611"/>
        <v>-11.615892495457411</v>
      </c>
      <c r="X1192" s="1">
        <f t="shared" si="2612"/>
        <v>0</v>
      </c>
      <c r="Y1192" s="1">
        <f t="shared" si="2613"/>
        <v>-5.604617215037579</v>
      </c>
    </row>
    <row r="1193" spans="1:25">
      <c r="A1193" s="1">
        <v>1.1910000000000001</v>
      </c>
      <c r="B1193" s="1">
        <f t="shared" si="2614"/>
        <v>41.180297343908279</v>
      </c>
      <c r="C1193" s="1">
        <f t="shared" si="2615"/>
        <v>0</v>
      </c>
      <c r="D1193" s="1">
        <f t="shared" si="2616"/>
        <v>-1.6569929379232042</v>
      </c>
      <c r="E1193" s="1">
        <f t="shared" si="2617"/>
        <v>16.756839410071272</v>
      </c>
      <c r="F1193" s="1">
        <f t="shared" si="2618"/>
        <v>0</v>
      </c>
      <c r="G1193" s="1">
        <f t="shared" si="2619"/>
        <v>-4.6341995871429678</v>
      </c>
      <c r="H1193" s="1">
        <f t="shared" si="2304"/>
        <v>17.385841159644642</v>
      </c>
      <c r="I1193" s="1">
        <f t="shared" si="2602"/>
        <v>-11.856435759519538</v>
      </c>
      <c r="J1193" s="1">
        <f t="shared" si="2603"/>
        <v>0</v>
      </c>
      <c r="K1193" s="1">
        <f t="shared" si="2604"/>
        <v>3.278964986006204</v>
      </c>
      <c r="L1193" s="1">
        <f t="shared" ref="L1193:N1193" si="2696">E1193/$H1193</f>
        <v>0.96382103438093147</v>
      </c>
      <c r="M1193" s="1">
        <f t="shared" si="2696"/>
        <v>0</v>
      </c>
      <c r="N1193" s="1">
        <f t="shared" si="2696"/>
        <v>-0.2665502085627986</v>
      </c>
      <c r="O1193" s="1">
        <f t="shared" si="2306"/>
        <v>-0.2665502085627986</v>
      </c>
      <c r="P1193" s="1">
        <f t="shared" si="2606"/>
        <v>0.25690669773144958</v>
      </c>
      <c r="Q1193" s="1">
        <f t="shared" si="2607"/>
        <v>0</v>
      </c>
      <c r="R1193" s="1">
        <f t="shared" si="2608"/>
        <v>0.92895098631512862</v>
      </c>
      <c r="S1193" s="1">
        <f t="shared" si="2609"/>
        <v>0.99458863232052674</v>
      </c>
      <c r="T1193" s="1">
        <f t="shared" ref="T1193:V1193" si="2697">$S1193*P1193</f>
        <v>0.25551648113070541</v>
      </c>
      <c r="U1193" s="1">
        <f t="shared" si="2697"/>
        <v>0</v>
      </c>
      <c r="V1193" s="1">
        <f t="shared" si="2697"/>
        <v>0.92392409097196815</v>
      </c>
      <c r="W1193" s="1">
        <f t="shared" si="2611"/>
        <v>-11.600919278388833</v>
      </c>
      <c r="X1193" s="1">
        <f t="shared" si="2612"/>
        <v>0</v>
      </c>
      <c r="Y1193" s="1">
        <f t="shared" si="2613"/>
        <v>-5.6037609230218273</v>
      </c>
    </row>
    <row r="1194" spans="1:25">
      <c r="A1194" s="1">
        <v>1.1919999999999999</v>
      </c>
      <c r="B1194" s="1">
        <f t="shared" si="2614"/>
        <v>41.197042582399071</v>
      </c>
      <c r="C1194" s="1">
        <f t="shared" si="2615"/>
        <v>0</v>
      </c>
      <c r="D1194" s="1">
        <f t="shared" si="2616"/>
        <v>-1.6616327412712701</v>
      </c>
      <c r="E1194" s="1">
        <f t="shared" si="2617"/>
        <v>16.745238490792882</v>
      </c>
      <c r="F1194" s="1">
        <f t="shared" si="2618"/>
        <v>0</v>
      </c>
      <c r="G1194" s="1">
        <f t="shared" si="2619"/>
        <v>-4.6398033480659899</v>
      </c>
      <c r="H1194" s="1">
        <f t="shared" si="2304"/>
        <v>17.376155708966696</v>
      </c>
      <c r="I1194" s="1">
        <f t="shared" si="2602"/>
        <v>-11.841626926059085</v>
      </c>
      <c r="J1194" s="1">
        <f t="shared" si="2603"/>
        <v>0</v>
      </c>
      <c r="K1194" s="1">
        <f t="shared" si="2604"/>
        <v>3.2811010896194048</v>
      </c>
      <c r="L1194" s="1">
        <f t="shared" ref="L1194:N1194" si="2698">E1194/$H1194</f>
        <v>0.96369063279927691</v>
      </c>
      <c r="M1194" s="1">
        <f t="shared" si="2698"/>
        <v>0</v>
      </c>
      <c r="N1194" s="1">
        <f t="shared" si="2698"/>
        <v>-0.26702128052821783</v>
      </c>
      <c r="O1194" s="1">
        <f t="shared" si="2306"/>
        <v>-0.26702128052821783</v>
      </c>
      <c r="P1194" s="1">
        <f t="shared" si="2606"/>
        <v>0.25732590680311146</v>
      </c>
      <c r="Q1194" s="1">
        <f t="shared" si="2607"/>
        <v>0</v>
      </c>
      <c r="R1194" s="1">
        <f t="shared" si="2608"/>
        <v>0.92869963574507075</v>
      </c>
      <c r="S1194" s="1">
        <f t="shared" si="2609"/>
        <v>0.99348079338106943</v>
      </c>
      <c r="T1194" s="1">
        <f t="shared" ref="T1194:V1194" si="2699">$S1194*P1194</f>
        <v>0.25564834604825831</v>
      </c>
      <c r="U1194" s="1">
        <f t="shared" si="2699"/>
        <v>0</v>
      </c>
      <c r="V1194" s="1">
        <f t="shared" si="2699"/>
        <v>0.92264525093272309</v>
      </c>
      <c r="W1194" s="1">
        <f t="shared" si="2611"/>
        <v>-11.585978580010828</v>
      </c>
      <c r="X1194" s="1">
        <f t="shared" si="2612"/>
        <v>0</v>
      </c>
      <c r="Y1194" s="1">
        <f t="shared" si="2613"/>
        <v>-5.6029036594478718</v>
      </c>
    </row>
    <row r="1195" spans="1:25">
      <c r="A1195" s="1">
        <v>1.1930000000000001</v>
      </c>
      <c r="B1195" s="1">
        <f t="shared" si="2614"/>
        <v>41.213776234911286</v>
      </c>
      <c r="C1195" s="1">
        <f t="shared" si="2615"/>
        <v>0</v>
      </c>
      <c r="D1195" s="1">
        <f t="shared" si="2616"/>
        <v>-1.6662781475229955</v>
      </c>
      <c r="E1195" s="1">
        <f t="shared" si="2617"/>
        <v>16.733652512212871</v>
      </c>
      <c r="F1195" s="1">
        <f t="shared" si="2618"/>
        <v>0</v>
      </c>
      <c r="G1195" s="1">
        <f t="shared" si="2619"/>
        <v>-4.6454062517254382</v>
      </c>
      <c r="H1195" s="1">
        <f t="shared" si="2304"/>
        <v>17.36648858126069</v>
      </c>
      <c r="I1195" s="1">
        <f t="shared" si="2602"/>
        <v>-11.826850275984798</v>
      </c>
      <c r="J1195" s="1">
        <f t="shared" si="2603"/>
        <v>0</v>
      </c>
      <c r="K1195" s="1">
        <f t="shared" si="2604"/>
        <v>3.2832356337137258</v>
      </c>
      <c r="L1195" s="1">
        <f t="shared" ref="L1195:N1195" si="2700">E1195/$H1195</f>
        <v>0.96355992945340252</v>
      </c>
      <c r="M1195" s="1">
        <f t="shared" si="2700"/>
        <v>0</v>
      </c>
      <c r="N1195" s="1">
        <f t="shared" si="2700"/>
        <v>-0.26749254634803171</v>
      </c>
      <c r="O1195" s="1">
        <f t="shared" si="2306"/>
        <v>-0.26749254634803171</v>
      </c>
      <c r="P1195" s="1">
        <f t="shared" si="2606"/>
        <v>0.25774509908842042</v>
      </c>
      <c r="Q1195" s="1">
        <f t="shared" si="2607"/>
        <v>0</v>
      </c>
      <c r="R1195" s="1">
        <f t="shared" si="2608"/>
        <v>0.92844773764824606</v>
      </c>
      <c r="S1195" s="1">
        <f t="shared" si="2609"/>
        <v>0.99237566584095471</v>
      </c>
      <c r="T1195" s="1">
        <f t="shared" ref="T1195:V1195" si="2701">$S1195*P1195</f>
        <v>0.25577996432511407</v>
      </c>
      <c r="U1195" s="1">
        <f t="shared" si="2701"/>
        <v>0</v>
      </c>
      <c r="V1195" s="1">
        <f t="shared" si="2701"/>
        <v>0.92136894184720619</v>
      </c>
      <c r="W1195" s="1">
        <f t="shared" si="2611"/>
        <v>-11.571070311659684</v>
      </c>
      <c r="X1195" s="1">
        <f t="shared" si="2612"/>
        <v>0</v>
      </c>
      <c r="Y1195" s="1">
        <f t="shared" si="2613"/>
        <v>-5.6020454244390674</v>
      </c>
    </row>
    <row r="1196" spans="1:25">
      <c r="A1196" s="1">
        <v>1.194</v>
      </c>
      <c r="B1196" s="1">
        <f t="shared" si="2614"/>
        <v>41.230498316353184</v>
      </c>
      <c r="C1196" s="1">
        <f t="shared" si="2615"/>
        <v>0</v>
      </c>
      <c r="D1196" s="1">
        <f t="shared" si="2616"/>
        <v>-1.6709291558201453</v>
      </c>
      <c r="E1196" s="1">
        <f t="shared" si="2617"/>
        <v>16.72208144190121</v>
      </c>
      <c r="F1196" s="1">
        <f t="shared" si="2618"/>
        <v>0</v>
      </c>
      <c r="G1196" s="1">
        <f t="shared" si="2619"/>
        <v>-4.6510082971498772</v>
      </c>
      <c r="H1196" s="1">
        <f t="shared" si="2304"/>
        <v>17.356839744888291</v>
      </c>
      <c r="I1196" s="1">
        <f t="shared" si="2602"/>
        <v>-11.812105721304437</v>
      </c>
      <c r="J1196" s="1">
        <f t="shared" si="2603"/>
        <v>0</v>
      </c>
      <c r="K1196" s="1">
        <f t="shared" si="2604"/>
        <v>3.2853686251603551</v>
      </c>
      <c r="L1196" s="1">
        <f t="shared" ref="L1196:N1196" si="2702">E1196/$H1196</f>
        <v>0.96342892414075432</v>
      </c>
      <c r="M1196" s="1">
        <f t="shared" si="2702"/>
        <v>0</v>
      </c>
      <c r="N1196" s="1">
        <f t="shared" si="2702"/>
        <v>-0.2679640052861369</v>
      </c>
      <c r="O1196" s="1">
        <f t="shared" si="2306"/>
        <v>-0.2679640052861369</v>
      </c>
      <c r="P1196" s="1">
        <f t="shared" si="2606"/>
        <v>0.25816427332127029</v>
      </c>
      <c r="Q1196" s="1">
        <f t="shared" si="2607"/>
        <v>0</v>
      </c>
      <c r="R1196" s="1">
        <f t="shared" si="2608"/>
        <v>0.92819529187101124</v>
      </c>
      <c r="S1196" s="1">
        <f t="shared" si="2609"/>
        <v>0.99127324258935567</v>
      </c>
      <c r="T1196" s="1">
        <f t="shared" ref="T1196:V1196" si="2703">$S1196*P1196</f>
        <v>0.2559113363359003</v>
      </c>
      <c r="U1196" s="1">
        <f t="shared" si="2703"/>
        <v>0</v>
      </c>
      <c r="V1196" s="1">
        <f t="shared" si="2703"/>
        <v>0.92009515672915076</v>
      </c>
      <c r="W1196" s="1">
        <f t="shared" si="2611"/>
        <v>-11.556194384968537</v>
      </c>
      <c r="X1196" s="1">
        <f t="shared" si="2612"/>
        <v>0</v>
      </c>
      <c r="Y1196" s="1">
        <f t="shared" si="2613"/>
        <v>-5.6011862181104934</v>
      </c>
    </row>
    <row r="1197" spans="1:25">
      <c r="A1197" s="1">
        <v>1.1950000000000001</v>
      </c>
      <c r="B1197" s="1">
        <f t="shared" si="2614"/>
        <v>41.247208841600703</v>
      </c>
      <c r="C1197" s="1">
        <f t="shared" si="2615"/>
        <v>0</v>
      </c>
      <c r="D1197" s="1">
        <f t="shared" si="2616"/>
        <v>-1.6755857653035133</v>
      </c>
      <c r="E1197" s="1">
        <f t="shared" si="2617"/>
        <v>16.710525247516241</v>
      </c>
      <c r="F1197" s="1">
        <f t="shared" si="2618"/>
        <v>0</v>
      </c>
      <c r="G1197" s="1">
        <f t="shared" si="2619"/>
        <v>-4.6566094833679879</v>
      </c>
      <c r="H1197" s="1">
        <f t="shared" si="2304"/>
        <v>17.347209168291894</v>
      </c>
      <c r="I1197" s="1">
        <f t="shared" si="2602"/>
        <v>-11.797393174320259</v>
      </c>
      <c r="J1197" s="1">
        <f t="shared" si="2603"/>
        <v>0</v>
      </c>
      <c r="K1197" s="1">
        <f t="shared" si="2604"/>
        <v>3.2875000708147009</v>
      </c>
      <c r="L1197" s="1">
        <f t="shared" ref="L1197:N1197" si="2704">E1197/$H1197</f>
        <v>0.96329761665989388</v>
      </c>
      <c r="M1197" s="1">
        <f t="shared" si="2704"/>
        <v>0</v>
      </c>
      <c r="N1197" s="1">
        <f t="shared" si="2704"/>
        <v>-0.2684356566057654</v>
      </c>
      <c r="O1197" s="1">
        <f t="shared" si="2306"/>
        <v>-0.2684356566057654</v>
      </c>
      <c r="P1197" s="1">
        <f t="shared" si="2606"/>
        <v>0.25858342823486752</v>
      </c>
      <c r="Q1197" s="1">
        <f t="shared" si="2607"/>
        <v>0</v>
      </c>
      <c r="R1197" s="1">
        <f t="shared" si="2608"/>
        <v>0.92794229826263164</v>
      </c>
      <c r="S1197" s="1">
        <f t="shared" si="2609"/>
        <v>0.99017351653931018</v>
      </c>
      <c r="T1197" s="1">
        <f t="shared" ref="T1197:V1197" si="2705">$S1197*P1197</f>
        <v>0.25604246245410911</v>
      </c>
      <c r="U1197" s="1">
        <f t="shared" si="2705"/>
        <v>0</v>
      </c>
      <c r="V1197" s="1">
        <f t="shared" si="2705"/>
        <v>0.91882388861627939</v>
      </c>
      <c r="W1197" s="1">
        <f t="shared" si="2611"/>
        <v>-11.54135071186615</v>
      </c>
      <c r="X1197" s="1">
        <f t="shared" si="2612"/>
        <v>0</v>
      </c>
      <c r="Y1197" s="1">
        <f t="shared" si="2613"/>
        <v>-5.6003260405690192</v>
      </c>
    </row>
    <row r="1198" spans="1:25">
      <c r="A1198" s="1">
        <v>1.196</v>
      </c>
      <c r="B1198" s="1">
        <f t="shared" si="2614"/>
        <v>41.263907825497505</v>
      </c>
      <c r="C1198" s="1">
        <f t="shared" si="2615"/>
        <v>0</v>
      </c>
      <c r="D1198" s="1">
        <f t="shared" si="2616"/>
        <v>-1.6802479751129218</v>
      </c>
      <c r="E1198" s="1">
        <f t="shared" si="2617"/>
        <v>16.698983896804375</v>
      </c>
      <c r="F1198" s="1">
        <f t="shared" si="2618"/>
        <v>0</v>
      </c>
      <c r="G1198" s="1">
        <f t="shared" si="2619"/>
        <v>-4.6622098094085569</v>
      </c>
      <c r="H1198" s="1">
        <f t="shared" si="2304"/>
        <v>17.337596819994321</v>
      </c>
      <c r="I1198" s="1">
        <f t="shared" si="2602"/>
        <v>-11.782712547627813</v>
      </c>
      <c r="J1198" s="1">
        <f t="shared" si="2603"/>
        <v>0</v>
      </c>
      <c r="K1198" s="1">
        <f t="shared" si="2604"/>
        <v>3.2896299775164226</v>
      </c>
      <c r="L1198" s="1">
        <f t="shared" ref="L1198:N1198" si="2706">E1198/$H1198</f>
        <v>0.96316600681050124</v>
      </c>
      <c r="M1198" s="1">
        <f t="shared" si="2706"/>
        <v>0</v>
      </c>
      <c r="N1198" s="1">
        <f t="shared" si="2706"/>
        <v>-0.26890749956948673</v>
      </c>
      <c r="O1198" s="1">
        <f t="shared" si="2306"/>
        <v>-0.26890749956948673</v>
      </c>
      <c r="P1198" s="1">
        <f t="shared" si="2606"/>
        <v>0.25900256256173909</v>
      </c>
      <c r="Q1198" s="1">
        <f t="shared" si="2607"/>
        <v>0</v>
      </c>
      <c r="R1198" s="1">
        <f t="shared" si="2608"/>
        <v>0.9276887566752865</v>
      </c>
      <c r="S1198" s="1">
        <f t="shared" si="2609"/>
        <v>0.98907648062762255</v>
      </c>
      <c r="T1198" s="1">
        <f t="shared" ref="T1198:V1198" si="2707">$S1198*P1198</f>
        <v>0.25617334305210054</v>
      </c>
      <c r="U1198" s="1">
        <f t="shared" si="2707"/>
        <v>0</v>
      </c>
      <c r="V1198" s="1">
        <f t="shared" si="2707"/>
        <v>0.91755513057020721</v>
      </c>
      <c r="W1198" s="1">
        <f t="shared" si="2611"/>
        <v>-11.526539204575712</v>
      </c>
      <c r="X1198" s="1">
        <f t="shared" si="2612"/>
        <v>0</v>
      </c>
      <c r="Y1198" s="1">
        <f t="shared" si="2613"/>
        <v>-5.5994648919133692</v>
      </c>
    </row>
    <row r="1199" spans="1:25">
      <c r="A1199" s="1">
        <v>1.1970000000000001</v>
      </c>
      <c r="B1199" s="1">
        <f t="shared" si="2614"/>
        <v>41.280595282855103</v>
      </c>
      <c r="C1199" s="1">
        <f t="shared" si="2615"/>
        <v>0</v>
      </c>
      <c r="D1199" s="1">
        <f t="shared" si="2616"/>
        <v>-1.6849157843872222</v>
      </c>
      <c r="E1199" s="1">
        <f t="shared" si="2617"/>
        <v>16.687457357599801</v>
      </c>
      <c r="F1199" s="1">
        <f t="shared" si="2618"/>
        <v>0</v>
      </c>
      <c r="G1199" s="1">
        <f t="shared" si="2619"/>
        <v>-4.6678092743004704</v>
      </c>
      <c r="H1199" s="1">
        <f t="shared" si="2304"/>
        <v>17.328002668598511</v>
      </c>
      <c r="I1199" s="1">
        <f t="shared" si="2602"/>
        <v>-11.768063754114719</v>
      </c>
      <c r="J1199" s="1">
        <f t="shared" si="2603"/>
        <v>0</v>
      </c>
      <c r="K1199" s="1">
        <f t="shared" si="2604"/>
        <v>3.2917583520894627</v>
      </c>
      <c r="L1199" s="1">
        <f t="shared" ref="L1199:N1199" si="2708">E1199/$H1199</f>
        <v>0.96303409439337773</v>
      </c>
      <c r="M1199" s="1">
        <f t="shared" si="2708"/>
        <v>0</v>
      </c>
      <c r="N1199" s="1">
        <f t="shared" si="2708"/>
        <v>-0.26937953343921101</v>
      </c>
      <c r="O1199" s="1">
        <f t="shared" si="2306"/>
        <v>-0.26937953343921101</v>
      </c>
      <c r="P1199" s="1">
        <f t="shared" si="2606"/>
        <v>0.25942167503374119</v>
      </c>
      <c r="Q1199" s="1">
        <f t="shared" si="2607"/>
        <v>0</v>
      </c>
      <c r="R1199" s="1">
        <f t="shared" si="2608"/>
        <v>0.92743466696407295</v>
      </c>
      <c r="S1199" s="1">
        <f t="shared" si="2609"/>
        <v>0.98798212781476502</v>
      </c>
      <c r="T1199" s="1">
        <f t="shared" ref="T1199:V1199" si="2709">$S1199*P1199</f>
        <v>0.25630397850110614</v>
      </c>
      <c r="U1199" s="1">
        <f t="shared" si="2709"/>
        <v>0</v>
      </c>
      <c r="V1199" s="1">
        <f t="shared" si="2709"/>
        <v>0.91628887567634276</v>
      </c>
      <c r="W1199" s="1">
        <f t="shared" si="2611"/>
        <v>-11.511759775613612</v>
      </c>
      <c r="X1199" s="1">
        <f t="shared" si="2612"/>
        <v>0</v>
      </c>
      <c r="Y1199" s="1">
        <f t="shared" si="2613"/>
        <v>-5.5986027722341944</v>
      </c>
    </row>
    <row r="1200" spans="1:25">
      <c r="A1200" s="1">
        <v>1.198</v>
      </c>
      <c r="B1200" s="1">
        <f t="shared" si="2614"/>
        <v>41.297271228452928</v>
      </c>
      <c r="C1200" s="1">
        <f t="shared" si="2615"/>
        <v>0</v>
      </c>
      <c r="D1200" s="1">
        <f t="shared" si="2616"/>
        <v>-1.6895891922642949</v>
      </c>
      <c r="E1200" s="1">
        <f t="shared" si="2617"/>
        <v>16.675945597824185</v>
      </c>
      <c r="F1200" s="1">
        <f t="shared" si="2618"/>
        <v>0</v>
      </c>
      <c r="G1200" s="1">
        <f t="shared" si="2619"/>
        <v>-4.6734078770727043</v>
      </c>
      <c r="H1200" s="1">
        <f t="shared" si="2304"/>
        <v>17.318426682787241</v>
      </c>
      <c r="I1200" s="1">
        <f t="shared" si="2602"/>
        <v>-11.753446706959489</v>
      </c>
      <c r="J1200" s="1">
        <f t="shared" si="2603"/>
        <v>0</v>
      </c>
      <c r="K1200" s="1">
        <f t="shared" si="2604"/>
        <v>3.2938852013420812</v>
      </c>
      <c r="L1200" s="1">
        <f t="shared" ref="L1200:N1200" si="2710">E1200/$H1200</f>
        <v>0.96290187921044723</v>
      </c>
      <c r="M1200" s="1">
        <f t="shared" si="2710"/>
        <v>0</v>
      </c>
      <c r="N1200" s="1">
        <f t="shared" si="2710"/>
        <v>-0.26985175747619139</v>
      </c>
      <c r="O1200" s="1">
        <f t="shared" si="2306"/>
        <v>-0.26985175747619139</v>
      </c>
      <c r="P1200" s="1">
        <f t="shared" si="2606"/>
        <v>0.25984076438206655</v>
      </c>
      <c r="Q1200" s="1">
        <f t="shared" si="2607"/>
        <v>0</v>
      </c>
      <c r="R1200" s="1">
        <f t="shared" si="2608"/>
        <v>0.9271800289870108</v>
      </c>
      <c r="S1200" s="1">
        <f t="shared" si="2609"/>
        <v>0.98689045108478357</v>
      </c>
      <c r="T1200" s="1">
        <f t="shared" ref="T1200:V1200" si="2711">$S1200*P1200</f>
        <v>0.25643436917123263</v>
      </c>
      <c r="U1200" s="1">
        <f t="shared" si="2711"/>
        <v>0</v>
      </c>
      <c r="V1200" s="1">
        <f t="shared" si="2711"/>
        <v>0.91502511704379375</v>
      </c>
      <c r="W1200" s="1">
        <f t="shared" si="2611"/>
        <v>-11.497012337788256</v>
      </c>
      <c r="X1200" s="1">
        <f t="shared" si="2612"/>
        <v>0</v>
      </c>
      <c r="Y1200" s="1">
        <f t="shared" si="2613"/>
        <v>-5.5977396816141241</v>
      </c>
    </row>
    <row r="1201" spans="1:25">
      <c r="A1201" s="1">
        <v>1.1990000000000001</v>
      </c>
      <c r="B1201" s="1">
        <f t="shared" si="2614"/>
        <v>41.313935677038415</v>
      </c>
      <c r="C1201" s="1">
        <f t="shared" si="2615"/>
        <v>0</v>
      </c>
      <c r="D1201" s="1">
        <f t="shared" si="2616"/>
        <v>-1.6942681978810492</v>
      </c>
      <c r="E1201" s="1">
        <f t="shared" si="2617"/>
        <v>16.664448585486397</v>
      </c>
      <c r="F1201" s="1">
        <f t="shared" si="2618"/>
        <v>0</v>
      </c>
      <c r="G1201" s="1">
        <f t="shared" si="2619"/>
        <v>-4.6790056167543188</v>
      </c>
      <c r="H1201" s="1">
        <f t="shared" si="2304"/>
        <v>17.308868831322805</v>
      </c>
      <c r="I1201" s="1">
        <f t="shared" si="2602"/>
        <v>-11.738861319630326</v>
      </c>
      <c r="J1201" s="1">
        <f t="shared" si="2603"/>
        <v>0</v>
      </c>
      <c r="K1201" s="1">
        <f t="shared" si="2604"/>
        <v>3.2960105320668873</v>
      </c>
      <c r="L1201" s="1">
        <f t="shared" ref="L1201:N1201" si="2712">E1201/$H1201</f>
        <v>0.96276936106476008</v>
      </c>
      <c r="M1201" s="1">
        <f t="shared" si="2712"/>
        <v>0</v>
      </c>
      <c r="N1201" s="1">
        <f t="shared" si="2712"/>
        <v>-0.2703241709410269</v>
      </c>
      <c r="O1201" s="1">
        <f t="shared" si="2306"/>
        <v>-0.2703241709410269</v>
      </c>
      <c r="P1201" s="1">
        <f t="shared" si="2606"/>
        <v>0.26025982933725345</v>
      </c>
      <c r="Q1201" s="1">
        <f t="shared" si="2607"/>
        <v>0</v>
      </c>
      <c r="R1201" s="1">
        <f t="shared" si="2608"/>
        <v>0.92692484260504648</v>
      </c>
      <c r="S1201" s="1">
        <f t="shared" si="2609"/>
        <v>0.98580144344519827</v>
      </c>
      <c r="T1201" s="1">
        <f t="shared" ref="T1201:V1201" si="2713">$S1201*P1201</f>
        <v>0.25656451543146541</v>
      </c>
      <c r="U1201" s="1">
        <f t="shared" si="2713"/>
        <v>0</v>
      </c>
      <c r="V1201" s="1">
        <f t="shared" si="2713"/>
        <v>0.91376384780526798</v>
      </c>
      <c r="W1201" s="1">
        <f t="shared" si="2611"/>
        <v>-11.48229680419886</v>
      </c>
      <c r="X1201" s="1">
        <f t="shared" si="2612"/>
        <v>0</v>
      </c>
      <c r="Y1201" s="1">
        <f t="shared" si="2613"/>
        <v>-5.596875620127844</v>
      </c>
    </row>
    <row r="1202" spans="1:25">
      <c r="A1202" s="1">
        <v>1.2</v>
      </c>
      <c r="B1202" s="1">
        <f t="shared" si="2614"/>
        <v>41.330588643327097</v>
      </c>
      <c r="C1202" s="1">
        <f t="shared" si="2615"/>
        <v>0</v>
      </c>
      <c r="D1202" s="1">
        <f t="shared" si="2616"/>
        <v>-1.6989528003734236</v>
      </c>
      <c r="E1202" s="1">
        <f t="shared" si="2617"/>
        <v>16.652966288682197</v>
      </c>
      <c r="F1202" s="1">
        <f t="shared" si="2618"/>
        <v>0</v>
      </c>
      <c r="G1202" s="1">
        <f t="shared" si="2619"/>
        <v>-4.6846024923744469</v>
      </c>
      <c r="H1202" s="1">
        <f t="shared" si="2304"/>
        <v>17.299329083046736</v>
      </c>
      <c r="I1202" s="1">
        <f t="shared" si="2602"/>
        <v>-11.724307505883941</v>
      </c>
      <c r="J1202" s="1">
        <f t="shared" si="2603"/>
        <v>0</v>
      </c>
      <c r="K1202" s="1">
        <f t="shared" si="2604"/>
        <v>3.2981343510408698</v>
      </c>
      <c r="L1202" s="1">
        <f t="shared" ref="L1202:N1202" si="2714">E1202/$H1202</f>
        <v>0.96263653976049446</v>
      </c>
      <c r="M1202" s="1">
        <f t="shared" si="2714"/>
        <v>0</v>
      </c>
      <c r="N1202" s="1">
        <f t="shared" si="2714"/>
        <v>-0.27079677309366501</v>
      </c>
      <c r="O1202" s="1">
        <f t="shared" si="2306"/>
        <v>-0.27079677309366501</v>
      </c>
      <c r="P1202" s="1">
        <f t="shared" si="2606"/>
        <v>0.26067886862919343</v>
      </c>
      <c r="Q1202" s="1">
        <f t="shared" si="2607"/>
        <v>0</v>
      </c>
      <c r="R1202" s="1">
        <f t="shared" si="2608"/>
        <v>0.92666910768205812</v>
      </c>
      <c r="S1202" s="1">
        <f t="shared" si="2609"/>
        <v>0.9847150979269087</v>
      </c>
      <c r="T1202" s="1">
        <f t="shared" ref="T1202:V1202" si="2715">$S1202*P1202</f>
        <v>0.25669441764967199</v>
      </c>
      <c r="U1202" s="1">
        <f t="shared" si="2715"/>
        <v>0</v>
      </c>
      <c r="V1202" s="1">
        <f t="shared" si="2715"/>
        <v>0.91250506111697893</v>
      </c>
      <c r="W1202" s="1">
        <f t="shared" si="2611"/>
        <v>-11.467613088234268</v>
      </c>
      <c r="X1202" s="1">
        <f t="shared" si="2612"/>
        <v>0</v>
      </c>
      <c r="Y1202" s="1">
        <f t="shared" si="2613"/>
        <v>-5.5960105878421507</v>
      </c>
    </row>
    <row r="1203" spans="1:25">
      <c r="A1203" s="1">
        <v>1.2010000000000001</v>
      </c>
      <c r="B1203" s="1">
        <f t="shared" si="2614"/>
        <v>41.347230142002694</v>
      </c>
      <c r="C1203" s="1">
        <f t="shared" si="2615"/>
        <v>0</v>
      </c>
      <c r="D1203" s="1">
        <f t="shared" si="2616"/>
        <v>-1.7036429988763859</v>
      </c>
      <c r="E1203" s="1">
        <f t="shared" si="2617"/>
        <v>16.641498675593962</v>
      </c>
      <c r="F1203" s="1">
        <f t="shared" si="2618"/>
        <v>0</v>
      </c>
      <c r="G1203" s="1">
        <f t="shared" si="2619"/>
        <v>-4.6901985029622892</v>
      </c>
      <c r="H1203" s="1">
        <f t="shared" si="2304"/>
        <v>17.2898074068795</v>
      </c>
      <c r="I1203" s="1">
        <f t="shared" si="2602"/>
        <v>-11.709785179764369</v>
      </c>
      <c r="J1203" s="1">
        <f t="shared" si="2603"/>
        <v>0</v>
      </c>
      <c r="K1203" s="1">
        <f t="shared" si="2604"/>
        <v>3.3002566650254304</v>
      </c>
      <c r="L1203" s="1">
        <f t="shared" ref="L1203:N1203" si="2716">E1203/$H1203</f>
        <v>0.96250341510295934</v>
      </c>
      <c r="M1203" s="1">
        <f t="shared" si="2716"/>
        <v>0</v>
      </c>
      <c r="N1203" s="1">
        <f t="shared" si="2716"/>
        <v>-0.27126956319340434</v>
      </c>
      <c r="O1203" s="1">
        <f t="shared" si="2306"/>
        <v>-0.27126956319340434</v>
      </c>
      <c r="P1203" s="1">
        <f t="shared" si="2606"/>
        <v>0.26109788098713971</v>
      </c>
      <c r="Q1203" s="1">
        <f t="shared" si="2607"/>
        <v>0</v>
      </c>
      <c r="R1203" s="1">
        <f t="shared" si="2608"/>
        <v>0.92641282408485959</v>
      </c>
      <c r="S1203" s="1">
        <f t="shared" si="2609"/>
        <v>0.98363140758409839</v>
      </c>
      <c r="T1203" s="1">
        <f t="shared" ref="T1203:V1203" si="2717">$S1203*P1203</f>
        <v>0.25682407619260561</v>
      </c>
      <c r="U1203" s="1">
        <f t="shared" si="2717"/>
        <v>0</v>
      </c>
      <c r="V1203" s="1">
        <f t="shared" si="2717"/>
        <v>0.91124875015855011</v>
      </c>
      <c r="W1203" s="1">
        <f t="shared" si="2611"/>
        <v>-11.452961103571763</v>
      </c>
      <c r="X1203" s="1">
        <f t="shared" si="2612"/>
        <v>0</v>
      </c>
      <c r="Y1203" s="1">
        <f t="shared" si="2613"/>
        <v>-5.5951445848160191</v>
      </c>
    </row>
    <row r="1204" spans="1:25">
      <c r="A1204" s="1">
        <v>1.202</v>
      </c>
      <c r="B1204" s="1">
        <f t="shared" si="2614"/>
        <v>41.363860187717187</v>
      </c>
      <c r="C1204" s="1">
        <f t="shared" si="2615"/>
        <v>0</v>
      </c>
      <c r="D1204" s="1">
        <f t="shared" si="2616"/>
        <v>-1.7083387925239331</v>
      </c>
      <c r="E1204" s="1">
        <f t="shared" si="2617"/>
        <v>16.630045714490389</v>
      </c>
      <c r="F1204" s="1">
        <f t="shared" si="2618"/>
        <v>0</v>
      </c>
      <c r="G1204" s="1">
        <f t="shared" si="2619"/>
        <v>-4.6957936475471049</v>
      </c>
      <c r="H1204" s="1">
        <f t="shared" si="2304"/>
        <v>17.280303771820215</v>
      </c>
      <c r="I1204" s="1">
        <f t="shared" si="2602"/>
        <v>-11.69529425560181</v>
      </c>
      <c r="J1204" s="1">
        <f t="shared" si="2603"/>
        <v>0</v>
      </c>
      <c r="K1204" s="1">
        <f t="shared" si="2604"/>
        <v>3.3023774807664177</v>
      </c>
      <c r="L1204" s="1">
        <f t="shared" ref="L1204:N1204" si="2718">E1204/$H1204</f>
        <v>0.96236998689859654</v>
      </c>
      <c r="M1204" s="1">
        <f t="shared" si="2718"/>
        <v>0</v>
      </c>
      <c r="N1204" s="1">
        <f t="shared" si="2718"/>
        <v>-0.27174254049889746</v>
      </c>
      <c r="O1204" s="1">
        <f t="shared" si="2306"/>
        <v>-0.27174254049889746</v>
      </c>
      <c r="P1204" s="1">
        <f t="shared" si="2606"/>
        <v>0.26151686513971528</v>
      </c>
      <c r="Q1204" s="1">
        <f t="shared" si="2607"/>
        <v>0</v>
      </c>
      <c r="R1204" s="1">
        <f t="shared" si="2608"/>
        <v>0.92615599168320506</v>
      </c>
      <c r="S1204" s="1">
        <f t="shared" si="2609"/>
        <v>0.9825503654941391</v>
      </c>
      <c r="T1204" s="1">
        <f t="shared" ref="T1204:V1204" si="2719">$S1204*P1204</f>
        <v>0.25695349142590873</v>
      </c>
      <c r="U1204" s="1">
        <f t="shared" si="2719"/>
        <v>0</v>
      </c>
      <c r="V1204" s="1">
        <f t="shared" si="2719"/>
        <v>0.90999490813291994</v>
      </c>
      <c r="W1204" s="1">
        <f t="shared" si="2611"/>
        <v>-11.438340764175901</v>
      </c>
      <c r="X1204" s="1">
        <f t="shared" si="2612"/>
        <v>0</v>
      </c>
      <c r="Y1204" s="1">
        <f t="shared" si="2613"/>
        <v>-5.5942776111006616</v>
      </c>
    </row>
    <row r="1205" spans="1:25">
      <c r="A1205" s="1">
        <v>1.2030000000000001</v>
      </c>
      <c r="B1205" s="1">
        <f t="shared" si="2614"/>
        <v>41.380478795090916</v>
      </c>
      <c r="C1205" s="1">
        <f t="shared" si="2615"/>
        <v>0</v>
      </c>
      <c r="D1205" s="1">
        <f t="shared" si="2616"/>
        <v>-1.7130401804490913</v>
      </c>
      <c r="E1205" s="1">
        <f t="shared" si="2617"/>
        <v>16.618607373726213</v>
      </c>
      <c r="F1205" s="1">
        <f t="shared" si="2618"/>
        <v>0</v>
      </c>
      <c r="G1205" s="1">
        <f t="shared" si="2619"/>
        <v>-4.7013879251582056</v>
      </c>
      <c r="H1205" s="1">
        <f t="shared" si="2304"/>
        <v>17.270818146946329</v>
      </c>
      <c r="I1205" s="1">
        <f t="shared" si="2602"/>
        <v>-11.680834648011432</v>
      </c>
      <c r="J1205" s="1">
        <f t="shared" si="2603"/>
        <v>0</v>
      </c>
      <c r="K1205" s="1">
        <f t="shared" si="2604"/>
        <v>3.304496804994153</v>
      </c>
      <c r="L1205" s="1">
        <f t="shared" ref="L1205:N1205" si="2720">E1205/$H1205</f>
        <v>0.9622362549549841</v>
      </c>
      <c r="M1205" s="1">
        <f t="shared" si="2720"/>
        <v>0</v>
      </c>
      <c r="N1205" s="1">
        <f t="shared" si="2720"/>
        <v>-0.27221570426815378</v>
      </c>
      <c r="O1205" s="1">
        <f t="shared" si="2306"/>
        <v>-0.27221570426815378</v>
      </c>
      <c r="P1205" s="1">
        <f t="shared" si="2606"/>
        <v>0.26193581981492176</v>
      </c>
      <c r="Q1205" s="1">
        <f t="shared" si="2607"/>
        <v>0</v>
      </c>
      <c r="R1205" s="1">
        <f t="shared" si="2608"/>
        <v>0.92589861034979304</v>
      </c>
      <c r="S1205" s="1">
        <f t="shared" si="2609"/>
        <v>0.98147196475749543</v>
      </c>
      <c r="T1205" s="1">
        <f t="shared" ref="T1205:V1205" si="2721">$S1205*P1205</f>
        <v>0.25708266371411653</v>
      </c>
      <c r="U1205" s="1">
        <f t="shared" si="2721"/>
        <v>0</v>
      </c>
      <c r="V1205" s="1">
        <f t="shared" si="2721"/>
        <v>0.90874352826624605</v>
      </c>
      <c r="W1205" s="1">
        <f t="shared" si="2611"/>
        <v>-11.423751984297315</v>
      </c>
      <c r="X1205" s="1">
        <f t="shared" si="2612"/>
        <v>0</v>
      </c>
      <c r="Y1205" s="1">
        <f t="shared" si="2613"/>
        <v>-5.5934096667396007</v>
      </c>
    </row>
    <row r="1206" spans="1:25">
      <c r="A1206" s="1">
        <v>1.204</v>
      </c>
      <c r="B1206" s="1">
        <f t="shared" si="2614"/>
        <v>41.39708597871266</v>
      </c>
      <c r="C1206" s="1">
        <f t="shared" si="2615"/>
        <v>0</v>
      </c>
      <c r="D1206" s="1">
        <f t="shared" si="2616"/>
        <v>-1.7177471617839164</v>
      </c>
      <c r="E1206" s="1">
        <f t="shared" si="2617"/>
        <v>16.607183621741918</v>
      </c>
      <c r="F1206" s="1">
        <f t="shared" si="2618"/>
        <v>0</v>
      </c>
      <c r="G1206" s="1">
        <f t="shared" si="2619"/>
        <v>-4.7069813348249454</v>
      </c>
      <c r="H1206" s="1">
        <f t="shared" si="2304"/>
        <v>17.261350501413364</v>
      </c>
      <c r="I1206" s="1">
        <f t="shared" si="2602"/>
        <v>-11.66640627189223</v>
      </c>
      <c r="J1206" s="1">
        <f t="shared" si="2603"/>
        <v>0</v>
      </c>
      <c r="K1206" s="1">
        <f t="shared" si="2604"/>
        <v>3.3066146444234685</v>
      </c>
      <c r="L1206" s="1">
        <f t="shared" ref="L1206:N1206" si="2722">E1206/$H1206</f>
        <v>0.96210221908083704</v>
      </c>
      <c r="M1206" s="1">
        <f t="shared" si="2722"/>
        <v>0</v>
      </c>
      <c r="N1206" s="1">
        <f t="shared" si="2722"/>
        <v>-0.27268905375854202</v>
      </c>
      <c r="O1206" s="1">
        <f t="shared" si="2306"/>
        <v>-0.27268905375854202</v>
      </c>
      <c r="P1206" s="1">
        <f t="shared" si="2606"/>
        <v>0.26235474374014695</v>
      </c>
      <c r="Q1206" s="1">
        <f t="shared" si="2607"/>
        <v>0</v>
      </c>
      <c r="R1206" s="1">
        <f t="shared" si="2608"/>
        <v>0.925640679960271</v>
      </c>
      <c r="S1206" s="1">
        <f t="shared" si="2609"/>
        <v>0.98039619849763227</v>
      </c>
      <c r="T1206" s="1">
        <f t="shared" ref="T1206:V1206" si="2723">$S1206*P1206</f>
        <v>0.25721159342066058</v>
      </c>
      <c r="U1206" s="1">
        <f t="shared" si="2723"/>
        <v>0</v>
      </c>
      <c r="V1206" s="1">
        <f t="shared" si="2723"/>
        <v>0.9074946038078131</v>
      </c>
      <c r="W1206" s="1">
        <f t="shared" si="2611"/>
        <v>-11.40919467847157</v>
      </c>
      <c r="X1206" s="1">
        <f t="shared" si="2612"/>
        <v>0</v>
      </c>
      <c r="Y1206" s="1">
        <f t="shared" si="2613"/>
        <v>-5.592540751768718</v>
      </c>
    </row>
    <row r="1207" spans="1:25">
      <c r="A1207" s="1">
        <v>1.2050000000000001</v>
      </c>
      <c r="B1207" s="1">
        <f t="shared" si="2614"/>
        <v>41.41368175313972</v>
      </c>
      <c r="C1207" s="1">
        <f t="shared" si="2615"/>
        <v>0</v>
      </c>
      <c r="D1207" s="1">
        <f t="shared" si="2616"/>
        <v>-1.7224597356594931</v>
      </c>
      <c r="E1207" s="1">
        <f t="shared" si="2617"/>
        <v>16.595774427063446</v>
      </c>
      <c r="F1207" s="1">
        <f t="shared" si="2618"/>
        <v>0</v>
      </c>
      <c r="G1207" s="1">
        <f t="shared" si="2619"/>
        <v>-4.7125738755767141</v>
      </c>
      <c r="H1207" s="1">
        <f t="shared" si="2304"/>
        <v>17.251900804454596</v>
      </c>
      <c r="I1207" s="1">
        <f t="shared" si="2602"/>
        <v>-11.652009042425854</v>
      </c>
      <c r="J1207" s="1">
        <f t="shared" si="2603"/>
        <v>0</v>
      </c>
      <c r="K1207" s="1">
        <f t="shared" si="2604"/>
        <v>3.3087310057537334</v>
      </c>
      <c r="L1207" s="1">
        <f t="shared" ref="L1207:N1207" si="2724">E1207/$H1207</f>
        <v>0.96196787908601167</v>
      </c>
      <c r="M1207" s="1">
        <f t="shared" si="2724"/>
        <v>0</v>
      </c>
      <c r="N1207" s="1">
        <f t="shared" si="2724"/>
        <v>-0.27316258822679323</v>
      </c>
      <c r="O1207" s="1">
        <f t="shared" si="2306"/>
        <v>-0.27316258822679323</v>
      </c>
      <c r="P1207" s="1">
        <f t="shared" si="2606"/>
        <v>0.26277363564217382</v>
      </c>
      <c r="Q1207" s="1">
        <f t="shared" si="2607"/>
        <v>0</v>
      </c>
      <c r="R1207" s="1">
        <f t="shared" si="2608"/>
        <v>0.92538220039323937</v>
      </c>
      <c r="S1207" s="1">
        <f t="shared" si="2609"/>
        <v>0.97932305986091817</v>
      </c>
      <c r="T1207" s="1">
        <f t="shared" ref="T1207:V1207" si="2725">$S1207*P1207</f>
        <v>0.2573402809078717</v>
      </c>
      <c r="U1207" s="1">
        <f t="shared" si="2725"/>
        <v>0</v>
      </c>
      <c r="V1207" s="1">
        <f t="shared" si="2725"/>
        <v>0.90624812802993648</v>
      </c>
      <c r="W1207" s="1">
        <f t="shared" si="2611"/>
        <v>-11.394668761517982</v>
      </c>
      <c r="X1207" s="1">
        <f t="shared" si="2612"/>
        <v>0</v>
      </c>
      <c r="Y1207" s="1">
        <f t="shared" si="2613"/>
        <v>-5.5916708662163295</v>
      </c>
    </row>
    <row r="1208" spans="1:25">
      <c r="A1208" s="1">
        <v>1.206</v>
      </c>
      <c r="B1208" s="1">
        <f t="shared" si="2614"/>
        <v>41.430266132898019</v>
      </c>
      <c r="C1208" s="1">
        <f t="shared" si="2615"/>
        <v>0</v>
      </c>
      <c r="D1208" s="1">
        <f t="shared" si="2616"/>
        <v>-1.7271779012059361</v>
      </c>
      <c r="E1208" s="1">
        <f t="shared" si="2617"/>
        <v>16.584379758301928</v>
      </c>
      <c r="F1208" s="1">
        <f t="shared" si="2618"/>
        <v>0</v>
      </c>
      <c r="G1208" s="1">
        <f t="shared" si="2619"/>
        <v>-4.7181655464429308</v>
      </c>
      <c r="H1208" s="1">
        <f t="shared" si="2304"/>
        <v>17.242469025380785</v>
      </c>
      <c r="I1208" s="1">
        <f t="shared" si="2602"/>
        <v>-11.637642875075468</v>
      </c>
      <c r="J1208" s="1">
        <f t="shared" si="2603"/>
        <v>0</v>
      </c>
      <c r="K1208" s="1">
        <f t="shared" si="2604"/>
        <v>3.310845895668888</v>
      </c>
      <c r="L1208" s="1">
        <f t="shared" ref="L1208:N1208" si="2726">E1208/$H1208</f>
        <v>0.9618332347815064</v>
      </c>
      <c r="M1208" s="1">
        <f t="shared" si="2726"/>
        <v>0</v>
      </c>
      <c r="N1208" s="1">
        <f t="shared" si="2726"/>
        <v>-0.27363630692900343</v>
      </c>
      <c r="O1208" s="1">
        <f t="shared" si="2306"/>
        <v>-0.27363630692900343</v>
      </c>
      <c r="P1208" s="1">
        <f t="shared" si="2606"/>
        <v>0.26319249424718849</v>
      </c>
      <c r="Q1208" s="1">
        <f t="shared" si="2607"/>
        <v>0</v>
      </c>
      <c r="R1208" s="1">
        <f t="shared" si="2608"/>
        <v>0.92512317153025625</v>
      </c>
      <c r="S1208" s="1">
        <f t="shared" si="2609"/>
        <v>0.978252542016535</v>
      </c>
      <c r="T1208" s="1">
        <f t="shared" ref="T1208:V1208" si="2727">$S1208*P1208</f>
        <v>0.25746872653698438</v>
      </c>
      <c r="U1208" s="1">
        <f t="shared" si="2727"/>
        <v>0</v>
      </c>
      <c r="V1208" s="1">
        <f t="shared" si="2727"/>
        <v>0.90500409422787209</v>
      </c>
      <c r="W1208" s="1">
        <f t="shared" si="2611"/>
        <v>-11.380174148538483</v>
      </c>
      <c r="X1208" s="1">
        <f t="shared" si="2612"/>
        <v>0</v>
      </c>
      <c r="Y1208" s="1">
        <f t="shared" si="2613"/>
        <v>-5.5908000101032389</v>
      </c>
    </row>
    <row r="1209" spans="1:25">
      <c r="A1209" s="1">
        <v>1.2070000000000001</v>
      </c>
      <c r="B1209" s="1">
        <f t="shared" si="2614"/>
        <v>41.446839132482175</v>
      </c>
      <c r="C1209" s="1">
        <f t="shared" si="2615"/>
        <v>0</v>
      </c>
      <c r="D1209" s="1">
        <f t="shared" si="2616"/>
        <v>-1.7319016575523891</v>
      </c>
      <c r="E1209" s="1">
        <f t="shared" si="2617"/>
        <v>16.57299958415339</v>
      </c>
      <c r="F1209" s="1">
        <f t="shared" si="2618"/>
        <v>0</v>
      </c>
      <c r="G1209" s="1">
        <f t="shared" si="2619"/>
        <v>-4.7237563464530341</v>
      </c>
      <c r="H1209" s="1">
        <f t="shared" si="2304"/>
        <v>17.233055133579878</v>
      </c>
      <c r="I1209" s="1">
        <f t="shared" si="2602"/>
        <v>-11.623307685584598</v>
      </c>
      <c r="J1209" s="1">
        <f t="shared" si="2603"/>
        <v>0</v>
      </c>
      <c r="K1209" s="1">
        <f t="shared" si="2604"/>
        <v>3.3129593208374755</v>
      </c>
      <c r="L1209" s="1">
        <f t="shared" ref="L1209:N1209" si="2728">E1209/$H1209</f>
        <v>0.96169828597946505</v>
      </c>
      <c r="M1209" s="1">
        <f t="shared" si="2728"/>
        <v>0</v>
      </c>
      <c r="N1209" s="1">
        <f t="shared" si="2728"/>
        <v>-0.27411020912063622</v>
      </c>
      <c r="O1209" s="1">
        <f t="shared" si="2306"/>
        <v>-0.27411020912063622</v>
      </c>
      <c r="P1209" s="1">
        <f t="shared" si="2606"/>
        <v>0.2636113182807886</v>
      </c>
      <c r="Q1209" s="1">
        <f t="shared" si="2607"/>
        <v>0</v>
      </c>
      <c r="R1209" s="1">
        <f t="shared" si="2608"/>
        <v>0.92486359325584111</v>
      </c>
      <c r="S1209" s="1">
        <f t="shared" si="2609"/>
        <v>0.97718463815638257</v>
      </c>
      <c r="T1209" s="1">
        <f t="shared" ref="T1209:V1209" si="2729">$S1209*P1209</f>
        <v>0.25759693066813938</v>
      </c>
      <c r="U1209" s="1">
        <f t="shared" si="2729"/>
        <v>0</v>
      </c>
      <c r="V1209" s="1">
        <f t="shared" si="2729"/>
        <v>0.90376249571972089</v>
      </c>
      <c r="W1209" s="1">
        <f t="shared" si="2611"/>
        <v>-11.365710754916458</v>
      </c>
      <c r="X1209" s="1">
        <f t="shared" si="2612"/>
        <v>0</v>
      </c>
      <c r="Y1209" s="1">
        <f t="shared" si="2613"/>
        <v>-5.5899281834428027</v>
      </c>
    </row>
    <row r="1210" spans="1:25">
      <c r="A1210" s="1">
        <v>1.208</v>
      </c>
      <c r="B1210" s="1">
        <f t="shared" si="2614"/>
        <v>41.463400766355576</v>
      </c>
      <c r="C1210" s="1">
        <f t="shared" si="2615"/>
        <v>0</v>
      </c>
      <c r="D1210" s="1">
        <f t="shared" si="2616"/>
        <v>-1.7366310038270256</v>
      </c>
      <c r="E1210" s="1">
        <f t="shared" si="2617"/>
        <v>16.561633873398474</v>
      </c>
      <c r="F1210" s="1">
        <f t="shared" si="2618"/>
        <v>0</v>
      </c>
      <c r="G1210" s="1">
        <f t="shared" si="2619"/>
        <v>-4.7293462746364767</v>
      </c>
      <c r="H1210" s="1">
        <f t="shared" si="2304"/>
        <v>17.223659098516716</v>
      </c>
      <c r="I1210" s="1">
        <f t="shared" si="2602"/>
        <v>-11.609003389975989</v>
      </c>
      <c r="J1210" s="1">
        <f t="shared" si="2603"/>
        <v>0</v>
      </c>
      <c r="K1210" s="1">
        <f t="shared" si="2604"/>
        <v>3.3150712879126694</v>
      </c>
      <c r="L1210" s="1">
        <f t="shared" ref="L1210:N1210" si="2730">E1210/$H1210</f>
        <v>0.96156303249317943</v>
      </c>
      <c r="M1210" s="1">
        <f t="shared" si="2730"/>
        <v>0</v>
      </c>
      <c r="N1210" s="1">
        <f t="shared" si="2730"/>
        <v>-0.27458429405652618</v>
      </c>
      <c r="O1210" s="1">
        <f t="shared" si="2306"/>
        <v>-0.27458429405652618</v>
      </c>
      <c r="P1210" s="1">
        <f t="shared" si="2606"/>
        <v>0.26403010646799224</v>
      </c>
      <c r="Q1210" s="1">
        <f t="shared" si="2607"/>
        <v>0</v>
      </c>
      <c r="R1210" s="1">
        <f t="shared" si="2608"/>
        <v>0.92460346545747918</v>
      </c>
      <c r="S1210" s="1">
        <f t="shared" si="2609"/>
        <v>0.97611934149498703</v>
      </c>
      <c r="T1210" s="1">
        <f t="shared" ref="T1210:V1210" si="2731">$S1210*P1210</f>
        <v>0.25772489366038792</v>
      </c>
      <c r="U1210" s="1">
        <f t="shared" si="2731"/>
        <v>0</v>
      </c>
      <c r="V1210" s="1">
        <f t="shared" si="2731"/>
        <v>0.90252332584633754</v>
      </c>
      <c r="W1210" s="1">
        <f t="shared" si="2611"/>
        <v>-11.351278496315601</v>
      </c>
      <c r="X1210" s="1">
        <f t="shared" si="2612"/>
        <v>0</v>
      </c>
      <c r="Y1210" s="1">
        <f t="shared" si="2613"/>
        <v>-5.5890553862409922</v>
      </c>
    </row>
    <row r="1211" spans="1:25">
      <c r="A1211" s="1">
        <v>1.2090000000000001</v>
      </c>
      <c r="B1211" s="1">
        <f t="shared" si="2614"/>
        <v>41.479951048950475</v>
      </c>
      <c r="C1211" s="1">
        <f t="shared" si="2615"/>
        <v>0</v>
      </c>
      <c r="D1211" s="1">
        <f t="shared" si="2616"/>
        <v>-1.7413659391570484</v>
      </c>
      <c r="E1211" s="1">
        <f t="shared" si="2617"/>
        <v>16.550282594902157</v>
      </c>
      <c r="F1211" s="1">
        <f t="shared" si="2618"/>
        <v>0</v>
      </c>
      <c r="G1211" s="1">
        <f t="shared" si="2619"/>
        <v>-4.7349353300227177</v>
      </c>
      <c r="H1211" s="1">
        <f t="shared" si="2304"/>
        <v>17.214280889732763</v>
      </c>
      <c r="I1211" s="1">
        <f t="shared" si="2602"/>
        <v>-11.594729904550464</v>
      </c>
      <c r="J1211" s="1">
        <f t="shared" si="2603"/>
        <v>0</v>
      </c>
      <c r="K1211" s="1">
        <f t="shared" si="2604"/>
        <v>3.3171818035323088</v>
      </c>
      <c r="L1211" s="1">
        <f t="shared" ref="L1211:N1211" si="2732">E1211/$H1211</f>
        <v>0.96142747413709051</v>
      </c>
      <c r="M1211" s="1">
        <f t="shared" si="2732"/>
        <v>0</v>
      </c>
      <c r="N1211" s="1">
        <f t="shared" si="2732"/>
        <v>-0.27505856099088111</v>
      </c>
      <c r="O1211" s="1">
        <f t="shared" si="2306"/>
        <v>-0.27505856099088111</v>
      </c>
      <c r="P1211" s="1">
        <f t="shared" si="2606"/>
        <v>0.26444885753324565</v>
      </c>
      <c r="Q1211" s="1">
        <f t="shared" si="2607"/>
        <v>0</v>
      </c>
      <c r="R1211" s="1">
        <f t="shared" si="2608"/>
        <v>0.92434278802562575</v>
      </c>
      <c r="S1211" s="1">
        <f t="shared" si="2609"/>
        <v>0.97505664526940827</v>
      </c>
      <c r="T1211" s="1">
        <f t="shared" ref="T1211:V1211" si="2733">$S1211*P1211</f>
        <v>0.25785261587169417</v>
      </c>
      <c r="U1211" s="1">
        <f t="shared" si="2733"/>
        <v>0</v>
      </c>
      <c r="V1211" s="1">
        <f t="shared" si="2733"/>
        <v>0.90128657797123846</v>
      </c>
      <c r="W1211" s="1">
        <f t="shared" si="2611"/>
        <v>-11.336877288678769</v>
      </c>
      <c r="X1211" s="1">
        <f t="shared" si="2612"/>
        <v>0</v>
      </c>
      <c r="Y1211" s="1">
        <f t="shared" si="2613"/>
        <v>-5.5881816184964519</v>
      </c>
    </row>
    <row r="1212" spans="1:25">
      <c r="A1212" s="1">
        <v>1.21</v>
      </c>
      <c r="B1212" s="1">
        <f t="shared" si="2614"/>
        <v>41.496489994668089</v>
      </c>
      <c r="C1212" s="1">
        <f t="shared" si="2615"/>
        <v>0</v>
      </c>
      <c r="D1212" s="1">
        <f t="shared" si="2616"/>
        <v>-1.7461064626686895</v>
      </c>
      <c r="E1212" s="1">
        <f t="shared" si="2617"/>
        <v>16.53894571761348</v>
      </c>
      <c r="F1212" s="1">
        <f t="shared" si="2618"/>
        <v>0</v>
      </c>
      <c r="G1212" s="1">
        <f t="shared" si="2619"/>
        <v>-4.7405235116412143</v>
      </c>
      <c r="H1212" s="1">
        <f t="shared" si="2304"/>
        <v>17.204920476845814</v>
      </c>
      <c r="I1212" s="1">
        <f t="shared" si="2602"/>
        <v>-11.580487145885813</v>
      </c>
      <c r="J1212" s="1">
        <f t="shared" si="2603"/>
        <v>0</v>
      </c>
      <c r="K1212" s="1">
        <f t="shared" si="2604"/>
        <v>3.3192908743189293</v>
      </c>
      <c r="L1212" s="1">
        <f t="shared" ref="L1212:N1212" si="2734">E1212/$H1212</f>
        <v>0.96129161072679203</v>
      </c>
      <c r="M1212" s="1">
        <f t="shared" si="2734"/>
        <v>0</v>
      </c>
      <c r="N1212" s="1">
        <f t="shared" si="2734"/>
        <v>-0.2755330091772849</v>
      </c>
      <c r="O1212" s="1">
        <f t="shared" si="2306"/>
        <v>-0.2755330091772849</v>
      </c>
      <c r="P1212" s="1">
        <f t="shared" si="2606"/>
        <v>0.26486757020043217</v>
      </c>
      <c r="Q1212" s="1">
        <f t="shared" si="2607"/>
        <v>0</v>
      </c>
      <c r="R1212" s="1">
        <f t="shared" si="2608"/>
        <v>0.92408156085371029</v>
      </c>
      <c r="S1212" s="1">
        <f t="shared" si="2609"/>
        <v>0.97399654273915015</v>
      </c>
      <c r="T1212" s="1">
        <f t="shared" ref="T1212:V1212" si="2735">$S1212*P1212</f>
        <v>0.25798009765894009</v>
      </c>
      <c r="U1212" s="1">
        <f t="shared" si="2735"/>
        <v>0</v>
      </c>
      <c r="V1212" s="1">
        <f t="shared" si="2735"/>
        <v>0.90005224548051144</v>
      </c>
      <c r="W1212" s="1">
        <f t="shared" si="2611"/>
        <v>-11.322507048226873</v>
      </c>
      <c r="X1212" s="1">
        <f t="shared" si="2612"/>
        <v>0</v>
      </c>
      <c r="Y1212" s="1">
        <f t="shared" si="2613"/>
        <v>-5.5873068802005585</v>
      </c>
    </row>
    <row r="1213" spans="1:25">
      <c r="A1213" s="1">
        <v>1.2110000000000001</v>
      </c>
      <c r="B1213" s="1">
        <f t="shared" si="2614"/>
        <v>41.513017617878653</v>
      </c>
      <c r="C1213" s="1">
        <f t="shared" si="2615"/>
        <v>0</v>
      </c>
      <c r="D1213" s="1">
        <f t="shared" si="2616"/>
        <v>-1.7508525734872109</v>
      </c>
      <c r="E1213" s="1">
        <f t="shared" si="2617"/>
        <v>16.527623210565253</v>
      </c>
      <c r="F1213" s="1">
        <f t="shared" si="2618"/>
        <v>0</v>
      </c>
      <c r="G1213" s="1">
        <f t="shared" si="2619"/>
        <v>-4.7461108185214149</v>
      </c>
      <c r="H1213" s="1">
        <f t="shared" si="2304"/>
        <v>17.195577829549705</v>
      </c>
      <c r="I1213" s="1">
        <f t="shared" si="2602"/>
        <v>-11.566275030835641</v>
      </c>
      <c r="J1213" s="1">
        <f t="shared" si="2603"/>
        <v>0</v>
      </c>
      <c r="K1213" s="1">
        <f t="shared" si="2604"/>
        <v>3.3213985068797873</v>
      </c>
      <c r="L1213" s="1">
        <f t="shared" ref="L1213:N1213" si="2736">E1213/$H1213</f>
        <v>0.96115544207903225</v>
      </c>
      <c r="M1213" s="1">
        <f t="shared" si="2736"/>
        <v>0</v>
      </c>
      <c r="N1213" s="1">
        <f t="shared" si="2736"/>
        <v>-0.27600763786870081</v>
      </c>
      <c r="O1213" s="1">
        <f t="shared" si="2306"/>
        <v>-0.27600763786870081</v>
      </c>
      <c r="P1213" s="1">
        <f t="shared" si="2606"/>
        <v>0.26528624319288058</v>
      </c>
      <c r="Q1213" s="1">
        <f t="shared" si="2607"/>
        <v>0</v>
      </c>
      <c r="R1213" s="1">
        <f t="shared" si="2608"/>
        <v>0.92381978383814012</v>
      </c>
      <c r="S1213" s="1">
        <f t="shared" si="2609"/>
        <v>0.97293902718606595</v>
      </c>
      <c r="T1213" s="1">
        <f t="shared" ref="T1213:V1213" si="2737">$S1213*P1213</f>
        <v>0.25810733937792735</v>
      </c>
      <c r="U1213" s="1">
        <f t="shared" si="2737"/>
        <v>0</v>
      </c>
      <c r="V1213" s="1">
        <f t="shared" si="2737"/>
        <v>0.89882032178272175</v>
      </c>
      <c r="W1213" s="1">
        <f t="shared" si="2611"/>
        <v>-11.308167691457713</v>
      </c>
      <c r="X1213" s="1">
        <f t="shared" si="2612"/>
        <v>0</v>
      </c>
      <c r="Y1213" s="1">
        <f t="shared" si="2613"/>
        <v>-5.5864311713374901</v>
      </c>
    </row>
    <row r="1214" spans="1:25">
      <c r="A1214" s="1">
        <v>1.212</v>
      </c>
      <c r="B1214" s="1">
        <f t="shared" si="2614"/>
        <v>41.529533932921524</v>
      </c>
      <c r="C1214" s="1">
        <f t="shared" si="2615"/>
        <v>0</v>
      </c>
      <c r="D1214" s="1">
        <f t="shared" si="2616"/>
        <v>-1.7556042707369037</v>
      </c>
      <c r="E1214" s="1">
        <f t="shared" si="2617"/>
        <v>16.516315042873796</v>
      </c>
      <c r="F1214" s="1">
        <f t="shared" si="2618"/>
        <v>0</v>
      </c>
      <c r="G1214" s="1">
        <f t="shared" si="2619"/>
        <v>-4.7516972496927528</v>
      </c>
      <c r="H1214" s="1">
        <f t="shared" si="2304"/>
        <v>17.186252917614034</v>
      </c>
      <c r="I1214" s="1">
        <f t="shared" si="2602"/>
        <v>-11.552093476528263</v>
      </c>
      <c r="J1214" s="1">
        <f t="shared" si="2603"/>
        <v>0</v>
      </c>
      <c r="K1214" s="1">
        <f t="shared" si="2604"/>
        <v>3.3235047078068973</v>
      </c>
      <c r="L1214" s="1">
        <f t="shared" ref="L1214:N1214" si="2738">E1214/$H1214</f>
        <v>0.96101896801171682</v>
      </c>
      <c r="M1214" s="1">
        <f t="shared" si="2738"/>
        <v>0</v>
      </c>
      <c r="N1214" s="1">
        <f t="shared" si="2738"/>
        <v>-0.27648244631747398</v>
      </c>
      <c r="O1214" s="1">
        <f t="shared" si="2306"/>
        <v>-0.27648244631747398</v>
      </c>
      <c r="P1214" s="1">
        <f t="shared" si="2606"/>
        <v>0.26570487523337377</v>
      </c>
      <c r="Q1214" s="1">
        <f t="shared" si="2607"/>
        <v>0</v>
      </c>
      <c r="R1214" s="1">
        <f t="shared" si="2608"/>
        <v>0.92355745687830515</v>
      </c>
      <c r="S1214" s="1">
        <f t="shared" si="2609"/>
        <v>0.97188409191426894</v>
      </c>
      <c r="T1214" s="1">
        <f t="shared" ref="T1214:V1214" si="2739">$S1214*P1214</f>
        <v>0.25823434138338158</v>
      </c>
      <c r="U1214" s="1">
        <f t="shared" si="2739"/>
        <v>0</v>
      </c>
      <c r="V1214" s="1">
        <f t="shared" si="2739"/>
        <v>0.89759080030882321</v>
      </c>
      <c r="W1214" s="1">
        <f t="shared" si="2611"/>
        <v>-11.293859135144881</v>
      </c>
      <c r="X1214" s="1">
        <f t="shared" si="2612"/>
        <v>0</v>
      </c>
      <c r="Y1214" s="1">
        <f t="shared" si="2613"/>
        <v>-5.5855544918842792</v>
      </c>
    </row>
    <row r="1215" spans="1:25">
      <c r="A1215" s="1">
        <v>1.2130000000000001</v>
      </c>
      <c r="B1215" s="1">
        <f t="shared" si="2614"/>
        <v>41.546038954105263</v>
      </c>
      <c r="C1215" s="1">
        <f t="shared" si="2615"/>
        <v>0</v>
      </c>
      <c r="D1215" s="1">
        <f t="shared" si="2616"/>
        <v>-1.7603615535410884</v>
      </c>
      <c r="E1215" s="1">
        <f t="shared" si="2617"/>
        <v>16.505021183738652</v>
      </c>
      <c r="F1215" s="1">
        <f t="shared" si="2618"/>
        <v>0</v>
      </c>
      <c r="G1215" s="1">
        <f t="shared" si="2619"/>
        <v>-4.7572828041846371</v>
      </c>
      <c r="H1215" s="1">
        <f t="shared" si="2304"/>
        <v>17.176945710883892</v>
      </c>
      <c r="I1215" s="1">
        <f t="shared" si="2602"/>
        <v>-11.537942400365592</v>
      </c>
      <c r="J1215" s="1">
        <f t="shared" si="2603"/>
        <v>0</v>
      </c>
      <c r="K1215" s="1">
        <f t="shared" si="2604"/>
        <v>3.3256094836770607</v>
      </c>
      <c r="L1215" s="1">
        <f t="shared" ref="L1215:N1215" si="2740">E1215/$H1215</f>
        <v>0.96088218834390993</v>
      </c>
      <c r="M1215" s="1">
        <f t="shared" si="2740"/>
        <v>0</v>
      </c>
      <c r="N1215" s="1">
        <f t="shared" si="2740"/>
        <v>-0.27695743377533422</v>
      </c>
      <c r="O1215" s="1">
        <f t="shared" si="2306"/>
        <v>-0.27695743377533422</v>
      </c>
      <c r="P1215" s="1">
        <f t="shared" si="2606"/>
        <v>0.26612346504415663</v>
      </c>
      <c r="Q1215" s="1">
        <f t="shared" si="2607"/>
        <v>0</v>
      </c>
      <c r="R1215" s="1">
        <f t="shared" si="2608"/>
        <v>0.92329457987658137</v>
      </c>
      <c r="S1215" s="1">
        <f t="shared" si="2609"/>
        <v>0.97083173025004432</v>
      </c>
      <c r="T1215" s="1">
        <f t="shared" ref="T1215:V1215" si="2741">$S1215*P1215</f>
        <v>0.25836110402895579</v>
      </c>
      <c r="U1215" s="1">
        <f t="shared" si="2741"/>
        <v>0</v>
      </c>
      <c r="V1215" s="1">
        <f t="shared" si="2741"/>
        <v>0.89636367451206922</v>
      </c>
      <c r="W1215" s="1">
        <f t="shared" si="2611"/>
        <v>-11.279581296336637</v>
      </c>
      <c r="X1215" s="1">
        <f t="shared" si="2612"/>
        <v>0</v>
      </c>
      <c r="Y1215" s="1">
        <f t="shared" si="2613"/>
        <v>-5.5846768418108699</v>
      </c>
    </row>
    <row r="1216" spans="1:25">
      <c r="A1216" s="1">
        <v>1.214</v>
      </c>
      <c r="B1216" s="1">
        <f t="shared" si="2614"/>
        <v>41.562532695707709</v>
      </c>
      <c r="C1216" s="1">
        <f t="shared" si="2615"/>
        <v>0</v>
      </c>
      <c r="D1216" s="1">
        <f t="shared" si="2616"/>
        <v>-1.7651244210221149</v>
      </c>
      <c r="E1216" s="1">
        <f t="shared" si="2617"/>
        <v>16.493741602442316</v>
      </c>
      <c r="F1216" s="1">
        <f t="shared" si="2618"/>
        <v>0</v>
      </c>
      <c r="G1216" s="1">
        <f t="shared" si="2619"/>
        <v>-4.762867481026448</v>
      </c>
      <c r="H1216" s="1">
        <f t="shared" si="2304"/>
        <v>17.167656179279561</v>
      </c>
      <c r="I1216" s="1">
        <f t="shared" si="2602"/>
        <v>-11.523821720022021</v>
      </c>
      <c r="J1216" s="1">
        <f t="shared" si="2603"/>
        <v>0</v>
      </c>
      <c r="K1216" s="1">
        <f t="shared" si="2604"/>
        <v>3.3277128410518948</v>
      </c>
      <c r="L1216" s="1">
        <f t="shared" ref="L1216:N1216" si="2742">E1216/$H1216</f>
        <v>0.96074510289583837</v>
      </c>
      <c r="M1216" s="1">
        <f t="shared" si="2742"/>
        <v>0</v>
      </c>
      <c r="N1216" s="1">
        <f t="shared" si="2742"/>
        <v>-0.27743259949339927</v>
      </c>
      <c r="O1216" s="1">
        <f t="shared" si="2306"/>
        <v>-0.27743259949339927</v>
      </c>
      <c r="P1216" s="1">
        <f t="shared" si="2606"/>
        <v>0.26654201134694577</v>
      </c>
      <c r="Q1216" s="1">
        <f t="shared" si="2607"/>
        <v>0</v>
      </c>
      <c r="R1216" s="1">
        <f t="shared" si="2608"/>
        <v>0.92303115273833514</v>
      </c>
      <c r="S1216" s="1">
        <f t="shared" si="2609"/>
        <v>0.96978193554175518</v>
      </c>
      <c r="T1216" s="1">
        <f t="shared" ref="T1216:V1216" si="2743">$S1216*P1216</f>
        <v>0.25848762766723354</v>
      </c>
      <c r="U1216" s="1">
        <f t="shared" si="2743"/>
        <v>0</v>
      </c>
      <c r="V1216" s="1">
        <f t="shared" si="2743"/>
        <v>0.89513893786792009</v>
      </c>
      <c r="W1216" s="1">
        <f t="shared" si="2611"/>
        <v>-11.265334092354786</v>
      </c>
      <c r="X1216" s="1">
        <f t="shared" si="2612"/>
        <v>0</v>
      </c>
      <c r="Y1216" s="1">
        <f t="shared" si="2613"/>
        <v>-5.5837982210801842</v>
      </c>
    </row>
    <row r="1217" spans="1:25">
      <c r="A1217" s="1">
        <v>1.2150000000000001</v>
      </c>
      <c r="B1217" s="1">
        <f t="shared" si="2614"/>
        <v>41.57901517197606</v>
      </c>
      <c r="C1217" s="1">
        <f t="shared" si="2615"/>
        <v>0</v>
      </c>
      <c r="D1217" s="1">
        <f t="shared" si="2616"/>
        <v>-1.7698928723013625</v>
      </c>
      <c r="E1217" s="1">
        <f t="shared" si="2617"/>
        <v>16.482476268349963</v>
      </c>
      <c r="F1217" s="1">
        <f t="shared" si="2618"/>
        <v>0</v>
      </c>
      <c r="G1217" s="1">
        <f t="shared" si="2619"/>
        <v>-4.768451279247528</v>
      </c>
      <c r="H1217" s="1">
        <f t="shared" si="2304"/>
        <v>17.158384292796249</v>
      </c>
      <c r="I1217" s="1">
        <f t="shared" si="2602"/>
        <v>-11.509731353443316</v>
      </c>
      <c r="J1217" s="1">
        <f t="shared" si="2603"/>
        <v>0</v>
      </c>
      <c r="K1217" s="1">
        <f t="shared" si="2604"/>
        <v>3.3298147864778622</v>
      </c>
      <c r="L1217" s="1">
        <f t="shared" ref="L1217:N1217" si="2744">E1217/$H1217</f>
        <v>0.96060771148889246</v>
      </c>
      <c r="M1217" s="1">
        <f t="shared" si="2744"/>
        <v>0</v>
      </c>
      <c r="N1217" s="1">
        <f t="shared" si="2744"/>
        <v>-0.27790794272217739</v>
      </c>
      <c r="O1217" s="1">
        <f t="shared" si="2306"/>
        <v>-0.27790794272217739</v>
      </c>
      <c r="P1217" s="1">
        <f t="shared" si="2606"/>
        <v>0.26696051286293704</v>
      </c>
      <c r="Q1217" s="1">
        <f t="shared" si="2607"/>
        <v>0</v>
      </c>
      <c r="R1217" s="1">
        <f t="shared" si="2608"/>
        <v>0.92276717537192698</v>
      </c>
      <c r="S1217" s="1">
        <f t="shared" si="2609"/>
        <v>0.96873470115975557</v>
      </c>
      <c r="T1217" s="1">
        <f t="shared" ref="T1217:V1217" si="2745">$S1217*P1217</f>
        <v>0.25861391264973238</v>
      </c>
      <c r="U1217" s="1">
        <f t="shared" si="2745"/>
        <v>0</v>
      </c>
      <c r="V1217" s="1">
        <f t="shared" si="2745"/>
        <v>0.89391658387395545</v>
      </c>
      <c r="W1217" s="1">
        <f t="shared" si="2611"/>
        <v>-11.251117440793584</v>
      </c>
      <c r="X1217" s="1">
        <f t="shared" si="2612"/>
        <v>0</v>
      </c>
      <c r="Y1217" s="1">
        <f t="shared" si="2613"/>
        <v>-5.5829186296481819</v>
      </c>
    </row>
    <row r="1218" spans="1:25">
      <c r="A1218" s="1">
        <v>1.216</v>
      </c>
      <c r="B1218" s="1">
        <f t="shared" si="2614"/>
        <v>41.595486397126969</v>
      </c>
      <c r="C1218" s="1">
        <f t="shared" si="2615"/>
        <v>0</v>
      </c>
      <c r="D1218" s="1">
        <f t="shared" si="2616"/>
        <v>-1.7746669064992397</v>
      </c>
      <c r="E1218" s="1">
        <f t="shared" si="2617"/>
        <v>16.47122515090917</v>
      </c>
      <c r="F1218" s="1">
        <f t="shared" si="2618"/>
        <v>0</v>
      </c>
      <c r="G1218" s="1">
        <f t="shared" si="2619"/>
        <v>-4.7740341978771763</v>
      </c>
      <c r="H1218" s="1">
        <f t="shared" si="2304"/>
        <v>17.149130021503819</v>
      </c>
      <c r="I1218" s="1">
        <f t="shared" ref="I1218:I1281" si="2746">-K_drag*$H1218*E1218</f>
        <v>-11.495671218845535</v>
      </c>
      <c r="J1218" s="1">
        <f t="shared" ref="J1218:J1281" si="2747">-K_drag*$H1218*F1218</f>
        <v>0</v>
      </c>
      <c r="K1218" s="1">
        <f t="shared" ref="K1218:K1281" si="2748">-K_drag*$H1218*G1218</f>
        <v>3.331915326486306</v>
      </c>
      <c r="L1218" s="1">
        <f t="shared" ref="L1218:N1218" si="2749">E1218/$H1218</f>
        <v>0.96047001394562859</v>
      </c>
      <c r="M1218" s="1">
        <f t="shared" si="2749"/>
        <v>0</v>
      </c>
      <c r="N1218" s="1">
        <f t="shared" si="2749"/>
        <v>-0.27838346271157016</v>
      </c>
      <c r="O1218" s="1">
        <f t="shared" si="2306"/>
        <v>-0.27838346271157016</v>
      </c>
      <c r="P1218" s="1">
        <f t="shared" ref="P1218:P1281" si="2750">u_axis_f-$O1218*L1218</f>
        <v>0.26737896831281416</v>
      </c>
      <c r="Q1218" s="1">
        <f t="shared" ref="Q1218:Q1281" si="2751">u_axis_r-$O1218*M1218</f>
        <v>0</v>
      </c>
      <c r="R1218" s="1">
        <f t="shared" ref="R1218:R1281" si="2752">u_axis_u-$O1218*N1218</f>
        <v>0.92250264768871582</v>
      </c>
      <c r="S1218" s="1">
        <f t="shared" ref="S1218:S1281" si="2753">K_lift*H1218^2</f>
        <v>0.9676900204963016</v>
      </c>
      <c r="T1218" s="1">
        <f t="shared" ref="T1218:V1218" si="2754">$S1218*P1218</f>
        <v>0.25873995932690713</v>
      </c>
      <c r="U1218" s="1">
        <f t="shared" si="2754"/>
        <v>0</v>
      </c>
      <c r="V1218" s="1">
        <f t="shared" si="2754"/>
        <v>0.89269660604978585</v>
      </c>
      <c r="W1218" s="1">
        <f t="shared" ref="W1218:W1281" si="2755">I1218+T1218+g_f</f>
        <v>-11.236931259518627</v>
      </c>
      <c r="X1218" s="1">
        <f t="shared" ref="X1218:X1281" si="2756">J1218+U1218+g_r</f>
        <v>0</v>
      </c>
      <c r="Y1218" s="1">
        <f t="shared" ref="Y1218:Y1281" si="2757">K1218+V1218+g_u</f>
        <v>-5.5820380674639072</v>
      </c>
    </row>
    <row r="1219" spans="1:25">
      <c r="A1219" s="1">
        <v>1.2170000000000001</v>
      </c>
      <c r="B1219" s="1">
        <f t="shared" ref="B1219:B1282" si="2758">B1218+E1219*dt</f>
        <v>41.61194638534662</v>
      </c>
      <c r="C1219" s="1">
        <f t="shared" ref="C1219:C1282" si="2759">C1218+F1219*dt</f>
        <v>0</v>
      </c>
      <c r="D1219" s="1">
        <f t="shared" ref="D1219:D1282" si="2760">D1218+G1219*dt</f>
        <v>-1.7794465227351843</v>
      </c>
      <c r="E1219" s="1">
        <f t="shared" ref="E1219:E1282" si="2761">E1218+W1218*dt</f>
        <v>16.459988219649652</v>
      </c>
      <c r="F1219" s="1">
        <f t="shared" ref="F1219:F1282" si="2762">F1218+X1218*dt</f>
        <v>0</v>
      </c>
      <c r="G1219" s="1">
        <f t="shared" ref="G1219:G1282" si="2763">G1218+Y1218*dt</f>
        <v>-4.7796162359446406</v>
      </c>
      <c r="H1219" s="1">
        <f t="shared" si="2304"/>
        <v>17.139893335546489</v>
      </c>
      <c r="I1219" s="1">
        <f t="shared" si="2746"/>
        <v>-11.481641234713912</v>
      </c>
      <c r="J1219" s="1">
        <f t="shared" si="2747"/>
        <v>0</v>
      </c>
      <c r="K1219" s="1">
        <f t="shared" si="2748"/>
        <v>3.3340144675934735</v>
      </c>
      <c r="L1219" s="1">
        <f t="shared" ref="L1219:N1219" si="2764">E1219/$H1219</f>
        <v>0.96033201008977231</v>
      </c>
      <c r="M1219" s="1">
        <f t="shared" si="2764"/>
        <v>0</v>
      </c>
      <c r="N1219" s="1">
        <f t="shared" si="2764"/>
        <v>-0.2788591587108758</v>
      </c>
      <c r="O1219" s="1">
        <f t="shared" si="2306"/>
        <v>-0.2788591587108758</v>
      </c>
      <c r="P1219" s="1">
        <f t="shared" si="2750"/>
        <v>0.26779737641675821</v>
      </c>
      <c r="Q1219" s="1">
        <f t="shared" si="2751"/>
        <v>0</v>
      </c>
      <c r="R1219" s="1">
        <f t="shared" si="2752"/>
        <v>0.92223756960306258</v>
      </c>
      <c r="S1219" s="1">
        <f t="shared" si="2753"/>
        <v>0.96664788696546045</v>
      </c>
      <c r="T1219" s="1">
        <f t="shared" ref="T1219:V1219" si="2765">$S1219*P1219</f>
        <v>0.25886576804815337</v>
      </c>
      <c r="U1219" s="1">
        <f t="shared" si="2765"/>
        <v>0</v>
      </c>
      <c r="V1219" s="1">
        <f t="shared" si="2765"/>
        <v>0.89147899793696217</v>
      </c>
      <c r="W1219" s="1">
        <f t="shared" si="2755"/>
        <v>-11.222775466665759</v>
      </c>
      <c r="X1219" s="1">
        <f t="shared" si="2756"/>
        <v>0</v>
      </c>
      <c r="Y1219" s="1">
        <f t="shared" si="2757"/>
        <v>-5.5811565344695637</v>
      </c>
    </row>
    <row r="1220" spans="1:25">
      <c r="A1220" s="1">
        <v>1.218</v>
      </c>
      <c r="B1220" s="1">
        <f t="shared" si="2758"/>
        <v>41.628395150790801</v>
      </c>
      <c r="C1220" s="1">
        <f t="shared" si="2759"/>
        <v>0</v>
      </c>
      <c r="D1220" s="1">
        <f t="shared" si="2760"/>
        <v>-1.7842317201276634</v>
      </c>
      <c r="E1220" s="1">
        <f t="shared" si="2761"/>
        <v>16.448765444182985</v>
      </c>
      <c r="F1220" s="1">
        <f t="shared" si="2762"/>
        <v>0</v>
      </c>
      <c r="G1220" s="1">
        <f t="shared" si="2763"/>
        <v>-4.7851973924791098</v>
      </c>
      <c r="H1220" s="1">
        <f t="shared" si="2304"/>
        <v>17.130674205142576</v>
      </c>
      <c r="I1220" s="1">
        <f t="shared" si="2746"/>
        <v>-11.467641319801782</v>
      </c>
      <c r="J1220" s="1">
        <f t="shared" si="2747"/>
        <v>0</v>
      </c>
      <c r="K1220" s="1">
        <f t="shared" si="2748"/>
        <v>3.336112216300549</v>
      </c>
      <c r="L1220" s="1">
        <f t="shared" ref="L1220:N1220" si="2766">E1220/$H1220</f>
        <v>0.96019369974621993</v>
      </c>
      <c r="M1220" s="1">
        <f t="shared" si="2766"/>
        <v>0</v>
      </c>
      <c r="N1220" s="1">
        <f t="shared" si="2766"/>
        <v>-0.27933502996879178</v>
      </c>
      <c r="O1220" s="1">
        <f t="shared" si="2306"/>
        <v>-0.27933502996879178</v>
      </c>
      <c r="P1220" s="1">
        <f t="shared" si="2750"/>
        <v>0.26821573589445541</v>
      </c>
      <c r="Q1220" s="1">
        <f t="shared" si="2751"/>
        <v>0</v>
      </c>
      <c r="R1220" s="1">
        <f t="shared" si="2752"/>
        <v>0.92197194103233415</v>
      </c>
      <c r="S1220" s="1">
        <f t="shared" si="2753"/>
        <v>0.96560829400302406</v>
      </c>
      <c r="T1220" s="1">
        <f t="shared" ref="T1220:V1220" si="2767">$S1220*P1220</f>
        <v>0.25899133916181077</v>
      </c>
      <c r="U1220" s="1">
        <f t="shared" si="2767"/>
        <v>0</v>
      </c>
      <c r="V1220" s="1">
        <f t="shared" si="2767"/>
        <v>0.89026375309888883</v>
      </c>
      <c r="W1220" s="1">
        <f t="shared" si="2755"/>
        <v>-11.20864998063997</v>
      </c>
      <c r="X1220" s="1">
        <f t="shared" si="2756"/>
        <v>0</v>
      </c>
      <c r="Y1220" s="1">
        <f t="shared" si="2757"/>
        <v>-5.5802740306005614</v>
      </c>
    </row>
    <row r="1221" spans="1:25">
      <c r="A1221" s="1">
        <v>1.2190000000000001</v>
      </c>
      <c r="B1221" s="1">
        <f t="shared" si="2758"/>
        <v>41.644832707585003</v>
      </c>
      <c r="C1221" s="1">
        <f t="shared" si="2759"/>
        <v>0</v>
      </c>
      <c r="D1221" s="1">
        <f t="shared" si="2760"/>
        <v>-1.7890224977941731</v>
      </c>
      <c r="E1221" s="1">
        <f t="shared" si="2761"/>
        <v>16.437556794202344</v>
      </c>
      <c r="F1221" s="1">
        <f t="shared" si="2762"/>
        <v>0</v>
      </c>
      <c r="G1221" s="1">
        <f t="shared" si="2763"/>
        <v>-4.7907776665097099</v>
      </c>
      <c r="H1221" s="1">
        <f t="shared" si="2304"/>
        <v>17.121472600584209</v>
      </c>
      <c r="I1221" s="1">
        <f t="shared" si="2746"/>
        <v>-11.45367139312949</v>
      </c>
      <c r="J1221" s="1">
        <f t="shared" si="2747"/>
        <v>0</v>
      </c>
      <c r="K1221" s="1">
        <f t="shared" si="2748"/>
        <v>3.3382085790936826</v>
      </c>
      <c r="L1221" s="1">
        <f t="shared" ref="L1221:N1221" si="2768">E1221/$H1221</f>
        <v>0.96005508274104123</v>
      </c>
      <c r="M1221" s="1">
        <f t="shared" si="2768"/>
        <v>0</v>
      </c>
      <c r="N1221" s="1">
        <f t="shared" si="2768"/>
        <v>-0.27981107573341801</v>
      </c>
      <c r="O1221" s="1">
        <f t="shared" si="2306"/>
        <v>-0.27981107573341801</v>
      </c>
      <c r="P1221" s="1">
        <f t="shared" si="2750"/>
        <v>0.26863404546510639</v>
      </c>
      <c r="Q1221" s="1">
        <f t="shared" si="2751"/>
        <v>0</v>
      </c>
      <c r="R1221" s="1">
        <f t="shared" si="2752"/>
        <v>0.92170576189690745</v>
      </c>
      <c r="S1221" s="1">
        <f t="shared" si="2753"/>
        <v>0.96457123506642006</v>
      </c>
      <c r="T1221" s="1">
        <f t="shared" ref="T1221:V1221" si="2769">$S1221*P1221</f>
        <v>0.2591166730151665</v>
      </c>
      <c r="U1221" s="1">
        <f t="shared" si="2769"/>
        <v>0</v>
      </c>
      <c r="V1221" s="1">
        <f t="shared" si="2769"/>
        <v>0.88905086512073572</v>
      </c>
      <c r="W1221" s="1">
        <f t="shared" si="2755"/>
        <v>-11.194554720114324</v>
      </c>
      <c r="X1221" s="1">
        <f t="shared" si="2756"/>
        <v>0</v>
      </c>
      <c r="Y1221" s="1">
        <f t="shared" si="2757"/>
        <v>-5.5793905557855812</v>
      </c>
    </row>
    <row r="1222" spans="1:25">
      <c r="A1222" s="1">
        <v>1.22</v>
      </c>
      <c r="B1222" s="1">
        <f t="shared" si="2758"/>
        <v>41.661259069824489</v>
      </c>
      <c r="C1222" s="1">
        <f t="shared" si="2759"/>
        <v>0</v>
      </c>
      <c r="D1222" s="1">
        <f t="shared" si="2760"/>
        <v>-1.7938188548512386</v>
      </c>
      <c r="E1222" s="1">
        <f t="shared" si="2761"/>
        <v>16.426362239482231</v>
      </c>
      <c r="F1222" s="1">
        <f t="shared" si="2762"/>
        <v>0</v>
      </c>
      <c r="G1222" s="1">
        <f t="shared" si="2763"/>
        <v>-4.7963570570654959</v>
      </c>
      <c r="H1222" s="1">
        <f t="shared" si="2304"/>
        <v>17.112288492237081</v>
      </c>
      <c r="I1222" s="1">
        <f t="shared" si="2746"/>
        <v>-11.439731373983328</v>
      </c>
      <c r="J1222" s="1">
        <f t="shared" si="2747"/>
        <v>0</v>
      </c>
      <c r="K1222" s="1">
        <f t="shared" si="2748"/>
        <v>3.3403035624440247</v>
      </c>
      <c r="L1222" s="1">
        <f t="shared" ref="L1222:N1222" si="2770">E1222/$H1222</f>
        <v>0.95991615890148074</v>
      </c>
      <c r="M1222" s="1">
        <f t="shared" si="2770"/>
        <v>0</v>
      </c>
      <c r="N1222" s="1">
        <f t="shared" si="2770"/>
        <v>-0.28028729525225943</v>
      </c>
      <c r="O1222" s="1">
        <f t="shared" si="2306"/>
        <v>-0.28028729525225943</v>
      </c>
      <c r="P1222" s="1">
        <f t="shared" si="2750"/>
        <v>0.26905230384743412</v>
      </c>
      <c r="Q1222" s="1">
        <f t="shared" si="2751"/>
        <v>0</v>
      </c>
      <c r="R1222" s="1">
        <f t="shared" si="2752"/>
        <v>0.92143903212017275</v>
      </c>
      <c r="S1222" s="1">
        <f t="shared" si="2753"/>
        <v>0.96353670363462718</v>
      </c>
      <c r="T1222" s="1">
        <f t="shared" ref="T1222:V1222" si="2771">$S1222*P1222</f>
        <v>0.2592417699544588</v>
      </c>
      <c r="U1222" s="1">
        <f t="shared" si="2771"/>
        <v>0</v>
      </c>
      <c r="V1222" s="1">
        <f t="shared" si="2771"/>
        <v>0.88784032760935261</v>
      </c>
      <c r="W1222" s="1">
        <f t="shared" si="2755"/>
        <v>-11.180489604028869</v>
      </c>
      <c r="X1222" s="1">
        <f t="shared" si="2756"/>
        <v>0</v>
      </c>
      <c r="Y1222" s="1">
        <f t="shared" si="2757"/>
        <v>-5.5785061099466224</v>
      </c>
    </row>
    <row r="1223" spans="1:25">
      <c r="A1223" s="1">
        <v>1.2210000000000001</v>
      </c>
      <c r="B1223" s="1">
        <f t="shared" si="2758"/>
        <v>41.677674251574366</v>
      </c>
      <c r="C1223" s="1">
        <f t="shared" si="2759"/>
        <v>0</v>
      </c>
      <c r="D1223" s="1">
        <f t="shared" si="2760"/>
        <v>-1.798620790414414</v>
      </c>
      <c r="E1223" s="1">
        <f t="shared" si="2761"/>
        <v>16.415181749878201</v>
      </c>
      <c r="F1223" s="1">
        <f t="shared" si="2762"/>
        <v>0</v>
      </c>
      <c r="G1223" s="1">
        <f t="shared" si="2763"/>
        <v>-4.8019355631754426</v>
      </c>
      <c r="H1223" s="1">
        <f t="shared" si="2304"/>
        <v>17.103121850540134</v>
      </c>
      <c r="I1223" s="1">
        <f t="shared" si="2746"/>
        <v>-11.425821181914438</v>
      </c>
      <c r="J1223" s="1">
        <f t="shared" si="2747"/>
        <v>0</v>
      </c>
      <c r="K1223" s="1">
        <f t="shared" si="2748"/>
        <v>3.3423971728077464</v>
      </c>
      <c r="L1223" s="1">
        <f t="shared" ref="L1223:N1223" si="2772">E1223/$H1223</f>
        <v>0.95977692805596149</v>
      </c>
      <c r="M1223" s="1">
        <f t="shared" si="2772"/>
        <v>0</v>
      </c>
      <c r="N1223" s="1">
        <f t="shared" si="2772"/>
        <v>-0.28076368777222926</v>
      </c>
      <c r="O1223" s="1">
        <f t="shared" si="2306"/>
        <v>-0.28076368777222926</v>
      </c>
      <c r="P1223" s="1">
        <f t="shared" si="2750"/>
        <v>0.26947050975969333</v>
      </c>
      <c r="Q1223" s="1">
        <f t="shared" si="2751"/>
        <v>0</v>
      </c>
      <c r="R1223" s="1">
        <f t="shared" si="2752"/>
        <v>0.92117175162853815</v>
      </c>
      <c r="S1223" s="1">
        <f t="shared" si="2753"/>
        <v>0.96250469320808274</v>
      </c>
      <c r="T1223" s="1">
        <f t="shared" ref="T1223:V1223" si="2773">$S1223*P1223</f>
        <v>0.25936663032487928</v>
      </c>
      <c r="U1223" s="1">
        <f t="shared" si="2773"/>
        <v>0</v>
      </c>
      <c r="V1223" s="1">
        <f t="shared" si="2773"/>
        <v>0.88663213419317832</v>
      </c>
      <c r="W1223" s="1">
        <f t="shared" si="2755"/>
        <v>-11.16645455158956</v>
      </c>
      <c r="X1223" s="1">
        <f t="shared" si="2756"/>
        <v>0</v>
      </c>
      <c r="Y1223" s="1">
        <f t="shared" si="2757"/>
        <v>-5.5776206929990746</v>
      </c>
    </row>
    <row r="1224" spans="1:25">
      <c r="A1224" s="1">
        <v>1.222</v>
      </c>
      <c r="B1224" s="1">
        <f t="shared" si="2758"/>
        <v>41.694078266869695</v>
      </c>
      <c r="C1224" s="1">
        <f t="shared" si="2759"/>
        <v>0</v>
      </c>
      <c r="D1224" s="1">
        <f t="shared" si="2760"/>
        <v>-1.8034283035982825</v>
      </c>
      <c r="E1224" s="1">
        <f t="shared" si="2761"/>
        <v>16.404015295326612</v>
      </c>
      <c r="F1224" s="1">
        <f t="shared" si="2762"/>
        <v>0</v>
      </c>
      <c r="G1224" s="1">
        <f t="shared" si="2763"/>
        <v>-4.8075131838684415</v>
      </c>
      <c r="H1224" s="1">
        <f t="shared" si="2304"/>
        <v>17.093972646005327</v>
      </c>
      <c r="I1224" s="1">
        <f t="shared" si="2746"/>
        <v>-11.411940736737762</v>
      </c>
      <c r="J1224" s="1">
        <f t="shared" si="2747"/>
        <v>0</v>
      </c>
      <c r="K1224" s="1">
        <f t="shared" si="2748"/>
        <v>3.3444894166260757</v>
      </c>
      <c r="L1224" s="1">
        <f t="shared" ref="L1224:N1224" si="2774">E1224/$H1224</f>
        <v>0.9596373900340861</v>
      </c>
      <c r="M1224" s="1">
        <f t="shared" si="2774"/>
        <v>0</v>
      </c>
      <c r="N1224" s="1">
        <f t="shared" si="2774"/>
        <v>-0.28124025253965201</v>
      </c>
      <c r="O1224" s="1">
        <f t="shared" si="2306"/>
        <v>-0.28124025253965201</v>
      </c>
      <c r="P1224" s="1">
        <f t="shared" si="2750"/>
        <v>0.26988866191967892</v>
      </c>
      <c r="Q1224" s="1">
        <f t="shared" si="2751"/>
        <v>0</v>
      </c>
      <c r="R1224" s="1">
        <f t="shared" si="2752"/>
        <v>0.92090392035143276</v>
      </c>
      <c r="S1224" s="1">
        <f t="shared" si="2753"/>
        <v>0.96147519730860109</v>
      </c>
      <c r="T1224" s="1">
        <f t="shared" ref="T1224:V1224" si="2775">$S1224*P1224</f>
        <v>0.25949125447057764</v>
      </c>
      <c r="U1224" s="1">
        <f t="shared" si="2775"/>
        <v>0</v>
      </c>
      <c r="V1224" s="1">
        <f t="shared" si="2775"/>
        <v>0.88542627852215805</v>
      </c>
      <c r="W1224" s="1">
        <f t="shared" si="2755"/>
        <v>-11.152449482267183</v>
      </c>
      <c r="X1224" s="1">
        <f t="shared" si="2756"/>
        <v>0</v>
      </c>
      <c r="Y1224" s="1">
        <f t="shared" si="2757"/>
        <v>-5.5767343048517652</v>
      </c>
    </row>
    <row r="1225" spans="1:25">
      <c r="A1225" s="1">
        <v>1.2230000000000001</v>
      </c>
      <c r="B1225" s="1">
        <f t="shared" si="2758"/>
        <v>41.710471129715543</v>
      </c>
      <c r="C1225" s="1">
        <f t="shared" si="2759"/>
        <v>0</v>
      </c>
      <c r="D1225" s="1">
        <f t="shared" si="2760"/>
        <v>-1.8082413935164559</v>
      </c>
      <c r="E1225" s="1">
        <f t="shared" si="2761"/>
        <v>16.392862845844345</v>
      </c>
      <c r="F1225" s="1">
        <f t="shared" si="2762"/>
        <v>0</v>
      </c>
      <c r="G1225" s="1">
        <f t="shared" si="2763"/>
        <v>-4.8130899181732936</v>
      </c>
      <c r="H1225" s="1">
        <f t="shared" si="2304"/>
        <v>17.084840849217336</v>
      </c>
      <c r="I1225" s="1">
        <f t="shared" si="2746"/>
        <v>-11.398089958530964</v>
      </c>
      <c r="J1225" s="1">
        <f t="shared" si="2747"/>
        <v>0</v>
      </c>
      <c r="K1225" s="1">
        <f t="shared" si="2748"/>
        <v>3.3465803003253254</v>
      </c>
      <c r="L1225" s="1">
        <f t="shared" ref="L1225:N1225" si="2776">E1225/$H1225</f>
        <v>0.95949754466663983</v>
      </c>
      <c r="M1225" s="1">
        <f t="shared" si="2776"/>
        <v>0</v>
      </c>
      <c r="N1225" s="1">
        <f t="shared" si="2776"/>
        <v>-0.28171698880026635</v>
      </c>
      <c r="O1225" s="1">
        <f t="shared" si="2306"/>
        <v>-0.28171698880026635</v>
      </c>
      <c r="P1225" s="1">
        <f t="shared" si="2750"/>
        <v>0.27030675904473483</v>
      </c>
      <c r="Q1225" s="1">
        <f t="shared" si="2751"/>
        <v>0</v>
      </c>
      <c r="R1225" s="1">
        <f t="shared" si="2752"/>
        <v>0.92063553822131061</v>
      </c>
      <c r="S1225" s="1">
        <f t="shared" si="2753"/>
        <v>0.96044820947928422</v>
      </c>
      <c r="T1225" s="1">
        <f t="shared" ref="T1225:V1225" si="2777">$S1225*P1225</f>
        <v>0.25961564273466387</v>
      </c>
      <c r="U1225" s="1">
        <f t="shared" si="2777"/>
        <v>0</v>
      </c>
      <c r="V1225" s="1">
        <f t="shared" si="2777"/>
        <v>0.88422275426765495</v>
      </c>
      <c r="W1225" s="1">
        <f t="shared" si="2755"/>
        <v>-11.1384743157963</v>
      </c>
      <c r="X1225" s="1">
        <f t="shared" si="2756"/>
        <v>0</v>
      </c>
      <c r="Y1225" s="1">
        <f t="shared" si="2757"/>
        <v>-5.5758469454070188</v>
      </c>
    </row>
    <row r="1226" spans="1:25">
      <c r="A1226" s="1">
        <v>1.224</v>
      </c>
      <c r="B1226" s="1">
        <f t="shared" si="2758"/>
        <v>41.72685285408707</v>
      </c>
      <c r="C1226" s="1">
        <f t="shared" si="2759"/>
        <v>0</v>
      </c>
      <c r="D1226" s="1">
        <f t="shared" si="2760"/>
        <v>-1.8130600592815747</v>
      </c>
      <c r="E1226" s="1">
        <f t="shared" si="2761"/>
        <v>16.381724371528549</v>
      </c>
      <c r="F1226" s="1">
        <f t="shared" si="2762"/>
        <v>0</v>
      </c>
      <c r="G1226" s="1">
        <f t="shared" si="2763"/>
        <v>-4.8186657651187002</v>
      </c>
      <c r="H1226" s="1">
        <f t="shared" si="2304"/>
        <v>17.075726430833313</v>
      </c>
      <c r="I1226" s="1">
        <f t="shared" si="2746"/>
        <v>-11.384268767633388</v>
      </c>
      <c r="J1226" s="1">
        <f t="shared" si="2747"/>
        <v>0</v>
      </c>
      <c r="K1226" s="1">
        <f t="shared" si="2748"/>
        <v>3.3486698303169202</v>
      </c>
      <c r="L1226" s="1">
        <f t="shared" ref="L1226:N1226" si="2778">E1226/$H1226</f>
        <v>0.95935739178559232</v>
      </c>
      <c r="M1226" s="1">
        <f t="shared" si="2778"/>
        <v>0</v>
      </c>
      <c r="N1226" s="1">
        <f t="shared" si="2778"/>
        <v>-0.28219389579922805</v>
      </c>
      <c r="O1226" s="1">
        <f t="shared" si="2306"/>
        <v>-0.28219389579922805</v>
      </c>
      <c r="P1226" s="1">
        <f t="shared" si="2750"/>
        <v>0.27072479985176262</v>
      </c>
      <c r="Q1226" s="1">
        <f t="shared" si="2751"/>
        <v>0</v>
      </c>
      <c r="R1226" s="1">
        <f t="shared" si="2752"/>
        <v>0.92036660517365443</v>
      </c>
      <c r="S1226" s="1">
        <f t="shared" si="2753"/>
        <v>0.95942372328443792</v>
      </c>
      <c r="T1226" s="1">
        <f t="shared" ref="T1226:V1226" si="2779">$S1226*P1226</f>
        <v>0.25973979545921233</v>
      </c>
      <c r="U1226" s="1">
        <f t="shared" si="2779"/>
        <v>0</v>
      </c>
      <c r="V1226" s="1">
        <f t="shared" si="2779"/>
        <v>0.8830215551223658</v>
      </c>
      <c r="W1226" s="1">
        <f t="shared" si="2755"/>
        <v>-11.124528972174176</v>
      </c>
      <c r="X1226" s="1">
        <f t="shared" si="2756"/>
        <v>0</v>
      </c>
      <c r="Y1226" s="1">
        <f t="shared" si="2757"/>
        <v>-5.5749586145607131</v>
      </c>
    </row>
    <row r="1227" spans="1:25">
      <c r="A1227" s="1">
        <v>1.2250000000000001</v>
      </c>
      <c r="B1227" s="1">
        <f t="shared" si="2758"/>
        <v>41.74322345392963</v>
      </c>
      <c r="C1227" s="1">
        <f t="shared" si="2759"/>
        <v>0</v>
      </c>
      <c r="D1227" s="1">
        <f t="shared" si="2760"/>
        <v>-1.817884300005308</v>
      </c>
      <c r="E1227" s="1">
        <f t="shared" si="2761"/>
        <v>16.370599842556373</v>
      </c>
      <c r="F1227" s="1">
        <f t="shared" si="2762"/>
        <v>0</v>
      </c>
      <c r="G1227" s="1">
        <f t="shared" si="2763"/>
        <v>-4.8242407237332605</v>
      </c>
      <c r="H1227" s="1">
        <f t="shared" si="2304"/>
        <v>17.066629361582596</v>
      </c>
      <c r="I1227" s="1">
        <f t="shared" si="2746"/>
        <v>-11.370477084644994</v>
      </c>
      <c r="J1227" s="1">
        <f t="shared" si="2747"/>
        <v>0</v>
      </c>
      <c r="K1227" s="1">
        <f t="shared" si="2748"/>
        <v>3.3507580129974288</v>
      </c>
      <c r="L1227" s="1">
        <f t="shared" ref="L1227:N1227" si="2780">E1227/$H1227</f>
        <v>0.95921693122409968</v>
      </c>
      <c r="M1227" s="1">
        <f t="shared" si="2780"/>
        <v>0</v>
      </c>
      <c r="N1227" s="1">
        <f t="shared" si="2780"/>
        <v>-0.28267097278111314</v>
      </c>
      <c r="O1227" s="1">
        <f t="shared" si="2306"/>
        <v>-0.28267097278111314</v>
      </c>
      <c r="P1227" s="1">
        <f t="shared" si="2750"/>
        <v>0.27114278305723033</v>
      </c>
      <c r="Q1227" s="1">
        <f t="shared" si="2751"/>
        <v>0</v>
      </c>
      <c r="R1227" s="1">
        <f t="shared" si="2752"/>
        <v>0.92009712114697917</v>
      </c>
      <c r="S1227" s="1">
        <f t="shared" si="2753"/>
        <v>0.95840173230948511</v>
      </c>
      <c r="T1227" s="1">
        <f t="shared" ref="T1227:V1227" si="2781">$S1227*P1227</f>
        <v>0.25986371298526445</v>
      </c>
      <c r="U1227" s="1">
        <f t="shared" si="2781"/>
        <v>0</v>
      </c>
      <c r="V1227" s="1">
        <f t="shared" si="2781"/>
        <v>0.88182267480023502</v>
      </c>
      <c r="W1227" s="1">
        <f t="shared" si="2755"/>
        <v>-11.11061337165973</v>
      </c>
      <c r="X1227" s="1">
        <f t="shared" si="2756"/>
        <v>0</v>
      </c>
      <c r="Y1227" s="1">
        <f t="shared" si="2757"/>
        <v>-5.5740693122023357</v>
      </c>
    </row>
    <row r="1228" spans="1:25">
      <c r="A1228" s="1">
        <v>1.226</v>
      </c>
      <c r="B1228" s="1">
        <f t="shared" si="2758"/>
        <v>41.759582943158811</v>
      </c>
      <c r="C1228" s="1">
        <f t="shared" si="2759"/>
        <v>0</v>
      </c>
      <c r="D1228" s="1">
        <f t="shared" si="2760"/>
        <v>-1.8227141147983534</v>
      </c>
      <c r="E1228" s="1">
        <f t="shared" si="2761"/>
        <v>16.359489229184714</v>
      </c>
      <c r="F1228" s="1">
        <f t="shared" si="2762"/>
        <v>0</v>
      </c>
      <c r="G1228" s="1">
        <f t="shared" si="2763"/>
        <v>-4.8298147930454629</v>
      </c>
      <c r="H1228" s="1">
        <f t="shared" si="2304"/>
        <v>17.057549612266456</v>
      </c>
      <c r="I1228" s="1">
        <f t="shared" si="2746"/>
        <v>-11.356714830425316</v>
      </c>
      <c r="J1228" s="1">
        <f t="shared" si="2747"/>
        <v>0</v>
      </c>
      <c r="K1228" s="1">
        <f t="shared" si="2748"/>
        <v>3.3528448547485925</v>
      </c>
      <c r="L1228" s="1">
        <f t="shared" ref="L1228:N1228" si="2782">E1228/$H1228</f>
        <v>0.95907616281650721</v>
      </c>
      <c r="M1228" s="1">
        <f t="shared" si="2782"/>
        <v>0</v>
      </c>
      <c r="N1228" s="1">
        <f t="shared" si="2782"/>
        <v>-0.28314821898992093</v>
      </c>
      <c r="O1228" s="1">
        <f t="shared" si="2306"/>
        <v>-0.28314821898992093</v>
      </c>
      <c r="P1228" s="1">
        <f t="shared" si="2750"/>
        <v>0.27156070737718147</v>
      </c>
      <c r="Q1228" s="1">
        <f t="shared" si="2751"/>
        <v>0</v>
      </c>
      <c r="R1228" s="1">
        <f t="shared" si="2752"/>
        <v>0.91982708608283581</v>
      </c>
      <c r="S1228" s="1">
        <f t="shared" si="2753"/>
        <v>0.95738223016088153</v>
      </c>
      <c r="T1228" s="1">
        <f t="shared" ref="T1228:V1228" si="2783">$S1228*P1228</f>
        <v>0.25998739565283252</v>
      </c>
      <c r="U1228" s="1">
        <f t="shared" si="2783"/>
        <v>0</v>
      </c>
      <c r="V1228" s="1">
        <f t="shared" si="2783"/>
        <v>0.88062610703637045</v>
      </c>
      <c r="W1228" s="1">
        <f t="shared" si="2755"/>
        <v>-11.096727434772484</v>
      </c>
      <c r="X1228" s="1">
        <f t="shared" si="2756"/>
        <v>0</v>
      </c>
      <c r="Y1228" s="1">
        <f t="shared" si="2757"/>
        <v>-5.5731790382150361</v>
      </c>
    </row>
    <row r="1229" spans="1:25">
      <c r="A1229" s="1">
        <v>1.2270000000000001</v>
      </c>
      <c r="B1229" s="1">
        <f t="shared" si="2758"/>
        <v>41.775931335660559</v>
      </c>
      <c r="C1229" s="1">
        <f t="shared" si="2759"/>
        <v>0</v>
      </c>
      <c r="D1229" s="1">
        <f t="shared" si="2760"/>
        <v>-1.8275495027704372</v>
      </c>
      <c r="E1229" s="1">
        <f t="shared" si="2761"/>
        <v>16.348392501749942</v>
      </c>
      <c r="F1229" s="1">
        <f t="shared" si="2762"/>
        <v>0</v>
      </c>
      <c r="G1229" s="1">
        <f t="shared" si="2763"/>
        <v>-4.8353879720836783</v>
      </c>
      <c r="H1229" s="1">
        <f t="shared" si="2304"/>
        <v>17.048487153757815</v>
      </c>
      <c r="I1229" s="1">
        <f t="shared" si="2746"/>
        <v>-11.342981926092405</v>
      </c>
      <c r="J1229" s="1">
        <f t="shared" si="2747"/>
        <v>0</v>
      </c>
      <c r="K1229" s="1">
        <f t="shared" si="2748"/>
        <v>3.3549303619373489</v>
      </c>
      <c r="L1229" s="1">
        <f t="shared" ref="L1229:N1229" si="2784">E1229/$H1229</f>
        <v>0.95893508639835179</v>
      </c>
      <c r="M1229" s="1">
        <f t="shared" si="2784"/>
        <v>0</v>
      </c>
      <c r="N1229" s="1">
        <f t="shared" si="2784"/>
        <v>-0.28362563366907695</v>
      </c>
      <c r="O1229" s="1">
        <f t="shared" si="2306"/>
        <v>-0.28362563366907695</v>
      </c>
      <c r="P1229" s="1">
        <f t="shared" si="2750"/>
        <v>0.27197857152724358</v>
      </c>
      <c r="Q1229" s="1">
        <f t="shared" si="2751"/>
        <v>0</v>
      </c>
      <c r="R1229" s="1">
        <f t="shared" si="2752"/>
        <v>0.91955649992581456</v>
      </c>
      <c r="S1229" s="1">
        <f t="shared" si="2753"/>
        <v>0.95636521046602962</v>
      </c>
      <c r="T1229" s="1">
        <f t="shared" ref="T1229:V1229" si="2785">$S1229*P1229</f>
        <v>0.26011084380090238</v>
      </c>
      <c r="U1229" s="1">
        <f t="shared" si="2785"/>
        <v>0</v>
      </c>
      <c r="V1229" s="1">
        <f t="shared" si="2785"/>
        <v>0.87943184558695719</v>
      </c>
      <c r="W1229" s="1">
        <f t="shared" si="2755"/>
        <v>-11.082871082291502</v>
      </c>
      <c r="X1229" s="1">
        <f t="shared" si="2756"/>
        <v>0</v>
      </c>
      <c r="Y1229" s="1">
        <f t="shared" si="2757"/>
        <v>-5.5722877924756933</v>
      </c>
    </row>
    <row r="1230" spans="1:25">
      <c r="A1230" s="1">
        <v>1.228</v>
      </c>
      <c r="B1230" s="1">
        <f t="shared" si="2758"/>
        <v>41.792268645291223</v>
      </c>
      <c r="C1230" s="1">
        <f t="shared" si="2759"/>
        <v>0</v>
      </c>
      <c r="D1230" s="1">
        <f t="shared" si="2760"/>
        <v>-1.8323904630303134</v>
      </c>
      <c r="E1230" s="1">
        <f t="shared" si="2761"/>
        <v>16.337309630667651</v>
      </c>
      <c r="F1230" s="1">
        <f t="shared" si="2762"/>
        <v>0</v>
      </c>
      <c r="G1230" s="1">
        <f t="shared" si="2763"/>
        <v>-4.8409602598761543</v>
      </c>
      <c r="H1230" s="1">
        <f t="shared" si="2304"/>
        <v>17.039441957001003</v>
      </c>
      <c r="I1230" s="1">
        <f t="shared" si="2746"/>
        <v>-11.329278293021815</v>
      </c>
      <c r="J1230" s="1">
        <f t="shared" si="2747"/>
        <v>0</v>
      </c>
      <c r="K1230" s="1">
        <f t="shared" si="2748"/>
        <v>3.3570145409158685</v>
      </c>
      <c r="L1230" s="1">
        <f t="shared" ref="L1230:N1230" si="2786">E1230/$H1230</f>
        <v>0.95879370180636303</v>
      </c>
      <c r="M1230" s="1">
        <f t="shared" si="2786"/>
        <v>0</v>
      </c>
      <c r="N1230" s="1">
        <f t="shared" si="2786"/>
        <v>-0.28410321606143601</v>
      </c>
      <c r="O1230" s="1">
        <f t="shared" si="2306"/>
        <v>-0.28410321606143601</v>
      </c>
      <c r="P1230" s="1">
        <f t="shared" si="2750"/>
        <v>0.27239637422263718</v>
      </c>
      <c r="Q1230" s="1">
        <f t="shared" si="2751"/>
        <v>0</v>
      </c>
      <c r="R1230" s="1">
        <f t="shared" si="2752"/>
        <v>0.91928536262354899</v>
      </c>
      <c r="S1230" s="1">
        <f t="shared" si="2753"/>
        <v>0.95535066687319647</v>
      </c>
      <c r="T1230" s="1">
        <f t="shared" ref="T1230:V1230" si="2787">$S1230*P1230</f>
        <v>0.26023405776743724</v>
      </c>
      <c r="U1230" s="1">
        <f t="shared" si="2787"/>
        <v>0</v>
      </c>
      <c r="V1230" s="1">
        <f t="shared" si="2787"/>
        <v>0.87823988422917576</v>
      </c>
      <c r="W1230" s="1">
        <f t="shared" si="2755"/>
        <v>-11.069044235254378</v>
      </c>
      <c r="X1230" s="1">
        <f t="shared" si="2756"/>
        <v>0</v>
      </c>
      <c r="Y1230" s="1">
        <f t="shared" si="2757"/>
        <v>-5.5713955748549555</v>
      </c>
    </row>
    <row r="1231" spans="1:25">
      <c r="A1231" s="1">
        <v>1.2290000000000001</v>
      </c>
      <c r="B1231" s="1">
        <f t="shared" si="2758"/>
        <v>41.808594885877653</v>
      </c>
      <c r="C1231" s="1">
        <f t="shared" si="2759"/>
        <v>0</v>
      </c>
      <c r="D1231" s="1">
        <f t="shared" si="2760"/>
        <v>-1.8372369946857643</v>
      </c>
      <c r="E1231" s="1">
        <f t="shared" si="2761"/>
        <v>16.326240586432398</v>
      </c>
      <c r="F1231" s="1">
        <f t="shared" si="2762"/>
        <v>0</v>
      </c>
      <c r="G1231" s="1">
        <f t="shared" si="2763"/>
        <v>-4.8465316554510096</v>
      </c>
      <c r="H1231" s="1">
        <f t="shared" si="2304"/>
        <v>17.030413993011479</v>
      </c>
      <c r="I1231" s="1">
        <f t="shared" si="2746"/>
        <v>-11.315603852845543</v>
      </c>
      <c r="J1231" s="1">
        <f t="shared" si="2747"/>
        <v>0</v>
      </c>
      <c r="K1231" s="1">
        <f t="shared" si="2748"/>
        <v>3.3590973980215768</v>
      </c>
      <c r="L1231" s="1">
        <f t="shared" ref="L1231:N1231" si="2788">E1231/$H1231</f>
        <v>0.95865200887846636</v>
      </c>
      <c r="M1231" s="1">
        <f t="shared" si="2788"/>
        <v>0</v>
      </c>
      <c r="N1231" s="1">
        <f t="shared" si="2788"/>
        <v>-0.2845809654092854</v>
      </c>
      <c r="O1231" s="1">
        <f t="shared" si="2306"/>
        <v>-0.2845809654092854</v>
      </c>
      <c r="P1231" s="1">
        <f t="shared" si="2750"/>
        <v>0.2728141141781848</v>
      </c>
      <c r="Q1231" s="1">
        <f t="shared" si="2751"/>
        <v>0</v>
      </c>
      <c r="R1231" s="1">
        <f t="shared" si="2752"/>
        <v>0.91901367412671908</v>
      </c>
      <c r="S1231" s="1">
        <f t="shared" si="2753"/>
        <v>0.95433859305142854</v>
      </c>
      <c r="T1231" s="1">
        <f t="shared" ref="T1231:V1231" si="2789">$S1231*P1231</f>
        <v>0.26035703788938064</v>
      </c>
      <c r="U1231" s="1">
        <f t="shared" si="2789"/>
        <v>0</v>
      </c>
      <c r="V1231" s="1">
        <f t="shared" si="2789"/>
        <v>0.87705021676111716</v>
      </c>
      <c r="W1231" s="1">
        <f t="shared" si="2755"/>
        <v>-11.055246814956162</v>
      </c>
      <c r="X1231" s="1">
        <f t="shared" si="2756"/>
        <v>0</v>
      </c>
      <c r="Y1231" s="1">
        <f t="shared" si="2757"/>
        <v>-5.5705023852173055</v>
      </c>
    </row>
    <row r="1232" spans="1:25">
      <c r="A1232" s="1">
        <v>1.23</v>
      </c>
      <c r="B1232" s="1">
        <f t="shared" si="2758"/>
        <v>41.824910071217268</v>
      </c>
      <c r="C1232" s="1">
        <f t="shared" si="2759"/>
        <v>0</v>
      </c>
      <c r="D1232" s="1">
        <f t="shared" si="2760"/>
        <v>-1.8420890968436006</v>
      </c>
      <c r="E1232" s="1">
        <f t="shared" si="2761"/>
        <v>16.315185339617443</v>
      </c>
      <c r="F1232" s="1">
        <f t="shared" si="2762"/>
        <v>0</v>
      </c>
      <c r="G1232" s="1">
        <f t="shared" si="2763"/>
        <v>-4.8521021578362271</v>
      </c>
      <c r="H1232" s="1">
        <f t="shared" si="2304"/>
        <v>17.021403232875571</v>
      </c>
      <c r="I1232" s="1">
        <f t="shared" si="2746"/>
        <v>-11.301958527451012</v>
      </c>
      <c r="J1232" s="1">
        <f t="shared" si="2747"/>
        <v>0</v>
      </c>
      <c r="K1232" s="1">
        <f t="shared" si="2748"/>
        <v>3.3611789395771856</v>
      </c>
      <c r="L1232" s="1">
        <f t="shared" ref="L1232:N1232" si="2790">E1232/$H1232</f>
        <v>0.95851000745378501</v>
      </c>
      <c r="M1232" s="1">
        <f t="shared" si="2790"/>
        <v>0</v>
      </c>
      <c r="N1232" s="1">
        <f t="shared" si="2790"/>
        <v>-0.28505888095434773</v>
      </c>
      <c r="O1232" s="1">
        <f t="shared" si="2306"/>
        <v>-0.28505888095434773</v>
      </c>
      <c r="P1232" s="1">
        <f t="shared" si="2750"/>
        <v>0.27323179010831944</v>
      </c>
      <c r="Q1232" s="1">
        <f t="shared" si="2751"/>
        <v>0</v>
      </c>
      <c r="R1232" s="1">
        <f t="shared" si="2752"/>
        <v>0.91874143438905498</v>
      </c>
      <c r="S1232" s="1">
        <f t="shared" si="2753"/>
        <v>0.95332898269046817</v>
      </c>
      <c r="T1232" s="1">
        <f t="shared" ref="T1232:V1232" si="2791">$S1232*P1232</f>
        <v>0.26047978450265968</v>
      </c>
      <c r="U1232" s="1">
        <f t="shared" si="2791"/>
        <v>0</v>
      </c>
      <c r="V1232" s="1">
        <f t="shared" si="2791"/>
        <v>0.87586283700169931</v>
      </c>
      <c r="W1232" s="1">
        <f t="shared" si="2755"/>
        <v>-11.041478742948351</v>
      </c>
      <c r="X1232" s="1">
        <f t="shared" si="2756"/>
        <v>0</v>
      </c>
      <c r="Y1232" s="1">
        <f t="shared" si="2757"/>
        <v>-5.5696082234211142</v>
      </c>
    </row>
    <row r="1233" spans="1:25">
      <c r="A1233" s="1">
        <v>1.2310000000000001</v>
      </c>
      <c r="B1233" s="1">
        <f t="shared" si="2758"/>
        <v>41.841214215078139</v>
      </c>
      <c r="C1233" s="1">
        <f t="shared" si="2759"/>
        <v>0</v>
      </c>
      <c r="D1233" s="1">
        <f t="shared" si="2760"/>
        <v>-1.8469467686096601</v>
      </c>
      <c r="E1233" s="1">
        <f t="shared" si="2761"/>
        <v>16.304143860874493</v>
      </c>
      <c r="F1233" s="1">
        <f t="shared" si="2762"/>
        <v>0</v>
      </c>
      <c r="G1233" s="1">
        <f t="shared" si="2763"/>
        <v>-4.8576717660596485</v>
      </c>
      <c r="H1233" s="1">
        <f t="shared" si="2304"/>
        <v>17.012409647750214</v>
      </c>
      <c r="I1233" s="1">
        <f t="shared" si="2746"/>
        <v>-11.288342238980052</v>
      </c>
      <c r="J1233" s="1">
        <f t="shared" si="2747"/>
        <v>0</v>
      </c>
      <c r="K1233" s="1">
        <f t="shared" si="2748"/>
        <v>3.3632591718907223</v>
      </c>
      <c r="L1233" s="1">
        <f t="shared" ref="L1233:N1233" si="2792">E1233/$H1233</f>
        <v>0.95836769737264205</v>
      </c>
      <c r="M1233" s="1">
        <f t="shared" si="2792"/>
        <v>0</v>
      </c>
      <c r="N1233" s="1">
        <f t="shared" si="2792"/>
        <v>-0.28553696193778438</v>
      </c>
      <c r="O1233" s="1">
        <f t="shared" si="2306"/>
        <v>-0.28553696193778438</v>
      </c>
      <c r="P1233" s="1">
        <f t="shared" si="2750"/>
        <v>0.27364940072709415</v>
      </c>
      <c r="Q1233" s="1">
        <f t="shared" si="2751"/>
        <v>0</v>
      </c>
      <c r="R1233" s="1">
        <f t="shared" si="2752"/>
        <v>0.91846864336734024</v>
      </c>
      <c r="S1233" s="1">
        <f t="shared" si="2753"/>
        <v>0.95232182950067057</v>
      </c>
      <c r="T1233" s="1">
        <f t="shared" ref="T1233:V1233" si="2793">$S1233*P1233</f>
        <v>0.26060229794218842</v>
      </c>
      <c r="U1233" s="1">
        <f t="shared" si="2793"/>
        <v>0</v>
      </c>
      <c r="V1233" s="1">
        <f t="shared" si="2793"/>
        <v>0.87467773879058441</v>
      </c>
      <c r="W1233" s="1">
        <f t="shared" si="2755"/>
        <v>-11.027739941037863</v>
      </c>
      <c r="X1233" s="1">
        <f t="shared" si="2756"/>
        <v>0</v>
      </c>
      <c r="Y1233" s="1">
        <f t="shared" si="2757"/>
        <v>-5.5687130893186927</v>
      </c>
    </row>
    <row r="1234" spans="1:25">
      <c r="A1234" s="1">
        <v>1.232</v>
      </c>
      <c r="B1234" s="1">
        <f t="shared" si="2758"/>
        <v>41.857507331199074</v>
      </c>
      <c r="C1234" s="1">
        <f t="shared" si="2759"/>
        <v>0</v>
      </c>
      <c r="D1234" s="1">
        <f t="shared" si="2760"/>
        <v>-1.851810009088809</v>
      </c>
      <c r="E1234" s="1">
        <f t="shared" si="2761"/>
        <v>16.293116120933455</v>
      </c>
      <c r="F1234" s="1">
        <f t="shared" si="2762"/>
        <v>0</v>
      </c>
      <c r="G1234" s="1">
        <f t="shared" si="2763"/>
        <v>-4.863240479148967</v>
      </c>
      <c r="H1234" s="1">
        <f t="shared" si="2304"/>
        <v>17.003433208862695</v>
      </c>
      <c r="I1234" s="1">
        <f t="shared" si="2746"/>
        <v>-11.274754909827873</v>
      </c>
      <c r="J1234" s="1">
        <f t="shared" si="2747"/>
        <v>0</v>
      </c>
      <c r="K1234" s="1">
        <f t="shared" si="2748"/>
        <v>3.3653381012555554</v>
      </c>
      <c r="L1234" s="1">
        <f t="shared" ref="L1234:N1234" si="2794">E1234/$H1234</f>
        <v>0.95822507847656302</v>
      </c>
      <c r="M1234" s="1">
        <f t="shared" si="2794"/>
        <v>0</v>
      </c>
      <c r="N1234" s="1">
        <f t="shared" si="2794"/>
        <v>-0.28601520760019816</v>
      </c>
      <c r="O1234" s="1">
        <f t="shared" si="2306"/>
        <v>-0.28601520760019816</v>
      </c>
      <c r="P1234" s="1">
        <f t="shared" si="2750"/>
        <v>0.27406694474819032</v>
      </c>
      <c r="Q1234" s="1">
        <f t="shared" si="2751"/>
        <v>0</v>
      </c>
      <c r="R1234" s="1">
        <f t="shared" si="2752"/>
        <v>0.91819530102141556</v>
      </c>
      <c r="S1234" s="1">
        <f t="shared" si="2753"/>
        <v>0.95131712721292161</v>
      </c>
      <c r="T1234" s="1">
        <f t="shared" ref="T1234:V1234" si="2795">$S1234*P1234</f>
        <v>0.26072457854187092</v>
      </c>
      <c r="U1234" s="1">
        <f t="shared" si="2795"/>
        <v>0</v>
      </c>
      <c r="V1234" s="1">
        <f t="shared" si="2795"/>
        <v>0.87349491598809681</v>
      </c>
      <c r="W1234" s="1">
        <f t="shared" si="2755"/>
        <v>-11.014030331286003</v>
      </c>
      <c r="X1234" s="1">
        <f t="shared" si="2756"/>
        <v>0</v>
      </c>
      <c r="Y1234" s="1">
        <f t="shared" si="2757"/>
        <v>-5.5678169827563471</v>
      </c>
    </row>
    <row r="1235" spans="1:25">
      <c r="A1235" s="1">
        <v>1.2330000000000001</v>
      </c>
      <c r="B1235" s="1">
        <f t="shared" si="2758"/>
        <v>41.873789433289673</v>
      </c>
      <c r="C1235" s="1">
        <f t="shared" si="2759"/>
        <v>0</v>
      </c>
      <c r="D1235" s="1">
        <f t="shared" si="2760"/>
        <v>-1.8566788173849407</v>
      </c>
      <c r="E1235" s="1">
        <f t="shared" si="2761"/>
        <v>16.282102090602169</v>
      </c>
      <c r="F1235" s="1">
        <f t="shared" si="2762"/>
        <v>0</v>
      </c>
      <c r="G1235" s="1">
        <f t="shared" si="2763"/>
        <v>-4.8688082961317232</v>
      </c>
      <c r="H1235" s="1">
        <f t="shared" si="2304"/>
        <v>16.994473887510392</v>
      </c>
      <c r="I1235" s="1">
        <f t="shared" si="2746"/>
        <v>-11.261196462642056</v>
      </c>
      <c r="J1235" s="1">
        <f t="shared" si="2747"/>
        <v>0</v>
      </c>
      <c r="K1235" s="1">
        <f t="shared" si="2748"/>
        <v>3.3674157339504251</v>
      </c>
      <c r="L1235" s="1">
        <f t="shared" ref="L1235:N1235" si="2796">E1235/$H1235</f>
        <v>0.95808215060827751</v>
      </c>
      <c r="M1235" s="1">
        <f t="shared" si="2796"/>
        <v>0</v>
      </c>
      <c r="N1235" s="1">
        <f t="shared" si="2796"/>
        <v>-0.28649361718163668</v>
      </c>
      <c r="O1235" s="1">
        <f t="shared" si="2306"/>
        <v>-0.28649361718163668</v>
      </c>
      <c r="P1235" s="1">
        <f t="shared" si="2750"/>
        <v>0.27448442088492703</v>
      </c>
      <c r="Q1235" s="1">
        <f t="shared" si="2751"/>
        <v>0</v>
      </c>
      <c r="R1235" s="1">
        <f t="shared" si="2752"/>
        <v>0.91792140731418181</v>
      </c>
      <c r="S1235" s="1">
        <f t="shared" si="2753"/>
        <v>0.95031486957855538</v>
      </c>
      <c r="T1235" s="1">
        <f t="shared" ref="T1235:V1235" si="2797">$S1235*P1235</f>
        <v>0.26084662663460473</v>
      </c>
      <c r="U1235" s="1">
        <f t="shared" si="2797"/>
        <v>0</v>
      </c>
      <c r="V1235" s="1">
        <f t="shared" si="2797"/>
        <v>0.87231436247514071</v>
      </c>
      <c r="W1235" s="1">
        <f t="shared" si="2755"/>
        <v>-11.000349836007452</v>
      </c>
      <c r="X1235" s="1">
        <f t="shared" si="2756"/>
        <v>0</v>
      </c>
      <c r="Y1235" s="1">
        <f t="shared" si="2757"/>
        <v>-5.5669199035744334</v>
      </c>
    </row>
    <row r="1236" spans="1:25">
      <c r="A1236" s="1">
        <v>1.234</v>
      </c>
      <c r="B1236" s="1">
        <f t="shared" si="2758"/>
        <v>41.890060535030436</v>
      </c>
      <c r="C1236" s="1">
        <f t="shared" si="2759"/>
        <v>0</v>
      </c>
      <c r="D1236" s="1">
        <f t="shared" si="2760"/>
        <v>-1.8615531926009761</v>
      </c>
      <c r="E1236" s="1">
        <f t="shared" si="2761"/>
        <v>16.271101740766163</v>
      </c>
      <c r="F1236" s="1">
        <f t="shared" si="2762"/>
        <v>0</v>
      </c>
      <c r="G1236" s="1">
        <f t="shared" si="2763"/>
        <v>-4.8743752160352978</v>
      </c>
      <c r="H1236" s="1">
        <f t="shared" si="2304"/>
        <v>16.985531655060516</v>
      </c>
      <c r="I1236" s="1">
        <f t="shared" si="2746"/>
        <v>-11.247666820321541</v>
      </c>
      <c r="J1236" s="1">
        <f t="shared" si="2747"/>
        <v>0</v>
      </c>
      <c r="K1236" s="1">
        <f t="shared" si="2748"/>
        <v>3.3694920762394718</v>
      </c>
      <c r="L1236" s="1">
        <f t="shared" ref="L1236:N1236" si="2798">E1236/$H1236</f>
        <v>0.95793891361172068</v>
      </c>
      <c r="M1236" s="1">
        <f t="shared" si="2798"/>
        <v>0</v>
      </c>
      <c r="N1236" s="1">
        <f t="shared" si="2798"/>
        <v>-0.28697218992159546</v>
      </c>
      <c r="O1236" s="1">
        <f t="shared" si="2306"/>
        <v>-0.28697218992159546</v>
      </c>
      <c r="P1236" s="1">
        <f t="shared" si="2750"/>
        <v>0.27490182785026951</v>
      </c>
      <c r="Q1236" s="1">
        <f t="shared" si="2751"/>
        <v>0</v>
      </c>
      <c r="R1236" s="1">
        <f t="shared" si="2752"/>
        <v>0.91764696221160369</v>
      </c>
      <c r="S1236" s="1">
        <f t="shared" si="2753"/>
        <v>0.94931505036927255</v>
      </c>
      <c r="T1236" s="1">
        <f t="shared" ref="T1236:V1236" si="2799">$S1236*P1236</f>
        <v>0.26096844255228369</v>
      </c>
      <c r="U1236" s="1">
        <f t="shared" si="2799"/>
        <v>0</v>
      </c>
      <c r="V1236" s="1">
        <f t="shared" si="2799"/>
        <v>0.8711360721531185</v>
      </c>
      <c r="W1236" s="1">
        <f t="shared" si="2755"/>
        <v>-10.986698377769258</v>
      </c>
      <c r="X1236" s="1">
        <f t="shared" si="2756"/>
        <v>0</v>
      </c>
      <c r="Y1236" s="1">
        <f t="shared" si="2757"/>
        <v>-5.5660218516074096</v>
      </c>
    </row>
    <row r="1237" spans="1:25">
      <c r="A1237" s="1">
        <v>1.2350000000000001</v>
      </c>
      <c r="B1237" s="1">
        <f t="shared" si="2758"/>
        <v>41.906320650072821</v>
      </c>
      <c r="C1237" s="1">
        <f t="shared" si="2759"/>
        <v>0</v>
      </c>
      <c r="D1237" s="1">
        <f t="shared" si="2760"/>
        <v>-1.8664331338388629</v>
      </c>
      <c r="E1237" s="1">
        <f t="shared" si="2761"/>
        <v>16.260115042388392</v>
      </c>
      <c r="F1237" s="1">
        <f t="shared" si="2762"/>
        <v>0</v>
      </c>
      <c r="G1237" s="1">
        <f t="shared" si="2763"/>
        <v>-4.8799412378869054</v>
      </c>
      <c r="H1237" s="1">
        <f t="shared" si="2304"/>
        <v>16.976606482949837</v>
      </c>
      <c r="I1237" s="1">
        <f t="shared" si="2746"/>
        <v>-11.23416590601561</v>
      </c>
      <c r="J1237" s="1">
        <f t="shared" si="2747"/>
        <v>0</v>
      </c>
      <c r="K1237" s="1">
        <f t="shared" si="2748"/>
        <v>3.3715671343722584</v>
      </c>
      <c r="L1237" s="1">
        <f t="shared" ref="L1237:N1237" si="2800">E1237/$H1237</f>
        <v>0.95779536733203774</v>
      </c>
      <c r="M1237" s="1">
        <f t="shared" si="2800"/>
        <v>0</v>
      </c>
      <c r="N1237" s="1">
        <f t="shared" si="2800"/>
        <v>-0.28745092505902109</v>
      </c>
      <c r="O1237" s="1">
        <f t="shared" si="2306"/>
        <v>-0.28745092505902109</v>
      </c>
      <c r="P1237" s="1">
        <f t="shared" si="2750"/>
        <v>0.27531916435683917</v>
      </c>
      <c r="Q1237" s="1">
        <f t="shared" si="2751"/>
        <v>0</v>
      </c>
      <c r="R1237" s="1">
        <f t="shared" si="2752"/>
        <v>0.91737196568271306</v>
      </c>
      <c r="S1237" s="1">
        <f t="shared" si="2753"/>
        <v>0.94831766337705647</v>
      </c>
      <c r="T1237" s="1">
        <f t="shared" ref="T1237:V1237" si="2801">$S1237*P1237</f>
        <v>0.2610900266258015</v>
      </c>
      <c r="U1237" s="1">
        <f t="shared" si="2801"/>
        <v>0</v>
      </c>
      <c r="V1237" s="1">
        <f t="shared" si="2801"/>
        <v>0.86996003894384766</v>
      </c>
      <c r="W1237" s="1">
        <f t="shared" si="2755"/>
        <v>-10.973075879389809</v>
      </c>
      <c r="X1237" s="1">
        <f t="shared" si="2756"/>
        <v>0</v>
      </c>
      <c r="Y1237" s="1">
        <f t="shared" si="2757"/>
        <v>-5.5651228266838935</v>
      </c>
    </row>
    <row r="1238" spans="1:25">
      <c r="A1238" s="1">
        <v>1.23599999999999</v>
      </c>
      <c r="B1238" s="1">
        <f t="shared" si="2758"/>
        <v>41.922569792039333</v>
      </c>
      <c r="C1238" s="1">
        <f t="shared" si="2759"/>
        <v>0</v>
      </c>
      <c r="D1238" s="1">
        <f t="shared" si="2760"/>
        <v>-1.8713186401995765</v>
      </c>
      <c r="E1238" s="1">
        <f t="shared" si="2761"/>
        <v>16.249141966509001</v>
      </c>
      <c r="F1238" s="1">
        <f t="shared" si="2762"/>
        <v>0</v>
      </c>
      <c r="G1238" s="1">
        <f t="shared" si="2763"/>
        <v>-4.8855063607135891</v>
      </c>
      <c r="H1238" s="1">
        <f t="shared" si="2304"/>
        <v>16.967698342684457</v>
      </c>
      <c r="I1238" s="1">
        <f t="shared" si="2746"/>
        <v>-11.220693643122912</v>
      </c>
      <c r="J1238" s="1">
        <f t="shared" si="2747"/>
        <v>0</v>
      </c>
      <c r="K1238" s="1">
        <f t="shared" si="2748"/>
        <v>3.3736409145838056</v>
      </c>
      <c r="L1238" s="1">
        <f t="shared" ref="L1238:N1238" si="2802">E1238/$H1238</f>
        <v>0.95765151161558348</v>
      </c>
      <c r="M1238" s="1">
        <f t="shared" si="2802"/>
        <v>0</v>
      </c>
      <c r="N1238" s="1">
        <f t="shared" si="2802"/>
        <v>-0.28792982183231425</v>
      </c>
      <c r="O1238" s="1">
        <f t="shared" si="2306"/>
        <v>-0.28792982183231425</v>
      </c>
      <c r="P1238" s="1">
        <f t="shared" si="2750"/>
        <v>0.27573642911692137</v>
      </c>
      <c r="Q1238" s="1">
        <f t="shared" si="2751"/>
        <v>0</v>
      </c>
      <c r="R1238" s="1">
        <f t="shared" si="2752"/>
        <v>0.91709641769961181</v>
      </c>
      <c r="S1238" s="1">
        <f t="shared" si="2753"/>
        <v>0.94732270241409566</v>
      </c>
      <c r="T1238" s="1">
        <f t="shared" ref="T1238:V1238" si="2803">$S1238*P1238</f>
        <v>0.26121137918505466</v>
      </c>
      <c r="U1238" s="1">
        <f t="shared" si="2803"/>
        <v>0</v>
      </c>
      <c r="V1238" s="1">
        <f t="shared" si="2803"/>
        <v>0.86878625678948251</v>
      </c>
      <c r="W1238" s="1">
        <f t="shared" si="2755"/>
        <v>-10.959482263937858</v>
      </c>
      <c r="X1238" s="1">
        <f t="shared" si="2756"/>
        <v>0</v>
      </c>
      <c r="Y1238" s="1">
        <f t="shared" si="2757"/>
        <v>-5.5642228286267112</v>
      </c>
    </row>
    <row r="1239" spans="1:25">
      <c r="A1239" s="1">
        <v>1.2370000000000001</v>
      </c>
      <c r="B1239" s="1">
        <f t="shared" si="2758"/>
        <v>41.938807974523577</v>
      </c>
      <c r="C1239" s="1">
        <f t="shared" si="2759"/>
        <v>0</v>
      </c>
      <c r="D1239" s="1">
        <f t="shared" si="2760"/>
        <v>-1.8762097107831188</v>
      </c>
      <c r="E1239" s="1">
        <f t="shared" si="2761"/>
        <v>16.238182484245062</v>
      </c>
      <c r="F1239" s="1">
        <f t="shared" si="2762"/>
        <v>0</v>
      </c>
      <c r="G1239" s="1">
        <f t="shared" si="2763"/>
        <v>-4.8910705835422155</v>
      </c>
      <c r="H1239" s="1">
        <f t="shared" si="2304"/>
        <v>16.958807205839541</v>
      </c>
      <c r="I1239" s="1">
        <f t="shared" si="2746"/>
        <v>-11.20724995529045</v>
      </c>
      <c r="J1239" s="1">
        <f t="shared" si="2747"/>
        <v>0</v>
      </c>
      <c r="K1239" s="1">
        <f t="shared" si="2748"/>
        <v>3.375713423094616</v>
      </c>
      <c r="L1239" s="1">
        <f t="shared" ref="L1239:N1239" si="2804">E1239/$H1239</f>
        <v>0.95750734630992551</v>
      </c>
      <c r="M1239" s="1">
        <f t="shared" si="2804"/>
        <v>0</v>
      </c>
      <c r="N1239" s="1">
        <f t="shared" si="2804"/>
        <v>-0.28840887947933269</v>
      </c>
      <c r="O1239" s="1">
        <f t="shared" si="2306"/>
        <v>-0.28840887947933269</v>
      </c>
      <c r="P1239" s="1">
        <f t="shared" si="2750"/>
        <v>0.27615362084247497</v>
      </c>
      <c r="Q1239" s="1">
        <f t="shared" si="2751"/>
        <v>0</v>
      </c>
      <c r="R1239" s="1">
        <f t="shared" si="2752"/>
        <v>0.91682031823747578</v>
      </c>
      <c r="S1239" s="1">
        <f t="shared" si="2753"/>
        <v>0.9463301613127012</v>
      </c>
      <c r="T1239" s="1">
        <f t="shared" ref="T1239:V1239" si="2805">$S1239*P1239</f>
        <v>0.26133250055894586</v>
      </c>
      <c r="U1239" s="1">
        <f t="shared" si="2805"/>
        <v>0</v>
      </c>
      <c r="V1239" s="1">
        <f t="shared" si="2805"/>
        <v>0.86761471965243253</v>
      </c>
      <c r="W1239" s="1">
        <f t="shared" si="2755"/>
        <v>-10.945917454731504</v>
      </c>
      <c r="X1239" s="1">
        <f t="shared" si="2756"/>
        <v>0</v>
      </c>
      <c r="Y1239" s="1">
        <f t="shared" si="2757"/>
        <v>-5.5633218572529506</v>
      </c>
    </row>
    <row r="1240" spans="1:25">
      <c r="A1240" s="1">
        <v>1.23799999999999</v>
      </c>
      <c r="B1240" s="1">
        <f t="shared" si="2758"/>
        <v>41.955035211090369</v>
      </c>
      <c r="C1240" s="1">
        <f t="shared" si="2759"/>
        <v>0</v>
      </c>
      <c r="D1240" s="1">
        <f t="shared" si="2760"/>
        <v>-1.8811063446885183</v>
      </c>
      <c r="E1240" s="1">
        <f t="shared" si="2761"/>
        <v>16.227236566790332</v>
      </c>
      <c r="F1240" s="1">
        <f t="shared" si="2762"/>
        <v>0</v>
      </c>
      <c r="G1240" s="1">
        <f t="shared" si="2763"/>
        <v>-4.8966339053994687</v>
      </c>
      <c r="H1240" s="1">
        <f t="shared" si="2304"/>
        <v>16.949933044059051</v>
      </c>
      <c r="I1240" s="1">
        <f t="shared" si="2746"/>
        <v>-11.193834766412591</v>
      </c>
      <c r="J1240" s="1">
        <f t="shared" si="2747"/>
        <v>0</v>
      </c>
      <c r="K1240" s="1">
        <f t="shared" si="2748"/>
        <v>3.3777846661107009</v>
      </c>
      <c r="L1240" s="1">
        <f t="shared" ref="L1240:N1240" si="2806">E1240/$H1240</f>
        <v>0.957362871263847</v>
      </c>
      <c r="M1240" s="1">
        <f t="shared" si="2806"/>
        <v>0</v>
      </c>
      <c r="N1240" s="1">
        <f t="shared" si="2806"/>
        <v>-0.28888809723739517</v>
      </c>
      <c r="O1240" s="1">
        <f t="shared" si="2306"/>
        <v>-0.28888809723739517</v>
      </c>
      <c r="P1240" s="1">
        <f t="shared" si="2750"/>
        <v>0.27657073824514206</v>
      </c>
      <c r="Q1240" s="1">
        <f t="shared" si="2751"/>
        <v>0</v>
      </c>
      <c r="R1240" s="1">
        <f t="shared" si="2752"/>
        <v>0.91654366727455727</v>
      </c>
      <c r="S1240" s="1">
        <f t="shared" si="2753"/>
        <v>0.94534003392522503</v>
      </c>
      <c r="T1240" s="1">
        <f t="shared" ref="T1240:V1240" si="2807">$S1240*P1240</f>
        <v>0.26145339107538712</v>
      </c>
      <c r="U1240" s="1">
        <f t="shared" si="2807"/>
        <v>0</v>
      </c>
      <c r="V1240" s="1">
        <f t="shared" si="2807"/>
        <v>0.86644542151528015</v>
      </c>
      <c r="W1240" s="1">
        <f t="shared" si="2755"/>
        <v>-10.932381375337204</v>
      </c>
      <c r="X1240" s="1">
        <f t="shared" si="2756"/>
        <v>0</v>
      </c>
      <c r="Y1240" s="1">
        <f t="shared" si="2757"/>
        <v>-5.5624199123740183</v>
      </c>
    </row>
    <row r="1241" spans="1:25">
      <c r="A1241" s="1">
        <v>1.2390000000000001</v>
      </c>
      <c r="B1241" s="1">
        <f t="shared" si="2758"/>
        <v>41.971251515275782</v>
      </c>
      <c r="C1241" s="1">
        <f t="shared" si="2759"/>
        <v>0</v>
      </c>
      <c r="D1241" s="1">
        <f t="shared" si="2760"/>
        <v>-1.8860085410138301</v>
      </c>
      <c r="E1241" s="1">
        <f t="shared" si="2761"/>
        <v>16.216304185414995</v>
      </c>
      <c r="F1241" s="1">
        <f t="shared" si="2762"/>
        <v>0</v>
      </c>
      <c r="G1241" s="1">
        <f t="shared" si="2763"/>
        <v>-4.9021963253118424</v>
      </c>
      <c r="H1241" s="1">
        <f t="shared" si="2304"/>
        <v>16.94107582905551</v>
      </c>
      <c r="I1241" s="1">
        <f t="shared" si="2746"/>
        <v>-11.180448000630083</v>
      </c>
      <c r="J1241" s="1">
        <f t="shared" si="2747"/>
        <v>0</v>
      </c>
      <c r="K1241" s="1">
        <f t="shared" si="2748"/>
        <v>3.3798546498236095</v>
      </c>
      <c r="L1241" s="1">
        <f t="shared" ref="L1241:N1241" si="2808">E1241/$H1241</f>
        <v>0.95721808632734728</v>
      </c>
      <c r="M1241" s="1">
        <f t="shared" si="2808"/>
        <v>0</v>
      </c>
      <c r="N1241" s="1">
        <f t="shared" si="2808"/>
        <v>-0.28936747434328358</v>
      </c>
      <c r="O1241" s="1">
        <f t="shared" si="2306"/>
        <v>-0.28936747434328358</v>
      </c>
      <c r="P1241" s="1">
        <f t="shared" si="2750"/>
        <v>0.27698778003625568</v>
      </c>
      <c r="Q1241" s="1">
        <f t="shared" si="2751"/>
        <v>0</v>
      </c>
      <c r="R1241" s="1">
        <f t="shared" si="2752"/>
        <v>0.91626646479218909</v>
      </c>
      <c r="S1241" s="1">
        <f t="shared" si="2753"/>
        <v>0.94435231412398191</v>
      </c>
      <c r="T1241" s="1">
        <f t="shared" ref="T1241:V1241" si="2809">$S1241*P1241</f>
        <v>0.26157405106130255</v>
      </c>
      <c r="U1241" s="1">
        <f t="shared" si="2809"/>
        <v>0</v>
      </c>
      <c r="V1241" s="1">
        <f t="shared" si="2809"/>
        <v>0.86527835638070372</v>
      </c>
      <c r="W1241" s="1">
        <f t="shared" si="2755"/>
        <v>-10.918873949568781</v>
      </c>
      <c r="X1241" s="1">
        <f t="shared" si="2756"/>
        <v>0</v>
      </c>
      <c r="Y1241" s="1">
        <f t="shared" si="2757"/>
        <v>-5.5615169937956859</v>
      </c>
    </row>
    <row r="1242" spans="1:25">
      <c r="A1242" s="1">
        <v>1.23999999999999</v>
      </c>
      <c r="B1242" s="1">
        <f t="shared" si="2758"/>
        <v>41.987456900587247</v>
      </c>
      <c r="C1242" s="1">
        <f t="shared" si="2759"/>
        <v>0</v>
      </c>
      <c r="D1242" s="1">
        <f t="shared" si="2760"/>
        <v>-1.8909162988561357</v>
      </c>
      <c r="E1242" s="1">
        <f t="shared" si="2761"/>
        <v>16.205385311465427</v>
      </c>
      <c r="F1242" s="1">
        <f t="shared" si="2762"/>
        <v>0</v>
      </c>
      <c r="G1242" s="1">
        <f t="shared" si="2763"/>
        <v>-4.9077578423056378</v>
      </c>
      <c r="H1242" s="1">
        <f t="shared" si="2304"/>
        <v>16.932235532609742</v>
      </c>
      <c r="I1242" s="1">
        <f t="shared" si="2746"/>
        <v>-11.167089582329071</v>
      </c>
      <c r="J1242" s="1">
        <f t="shared" si="2747"/>
        <v>0</v>
      </c>
      <c r="K1242" s="1">
        <f t="shared" si="2748"/>
        <v>3.3819233804104547</v>
      </c>
      <c r="L1242" s="1">
        <f t="shared" ref="L1242:N1242" si="2810">E1242/$H1242</f>
        <v>0.95707299135164547</v>
      </c>
      <c r="M1242" s="1">
        <f t="shared" si="2810"/>
        <v>0</v>
      </c>
      <c r="N1242" s="1">
        <f t="shared" si="2810"/>
        <v>-0.28984701003324703</v>
      </c>
      <c r="O1242" s="1">
        <f t="shared" si="2306"/>
        <v>-0.28984701003324703</v>
      </c>
      <c r="P1242" s="1">
        <f t="shared" si="2750"/>
        <v>0.27740474492685013</v>
      </c>
      <c r="Q1242" s="1">
        <f t="shared" si="2751"/>
        <v>0</v>
      </c>
      <c r="R1242" s="1">
        <f t="shared" si="2752"/>
        <v>0.91598871077478683</v>
      </c>
      <c r="S1242" s="1">
        <f t="shared" si="2753"/>
        <v>0.94336699580116889</v>
      </c>
      <c r="T1242" s="1">
        <f t="shared" ref="T1242:V1242" si="2811">$S1242*P1242</f>
        <v>0.26169448084263214</v>
      </c>
      <c r="U1242" s="1">
        <f t="shared" si="2811"/>
        <v>0</v>
      </c>
      <c r="V1242" s="1">
        <f t="shared" si="2811"/>
        <v>0.86411351827139649</v>
      </c>
      <c r="W1242" s="1">
        <f t="shared" si="2755"/>
        <v>-10.905395101486439</v>
      </c>
      <c r="X1242" s="1">
        <f t="shared" si="2756"/>
        <v>0</v>
      </c>
      <c r="Y1242" s="1">
        <f t="shared" si="2757"/>
        <v>-5.5606131013181486</v>
      </c>
    </row>
    <row r="1243" spans="1:25">
      <c r="A1243" s="1">
        <v>1.2409999999999901</v>
      </c>
      <c r="B1243" s="1">
        <f t="shared" si="2758"/>
        <v>42.003651380503612</v>
      </c>
      <c r="C1243" s="1">
        <f t="shared" si="2759"/>
        <v>0</v>
      </c>
      <c r="D1243" s="1">
        <f t="shared" si="2760"/>
        <v>-1.8958296173115425</v>
      </c>
      <c r="E1243" s="1">
        <f t="shared" si="2761"/>
        <v>16.194479916363942</v>
      </c>
      <c r="F1243" s="1">
        <f t="shared" si="2762"/>
        <v>0</v>
      </c>
      <c r="G1243" s="1">
        <f t="shared" si="2763"/>
        <v>-4.913318455406956</v>
      </c>
      <c r="H1243" s="1">
        <f t="shared" si="2304"/>
        <v>16.923412126570625</v>
      </c>
      <c r="I1243" s="1">
        <f t="shared" si="2746"/>
        <v>-11.153759436140124</v>
      </c>
      <c r="J1243" s="1">
        <f t="shared" si="2747"/>
        <v>0</v>
      </c>
      <c r="K1243" s="1">
        <f t="shared" si="2748"/>
        <v>3.3839908640339429</v>
      </c>
      <c r="L1243" s="1">
        <f t="shared" ref="L1243:N1243" si="2812">E1243/$H1243</f>
        <v>0.95692758618918095</v>
      </c>
      <c r="M1243" s="1">
        <f t="shared" si="2812"/>
        <v>0</v>
      </c>
      <c r="N1243" s="1">
        <f t="shared" si="2812"/>
        <v>-0.29032670354300444</v>
      </c>
      <c r="O1243" s="1">
        <f t="shared" si="2306"/>
        <v>-0.29032670354300444</v>
      </c>
      <c r="P1243" s="1">
        <f t="shared" si="2750"/>
        <v>0.27782163162766915</v>
      </c>
      <c r="Q1243" s="1">
        <f t="shared" si="2751"/>
        <v>0</v>
      </c>
      <c r="R1243" s="1">
        <f t="shared" si="2752"/>
        <v>0.91571040520985236</v>
      </c>
      <c r="S1243" s="1">
        <f t="shared" si="2753"/>
        <v>0.94238407286878623</v>
      </c>
      <c r="T1243" s="1">
        <f t="shared" ref="T1243:V1243" si="2813">$S1243*P1243</f>
        <v>0.26181468074433445</v>
      </c>
      <c r="U1243" s="1">
        <f t="shared" si="2813"/>
        <v>0</v>
      </c>
      <c r="V1243" s="1">
        <f t="shared" si="2813"/>
        <v>0.8629509012299873</v>
      </c>
      <c r="W1243" s="1">
        <f t="shared" si="2755"/>
        <v>-10.891944755395789</v>
      </c>
      <c r="X1243" s="1">
        <f t="shared" si="2756"/>
        <v>0</v>
      </c>
      <c r="Y1243" s="1">
        <f t="shared" si="2757"/>
        <v>-5.5597082347360693</v>
      </c>
    </row>
    <row r="1244" spans="1:25">
      <c r="A1244" s="1">
        <v>1.24199999999999</v>
      </c>
      <c r="B1244" s="1">
        <f t="shared" si="2758"/>
        <v>42.019834968475223</v>
      </c>
      <c r="C1244" s="1">
        <f t="shared" si="2759"/>
        <v>0</v>
      </c>
      <c r="D1244" s="1">
        <f t="shared" si="2760"/>
        <v>-1.9007484954751843</v>
      </c>
      <c r="E1244" s="1">
        <f t="shared" si="2761"/>
        <v>16.183587971608546</v>
      </c>
      <c r="F1244" s="1">
        <f t="shared" si="2762"/>
        <v>0</v>
      </c>
      <c r="G1244" s="1">
        <f t="shared" si="2763"/>
        <v>-4.9188781636416925</v>
      </c>
      <c r="H1244" s="1">
        <f t="shared" si="2304"/>
        <v>16.914605582854833</v>
      </c>
      <c r="I1244" s="1">
        <f t="shared" si="2746"/>
        <v>-11.140457486937253</v>
      </c>
      <c r="J1244" s="1">
        <f t="shared" si="2747"/>
        <v>0</v>
      </c>
      <c r="K1244" s="1">
        <f t="shared" si="2748"/>
        <v>3.3860571068423977</v>
      </c>
      <c r="L1244" s="1">
        <f t="shared" ref="L1244:N1244" si="2814">E1244/$H1244</f>
        <v>0.95678187069361709</v>
      </c>
      <c r="M1244" s="1">
        <f t="shared" si="2814"/>
        <v>0</v>
      </c>
      <c r="N1244" s="1">
        <f t="shared" si="2814"/>
        <v>-0.29080655410774814</v>
      </c>
      <c r="O1244" s="1">
        <f t="shared" si="2306"/>
        <v>-0.29080655410774814</v>
      </c>
      <c r="P1244" s="1">
        <f t="shared" si="2750"/>
        <v>0.27823843884917582</v>
      </c>
      <c r="Q1244" s="1">
        <f t="shared" si="2751"/>
        <v>0</v>
      </c>
      <c r="R1244" s="1">
        <f t="shared" si="2752"/>
        <v>0.91543154808797733</v>
      </c>
      <c r="S1244" s="1">
        <f t="shared" si="2753"/>
        <v>0.9414035392585578</v>
      </c>
      <c r="T1244" s="1">
        <f t="shared" ref="T1244:V1244" si="2815">$S1244*P1244</f>
        <v>0.26193465109038994</v>
      </c>
      <c r="U1244" s="1">
        <f t="shared" si="2815"/>
        <v>0</v>
      </c>
      <c r="V1244" s="1">
        <f t="shared" si="2815"/>
        <v>0.86179049931896246</v>
      </c>
      <c r="W1244" s="1">
        <f t="shared" si="2755"/>
        <v>-10.878522835846862</v>
      </c>
      <c r="X1244" s="1">
        <f t="shared" si="2756"/>
        <v>0</v>
      </c>
      <c r="Y1244" s="1">
        <f t="shared" si="2757"/>
        <v>-5.5588023938386391</v>
      </c>
    </row>
    <row r="1245" spans="1:25">
      <c r="A1245" s="1">
        <v>1.2429999999999899</v>
      </c>
      <c r="B1245" s="1">
        <f t="shared" si="2758"/>
        <v>42.036007677923998</v>
      </c>
      <c r="C1245" s="1">
        <f t="shared" si="2759"/>
        <v>0</v>
      </c>
      <c r="D1245" s="1">
        <f t="shared" si="2760"/>
        <v>-1.9056729324412198</v>
      </c>
      <c r="E1245" s="1">
        <f t="shared" si="2761"/>
        <v>16.1727094487727</v>
      </c>
      <c r="F1245" s="1">
        <f t="shared" si="2762"/>
        <v>0</v>
      </c>
      <c r="G1245" s="1">
        <f t="shared" si="2763"/>
        <v>-4.9244369660355307</v>
      </c>
      <c r="H1245" s="1">
        <f t="shared" si="2304"/>
        <v>16.905815873446599</v>
      </c>
      <c r="I1245" s="1">
        <f t="shared" si="2746"/>
        <v>-11.127183659836961</v>
      </c>
      <c r="J1245" s="1">
        <f t="shared" si="2747"/>
        <v>0</v>
      </c>
      <c r="K1245" s="1">
        <f t="shared" si="2748"/>
        <v>3.3881221149697893</v>
      </c>
      <c r="L1245" s="1">
        <f t="shared" ref="L1245:N1245" si="2816">E1245/$H1245</f>
        <v>0.95663584471984198</v>
      </c>
      <c r="M1245" s="1">
        <f t="shared" si="2816"/>
        <v>0</v>
      </c>
      <c r="N1245" s="1">
        <f t="shared" si="2816"/>
        <v>-0.29128656096214672</v>
      </c>
      <c r="O1245" s="1">
        <f t="shared" si="2306"/>
        <v>-0.29128656096214672</v>
      </c>
      <c r="P1245" s="1">
        <f t="shared" si="2750"/>
        <v>0.27865516530156098</v>
      </c>
      <c r="Q1245" s="1">
        <f t="shared" si="2751"/>
        <v>0</v>
      </c>
      <c r="R1245" s="1">
        <f t="shared" si="2752"/>
        <v>0.91515213940284557</v>
      </c>
      <c r="S1245" s="1">
        <f t="shared" si="2753"/>
        <v>0.94042538892185379</v>
      </c>
      <c r="T1245" s="1">
        <f t="shared" ref="T1245:V1245" si="2817">$S1245*P1245</f>
        <v>0.26205439220380394</v>
      </c>
      <c r="U1245" s="1">
        <f t="shared" si="2817"/>
        <v>0</v>
      </c>
      <c r="V1245" s="1">
        <f t="shared" si="2817"/>
        <v>0.86063230662058765</v>
      </c>
      <c r="W1245" s="1">
        <f t="shared" si="2755"/>
        <v>-10.865129267633156</v>
      </c>
      <c r="X1245" s="1">
        <f t="shared" si="2756"/>
        <v>0</v>
      </c>
      <c r="Y1245" s="1">
        <f t="shared" si="2757"/>
        <v>-5.5578955784096227</v>
      </c>
    </row>
    <row r="1246" spans="1:25">
      <c r="A1246" s="1">
        <v>1.24399999999999</v>
      </c>
      <c r="B1246" s="1">
        <f t="shared" si="2758"/>
        <v>42.052169522243503</v>
      </c>
      <c r="C1246" s="1">
        <f t="shared" si="2759"/>
        <v>0</v>
      </c>
      <c r="D1246" s="1">
        <f t="shared" si="2760"/>
        <v>-1.9106029273028338</v>
      </c>
      <c r="E1246" s="1">
        <f t="shared" si="2761"/>
        <v>16.161844319505068</v>
      </c>
      <c r="F1246" s="1">
        <f t="shared" si="2762"/>
        <v>0</v>
      </c>
      <c r="G1246" s="1">
        <f t="shared" si="2763"/>
        <v>-4.92999486161394</v>
      </c>
      <c r="H1246" s="1">
        <f t="shared" si="2304"/>
        <v>16.897042970397457</v>
      </c>
      <c r="I1246" s="1">
        <f t="shared" si="2746"/>
        <v>-11.113937880197255</v>
      </c>
      <c r="J1246" s="1">
        <f t="shared" si="2747"/>
        <v>0</v>
      </c>
      <c r="K1246" s="1">
        <f t="shared" si="2748"/>
        <v>3.3901858945357608</v>
      </c>
      <c r="L1246" s="1">
        <f t="shared" ref="L1246:N1246" si="2818">E1246/$H1246</f>
        <v>0.95648950812397115</v>
      </c>
      <c r="M1246" s="1">
        <f t="shared" si="2818"/>
        <v>0</v>
      </c>
      <c r="N1246" s="1">
        <f t="shared" si="2818"/>
        <v>-0.29176672334034875</v>
      </c>
      <c r="O1246" s="1">
        <f t="shared" si="2306"/>
        <v>-0.29176672334034875</v>
      </c>
      <c r="P1246" s="1">
        <f t="shared" si="2750"/>
        <v>0.27907180969475298</v>
      </c>
      <c r="Q1246" s="1">
        <f t="shared" si="2751"/>
        <v>0</v>
      </c>
      <c r="R1246" s="1">
        <f t="shared" si="2752"/>
        <v>0.91487217915123642</v>
      </c>
      <c r="S1246" s="1">
        <f t="shared" si="2753"/>
        <v>0.93944961582961128</v>
      </c>
      <c r="T1246" s="1">
        <f t="shared" ref="T1246:V1246" si="2819">$S1246*P1246</f>
        <v>0.26217390440661009</v>
      </c>
      <c r="U1246" s="1">
        <f t="shared" si="2819"/>
        <v>0</v>
      </c>
      <c r="V1246" s="1">
        <f t="shared" si="2819"/>
        <v>0.85947631723682838</v>
      </c>
      <c r="W1246" s="1">
        <f t="shared" si="2755"/>
        <v>-10.851763975790645</v>
      </c>
      <c r="X1246" s="1">
        <f t="shared" si="2756"/>
        <v>0</v>
      </c>
      <c r="Y1246" s="1">
        <f t="shared" si="2757"/>
        <v>-5.5569877882274099</v>
      </c>
    </row>
    <row r="1247" spans="1:25">
      <c r="A1247" s="1">
        <v>1.2449999999999899</v>
      </c>
      <c r="B1247" s="1">
        <f t="shared" si="2758"/>
        <v>42.068320514799034</v>
      </c>
      <c r="C1247" s="1">
        <f t="shared" si="2759"/>
        <v>0</v>
      </c>
      <c r="D1247" s="1">
        <f t="shared" si="2760"/>
        <v>-1.9155384791522359</v>
      </c>
      <c r="E1247" s="1">
        <f t="shared" si="2761"/>
        <v>16.150992555529278</v>
      </c>
      <c r="F1247" s="1">
        <f t="shared" si="2762"/>
        <v>0</v>
      </c>
      <c r="G1247" s="1">
        <f t="shared" si="2763"/>
        <v>-4.9355518494021675</v>
      </c>
      <c r="H1247" s="1">
        <f t="shared" si="2304"/>
        <v>16.888286845825995</v>
      </c>
      <c r="I1247" s="1">
        <f t="shared" si="2746"/>
        <v>-11.10072007361671</v>
      </c>
      <c r="J1247" s="1">
        <f t="shared" si="2747"/>
        <v>0</v>
      </c>
      <c r="K1247" s="1">
        <f t="shared" si="2748"/>
        <v>3.3922484516456564</v>
      </c>
      <c r="L1247" s="1">
        <f t="shared" ref="L1247:N1247" si="2820">E1247/$H1247</f>
        <v>0.95634286076334962</v>
      </c>
      <c r="M1247" s="1">
        <f t="shared" si="2820"/>
        <v>0</v>
      </c>
      <c r="N1247" s="1">
        <f t="shared" si="2820"/>
        <v>-0.29224704047598576</v>
      </c>
      <c r="O1247" s="1">
        <f t="shared" si="2306"/>
        <v>-0.29224704047598576</v>
      </c>
      <c r="P1247" s="1">
        <f t="shared" si="2750"/>
        <v>0.27948837073842664</v>
      </c>
      <c r="Q1247" s="1">
        <f t="shared" si="2751"/>
        <v>0</v>
      </c>
      <c r="R1247" s="1">
        <f t="shared" si="2752"/>
        <v>0.91459166733302755</v>
      </c>
      <c r="S1247" s="1">
        <f t="shared" si="2753"/>
        <v>0.93847621397225633</v>
      </c>
      <c r="T1247" s="1">
        <f t="shared" ref="T1247:V1247" si="2821">$S1247*P1247</f>
        <v>0.262293188019873</v>
      </c>
      <c r="U1247" s="1">
        <f t="shared" si="2821"/>
        <v>0</v>
      </c>
      <c r="V1247" s="1">
        <f t="shared" si="2821"/>
        <v>0.858322525289273</v>
      </c>
      <c r="W1247" s="1">
        <f t="shared" si="2755"/>
        <v>-10.838426885596837</v>
      </c>
      <c r="X1247" s="1">
        <f t="shared" si="2756"/>
        <v>0</v>
      </c>
      <c r="Y1247" s="1">
        <f t="shared" si="2757"/>
        <v>-5.5560790230650703</v>
      </c>
    </row>
    <row r="1248" spans="1:25">
      <c r="A1248" s="1">
        <v>1.24599999999999</v>
      </c>
      <c r="B1248" s="1">
        <f t="shared" si="2758"/>
        <v>42.084460668927676</v>
      </c>
      <c r="C1248" s="1">
        <f t="shared" si="2759"/>
        <v>0</v>
      </c>
      <c r="D1248" s="1">
        <f t="shared" si="2760"/>
        <v>-1.920479587080661</v>
      </c>
      <c r="E1248" s="1">
        <f t="shared" si="2761"/>
        <v>16.14015412864368</v>
      </c>
      <c r="F1248" s="1">
        <f t="shared" si="2762"/>
        <v>0</v>
      </c>
      <c r="G1248" s="1">
        <f t="shared" si="2763"/>
        <v>-4.9411079284252324</v>
      </c>
      <c r="H1248" s="1">
        <f t="shared" si="2304"/>
        <v>16.879547471917615</v>
      </c>
      <c r="I1248" s="1">
        <f t="shared" si="2746"/>
        <v>-11.087530165933492</v>
      </c>
      <c r="J1248" s="1">
        <f t="shared" si="2747"/>
        <v>0</v>
      </c>
      <c r="K1248" s="1">
        <f t="shared" si="2748"/>
        <v>3.3943097923905436</v>
      </c>
      <c r="L1248" s="1">
        <f t="shared" ref="L1248:N1248" si="2822">E1248/$H1248</f>
        <v>0.9561959024965534</v>
      </c>
      <c r="M1248" s="1">
        <f t="shared" si="2822"/>
        <v>0</v>
      </c>
      <c r="N1248" s="1">
        <f t="shared" si="2822"/>
        <v>-0.29272751160217531</v>
      </c>
      <c r="O1248" s="1">
        <f t="shared" si="2306"/>
        <v>-0.29272751160217531</v>
      </c>
      <c r="P1248" s="1">
        <f t="shared" si="2750"/>
        <v>0.2799048471420123</v>
      </c>
      <c r="Q1248" s="1">
        <f t="shared" si="2751"/>
        <v>0</v>
      </c>
      <c r="R1248" s="1">
        <f t="shared" si="2752"/>
        <v>0.91431060395119834</v>
      </c>
      <c r="S1248" s="1">
        <f t="shared" si="2753"/>
        <v>0.93750517735962724</v>
      </c>
      <c r="T1248" s="1">
        <f t="shared" ref="T1248:V1248" si="2823">$S1248*P1248</f>
        <v>0.26241224336369162</v>
      </c>
      <c r="U1248" s="1">
        <f t="shared" si="2823"/>
        <v>0</v>
      </c>
      <c r="V1248" s="1">
        <f t="shared" si="2823"/>
        <v>0.85717092491905611</v>
      </c>
      <c r="W1248" s="1">
        <f t="shared" si="2755"/>
        <v>-10.825117922569801</v>
      </c>
      <c r="X1248" s="1">
        <f t="shared" si="2756"/>
        <v>0</v>
      </c>
      <c r="Y1248" s="1">
        <f t="shared" si="2757"/>
        <v>-5.5551692826903993</v>
      </c>
    </row>
    <row r="1249" spans="1:25">
      <c r="A1249" s="1">
        <v>1.2469999999999899</v>
      </c>
      <c r="B1249" s="1">
        <f t="shared" si="2758"/>
        <v>42.1005899979384</v>
      </c>
      <c r="C1249" s="1">
        <f t="shared" si="2759"/>
        <v>0</v>
      </c>
      <c r="D1249" s="1">
        <f t="shared" si="2760"/>
        <v>-1.925426250178369</v>
      </c>
      <c r="E1249" s="1">
        <f t="shared" si="2761"/>
        <v>16.129329010721111</v>
      </c>
      <c r="F1249" s="1">
        <f t="shared" si="2762"/>
        <v>0</v>
      </c>
      <c r="G1249" s="1">
        <f t="shared" si="2763"/>
        <v>-4.9466630977079227</v>
      </c>
      <c r="H1249" s="1">
        <f t="shared" si="2304"/>
        <v>16.870824820924287</v>
      </c>
      <c r="I1249" s="1">
        <f t="shared" si="2746"/>
        <v>-11.074368083224437</v>
      </c>
      <c r="J1249" s="1">
        <f t="shared" si="2747"/>
        <v>0</v>
      </c>
      <c r="K1249" s="1">
        <f t="shared" si="2748"/>
        <v>3.3963699228472479</v>
      </c>
      <c r="L1249" s="1">
        <f t="shared" ref="L1249:N1249" si="2824">E1249/$H1249</f>
        <v>0.95604863318339217</v>
      </c>
      <c r="M1249" s="1">
        <f t="shared" si="2824"/>
        <v>0</v>
      </c>
      <c r="N1249" s="1">
        <f t="shared" si="2824"/>
        <v>-0.29320813595152451</v>
      </c>
      <c r="O1249" s="1">
        <f t="shared" si="2306"/>
        <v>-0.29320813595152451</v>
      </c>
      <c r="P1249" s="1">
        <f t="shared" si="2750"/>
        <v>0.28032123761470523</v>
      </c>
      <c r="Q1249" s="1">
        <f t="shared" si="2751"/>
        <v>0</v>
      </c>
      <c r="R1249" s="1">
        <f t="shared" si="2752"/>
        <v>0.91402898901183227</v>
      </c>
      <c r="S1249" s="1">
        <f t="shared" si="2753"/>
        <v>0.93653650002089794</v>
      </c>
      <c r="T1249" s="1">
        <f t="shared" ref="T1249:V1249" si="2825">$S1249*P1249</f>
        <v>0.2625310707572025</v>
      </c>
      <c r="U1249" s="1">
        <f t="shared" si="2825"/>
        <v>0</v>
      </c>
      <c r="V1249" s="1">
        <f t="shared" si="2825"/>
        <v>0.8560215102867812</v>
      </c>
      <c r="W1249" s="1">
        <f t="shared" si="2755"/>
        <v>-10.811837012467235</v>
      </c>
      <c r="X1249" s="1">
        <f t="shared" si="2756"/>
        <v>0</v>
      </c>
      <c r="Y1249" s="1">
        <f t="shared" si="2757"/>
        <v>-5.5542585668659701</v>
      </c>
    </row>
    <row r="1250" spans="1:25">
      <c r="A1250" s="1">
        <v>1.24799999999999</v>
      </c>
      <c r="B1250" s="1">
        <f t="shared" si="2758"/>
        <v>42.116708515112109</v>
      </c>
      <c r="C1250" s="1">
        <f t="shared" si="2759"/>
        <v>0</v>
      </c>
      <c r="D1250" s="1">
        <f t="shared" si="2760"/>
        <v>-1.9303784675346438</v>
      </c>
      <c r="E1250" s="1">
        <f t="shared" si="2761"/>
        <v>16.118517173708643</v>
      </c>
      <c r="F1250" s="1">
        <f t="shared" si="2762"/>
        <v>0</v>
      </c>
      <c r="G1250" s="1">
        <f t="shared" si="2763"/>
        <v>-4.9522173562747884</v>
      </c>
      <c r="H1250" s="1">
        <f t="shared" si="2304"/>
        <v>16.862118865164298</v>
      </c>
      <c r="I1250" s="1">
        <f t="shared" si="2746"/>
        <v>-11.061233751804066</v>
      </c>
      <c r="J1250" s="1">
        <f t="shared" si="2747"/>
        <v>0</v>
      </c>
      <c r="K1250" s="1">
        <f t="shared" si="2748"/>
        <v>3.3984288490783694</v>
      </c>
      <c r="L1250" s="1">
        <f t="shared" ref="L1250:N1250" si="2826">E1250/$H1250</f>
        <v>0.95590105268491066</v>
      </c>
      <c r="M1250" s="1">
        <f t="shared" si="2826"/>
        <v>0</v>
      </c>
      <c r="N1250" s="1">
        <f t="shared" si="2826"/>
        <v>-0.2936889127561334</v>
      </c>
      <c r="O1250" s="1">
        <f t="shared" si="2306"/>
        <v>-0.2936889127561334</v>
      </c>
      <c r="P1250" s="1">
        <f t="shared" si="2750"/>
        <v>0.28073754086547481</v>
      </c>
      <c r="Q1250" s="1">
        <f t="shared" si="2751"/>
        <v>0</v>
      </c>
      <c r="R1250" s="1">
        <f t="shared" si="2752"/>
        <v>0.91374682252412032</v>
      </c>
      <c r="S1250" s="1">
        <f t="shared" si="2753"/>
        <v>0.93557017600449865</v>
      </c>
      <c r="T1250" s="1">
        <f t="shared" ref="T1250:V1250" si="2827">$S1250*P1250</f>
        <v>0.2626496705185824</v>
      </c>
      <c r="U1250" s="1">
        <f t="shared" si="2827"/>
        <v>0</v>
      </c>
      <c r="V1250" s="1">
        <f t="shared" si="2827"/>
        <v>0.85487427557244267</v>
      </c>
      <c r="W1250" s="1">
        <f t="shared" si="2755"/>
        <v>-10.798584081285483</v>
      </c>
      <c r="X1250" s="1">
        <f t="shared" si="2756"/>
        <v>0</v>
      </c>
      <c r="Y1250" s="1">
        <f t="shared" si="2757"/>
        <v>-5.5533468753491873</v>
      </c>
    </row>
    <row r="1251" spans="1:25">
      <c r="A1251" s="1">
        <v>1.2489999999999899</v>
      </c>
      <c r="B1251" s="1">
        <f t="shared" si="2758"/>
        <v>42.132816233701739</v>
      </c>
      <c r="C1251" s="1">
        <f t="shared" si="2759"/>
        <v>0</v>
      </c>
      <c r="D1251" s="1">
        <f t="shared" si="2760"/>
        <v>-1.9353362382377939</v>
      </c>
      <c r="E1251" s="1">
        <f t="shared" si="2761"/>
        <v>16.107718589627357</v>
      </c>
      <c r="F1251" s="1">
        <f t="shared" si="2762"/>
        <v>0</v>
      </c>
      <c r="G1251" s="1">
        <f t="shared" si="2763"/>
        <v>-4.9577707031501372</v>
      </c>
      <c r="H1251" s="1">
        <f t="shared" si="2304"/>
        <v>16.85342957702202</v>
      </c>
      <c r="I1251" s="1">
        <f t="shared" si="2746"/>
        <v>-11.048127098223686</v>
      </c>
      <c r="J1251" s="1">
        <f t="shared" si="2747"/>
        <v>0</v>
      </c>
      <c r="K1251" s="1">
        <f t="shared" si="2748"/>
        <v>3.4004865771323174</v>
      </c>
      <c r="L1251" s="1">
        <f t="shared" ref="L1251:N1251" si="2828">E1251/$H1251</f>
        <v>0.9557531608633909</v>
      </c>
      <c r="M1251" s="1">
        <f t="shared" si="2828"/>
        <v>0</v>
      </c>
      <c r="N1251" s="1">
        <f t="shared" si="2828"/>
        <v>-0.29416984124759782</v>
      </c>
      <c r="O1251" s="1">
        <f t="shared" si="2306"/>
        <v>-0.29416984124759782</v>
      </c>
      <c r="P1251" s="1">
        <f t="shared" si="2750"/>
        <v>0.28115375560307354</v>
      </c>
      <c r="Q1251" s="1">
        <f t="shared" si="2751"/>
        <v>0</v>
      </c>
      <c r="R1251" s="1">
        <f t="shared" si="2752"/>
        <v>0.91346410450036308</v>
      </c>
      <c r="S1251" s="1">
        <f t="shared" si="2753"/>
        <v>0.93460619937804312</v>
      </c>
      <c r="T1251" s="1">
        <f t="shared" ref="T1251:V1251" si="2829">$S1251*P1251</f>
        <v>0.26276804296505174</v>
      </c>
      <c r="U1251" s="1">
        <f t="shared" si="2829"/>
        <v>0</v>
      </c>
      <c r="V1251" s="1">
        <f t="shared" si="2829"/>
        <v>0.85372921497535192</v>
      </c>
      <c r="W1251" s="1">
        <f t="shared" si="2755"/>
        <v>-10.785359055258635</v>
      </c>
      <c r="X1251" s="1">
        <f t="shared" si="2756"/>
        <v>0</v>
      </c>
      <c r="Y1251" s="1">
        <f t="shared" si="2757"/>
        <v>-5.5524342078923299</v>
      </c>
    </row>
    <row r="1252" spans="1:25">
      <c r="A1252" s="1">
        <v>1.24999999999999</v>
      </c>
      <c r="B1252" s="1">
        <f t="shared" si="2758"/>
        <v>42.14891316693231</v>
      </c>
      <c r="C1252" s="1">
        <f t="shared" si="2759"/>
        <v>0</v>
      </c>
      <c r="D1252" s="1">
        <f t="shared" si="2760"/>
        <v>-1.9402995613751519</v>
      </c>
      <c r="E1252" s="1">
        <f t="shared" si="2761"/>
        <v>16.096933230572098</v>
      </c>
      <c r="F1252" s="1">
        <f t="shared" si="2762"/>
        <v>0</v>
      </c>
      <c r="G1252" s="1">
        <f t="shared" si="2763"/>
        <v>-4.9633231373580298</v>
      </c>
      <c r="H1252" s="1">
        <f t="shared" si="2304"/>
        <v>16.84475692894765</v>
      </c>
      <c r="I1252" s="1">
        <f t="shared" si="2746"/>
        <v>-11.035048049270417</v>
      </c>
      <c r="J1252" s="1">
        <f t="shared" si="2747"/>
        <v>0</v>
      </c>
      <c r="K1252" s="1">
        <f t="shared" si="2748"/>
        <v>3.4025431130433326</v>
      </c>
      <c r="L1252" s="1">
        <f t="shared" ref="L1252:N1252" si="2830">E1252/$H1252</f>
        <v>0.95560495758235497</v>
      </c>
      <c r="M1252" s="1">
        <f t="shared" si="2830"/>
        <v>0</v>
      </c>
      <c r="N1252" s="1">
        <f t="shared" si="2830"/>
        <v>-0.29465092065701337</v>
      </c>
      <c r="O1252" s="1">
        <f t="shared" si="2306"/>
        <v>-0.29465092065701337</v>
      </c>
      <c r="P1252" s="1">
        <f t="shared" si="2750"/>
        <v>0.28156988053604709</v>
      </c>
      <c r="Q1252" s="1">
        <f t="shared" si="2751"/>
        <v>0</v>
      </c>
      <c r="R1252" s="1">
        <f t="shared" si="2752"/>
        <v>0.91318083495597446</v>
      </c>
      <c r="S1252" s="1">
        <f t="shared" si="2753"/>
        <v>0.93364456422824837</v>
      </c>
      <c r="T1252" s="1">
        <f t="shared" ref="T1252:V1252" si="2831">$S1252*P1252</f>
        <v>0.26288618841287764</v>
      </c>
      <c r="U1252" s="1">
        <f t="shared" si="2831"/>
        <v>0</v>
      </c>
      <c r="V1252" s="1">
        <f t="shared" si="2831"/>
        <v>0.85258632271405876</v>
      </c>
      <c r="W1252" s="1">
        <f t="shared" si="2755"/>
        <v>-10.772161860857539</v>
      </c>
      <c r="X1252" s="1">
        <f t="shared" si="2756"/>
        <v>0</v>
      </c>
      <c r="Y1252" s="1">
        <f t="shared" si="2757"/>
        <v>-5.5515205642426082</v>
      </c>
    </row>
    <row r="1253" spans="1:25">
      <c r="A1253" s="1">
        <v>1.2509999999999899</v>
      </c>
      <c r="B1253" s="1">
        <f t="shared" si="2758"/>
        <v>42.164999328001024</v>
      </c>
      <c r="C1253" s="1">
        <f t="shared" si="2759"/>
        <v>0</v>
      </c>
      <c r="D1253" s="1">
        <f t="shared" si="2760"/>
        <v>-1.9452684360330741</v>
      </c>
      <c r="E1253" s="1">
        <f t="shared" si="2761"/>
        <v>16.086161068711242</v>
      </c>
      <c r="F1253" s="1">
        <f t="shared" si="2762"/>
        <v>0</v>
      </c>
      <c r="G1253" s="1">
        <f t="shared" si="2763"/>
        <v>-4.9688746579222727</v>
      </c>
      <c r="H1253" s="1">
        <f t="shared" si="2304"/>
        <v>16.836100893456994</v>
      </c>
      <c r="I1253" s="1">
        <f t="shared" si="2746"/>
        <v>-11.021996531966284</v>
      </c>
      <c r="J1253" s="1">
        <f t="shared" si="2747"/>
        <v>0</v>
      </c>
      <c r="K1253" s="1">
        <f t="shared" si="2748"/>
        <v>3.4045984628315145</v>
      </c>
      <c r="L1253" s="1">
        <f t="shared" ref="L1253:N1253" si="2832">E1253/$H1253</f>
        <v>0.95545644270656516</v>
      </c>
      <c r="M1253" s="1">
        <f t="shared" si="2832"/>
        <v>0</v>
      </c>
      <c r="N1253" s="1">
        <f t="shared" si="2832"/>
        <v>-0.29513215021497785</v>
      </c>
      <c r="O1253" s="1">
        <f t="shared" si="2306"/>
        <v>-0.29513215021497785</v>
      </c>
      <c r="P1253" s="1">
        <f t="shared" si="2750"/>
        <v>0.28198591437274234</v>
      </c>
      <c r="Q1253" s="1">
        <f t="shared" si="2751"/>
        <v>0</v>
      </c>
      <c r="R1253" s="1">
        <f t="shared" si="2752"/>
        <v>0.91289701390948375</v>
      </c>
      <c r="S1253" s="1">
        <f t="shared" si="2753"/>
        <v>0.93268526466086321</v>
      </c>
      <c r="T1253" s="1">
        <f t="shared" ref="T1253:V1253" si="2833">$S1253*P1253</f>
        <v>0.26300410717737671</v>
      </c>
      <c r="U1253" s="1">
        <f t="shared" si="2833"/>
        <v>0</v>
      </c>
      <c r="V1253" s="1">
        <f t="shared" si="2833"/>
        <v>0.85144559302627854</v>
      </c>
      <c r="W1253" s="1">
        <f t="shared" si="2755"/>
        <v>-10.758992424788907</v>
      </c>
      <c r="X1253" s="1">
        <f t="shared" si="2756"/>
        <v>0</v>
      </c>
      <c r="Y1253" s="1">
        <f t="shared" si="2757"/>
        <v>-5.5506059441422062</v>
      </c>
    </row>
    <row r="1254" spans="1:25">
      <c r="A1254" s="1">
        <v>1.25199999999999</v>
      </c>
      <c r="B1254" s="1">
        <f t="shared" si="2758"/>
        <v>42.181074730077313</v>
      </c>
      <c r="C1254" s="1">
        <f t="shared" si="2759"/>
        <v>0</v>
      </c>
      <c r="D1254" s="1">
        <f t="shared" si="2760"/>
        <v>-1.9502428612969405</v>
      </c>
      <c r="E1254" s="1">
        <f t="shared" si="2761"/>
        <v>16.075402076286451</v>
      </c>
      <c r="F1254" s="1">
        <f t="shared" si="2762"/>
        <v>0</v>
      </c>
      <c r="G1254" s="1">
        <f t="shared" si="2763"/>
        <v>-4.974425263866415</v>
      </c>
      <c r="H1254" s="1">
        <f t="shared" si="2304"/>
        <v>16.827461443131202</v>
      </c>
      <c r="I1254" s="1">
        <f t="shared" si="2746"/>
        <v>-11.008972473567269</v>
      </c>
      <c r="J1254" s="1">
        <f t="shared" si="2747"/>
        <v>0</v>
      </c>
      <c r="K1254" s="1">
        <f t="shared" si="2748"/>
        <v>3.4066526325028463</v>
      </c>
      <c r="L1254" s="1">
        <f t="shared" ref="L1254:N1254" si="2834">E1254/$H1254</f>
        <v>0.95530761610202741</v>
      </c>
      <c r="M1254" s="1">
        <f t="shared" si="2834"/>
        <v>0</v>
      </c>
      <c r="N1254" s="1">
        <f t="shared" si="2834"/>
        <v>-0.2956135291515955</v>
      </c>
      <c r="O1254" s="1">
        <f t="shared" si="2306"/>
        <v>-0.2956135291515955</v>
      </c>
      <c r="P1254" s="1">
        <f t="shared" si="2750"/>
        <v>0.28240185582131788</v>
      </c>
      <c r="Q1254" s="1">
        <f t="shared" si="2751"/>
        <v>0</v>
      </c>
      <c r="R1254" s="1">
        <f t="shared" si="2752"/>
        <v>0.91261264138253884</v>
      </c>
      <c r="S1254" s="1">
        <f t="shared" si="2753"/>
        <v>0.93172829480058927</v>
      </c>
      <c r="T1254" s="1">
        <f t="shared" ref="T1254:V1254" si="2835">$S1254*P1254</f>
        <v>0.26312179957291837</v>
      </c>
      <c r="U1254" s="1">
        <f t="shared" si="2835"/>
        <v>0</v>
      </c>
      <c r="V1254" s="1">
        <f t="shared" si="2835"/>
        <v>0.85030702016881465</v>
      </c>
      <c r="W1254" s="1">
        <f t="shared" si="2755"/>
        <v>-10.745850673994351</v>
      </c>
      <c r="X1254" s="1">
        <f t="shared" si="2756"/>
        <v>0</v>
      </c>
      <c r="Y1254" s="1">
        <f t="shared" si="2757"/>
        <v>-5.5496903473283385</v>
      </c>
    </row>
    <row r="1255" spans="1:25">
      <c r="A1255" s="1">
        <v>1.2529999999999899</v>
      </c>
      <c r="B1255" s="1">
        <f t="shared" si="2758"/>
        <v>42.197139386302922</v>
      </c>
      <c r="C1255" s="1">
        <f t="shared" si="2759"/>
        <v>0</v>
      </c>
      <c r="D1255" s="1">
        <f t="shared" si="2760"/>
        <v>-1.9552228362511541</v>
      </c>
      <c r="E1255" s="1">
        <f t="shared" si="2761"/>
        <v>16.064656225612456</v>
      </c>
      <c r="F1255" s="1">
        <f t="shared" si="2762"/>
        <v>0</v>
      </c>
      <c r="G1255" s="1">
        <f t="shared" si="2763"/>
        <v>-4.979974954213743</v>
      </c>
      <c r="H1255" s="1">
        <f t="shared" si="2304"/>
        <v>16.818838550616544</v>
      </c>
      <c r="I1255" s="1">
        <f t="shared" si="2746"/>
        <v>-10.995975801562404</v>
      </c>
      <c r="J1255" s="1">
        <f t="shared" si="2747"/>
        <v>0</v>
      </c>
      <c r="K1255" s="1">
        <f t="shared" si="2748"/>
        <v>3.4087056280492223</v>
      </c>
      <c r="L1255" s="1">
        <f t="shared" ref="L1255:N1255" si="2836">E1255/$H1255</f>
        <v>0.95515847763599337</v>
      </c>
      <c r="M1255" s="1">
        <f t="shared" si="2836"/>
        <v>0</v>
      </c>
      <c r="N1255" s="1">
        <f t="shared" si="2836"/>
        <v>-0.29609505669647962</v>
      </c>
      <c r="O1255" s="1">
        <f t="shared" si="2306"/>
        <v>-0.29609505669647962</v>
      </c>
      <c r="P1255" s="1">
        <f t="shared" si="2750"/>
        <v>0.28281770358975261</v>
      </c>
      <c r="Q1255" s="1">
        <f t="shared" si="2751"/>
        <v>0</v>
      </c>
      <c r="R1255" s="1">
        <f t="shared" si="2752"/>
        <v>0.91232771739990848</v>
      </c>
      <c r="S1255" s="1">
        <f t="shared" si="2753"/>
        <v>0.93077364879100766</v>
      </c>
      <c r="T1255" s="1">
        <f t="shared" ref="T1255:V1255" si="2837">$S1255*P1255</f>
        <v>0.26323926591292768</v>
      </c>
      <c r="U1255" s="1">
        <f t="shared" si="2837"/>
        <v>0</v>
      </c>
      <c r="V1255" s="1">
        <f t="shared" si="2837"/>
        <v>0.8491705984174841</v>
      </c>
      <c r="W1255" s="1">
        <f t="shared" si="2755"/>
        <v>-10.732736535649476</v>
      </c>
      <c r="X1255" s="1">
        <f t="shared" si="2756"/>
        <v>0</v>
      </c>
      <c r="Y1255" s="1">
        <f t="shared" si="2757"/>
        <v>-5.5487737735332932</v>
      </c>
    </row>
    <row r="1256" spans="1:25">
      <c r="A1256" s="1">
        <v>1.25399999999999</v>
      </c>
      <c r="B1256" s="1">
        <f t="shared" si="2758"/>
        <v>42.213193309791997</v>
      </c>
      <c r="C1256" s="1">
        <f t="shared" si="2759"/>
        <v>0</v>
      </c>
      <c r="D1256" s="1">
        <f t="shared" si="2760"/>
        <v>-1.9602083599791413</v>
      </c>
      <c r="E1256" s="1">
        <f t="shared" si="2761"/>
        <v>16.053923489076805</v>
      </c>
      <c r="F1256" s="1">
        <f t="shared" si="2762"/>
        <v>0</v>
      </c>
      <c r="G1256" s="1">
        <f t="shared" si="2763"/>
        <v>-4.9855237279872764</v>
      </c>
      <c r="H1256" s="1">
        <f t="shared" si="2304"/>
        <v>16.81023218862417</v>
      </c>
      <c r="I1256" s="1">
        <f t="shared" si="2746"/>
        <v>-10.983006443672842</v>
      </c>
      <c r="J1256" s="1">
        <f t="shared" si="2747"/>
        <v>0</v>
      </c>
      <c r="K1256" s="1">
        <f t="shared" si="2748"/>
        <v>3.4107574554484748</v>
      </c>
      <c r="L1256" s="1">
        <f t="shared" ref="L1256:N1256" si="2838">E1256/$H1256</f>
        <v>0.95500902717696101</v>
      </c>
      <c r="M1256" s="1">
        <f t="shared" si="2838"/>
        <v>0</v>
      </c>
      <c r="N1256" s="1">
        <f t="shared" si="2838"/>
        <v>-0.29657673207875634</v>
      </c>
      <c r="O1256" s="1">
        <f t="shared" si="2306"/>
        <v>-0.29657673207875634</v>
      </c>
      <c r="P1256" s="1">
        <f t="shared" si="2750"/>
        <v>0.28323345638585529</v>
      </c>
      <c r="Q1256" s="1">
        <f t="shared" si="2751"/>
        <v>0</v>
      </c>
      <c r="R1256" s="1">
        <f t="shared" si="2752"/>
        <v>0.91204224198948558</v>
      </c>
      <c r="S1256" s="1">
        <f t="shared" si="2753"/>
        <v>0.92982132079450519</v>
      </c>
      <c r="T1256" s="1">
        <f t="shared" ref="T1256:V1256" si="2839">$S1256*P1256</f>
        <v>0.26335650650988884</v>
      </c>
      <c r="U1256" s="1">
        <f t="shared" si="2839"/>
        <v>0</v>
      </c>
      <c r="V1256" s="1">
        <f t="shared" si="2839"/>
        <v>0.84803632206704516</v>
      </c>
      <c r="W1256" s="1">
        <f t="shared" si="2755"/>
        <v>-10.719649937162954</v>
      </c>
      <c r="X1256" s="1">
        <f t="shared" si="2756"/>
        <v>0</v>
      </c>
      <c r="Y1256" s="1">
        <f t="shared" si="2757"/>
        <v>-5.5478562224844792</v>
      </c>
    </row>
    <row r="1257" spans="1:25">
      <c r="A1257" s="1">
        <v>1.2549999999999899</v>
      </c>
      <c r="B1257" s="1">
        <f t="shared" si="2758"/>
        <v>42.229236513631136</v>
      </c>
      <c r="C1257" s="1">
        <f t="shared" si="2759"/>
        <v>0</v>
      </c>
      <c r="D1257" s="1">
        <f t="shared" si="2760"/>
        <v>-1.9651994315633512</v>
      </c>
      <c r="E1257" s="1">
        <f t="shared" si="2761"/>
        <v>16.043203839139643</v>
      </c>
      <c r="F1257" s="1">
        <f t="shared" si="2762"/>
        <v>0</v>
      </c>
      <c r="G1257" s="1">
        <f t="shared" si="2763"/>
        <v>-4.9910715842097613</v>
      </c>
      <c r="H1257" s="1">
        <f t="shared" si="2304"/>
        <v>16.801642329929866</v>
      </c>
      <c r="I1257" s="1">
        <f t="shared" si="2746"/>
        <v>-10.970064327850944</v>
      </c>
      <c r="J1257" s="1">
        <f t="shared" si="2747"/>
        <v>0</v>
      </c>
      <c r="K1257" s="1">
        <f t="shared" si="2748"/>
        <v>3.4128081206643968</v>
      </c>
      <c r="L1257" s="1">
        <f t="shared" ref="L1257:N1257" si="2840">E1257/$H1257</f>
        <v>0.95485926459467796</v>
      </c>
      <c r="M1257" s="1">
        <f t="shared" si="2840"/>
        <v>0</v>
      </c>
      <c r="N1257" s="1">
        <f t="shared" si="2840"/>
        <v>-0.29705855452706781</v>
      </c>
      <c r="O1257" s="1">
        <f t="shared" si="2306"/>
        <v>-0.29705855452706781</v>
      </c>
      <c r="P1257" s="1">
        <f t="shared" si="2750"/>
        <v>0.28364911291727402</v>
      </c>
      <c r="Q1257" s="1">
        <f t="shared" si="2751"/>
        <v>0</v>
      </c>
      <c r="R1257" s="1">
        <f t="shared" si="2752"/>
        <v>0.91175621518228911</v>
      </c>
      <c r="S1257" s="1">
        <f t="shared" si="2753"/>
        <v>0.92887130499219761</v>
      </c>
      <c r="T1257" s="1">
        <f t="shared" ref="T1257:V1257" si="2841">$S1257*P1257</f>
        <v>0.26347352167534754</v>
      </c>
      <c r="U1257" s="1">
        <f t="shared" si="2841"/>
        <v>0</v>
      </c>
      <c r="V1257" s="1">
        <f t="shared" si="2841"/>
        <v>0.84690418543111978</v>
      </c>
      <c r="W1257" s="1">
        <f t="shared" si="2755"/>
        <v>-10.706590806175596</v>
      </c>
      <c r="X1257" s="1">
        <f t="shared" si="2756"/>
        <v>0</v>
      </c>
      <c r="Y1257" s="1">
        <f t="shared" si="2757"/>
        <v>-5.546937693904483</v>
      </c>
    </row>
    <row r="1258" spans="1:25">
      <c r="A1258" s="1">
        <v>1.25599999999999</v>
      </c>
      <c r="B1258" s="1">
        <f t="shared" si="2758"/>
        <v>42.245269010879468</v>
      </c>
      <c r="C1258" s="1">
        <f t="shared" si="2759"/>
        <v>0</v>
      </c>
      <c r="D1258" s="1">
        <f t="shared" si="2760"/>
        <v>-1.9701960500852549</v>
      </c>
      <c r="E1258" s="1">
        <f t="shared" si="2761"/>
        <v>16.032497248333467</v>
      </c>
      <c r="F1258" s="1">
        <f t="shared" si="2762"/>
        <v>0</v>
      </c>
      <c r="G1258" s="1">
        <f t="shared" si="2763"/>
        <v>-4.9966185219036658</v>
      </c>
      <c r="H1258" s="1">
        <f t="shared" si="2304"/>
        <v>16.793068947373822</v>
      </c>
      <c r="I1258" s="1">
        <f t="shared" si="2746"/>
        <v>-10.95714938227936</v>
      </c>
      <c r="J1258" s="1">
        <f t="shared" si="2747"/>
        <v>0</v>
      </c>
      <c r="K1258" s="1">
        <f t="shared" si="2748"/>
        <v>3.4148576296467685</v>
      </c>
      <c r="L1258" s="1">
        <f t="shared" ref="L1258:N1258" si="2842">E1258/$H1258</f>
        <v>0.9547091897601423</v>
      </c>
      <c r="M1258" s="1">
        <f t="shared" si="2842"/>
        <v>0</v>
      </c>
      <c r="N1258" s="1">
        <f t="shared" si="2842"/>
        <v>-0.29754052326957547</v>
      </c>
      <c r="O1258" s="1">
        <f t="shared" si="2306"/>
        <v>-0.29754052326957547</v>
      </c>
      <c r="P1258" s="1">
        <f t="shared" si="2750"/>
        <v>0.28406467189150514</v>
      </c>
      <c r="Q1258" s="1">
        <f t="shared" si="2751"/>
        <v>0</v>
      </c>
      <c r="R1258" s="1">
        <f t="shared" si="2752"/>
        <v>0.91146963701246719</v>
      </c>
      <c r="S1258" s="1">
        <f t="shared" si="2753"/>
        <v>0.92792359558385717</v>
      </c>
      <c r="T1258" s="1">
        <f t="shared" ref="T1258:V1258" si="2843">$S1258*P1258</f>
        <v>0.26359031171991409</v>
      </c>
      <c r="U1258" s="1">
        <f t="shared" si="2843"/>
        <v>0</v>
      </c>
      <c r="V1258" s="1">
        <f t="shared" si="2843"/>
        <v>0.84577418284212169</v>
      </c>
      <c r="W1258" s="1">
        <f t="shared" si="2755"/>
        <v>-10.693559070559445</v>
      </c>
      <c r="X1258" s="1">
        <f t="shared" si="2756"/>
        <v>0</v>
      </c>
      <c r="Y1258" s="1">
        <f t="shared" si="2757"/>
        <v>-5.546018187511109</v>
      </c>
    </row>
    <row r="1259" spans="1:25">
      <c r="A1259" s="1">
        <v>1.2569999999999899</v>
      </c>
      <c r="B1259" s="1">
        <f t="shared" si="2758"/>
        <v>42.261290814568731</v>
      </c>
      <c r="C1259" s="1">
        <f t="shared" si="2759"/>
        <v>0</v>
      </c>
      <c r="D1259" s="1">
        <f t="shared" si="2760"/>
        <v>-1.9751982146253462</v>
      </c>
      <c r="E1259" s="1">
        <f t="shared" si="2761"/>
        <v>16.021803689262907</v>
      </c>
      <c r="F1259" s="1">
        <f t="shared" si="2762"/>
        <v>0</v>
      </c>
      <c r="G1259" s="1">
        <f t="shared" si="2763"/>
        <v>-5.0021645400911767</v>
      </c>
      <c r="H1259" s="1">
        <f t="shared" si="2304"/>
        <v>16.7845120138604</v>
      </c>
      <c r="I1259" s="1">
        <f t="shared" si="2746"/>
        <v>-10.944261535370138</v>
      </c>
      <c r="J1259" s="1">
        <f t="shared" si="2747"/>
        <v>0</v>
      </c>
      <c r="K1259" s="1">
        <f t="shared" si="2748"/>
        <v>3.4169059883313859</v>
      </c>
      <c r="L1259" s="1">
        <f t="shared" ref="L1259:N1259" si="2844">E1259/$H1259</f>
        <v>0.9545588025456051</v>
      </c>
      <c r="M1259" s="1">
        <f t="shared" si="2844"/>
        <v>0</v>
      </c>
      <c r="N1259" s="1">
        <f t="shared" si="2844"/>
        <v>-0.29802263753396369</v>
      </c>
      <c r="O1259" s="1">
        <f t="shared" si="2306"/>
        <v>-0.29802263753396369</v>
      </c>
      <c r="P1259" s="1">
        <f t="shared" si="2750"/>
        <v>0.28448013201590328</v>
      </c>
      <c r="Q1259" s="1">
        <f t="shared" si="2751"/>
        <v>0</v>
      </c>
      <c r="R1259" s="1">
        <f t="shared" si="2752"/>
        <v>0.91118250751729968</v>
      </c>
      <c r="S1259" s="1">
        <f t="shared" si="2753"/>
        <v>0.9269781867878395</v>
      </c>
      <c r="T1259" s="1">
        <f t="shared" ref="T1259:V1259" si="2845">$S1259*P1259</f>
        <v>0.26370687695326722</v>
      </c>
      <c r="U1259" s="1">
        <f t="shared" si="2845"/>
        <v>0</v>
      </c>
      <c r="V1259" s="1">
        <f t="shared" si="2845"/>
        <v>0.8446463086511834</v>
      </c>
      <c r="W1259" s="1">
        <f t="shared" si="2755"/>
        <v>-10.680554658416872</v>
      </c>
      <c r="X1259" s="1">
        <f t="shared" si="2756"/>
        <v>0</v>
      </c>
      <c r="Y1259" s="1">
        <f t="shared" si="2757"/>
        <v>-5.5450977030174302</v>
      </c>
    </row>
    <row r="1260" spans="1:25">
      <c r="A1260" s="1">
        <v>1.25799999999999</v>
      </c>
      <c r="B1260" s="1">
        <f t="shared" si="2758"/>
        <v>42.277301937703335</v>
      </c>
      <c r="C1260" s="1">
        <f t="shared" si="2759"/>
        <v>0</v>
      </c>
      <c r="D1260" s="1">
        <f t="shared" si="2760"/>
        <v>-1.9802059242631405</v>
      </c>
      <c r="E1260" s="1">
        <f t="shared" si="2761"/>
        <v>16.011123134604489</v>
      </c>
      <c r="F1260" s="1">
        <f t="shared" si="2762"/>
        <v>0</v>
      </c>
      <c r="G1260" s="1">
        <f t="shared" si="2763"/>
        <v>-5.0077096377941945</v>
      </c>
      <c r="H1260" s="1">
        <f t="shared" si="2304"/>
        <v>16.775971502357887</v>
      </c>
      <c r="I1260" s="1">
        <f t="shared" si="2746"/>
        <v>-10.9314007157638</v>
      </c>
      <c r="J1260" s="1">
        <f t="shared" si="2747"/>
        <v>0</v>
      </c>
      <c r="K1260" s="1">
        <f t="shared" si="2748"/>
        <v>3.4189532026400826</v>
      </c>
      <c r="L1260" s="1">
        <f t="shared" ref="L1260:N1260" si="2846">E1260/$H1260</f>
        <v>0.95440810282457278</v>
      </c>
      <c r="M1260" s="1">
        <f t="shared" si="2846"/>
        <v>0</v>
      </c>
      <c r="N1260" s="1">
        <f t="shared" si="2846"/>
        <v>-0.29850489654744311</v>
      </c>
      <c r="O1260" s="1">
        <f t="shared" si="2306"/>
        <v>-0.29850489654744311</v>
      </c>
      <c r="P1260" s="1">
        <f t="shared" si="2750"/>
        <v>0.28489549199769054</v>
      </c>
      <c r="Q1260" s="1">
        <f t="shared" si="2751"/>
        <v>0</v>
      </c>
      <c r="R1260" s="1">
        <f t="shared" si="2752"/>
        <v>0.91089482673720035</v>
      </c>
      <c r="S1260" s="1">
        <f t="shared" si="2753"/>
        <v>0.92603507284100728</v>
      </c>
      <c r="T1260" s="1">
        <f t="shared" ref="T1260:V1260" si="2847">$S1260*P1260</f>
        <v>0.26382321768415595</v>
      </c>
      <c r="U1260" s="1">
        <f t="shared" si="2847"/>
        <v>0</v>
      </c>
      <c r="V1260" s="1">
        <f t="shared" si="2847"/>
        <v>0.84352055722808006</v>
      </c>
      <c r="W1260" s="1">
        <f t="shared" si="2755"/>
        <v>-10.667577498079645</v>
      </c>
      <c r="X1260" s="1">
        <f t="shared" si="2756"/>
        <v>0</v>
      </c>
      <c r="Y1260" s="1">
        <f t="shared" si="2757"/>
        <v>-5.5441762401318364</v>
      </c>
    </row>
    <row r="1261" spans="1:25">
      <c r="A1261" s="1">
        <v>1.2589999999999899</v>
      </c>
      <c r="B1261" s="1">
        <f t="shared" si="2758"/>
        <v>42.29330239326044</v>
      </c>
      <c r="C1261" s="1">
        <f t="shared" si="2759"/>
        <v>0</v>
      </c>
      <c r="D1261" s="1">
        <f t="shared" si="2760"/>
        <v>-1.9852191780771749</v>
      </c>
      <c r="E1261" s="1">
        <f t="shared" si="2761"/>
        <v>16.00045555710641</v>
      </c>
      <c r="F1261" s="1">
        <f t="shared" si="2762"/>
        <v>0</v>
      </c>
      <c r="G1261" s="1">
        <f t="shared" si="2763"/>
        <v>-5.0132538140343268</v>
      </c>
      <c r="H1261" s="1">
        <f t="shared" si="2304"/>
        <v>16.767447385898279</v>
      </c>
      <c r="I1261" s="1">
        <f t="shared" si="2746"/>
        <v>-10.918566852328462</v>
      </c>
      <c r="J1261" s="1">
        <f t="shared" si="2747"/>
        <v>0</v>
      </c>
      <c r="K1261" s="1">
        <f t="shared" si="2748"/>
        <v>3.4209992784807564</v>
      </c>
      <c r="L1261" s="1">
        <f t="shared" ref="L1261:N1261" si="2848">E1261/$H1261</f>
        <v>0.95425709047180773</v>
      </c>
      <c r="M1261" s="1">
        <f t="shared" si="2848"/>
        <v>0</v>
      </c>
      <c r="N1261" s="1">
        <f t="shared" si="2848"/>
        <v>-0.29898729953675368</v>
      </c>
      <c r="O1261" s="1">
        <f t="shared" si="2306"/>
        <v>-0.29898729953675368</v>
      </c>
      <c r="P1261" s="1">
        <f t="shared" si="2750"/>
        <v>0.28531075054396543</v>
      </c>
      <c r="Q1261" s="1">
        <f t="shared" si="2751"/>
        <v>0</v>
      </c>
      <c r="R1261" s="1">
        <f t="shared" si="2752"/>
        <v>0.91060659471571959</v>
      </c>
      <c r="S1261" s="1">
        <f t="shared" si="2753"/>
        <v>0.92509424799866147</v>
      </c>
      <c r="T1261" s="1">
        <f t="shared" ref="T1261:V1261" si="2849">$S1261*P1261</f>
        <v>0.26393933422040339</v>
      </c>
      <c r="U1261" s="1">
        <f t="shared" si="2849"/>
        <v>0</v>
      </c>
      <c r="V1261" s="1">
        <f t="shared" si="2849"/>
        <v>0.84239692296116053</v>
      </c>
      <c r="W1261" s="1">
        <f t="shared" si="2755"/>
        <v>-10.654627518108059</v>
      </c>
      <c r="X1261" s="1">
        <f t="shared" si="2756"/>
        <v>0</v>
      </c>
      <c r="Y1261" s="1">
        <f t="shared" si="2757"/>
        <v>-5.5432537985580828</v>
      </c>
    </row>
    <row r="1262" spans="1:25">
      <c r="A1262" s="1">
        <v>1.25999999999999</v>
      </c>
      <c r="B1262" s="1">
        <f t="shared" si="2758"/>
        <v>42.309292194190029</v>
      </c>
      <c r="C1262" s="1">
        <f t="shared" si="2759"/>
        <v>0</v>
      </c>
      <c r="D1262" s="1">
        <f t="shared" si="2760"/>
        <v>-1.9902379751450077</v>
      </c>
      <c r="E1262" s="1">
        <f t="shared" si="2761"/>
        <v>15.989800929588302</v>
      </c>
      <c r="F1262" s="1">
        <f t="shared" si="2762"/>
        <v>0</v>
      </c>
      <c r="G1262" s="1">
        <f t="shared" si="2763"/>
        <v>-5.0187970678328853</v>
      </c>
      <c r="H1262" s="1">
        <f t="shared" si="2304"/>
        <v>16.758939637577043</v>
      </c>
      <c r="I1262" s="1">
        <f t="shared" si="2746"/>
        <v>-10.905759874158935</v>
      </c>
      <c r="J1262" s="1">
        <f t="shared" si="2747"/>
        <v>0</v>
      </c>
      <c r="K1262" s="1">
        <f t="shared" si="2748"/>
        <v>3.4230442217473973</v>
      </c>
      <c r="L1262" s="1">
        <f t="shared" ref="L1262:N1262" si="2850">E1262/$H1262</f>
        <v>0.95410576536333058</v>
      </c>
      <c r="M1262" s="1">
        <f t="shared" si="2850"/>
        <v>0</v>
      </c>
      <c r="N1262" s="1">
        <f t="shared" si="2850"/>
        <v>-0.29946984572816848</v>
      </c>
      <c r="O1262" s="1">
        <f t="shared" si="2306"/>
        <v>-0.29946984572816848</v>
      </c>
      <c r="P1262" s="1">
        <f t="shared" si="2750"/>
        <v>0.28572590636171274</v>
      </c>
      <c r="Q1262" s="1">
        <f t="shared" si="2751"/>
        <v>0</v>
      </c>
      <c r="R1262" s="1">
        <f t="shared" si="2752"/>
        <v>0.91031781149954694</v>
      </c>
      <c r="S1262" s="1">
        <f t="shared" si="2753"/>
        <v>0.92415570653446633</v>
      </c>
      <c r="T1262" s="1">
        <f t="shared" ref="T1262:V1262" si="2851">$S1262*P1262</f>
        <v>0.26405522686890942</v>
      </c>
      <c r="U1262" s="1">
        <f t="shared" si="2851"/>
        <v>0</v>
      </c>
      <c r="V1262" s="1">
        <f t="shared" si="2851"/>
        <v>0.84127540025727299</v>
      </c>
      <c r="W1262" s="1">
        <f t="shared" si="2755"/>
        <v>-10.641704647290025</v>
      </c>
      <c r="X1262" s="1">
        <f t="shared" si="2756"/>
        <v>0</v>
      </c>
      <c r="Y1262" s="1">
        <f t="shared" si="2757"/>
        <v>-5.542330377995329</v>
      </c>
    </row>
    <row r="1263" spans="1:25">
      <c r="A1263" s="1">
        <v>1.2609999999999899</v>
      </c>
      <c r="B1263" s="1">
        <f t="shared" si="2758"/>
        <v>42.325271353414969</v>
      </c>
      <c r="C1263" s="1">
        <f t="shared" si="2759"/>
        <v>0</v>
      </c>
      <c r="D1263" s="1">
        <f t="shared" si="2760"/>
        <v>-1.9952623145432185</v>
      </c>
      <c r="E1263" s="1">
        <f t="shared" si="2761"/>
        <v>15.979159224941013</v>
      </c>
      <c r="F1263" s="1">
        <f t="shared" si="2762"/>
        <v>0</v>
      </c>
      <c r="G1263" s="1">
        <f t="shared" si="2763"/>
        <v>-5.0243393982108806</v>
      </c>
      <c r="H1263" s="1">
        <f t="shared" si="2304"/>
        <v>16.750448230552863</v>
      </c>
      <c r="I1263" s="1">
        <f t="shared" si="2746"/>
        <v>-10.892979710575815</v>
      </c>
      <c r="J1263" s="1">
        <f t="shared" si="2747"/>
        <v>0</v>
      </c>
      <c r="K1263" s="1">
        <f t="shared" si="2748"/>
        <v>3.4250880383201054</v>
      </c>
      <c r="L1263" s="1">
        <f t="shared" ref="L1263:N1263" si="2852">E1263/$H1263</f>
        <v>0.95395412737642349</v>
      </c>
      <c r="M1263" s="1">
        <f t="shared" si="2852"/>
        <v>0</v>
      </c>
      <c r="N1263" s="1">
        <f t="shared" si="2852"/>
        <v>-0.29995253434749719</v>
      </c>
      <c r="O1263" s="1">
        <f t="shared" si="2306"/>
        <v>-0.29995253434749719</v>
      </c>
      <c r="P1263" s="1">
        <f t="shared" si="2750"/>
        <v>0.28614095815781337</v>
      </c>
      <c r="Q1263" s="1">
        <f t="shared" si="2751"/>
        <v>0</v>
      </c>
      <c r="R1263" s="1">
        <f t="shared" si="2752"/>
        <v>0.91002847713851354</v>
      </c>
      <c r="S1263" s="1">
        <f t="shared" si="2753"/>
        <v>0.92321944274037504</v>
      </c>
      <c r="T1263" s="1">
        <f t="shared" ref="T1263:V1263" si="2853">$S1263*P1263</f>
        <v>0.26417089593565346</v>
      </c>
      <c r="U1263" s="1">
        <f t="shared" si="2853"/>
        <v>0</v>
      </c>
      <c r="V1263" s="1">
        <f t="shared" si="2853"/>
        <v>0.84015598354169063</v>
      </c>
      <c r="W1263" s="1">
        <f t="shared" si="2755"/>
        <v>-10.628808814640163</v>
      </c>
      <c r="X1263" s="1">
        <f t="shared" si="2756"/>
        <v>0</v>
      </c>
      <c r="Y1263" s="1">
        <f t="shared" si="2757"/>
        <v>-5.5414059781382035</v>
      </c>
    </row>
    <row r="1264" spans="1:25">
      <c r="A1264" s="1">
        <v>1.26199999999999</v>
      </c>
      <c r="B1264" s="1">
        <f t="shared" si="2758"/>
        <v>42.341239883831093</v>
      </c>
      <c r="C1264" s="1">
        <f t="shared" si="2759"/>
        <v>0</v>
      </c>
      <c r="D1264" s="1">
        <f t="shared" si="2760"/>
        <v>-2.0002921953474075</v>
      </c>
      <c r="E1264" s="1">
        <f t="shared" si="2761"/>
        <v>15.968530416126372</v>
      </c>
      <c r="F1264" s="1">
        <f t="shared" si="2762"/>
        <v>0</v>
      </c>
      <c r="G1264" s="1">
        <f t="shared" si="2763"/>
        <v>-5.0298808041890188</v>
      </c>
      <c r="H1264" s="1">
        <f t="shared" si="2304"/>
        <v>16.741973138047445</v>
      </c>
      <c r="I1264" s="1">
        <f t="shared" si="2746"/>
        <v>-10.880226291124625</v>
      </c>
      <c r="J1264" s="1">
        <f t="shared" si="2747"/>
        <v>0</v>
      </c>
      <c r="K1264" s="1">
        <f t="shared" si="2748"/>
        <v>3.4271307340651243</v>
      </c>
      <c r="L1264" s="1">
        <f t="shared" ref="L1264:N1264" si="2854">E1264/$H1264</f>
        <v>0.95380217638962972</v>
      </c>
      <c r="M1264" s="1">
        <f t="shared" si="2854"/>
        <v>0</v>
      </c>
      <c r="N1264" s="1">
        <f t="shared" si="2854"/>
        <v>-0.30043536462008896</v>
      </c>
      <c r="O1264" s="1">
        <f t="shared" si="2306"/>
        <v>-0.30043536462008896</v>
      </c>
      <c r="P1264" s="1">
        <f t="shared" si="2750"/>
        <v>0.28655590463905284</v>
      </c>
      <c r="Q1264" s="1">
        <f t="shared" si="2751"/>
        <v>0</v>
      </c>
      <c r="R1264" s="1">
        <f t="shared" si="2752"/>
        <v>0.90973859168559423</v>
      </c>
      <c r="S1264" s="1">
        <f t="shared" si="2753"/>
        <v>0.92228545092656256</v>
      </c>
      <c r="T1264" s="1">
        <f t="shared" ref="T1264:V1264" si="2855">$S1264*P1264</f>
        <v>0.26428634172569793</v>
      </c>
      <c r="U1264" s="1">
        <f t="shared" si="2855"/>
        <v>0</v>
      </c>
      <c r="V1264" s="1">
        <f t="shared" si="2855"/>
        <v>0.83903866725804421</v>
      </c>
      <c r="W1264" s="1">
        <f t="shared" si="2755"/>
        <v>-10.615939949398927</v>
      </c>
      <c r="X1264" s="1">
        <f t="shared" si="2756"/>
        <v>0</v>
      </c>
      <c r="Y1264" s="1">
        <f t="shared" si="2757"/>
        <v>-5.5404805986768313</v>
      </c>
    </row>
    <row r="1265" spans="1:25">
      <c r="A1265" s="1">
        <v>1.2629999999999899</v>
      </c>
      <c r="B1265" s="1">
        <f t="shared" si="2758"/>
        <v>42.357197798307268</v>
      </c>
      <c r="C1265" s="1">
        <f t="shared" si="2759"/>
        <v>0</v>
      </c>
      <c r="D1265" s="1">
        <f t="shared" si="2760"/>
        <v>-2.0053276166321954</v>
      </c>
      <c r="E1265" s="1">
        <f t="shared" si="2761"/>
        <v>15.957914476176972</v>
      </c>
      <c r="F1265" s="1">
        <f t="shared" si="2762"/>
        <v>0</v>
      </c>
      <c r="G1265" s="1">
        <f t="shared" si="2763"/>
        <v>-5.035421284787696</v>
      </c>
      <c r="H1265" s="1">
        <f t="shared" si="2304"/>
        <v>16.733514333345269</v>
      </c>
      <c r="I1265" s="1">
        <f t="shared" si="2746"/>
        <v>-10.867499545574923</v>
      </c>
      <c r="J1265" s="1">
        <f t="shared" si="2747"/>
        <v>0</v>
      </c>
      <c r="K1265" s="1">
        <f t="shared" si="2748"/>
        <v>3.4291723148348643</v>
      </c>
      <c r="L1265" s="1">
        <f t="shared" ref="L1265:N1265" si="2856">E1265/$H1265</f>
        <v>0.95364991228275697</v>
      </c>
      <c r="M1265" s="1">
        <f t="shared" si="2856"/>
        <v>0</v>
      </c>
      <c r="N1265" s="1">
        <f t="shared" si="2856"/>
        <v>-0.30091833577083643</v>
      </c>
      <c r="O1265" s="1">
        <f t="shared" si="2306"/>
        <v>-0.30091833577083643</v>
      </c>
      <c r="P1265" s="1">
        <f t="shared" si="2750"/>
        <v>0.28697074451213139</v>
      </c>
      <c r="Q1265" s="1">
        <f t="shared" si="2751"/>
        <v>0</v>
      </c>
      <c r="R1265" s="1">
        <f t="shared" si="2752"/>
        <v>0.90944815519691014</v>
      </c>
      <c r="S1265" s="1">
        <f t="shared" si="2753"/>
        <v>0.92135372542134997</v>
      </c>
      <c r="T1265" s="1">
        <f t="shared" ref="T1265:V1265" si="2857">$S1265*P1265</f>
        <v>0.26440156454319069</v>
      </c>
      <c r="U1265" s="1">
        <f t="shared" si="2857"/>
        <v>0</v>
      </c>
      <c r="V1265" s="1">
        <f t="shared" si="2857"/>
        <v>0.83792344586824719</v>
      </c>
      <c r="W1265" s="1">
        <f t="shared" si="2755"/>
        <v>-10.603097981031732</v>
      </c>
      <c r="X1265" s="1">
        <f t="shared" si="2756"/>
        <v>0</v>
      </c>
      <c r="Y1265" s="1">
        <f t="shared" si="2757"/>
        <v>-5.5395542392968879</v>
      </c>
    </row>
    <row r="1266" spans="1:25">
      <c r="A1266" s="1">
        <v>1.26399999999999</v>
      </c>
      <c r="B1266" s="1">
        <f t="shared" si="2758"/>
        <v>42.373145109685467</v>
      </c>
      <c r="C1266" s="1">
        <f t="shared" si="2759"/>
        <v>0</v>
      </c>
      <c r="D1266" s="1">
        <f t="shared" si="2760"/>
        <v>-2.0103685774712226</v>
      </c>
      <c r="E1266" s="1">
        <f t="shared" si="2761"/>
        <v>15.947311378195941</v>
      </c>
      <c r="F1266" s="1">
        <f t="shared" si="2762"/>
        <v>0</v>
      </c>
      <c r="G1266" s="1">
        <f t="shared" si="2763"/>
        <v>-5.0409608390269929</v>
      </c>
      <c r="H1266" s="1">
        <f t="shared" si="2304"/>
        <v>16.725071789793354</v>
      </c>
      <c r="I1266" s="1">
        <f t="shared" si="2746"/>
        <v>-10.854799403919403</v>
      </c>
      <c r="J1266" s="1">
        <f t="shared" si="2747"/>
        <v>0</v>
      </c>
      <c r="K1266" s="1">
        <f t="shared" si="2748"/>
        <v>3.4312127864679196</v>
      </c>
      <c r="L1266" s="1">
        <f t="shared" ref="L1266:N1266" si="2858">E1266/$H1266</f>
        <v>0.95349733493687905</v>
      </c>
      <c r="M1266" s="1">
        <f t="shared" si="2858"/>
        <v>0</v>
      </c>
      <c r="N1266" s="1">
        <f t="shared" si="2858"/>
        <v>-0.30140144702417904</v>
      </c>
      <c r="O1266" s="1">
        <f t="shared" si="2306"/>
        <v>-0.30140144702417904</v>
      </c>
      <c r="P1266" s="1">
        <f t="shared" si="2750"/>
        <v>0.28738547648367363</v>
      </c>
      <c r="Q1266" s="1">
        <f t="shared" si="2751"/>
        <v>0</v>
      </c>
      <c r="R1266" s="1">
        <f t="shared" si="2752"/>
        <v>0.90915716773173094</v>
      </c>
      <c r="S1266" s="1">
        <f t="shared" si="2753"/>
        <v>0.92042426057113425</v>
      </c>
      <c r="T1266" s="1">
        <f t="shared" ref="T1266:V1266" si="2859">$S1266*P1266</f>
        <v>0.26451656469136842</v>
      </c>
      <c r="U1266" s="1">
        <f t="shared" si="2859"/>
        <v>0</v>
      </c>
      <c r="V1266" s="1">
        <f t="shared" si="2859"/>
        <v>0.8368103138524251</v>
      </c>
      <c r="W1266" s="1">
        <f t="shared" si="2755"/>
        <v>-10.590282839228035</v>
      </c>
      <c r="X1266" s="1">
        <f t="shared" si="2756"/>
        <v>0</v>
      </c>
      <c r="Y1266" s="1">
        <f t="shared" si="2757"/>
        <v>-5.538626899679655</v>
      </c>
    </row>
    <row r="1267" spans="1:25">
      <c r="A1267" s="1">
        <v>1.2649999999999899</v>
      </c>
      <c r="B1267" s="1">
        <f t="shared" si="2758"/>
        <v>42.389081830780825</v>
      </c>
      <c r="C1267" s="1">
        <f t="shared" si="2759"/>
        <v>0</v>
      </c>
      <c r="D1267" s="1">
        <f t="shared" si="2760"/>
        <v>-2.0154150769371491</v>
      </c>
      <c r="E1267" s="1">
        <f t="shared" si="2761"/>
        <v>15.936721095356713</v>
      </c>
      <c r="F1267" s="1">
        <f t="shared" si="2762"/>
        <v>0</v>
      </c>
      <c r="G1267" s="1">
        <f t="shared" si="2763"/>
        <v>-5.0464994659266722</v>
      </c>
      <c r="H1267" s="1">
        <f t="shared" si="2304"/>
        <v>16.716645480801041</v>
      </c>
      <c r="I1267" s="1">
        <f t="shared" si="2746"/>
        <v>-10.842125796373056</v>
      </c>
      <c r="J1267" s="1">
        <f t="shared" si="2747"/>
        <v>0</v>
      </c>
      <c r="K1267" s="1">
        <f t="shared" si="2748"/>
        <v>3.4332521547891051</v>
      </c>
      <c r="L1267" s="1">
        <f t="shared" ref="L1267:N1267" si="2860">E1267/$H1267</f>
        <v>0.95334444423433717</v>
      </c>
      <c r="M1267" s="1">
        <f t="shared" si="2860"/>
        <v>0</v>
      </c>
      <c r="N1267" s="1">
        <f t="shared" si="2860"/>
        <v>-0.3018846976041063</v>
      </c>
      <c r="O1267" s="1">
        <f t="shared" si="2306"/>
        <v>-0.3018846976041063</v>
      </c>
      <c r="P1267" s="1">
        <f t="shared" si="2750"/>
        <v>0.28780009926023764</v>
      </c>
      <c r="Q1267" s="1">
        <f t="shared" si="2751"/>
        <v>0</v>
      </c>
      <c r="R1267" s="1">
        <f t="shared" si="2752"/>
        <v>0.90886562935247728</v>
      </c>
      <c r="S1267" s="1">
        <f t="shared" si="2753"/>
        <v>0.91949705074031818</v>
      </c>
      <c r="T1267" s="1">
        <f t="shared" ref="T1267:V1267" si="2861">$S1267*P1267</f>
        <v>0.26463134247255932</v>
      </c>
      <c r="U1267" s="1">
        <f t="shared" si="2861"/>
        <v>0</v>
      </c>
      <c r="V1267" s="1">
        <f t="shared" si="2861"/>
        <v>0.83569926570884601</v>
      </c>
      <c r="W1267" s="1">
        <f t="shared" si="2755"/>
        <v>-10.577494453900496</v>
      </c>
      <c r="X1267" s="1">
        <f t="shared" si="2756"/>
        <v>0</v>
      </c>
      <c r="Y1267" s="1">
        <f t="shared" si="2757"/>
        <v>-5.5376985795020488</v>
      </c>
    </row>
    <row r="1268" spans="1:25">
      <c r="A1268" s="1">
        <v>1.26599999999999</v>
      </c>
      <c r="B1268" s="1">
        <f t="shared" si="2758"/>
        <v>42.405007974381725</v>
      </c>
      <c r="C1268" s="1">
        <f t="shared" si="2759"/>
        <v>0</v>
      </c>
      <c r="D1268" s="1">
        <f t="shared" si="2760"/>
        <v>-2.0204671141016552</v>
      </c>
      <c r="E1268" s="1">
        <f t="shared" si="2761"/>
        <v>15.926143600902813</v>
      </c>
      <c r="F1268" s="1">
        <f t="shared" si="2762"/>
        <v>0</v>
      </c>
      <c r="G1268" s="1">
        <f t="shared" si="2763"/>
        <v>-5.0520371645061743</v>
      </c>
      <c r="H1268" s="1">
        <f t="shared" si="2304"/>
        <v>16.708235379839763</v>
      </c>
      <c r="I1268" s="1">
        <f t="shared" si="2746"/>
        <v>-10.82947865337227</v>
      </c>
      <c r="J1268" s="1">
        <f t="shared" si="2747"/>
        <v>0</v>
      </c>
      <c r="K1268" s="1">
        <f t="shared" si="2748"/>
        <v>3.4352904256094714</v>
      </c>
      <c r="L1268" s="1">
        <f t="shared" ref="L1268:N1268" si="2862">E1268/$H1268</f>
        <v>0.95319124005874223</v>
      </c>
      <c r="M1268" s="1">
        <f t="shared" si="2862"/>
        <v>0</v>
      </c>
      <c r="N1268" s="1">
        <f t="shared" si="2862"/>
        <v>-0.30236808673416143</v>
      </c>
      <c r="O1268" s="1">
        <f t="shared" si="2306"/>
        <v>-0.30236808673416143</v>
      </c>
      <c r="P1268" s="1">
        <f t="shared" si="2750"/>
        <v>0.28821461154832467</v>
      </c>
      <c r="Q1268" s="1">
        <f t="shared" si="2751"/>
        <v>0</v>
      </c>
      <c r="R1268" s="1">
        <f t="shared" si="2752"/>
        <v>0.90857354012472258</v>
      </c>
      <c r="S1268" s="1">
        <f t="shared" si="2753"/>
        <v>0.91857209031123788</v>
      </c>
      <c r="T1268" s="1">
        <f t="shared" ref="T1268:V1268" si="2863">$S1268*P1268</f>
        <v>0.26474589818818606</v>
      </c>
      <c r="U1268" s="1">
        <f t="shared" si="2863"/>
        <v>0</v>
      </c>
      <c r="V1268" s="1">
        <f t="shared" si="2863"/>
        <v>0.83459029595384782</v>
      </c>
      <c r="W1268" s="1">
        <f t="shared" si="2755"/>
        <v>-10.564732755184084</v>
      </c>
      <c r="X1268" s="1">
        <f t="shared" si="2756"/>
        <v>0</v>
      </c>
      <c r="Y1268" s="1">
        <f t="shared" si="2757"/>
        <v>-5.5367692784366804</v>
      </c>
    </row>
    <row r="1269" spans="1:25">
      <c r="A1269" s="1">
        <v>1.2669999999999899</v>
      </c>
      <c r="B1269" s="1">
        <f t="shared" si="2758"/>
        <v>42.420923553249871</v>
      </c>
      <c r="C1269" s="1">
        <f t="shared" si="2759"/>
        <v>0</v>
      </c>
      <c r="D1269" s="1">
        <f t="shared" si="2760"/>
        <v>-2.0255246880354401</v>
      </c>
      <c r="E1269" s="1">
        <f t="shared" si="2761"/>
        <v>15.91557886814763</v>
      </c>
      <c r="F1269" s="1">
        <f t="shared" si="2762"/>
        <v>0</v>
      </c>
      <c r="G1269" s="1">
        <f t="shared" si="2763"/>
        <v>-5.0575739337846111</v>
      </c>
      <c r="H1269" s="1">
        <f t="shared" si="2304"/>
        <v>16.699841460442819</v>
      </c>
      <c r="I1269" s="1">
        <f t="shared" si="2746"/>
        <v>-10.816857905573981</v>
      </c>
      <c r="J1269" s="1">
        <f t="shared" si="2747"/>
        <v>0</v>
      </c>
      <c r="K1269" s="1">
        <f t="shared" si="2748"/>
        <v>3.437327604726335</v>
      </c>
      <c r="L1269" s="1">
        <f t="shared" ref="L1269:N1269" si="2864">E1269/$H1269</f>
        <v>0.95303772229497608</v>
      </c>
      <c r="M1269" s="1">
        <f t="shared" si="2864"/>
        <v>0</v>
      </c>
      <c r="N1269" s="1">
        <f t="shared" si="2864"/>
        <v>-0.30285161363744484</v>
      </c>
      <c r="O1269" s="1">
        <f t="shared" si="2306"/>
        <v>-0.30285161363744484</v>
      </c>
      <c r="P1269" s="1">
        <f t="shared" si="2750"/>
        <v>0.28862901205438857</v>
      </c>
      <c r="Q1269" s="1">
        <f t="shared" si="2751"/>
        <v>0</v>
      </c>
      <c r="R1269" s="1">
        <f t="shared" si="2752"/>
        <v>0.90828090011719587</v>
      </c>
      <c r="S1269" s="1">
        <f t="shared" si="2753"/>
        <v>0.91764937368409427</v>
      </c>
      <c r="T1269" s="1">
        <f t="shared" ref="T1269:V1269" si="2865">$S1269*P1269</f>
        <v>0.26486023213876858</v>
      </c>
      <c r="U1269" s="1">
        <f t="shared" si="2865"/>
        <v>0</v>
      </c>
      <c r="V1269" s="1">
        <f t="shared" si="2865"/>
        <v>0.83348339912177016</v>
      </c>
      <c r="W1269" s="1">
        <f t="shared" si="2755"/>
        <v>-10.551997673435212</v>
      </c>
      <c r="X1269" s="1">
        <f t="shared" si="2756"/>
        <v>0</v>
      </c>
      <c r="Y1269" s="1">
        <f t="shared" si="2757"/>
        <v>-5.5358389961518943</v>
      </c>
    </row>
    <row r="1270" spans="1:25">
      <c r="A1270" s="1">
        <v>1.26799999999999</v>
      </c>
      <c r="B1270" s="1">
        <f t="shared" si="2758"/>
        <v>42.436828580120348</v>
      </c>
      <c r="C1270" s="1">
        <f t="shared" si="2759"/>
        <v>0</v>
      </c>
      <c r="D1270" s="1">
        <f t="shared" si="2760"/>
        <v>-2.030587797808221</v>
      </c>
      <c r="E1270" s="1">
        <f t="shared" si="2761"/>
        <v>15.905026870474195</v>
      </c>
      <c r="F1270" s="1">
        <f t="shared" si="2762"/>
        <v>0</v>
      </c>
      <c r="G1270" s="1">
        <f t="shared" si="2763"/>
        <v>-5.0631097727807628</v>
      </c>
      <c r="H1270" s="1">
        <f t="shared" si="2304"/>
        <v>16.691463696205144</v>
      </c>
      <c r="I1270" s="1">
        <f t="shared" si="2746"/>
        <v>-10.8042634838548</v>
      </c>
      <c r="J1270" s="1">
        <f t="shared" si="2747"/>
        <v>0</v>
      </c>
      <c r="K1270" s="1">
        <f t="shared" si="2748"/>
        <v>3.4393636979232993</v>
      </c>
      <c r="L1270" s="1">
        <f t="shared" ref="L1270:N1270" si="2866">E1270/$H1270</f>
        <v>0.95288389082919389</v>
      </c>
      <c r="M1270" s="1">
        <f t="shared" si="2866"/>
        <v>0</v>
      </c>
      <c r="N1270" s="1">
        <f t="shared" si="2866"/>
        <v>-0.30333527753661749</v>
      </c>
      <c r="O1270" s="1">
        <f t="shared" si="2306"/>
        <v>-0.30333527753661749</v>
      </c>
      <c r="P1270" s="1">
        <f t="shared" si="2750"/>
        <v>0.28904329948484547</v>
      </c>
      <c r="Q1270" s="1">
        <f t="shared" si="2751"/>
        <v>0</v>
      </c>
      <c r="R1270" s="1">
        <f t="shared" si="2752"/>
        <v>0.90798770940178319</v>
      </c>
      <c r="S1270" s="1">
        <f t="shared" si="2753"/>
        <v>0.91672889527688184</v>
      </c>
      <c r="T1270" s="1">
        <f t="shared" ref="T1270:V1270" si="2867">$S1270*P1270</f>
        <v>0.26497434462392733</v>
      </c>
      <c r="U1270" s="1">
        <f t="shared" si="2867"/>
        <v>0</v>
      </c>
      <c r="V1270" s="1">
        <f t="shared" si="2867"/>
        <v>0.83237856976488311</v>
      </c>
      <c r="W1270" s="1">
        <f t="shared" si="2755"/>
        <v>-10.539289139230872</v>
      </c>
      <c r="X1270" s="1">
        <f t="shared" si="2756"/>
        <v>0</v>
      </c>
      <c r="Y1270" s="1">
        <f t="shared" si="2757"/>
        <v>-5.534907732311817</v>
      </c>
    </row>
    <row r="1271" spans="1:25">
      <c r="A1271" s="1">
        <v>1.2689999999999899</v>
      </c>
      <c r="B1271" s="1">
        <f t="shared" si="2758"/>
        <v>42.452723067701683</v>
      </c>
      <c r="C1271" s="1">
        <f t="shared" si="2759"/>
        <v>0</v>
      </c>
      <c r="D1271" s="1">
        <f t="shared" si="2760"/>
        <v>-2.035656442488734</v>
      </c>
      <c r="E1271" s="1">
        <f t="shared" si="2761"/>
        <v>15.894487581334964</v>
      </c>
      <c r="F1271" s="1">
        <f t="shared" si="2762"/>
        <v>0</v>
      </c>
      <c r="G1271" s="1">
        <f t="shared" si="2763"/>
        <v>-5.0686446805130743</v>
      </c>
      <c r="H1271" s="1">
        <f t="shared" si="2304"/>
        <v>16.683102060783089</v>
      </c>
      <c r="I1271" s="1">
        <f t="shared" si="2746"/>
        <v>-10.791695319310158</v>
      </c>
      <c r="J1271" s="1">
        <f t="shared" si="2747"/>
        <v>0</v>
      </c>
      <c r="K1271" s="1">
        <f t="shared" si="2748"/>
        <v>3.4413987109702804</v>
      </c>
      <c r="L1271" s="1">
        <f t="shared" ref="L1271:N1271" si="2868">E1271/$H1271</f>
        <v>0.95272974554882583</v>
      </c>
      <c r="M1271" s="1">
        <f t="shared" si="2868"/>
        <v>0</v>
      </c>
      <c r="N1271" s="1">
        <f t="shared" si="2868"/>
        <v>-0.30381907765390465</v>
      </c>
      <c r="O1271" s="1">
        <f t="shared" si="2306"/>
        <v>-0.30381907765390465</v>
      </c>
      <c r="P1271" s="1">
        <f t="shared" si="2750"/>
        <v>0.28945747254608351</v>
      </c>
      <c r="Q1271" s="1">
        <f t="shared" si="2751"/>
        <v>0</v>
      </c>
      <c r="R1271" s="1">
        <f t="shared" si="2752"/>
        <v>0.90769396805353064</v>
      </c>
      <c r="S1271" s="1">
        <f t="shared" si="2753"/>
        <v>0.91581064952531865</v>
      </c>
      <c r="T1271" s="1">
        <f t="shared" ref="T1271:V1271" si="2869">$S1271*P1271</f>
        <v>0.26508823594238584</v>
      </c>
      <c r="U1271" s="1">
        <f t="shared" si="2869"/>
        <v>0</v>
      </c>
      <c r="V1271" s="1">
        <f t="shared" si="2869"/>
        <v>0.83127580245331778</v>
      </c>
      <c r="W1271" s="1">
        <f t="shared" si="2755"/>
        <v>-10.526607083367772</v>
      </c>
      <c r="X1271" s="1">
        <f t="shared" si="2756"/>
        <v>0</v>
      </c>
      <c r="Y1271" s="1">
        <f t="shared" si="2757"/>
        <v>-5.5339754865764013</v>
      </c>
    </row>
    <row r="1272" spans="1:25">
      <c r="A1272" s="1">
        <v>1.26999999999999</v>
      </c>
      <c r="B1272" s="1">
        <f t="shared" si="2758"/>
        <v>42.468607028675933</v>
      </c>
      <c r="C1272" s="1">
        <f t="shared" si="2759"/>
        <v>0</v>
      </c>
      <c r="D1272" s="1">
        <f t="shared" si="2760"/>
        <v>-2.0407306211447338</v>
      </c>
      <c r="E1272" s="1">
        <f t="shared" si="2761"/>
        <v>15.883960974251597</v>
      </c>
      <c r="F1272" s="1">
        <f t="shared" si="2762"/>
        <v>0</v>
      </c>
      <c r="G1272" s="1">
        <f t="shared" si="2763"/>
        <v>-5.0741786559996509</v>
      </c>
      <c r="H1272" s="1">
        <f t="shared" si="2304"/>
        <v>16.6747565278942</v>
      </c>
      <c r="I1272" s="1">
        <f t="shared" si="2746"/>
        <v>-10.77915334325346</v>
      </c>
      <c r="J1272" s="1">
        <f t="shared" si="2747"/>
        <v>0</v>
      </c>
      <c r="K1272" s="1">
        <f t="shared" si="2748"/>
        <v>3.4434326496235341</v>
      </c>
      <c r="L1272" s="1">
        <f t="shared" ref="L1272:N1272" si="2870">E1272/$H1272</f>
        <v>0.95257528634257849</v>
      </c>
      <c r="M1272" s="1">
        <f t="shared" si="2870"/>
        <v>0</v>
      </c>
      <c r="N1272" s="1">
        <f t="shared" si="2870"/>
        <v>-0.30430301321109915</v>
      </c>
      <c r="O1272" s="1">
        <f t="shared" si="2306"/>
        <v>-0.30430301321109915</v>
      </c>
      <c r="P1272" s="1">
        <f t="shared" si="2750"/>
        <v>0.28987152994447224</v>
      </c>
      <c r="Q1272" s="1">
        <f t="shared" si="2751"/>
        <v>0</v>
      </c>
      <c r="R1272" s="1">
        <f t="shared" si="2752"/>
        <v>0.90739967615064565</v>
      </c>
      <c r="S1272" s="1">
        <f t="shared" si="2753"/>
        <v>0.91489463088277811</v>
      </c>
      <c r="T1272" s="1">
        <f t="shared" ref="T1272:V1272" si="2871">$S1272*P1272</f>
        <v>0.26520190639197411</v>
      </c>
      <c r="U1272" s="1">
        <f t="shared" si="2871"/>
        <v>0</v>
      </c>
      <c r="V1272" s="1">
        <f t="shared" si="2871"/>
        <v>0.83017509177499738</v>
      </c>
      <c r="W1272" s="1">
        <f t="shared" si="2755"/>
        <v>-10.513951436861486</v>
      </c>
      <c r="X1272" s="1">
        <f t="shared" si="2756"/>
        <v>0</v>
      </c>
      <c r="Y1272" s="1">
        <f t="shared" si="2757"/>
        <v>-5.5330422586014683</v>
      </c>
    </row>
    <row r="1273" spans="1:25">
      <c r="A1273" s="1">
        <v>1.2709999999999899</v>
      </c>
      <c r="B1273" s="1">
        <f t="shared" si="2758"/>
        <v>42.484480475698746</v>
      </c>
      <c r="C1273" s="1">
        <f t="shared" si="2759"/>
        <v>0</v>
      </c>
      <c r="D1273" s="1">
        <f t="shared" si="2760"/>
        <v>-2.0458103328429922</v>
      </c>
      <c r="E1273" s="1">
        <f t="shared" si="2761"/>
        <v>15.873447022814736</v>
      </c>
      <c r="F1273" s="1">
        <f t="shared" si="2762"/>
        <v>0</v>
      </c>
      <c r="G1273" s="1">
        <f t="shared" si="2763"/>
        <v>-5.0797116982582526</v>
      </c>
      <c r="H1273" s="1">
        <f t="shared" si="2304"/>
        <v>16.666427071316988</v>
      </c>
      <c r="I1273" s="1">
        <f t="shared" si="2746"/>
        <v>-10.766637487215219</v>
      </c>
      <c r="J1273" s="1">
        <f t="shared" si="2747"/>
        <v>0</v>
      </c>
      <c r="K1273" s="1">
        <f t="shared" si="2748"/>
        <v>3.445465519625674</v>
      </c>
      <c r="L1273" s="1">
        <f t="shared" ref="L1273:N1273" si="2872">E1273/$H1273</f>
        <v>0.95242051310043674</v>
      </c>
      <c r="M1273" s="1">
        <f t="shared" si="2872"/>
        <v>0</v>
      </c>
      <c r="N1273" s="1">
        <f t="shared" si="2872"/>
        <v>-0.30478708342956506</v>
      </c>
      <c r="O1273" s="1">
        <f t="shared" si="2306"/>
        <v>-0.30478708342956506</v>
      </c>
      <c r="P1273" s="1">
        <f t="shared" si="2750"/>
        <v>0.29028547038637198</v>
      </c>
      <c r="Q1273" s="1">
        <f t="shared" si="2751"/>
        <v>0</v>
      </c>
      <c r="R1273" s="1">
        <f t="shared" si="2752"/>
        <v>0.90710483377449935</v>
      </c>
      <c r="S1273" s="1">
        <f t="shared" si="2753"/>
        <v>0.91398083382021866</v>
      </c>
      <c r="T1273" s="1">
        <f t="shared" ref="T1273:V1273" si="2873">$S1273*P1273</f>
        <v>0.26531535626963065</v>
      </c>
      <c r="U1273" s="1">
        <f t="shared" si="2873"/>
        <v>0</v>
      </c>
      <c r="V1273" s="1">
        <f t="shared" si="2873"/>
        <v>0.82907643233556771</v>
      </c>
      <c r="W1273" s="1">
        <f t="shared" si="2755"/>
        <v>-10.501322130945589</v>
      </c>
      <c r="X1273" s="1">
        <f t="shared" si="2756"/>
        <v>0</v>
      </c>
      <c r="Y1273" s="1">
        <f t="shared" si="2757"/>
        <v>-5.5321080480387579</v>
      </c>
    </row>
    <row r="1274" spans="1:25">
      <c r="A1274" s="1">
        <v>1.27199999999999</v>
      </c>
      <c r="B1274" s="1">
        <f t="shared" si="2758"/>
        <v>42.500343421399428</v>
      </c>
      <c r="C1274" s="1">
        <f t="shared" si="2759"/>
        <v>0</v>
      </c>
      <c r="D1274" s="1">
        <f t="shared" si="2760"/>
        <v>-2.0508955766492987</v>
      </c>
      <c r="E1274" s="1">
        <f t="shared" si="2761"/>
        <v>15.86294570068379</v>
      </c>
      <c r="F1274" s="1">
        <f t="shared" si="2762"/>
        <v>0</v>
      </c>
      <c r="G1274" s="1">
        <f t="shared" si="2763"/>
        <v>-5.0852438063062912</v>
      </c>
      <c r="H1274" s="1">
        <f t="shared" si="2304"/>
        <v>16.658113664890717</v>
      </c>
      <c r="I1274" s="1">
        <f t="shared" si="2746"/>
        <v>-10.754147682942216</v>
      </c>
      <c r="J1274" s="1">
        <f t="shared" si="2747"/>
        <v>0</v>
      </c>
      <c r="K1274" s="1">
        <f t="shared" si="2748"/>
        <v>3.447497326705701</v>
      </c>
      <c r="L1274" s="1">
        <f t="shared" ref="L1274:N1274" si="2874">E1274/$H1274</f>
        <v>0.95226542571366568</v>
      </c>
      <c r="M1274" s="1">
        <f t="shared" si="2874"/>
        <v>0</v>
      </c>
      <c r="N1274" s="1">
        <f t="shared" si="2874"/>
        <v>-0.30527128753024102</v>
      </c>
      <c r="O1274" s="1">
        <f t="shared" si="2306"/>
        <v>-0.30527128753024102</v>
      </c>
      <c r="P1274" s="1">
        <f t="shared" si="2750"/>
        <v>0.29069929257814381</v>
      </c>
      <c r="Q1274" s="1">
        <f t="shared" si="2751"/>
        <v>0</v>
      </c>
      <c r="R1274" s="1">
        <f t="shared" si="2752"/>
        <v>0.9068094410096289</v>
      </c>
      <c r="S1274" s="1">
        <f t="shared" si="2753"/>
        <v>0.91306925282611551</v>
      </c>
      <c r="T1274" s="1">
        <f t="shared" ref="T1274:V1274" si="2875">$S1274*P1274</f>
        <v>0.26542858587140611</v>
      </c>
      <c r="U1274" s="1">
        <f t="shared" si="2875"/>
        <v>0</v>
      </c>
      <c r="V1274" s="1">
        <f t="shared" si="2875"/>
        <v>0.82797981875832938</v>
      </c>
      <c r="W1274" s="1">
        <f t="shared" si="2755"/>
        <v>-10.48871909707081</v>
      </c>
      <c r="X1274" s="1">
        <f t="shared" si="2756"/>
        <v>0</v>
      </c>
      <c r="Y1274" s="1">
        <f t="shared" si="2757"/>
        <v>-5.5311728545359689</v>
      </c>
    </row>
    <row r="1275" spans="1:25">
      <c r="A1275" s="1">
        <v>1.2729999999999899</v>
      </c>
      <c r="B1275" s="1">
        <f t="shared" si="2758"/>
        <v>42.516195878381012</v>
      </c>
      <c r="C1275" s="1">
        <f t="shared" si="2759"/>
        <v>0</v>
      </c>
      <c r="D1275" s="1">
        <f t="shared" si="2760"/>
        <v>-2.0559863516284596</v>
      </c>
      <c r="E1275" s="1">
        <f t="shared" si="2761"/>
        <v>15.85245698158672</v>
      </c>
      <c r="F1275" s="1">
        <f t="shared" si="2762"/>
        <v>0</v>
      </c>
      <c r="G1275" s="1">
        <f t="shared" si="2763"/>
        <v>-5.0907749791608268</v>
      </c>
      <c r="H1275" s="1">
        <f t="shared" si="2304"/>
        <v>16.649816282515175</v>
      </c>
      <c r="I1275" s="1">
        <f t="shared" si="2746"/>
        <v>-10.741683862396668</v>
      </c>
      <c r="J1275" s="1">
        <f t="shared" si="2747"/>
        <v>0</v>
      </c>
      <c r="K1275" s="1">
        <f t="shared" si="2748"/>
        <v>3.4495280765790257</v>
      </c>
      <c r="L1275" s="1">
        <f t="shared" ref="L1275:N1275" si="2876">E1275/$H1275</f>
        <v>0.95211002407481193</v>
      </c>
      <c r="M1275" s="1">
        <f t="shared" si="2876"/>
        <v>0</v>
      </c>
      <c r="N1275" s="1">
        <f t="shared" si="2876"/>
        <v>-0.30575562473364409</v>
      </c>
      <c r="O1275" s="1">
        <f t="shared" si="2306"/>
        <v>-0.30575562473364409</v>
      </c>
      <c r="P1275" s="1">
        <f t="shared" si="2750"/>
        <v>0.29111299522615902</v>
      </c>
      <c r="Q1275" s="1">
        <f t="shared" si="2751"/>
        <v>0</v>
      </c>
      <c r="R1275" s="1">
        <f t="shared" si="2752"/>
        <v>0.90651349794373903</v>
      </c>
      <c r="S1275" s="1">
        <f t="shared" si="2753"/>
        <v>0.91215988240639301</v>
      </c>
      <c r="T1275" s="1">
        <f t="shared" ref="T1275:V1275" si="2877">$S1275*P1275</f>
        <v>0.26554159549246609</v>
      </c>
      <c r="U1275" s="1">
        <f t="shared" si="2877"/>
        <v>0</v>
      </c>
      <c r="V1275" s="1">
        <f t="shared" si="2877"/>
        <v>0.82688524568416899</v>
      </c>
      <c r="W1275" s="1">
        <f t="shared" si="2755"/>
        <v>-10.476142266904201</v>
      </c>
      <c r="X1275" s="1">
        <f t="shared" si="2756"/>
        <v>0</v>
      </c>
      <c r="Y1275" s="1">
        <f t="shared" si="2757"/>
        <v>-5.5302366777368048</v>
      </c>
    </row>
    <row r="1276" spans="1:25">
      <c r="A1276" s="1">
        <v>1.27399999999999</v>
      </c>
      <c r="B1276" s="1">
        <f t="shared" si="2758"/>
        <v>42.532037859220331</v>
      </c>
      <c r="C1276" s="1">
        <f t="shared" si="2759"/>
        <v>0</v>
      </c>
      <c r="D1276" s="1">
        <f t="shared" si="2760"/>
        <v>-2.0610826568442979</v>
      </c>
      <c r="E1276" s="1">
        <f t="shared" si="2761"/>
        <v>15.841980839319815</v>
      </c>
      <c r="F1276" s="1">
        <f t="shared" si="2762"/>
        <v>0</v>
      </c>
      <c r="G1276" s="1">
        <f t="shared" si="2763"/>
        <v>-5.096305215838564</v>
      </c>
      <c r="H1276" s="1">
        <f t="shared" si="2304"/>
        <v>16.641534898150454</v>
      </c>
      <c r="I1276" s="1">
        <f t="shared" si="2746"/>
        <v>-10.729245957755367</v>
      </c>
      <c r="J1276" s="1">
        <f t="shared" si="2747"/>
        <v>0</v>
      </c>
      <c r="K1276" s="1">
        <f t="shared" si="2748"/>
        <v>3.4515577749474922</v>
      </c>
      <c r="L1276" s="1">
        <f t="shared" ref="L1276:N1276" si="2878">E1276/$H1276</f>
        <v>0.95195430807770609</v>
      </c>
      <c r="M1276" s="1">
        <f t="shared" si="2878"/>
        <v>0</v>
      </c>
      <c r="N1276" s="1">
        <f t="shared" si="2878"/>
        <v>-0.3062400942598732</v>
      </c>
      <c r="O1276" s="1">
        <f t="shared" si="2306"/>
        <v>-0.3062400942598732</v>
      </c>
      <c r="P1276" s="1">
        <f t="shared" si="2750"/>
        <v>0.29152657703680906</v>
      </c>
      <c r="Q1276" s="1">
        <f t="shared" si="2751"/>
        <v>0</v>
      </c>
      <c r="R1276" s="1">
        <f t="shared" si="2752"/>
        <v>0.90621700466770394</v>
      </c>
      <c r="S1276" s="1">
        <f t="shared" si="2753"/>
        <v>0.91125271708435385</v>
      </c>
      <c r="T1276" s="1">
        <f t="shared" ref="T1276:V1276" si="2879">$S1276*P1276</f>
        <v>0.26565438542709346</v>
      </c>
      <c r="U1276" s="1">
        <f t="shared" si="2879"/>
        <v>0</v>
      </c>
      <c r="V1276" s="1">
        <f t="shared" si="2879"/>
        <v>0.82579270777148983</v>
      </c>
      <c r="W1276" s="1">
        <f t="shared" si="2755"/>
        <v>-10.463591572328273</v>
      </c>
      <c r="X1276" s="1">
        <f t="shared" si="2756"/>
        <v>0</v>
      </c>
      <c r="Y1276" s="1">
        <f t="shared" si="2757"/>
        <v>-5.5292995172810171</v>
      </c>
    </row>
    <row r="1277" spans="1:25">
      <c r="A1277" s="1">
        <v>1.2749999999999899</v>
      </c>
      <c r="B1277" s="1">
        <f t="shared" si="2758"/>
        <v>42.547869376468078</v>
      </c>
      <c r="C1277" s="1">
        <f t="shared" si="2759"/>
        <v>0</v>
      </c>
      <c r="D1277" s="1">
        <f t="shared" si="2760"/>
        <v>-2.0661844913596537</v>
      </c>
      <c r="E1277" s="1">
        <f t="shared" si="2761"/>
        <v>15.831517247747486</v>
      </c>
      <c r="F1277" s="1">
        <f t="shared" si="2762"/>
        <v>0</v>
      </c>
      <c r="G1277" s="1">
        <f t="shared" si="2763"/>
        <v>-5.1018345153558453</v>
      </c>
      <c r="H1277" s="1">
        <f t="shared" ref="H1277:H1531" si="2880">SQRT(E1277^2+F1277^2+G1277^2)</f>
        <v>16.633269485816744</v>
      </c>
      <c r="I1277" s="1">
        <f t="shared" si="2746"/>
        <v>-10.716833901408867</v>
      </c>
      <c r="J1277" s="1">
        <f t="shared" si="2747"/>
        <v>0</v>
      </c>
      <c r="K1277" s="1">
        <f t="shared" si="2748"/>
        <v>3.4535864274994017</v>
      </c>
      <c r="L1277" s="1">
        <f t="shared" ref="L1277:N1277" si="2881">E1277/$H1277</f>
        <v>0.95179827761746327</v>
      </c>
      <c r="M1277" s="1">
        <f t="shared" si="2881"/>
        <v>0</v>
      </c>
      <c r="N1277" s="1">
        <f t="shared" si="2881"/>
        <v>-0.30672469532861235</v>
      </c>
      <c r="O1277" s="1">
        <f t="shared" ref="O1277:O1531" si="2882">N1277</f>
        <v>-0.30672469532861235</v>
      </c>
      <c r="P1277" s="1">
        <f t="shared" si="2750"/>
        <v>0.29194003671651442</v>
      </c>
      <c r="Q1277" s="1">
        <f t="shared" si="2751"/>
        <v>0</v>
      </c>
      <c r="R1277" s="1">
        <f t="shared" si="2752"/>
        <v>0.90591996127556995</v>
      </c>
      <c r="S1277" s="1">
        <f t="shared" si="2753"/>
        <v>0.91034775140061497</v>
      </c>
      <c r="T1277" s="1">
        <f t="shared" ref="T1277:V1277" si="2883">$S1277*P1277</f>
        <v>0.26576695596869188</v>
      </c>
      <c r="U1277" s="1">
        <f t="shared" si="2883"/>
        <v>0</v>
      </c>
      <c r="V1277" s="1">
        <f t="shared" si="2883"/>
        <v>0.82470219969614733</v>
      </c>
      <c r="W1277" s="1">
        <f t="shared" si="2755"/>
        <v>-10.451066945440175</v>
      </c>
      <c r="X1277" s="1">
        <f t="shared" si="2756"/>
        <v>0</v>
      </c>
      <c r="Y1277" s="1">
        <f t="shared" si="2757"/>
        <v>-5.5283613728044507</v>
      </c>
    </row>
    <row r="1278" spans="1:25">
      <c r="A1278" s="1">
        <v>1.27599999999999</v>
      </c>
      <c r="B1278" s="1">
        <f t="shared" si="2758"/>
        <v>42.563690442648884</v>
      </c>
      <c r="C1278" s="1">
        <f t="shared" si="2759"/>
        <v>0</v>
      </c>
      <c r="D1278" s="1">
        <f t="shared" si="2760"/>
        <v>-2.0712918542363825</v>
      </c>
      <c r="E1278" s="1">
        <f t="shared" si="2761"/>
        <v>15.821066180802045</v>
      </c>
      <c r="F1278" s="1">
        <f t="shared" si="2762"/>
        <v>0</v>
      </c>
      <c r="G1278" s="1">
        <f t="shared" si="2763"/>
        <v>-5.1073628767286499</v>
      </c>
      <c r="H1278" s="1">
        <f t="shared" si="2880"/>
        <v>16.625020019594086</v>
      </c>
      <c r="I1278" s="1">
        <f t="shared" si="2746"/>
        <v>-10.704447625960629</v>
      </c>
      <c r="J1278" s="1">
        <f t="shared" si="2747"/>
        <v>0</v>
      </c>
      <c r="K1278" s="1">
        <f t="shared" si="2748"/>
        <v>3.4556140399095328</v>
      </c>
      <c r="L1278" s="1">
        <f t="shared" ref="L1278:N1278" si="2884">E1278/$H1278</f>
        <v>0.95164193259048657</v>
      </c>
      <c r="M1278" s="1">
        <f t="shared" si="2884"/>
        <v>0</v>
      </c>
      <c r="N1278" s="1">
        <f t="shared" si="2884"/>
        <v>-0.30720942715913496</v>
      </c>
      <c r="O1278" s="1">
        <f t="shared" si="2882"/>
        <v>-0.30720942715913496</v>
      </c>
      <c r="P1278" s="1">
        <f t="shared" si="2750"/>
        <v>0.29235337297173553</v>
      </c>
      <c r="Q1278" s="1">
        <f t="shared" si="2751"/>
        <v>0</v>
      </c>
      <c r="R1278" s="1">
        <f t="shared" si="2752"/>
        <v>0.90562236786455619</v>
      </c>
      <c r="S1278" s="1">
        <f t="shared" si="2753"/>
        <v>0.9094449799130353</v>
      </c>
      <c r="T1278" s="1">
        <f t="shared" ref="T1278:V1278" si="2885">$S1278*P1278</f>
        <v>0.26587930740978816</v>
      </c>
      <c r="U1278" s="1">
        <f t="shared" si="2885"/>
        <v>0</v>
      </c>
      <c r="V1278" s="1">
        <f t="shared" si="2885"/>
        <v>0.8236137161513768</v>
      </c>
      <c r="W1278" s="1">
        <f t="shared" si="2755"/>
        <v>-10.438568318550841</v>
      </c>
      <c r="X1278" s="1">
        <f t="shared" si="2756"/>
        <v>0</v>
      </c>
      <c r="Y1278" s="1">
        <f t="shared" si="2757"/>
        <v>-5.5274222439390899</v>
      </c>
    </row>
    <row r="1279" spans="1:25">
      <c r="A1279" s="1">
        <v>1.2769999999999899</v>
      </c>
      <c r="B1279" s="1">
        <f t="shared" si="2758"/>
        <v>42.579501070261365</v>
      </c>
      <c r="C1279" s="1">
        <f t="shared" si="2759"/>
        <v>0</v>
      </c>
      <c r="D1279" s="1">
        <f t="shared" si="2760"/>
        <v>-2.0764047445353553</v>
      </c>
      <c r="E1279" s="1">
        <f t="shared" si="2761"/>
        <v>15.810627612483495</v>
      </c>
      <c r="F1279" s="1">
        <f t="shared" si="2762"/>
        <v>0</v>
      </c>
      <c r="G1279" s="1">
        <f t="shared" si="2763"/>
        <v>-5.1128902989725891</v>
      </c>
      <c r="H1279" s="1">
        <f t="shared" si="2880"/>
        <v>16.616786473622195</v>
      </c>
      <c r="I1279" s="1">
        <f t="shared" si="2746"/>
        <v>-10.692087064226223</v>
      </c>
      <c r="J1279" s="1">
        <f t="shared" si="2747"/>
        <v>0</v>
      </c>
      <c r="K1279" s="1">
        <f t="shared" si="2748"/>
        <v>3.4576406178391759</v>
      </c>
      <c r="L1279" s="1">
        <f t="shared" ref="L1279:N1279" si="2886">E1279/$H1279</f>
        <v>0.9514852728944666</v>
      </c>
      <c r="M1279" s="1">
        <f t="shared" si="2886"/>
        <v>0</v>
      </c>
      <c r="N1279" s="1">
        <f t="shared" si="2886"/>
        <v>-0.30769428897030654</v>
      </c>
      <c r="O1279" s="1">
        <f t="shared" si="2882"/>
        <v>-0.30769428897030654</v>
      </c>
      <c r="P1279" s="1">
        <f t="shared" si="2750"/>
        <v>0.29276658450898096</v>
      </c>
      <c r="Q1279" s="1">
        <f t="shared" si="2751"/>
        <v>0</v>
      </c>
      <c r="R1279" s="1">
        <f t="shared" si="2752"/>
        <v>0.90532422453505745</v>
      </c>
      <c r="S1279" s="1">
        <f t="shared" si="2753"/>
        <v>0.90854439719665381</v>
      </c>
      <c r="T1279" s="1">
        <f t="shared" ref="T1279:V1279" si="2887">$S1279*P1279</f>
        <v>0.26599144004203534</v>
      </c>
      <c r="U1279" s="1">
        <f t="shared" si="2887"/>
        <v>0</v>
      </c>
      <c r="V1279" s="1">
        <f t="shared" si="2887"/>
        <v>0.82252725184773179</v>
      </c>
      <c r="W1279" s="1">
        <f t="shared" si="2755"/>
        <v>-10.426095624184189</v>
      </c>
      <c r="X1279" s="1">
        <f t="shared" si="2756"/>
        <v>0</v>
      </c>
      <c r="Y1279" s="1">
        <f t="shared" si="2757"/>
        <v>-5.5264821303130915</v>
      </c>
    </row>
    <row r="1280" spans="1:25">
      <c r="A1280" s="1">
        <v>1.27799999999999</v>
      </c>
      <c r="B1280" s="1">
        <f t="shared" si="2758"/>
        <v>42.595301271778226</v>
      </c>
      <c r="C1280" s="1">
        <f t="shared" si="2759"/>
        <v>0</v>
      </c>
      <c r="D1280" s="1">
        <f t="shared" si="2760"/>
        <v>-2.0815231613164582</v>
      </c>
      <c r="E1280" s="1">
        <f t="shared" si="2761"/>
        <v>15.80020151685931</v>
      </c>
      <c r="F1280" s="1">
        <f t="shared" si="2762"/>
        <v>0</v>
      </c>
      <c r="G1280" s="1">
        <f t="shared" si="2763"/>
        <v>-5.1184167811029022</v>
      </c>
      <c r="H1280" s="1">
        <f t="shared" si="2880"/>
        <v>16.608568822100207</v>
      </c>
      <c r="I1280" s="1">
        <f t="shared" si="2746"/>
        <v>-10.679752149232474</v>
      </c>
      <c r="J1280" s="1">
        <f t="shared" si="2747"/>
        <v>0</v>
      </c>
      <c r="K1280" s="1">
        <f t="shared" si="2748"/>
        <v>3.459666166936143</v>
      </c>
      <c r="L1280" s="1">
        <f t="shared" ref="L1280:N1280" si="2888">E1280/$H1280</f>
        <v>0.95132829842838462</v>
      </c>
      <c r="M1280" s="1">
        <f t="shared" si="2888"/>
        <v>0</v>
      </c>
      <c r="N1280" s="1">
        <f t="shared" si="2888"/>
        <v>-0.30817927998058908</v>
      </c>
      <c r="O1280" s="1">
        <f t="shared" si="2882"/>
        <v>-0.30817927998058908</v>
      </c>
      <c r="P1280" s="1">
        <f t="shared" si="2750"/>
        <v>0.29317967003481854</v>
      </c>
      <c r="Q1280" s="1">
        <f t="shared" si="2751"/>
        <v>0</v>
      </c>
      <c r="R1280" s="1">
        <f t="shared" si="2752"/>
        <v>0.90502553139064568</v>
      </c>
      <c r="S1280" s="1">
        <f t="shared" si="2753"/>
        <v>0.90764599784361777</v>
      </c>
      <c r="T1280" s="1">
        <f t="shared" ref="T1280:V1280" si="2889">$S1280*P1280</f>
        <v>0.2661033541562155</v>
      </c>
      <c r="U1280" s="1">
        <f t="shared" si="2889"/>
        <v>0</v>
      </c>
      <c r="V1280" s="1">
        <f t="shared" si="2889"/>
        <v>0.82144280151301297</v>
      </c>
      <c r="W1280" s="1">
        <f t="shared" si="2755"/>
        <v>-10.413648795076259</v>
      </c>
      <c r="X1280" s="1">
        <f t="shared" si="2756"/>
        <v>0</v>
      </c>
      <c r="Y1280" s="1">
        <f t="shared" si="2757"/>
        <v>-5.5255410315508433</v>
      </c>
    </row>
    <row r="1281" spans="1:25">
      <c r="A1281" s="1">
        <v>1.2789999999999899</v>
      </c>
      <c r="B1281" s="1">
        <f t="shared" si="2758"/>
        <v>42.611091059646292</v>
      </c>
      <c r="C1281" s="1">
        <f t="shared" si="2759"/>
        <v>0</v>
      </c>
      <c r="D1281" s="1">
        <f t="shared" si="2760"/>
        <v>-2.0866471036385925</v>
      </c>
      <c r="E1281" s="1">
        <f t="shared" si="2761"/>
        <v>15.789787868064234</v>
      </c>
      <c r="F1281" s="1">
        <f t="shared" si="2762"/>
        <v>0</v>
      </c>
      <c r="G1281" s="1">
        <f t="shared" si="2763"/>
        <v>-5.1239423221344529</v>
      </c>
      <c r="H1281" s="1">
        <f t="shared" si="2880"/>
        <v>16.600367039286482</v>
      </c>
      <c r="I1281" s="1">
        <f t="shared" si="2746"/>
        <v>-10.667442814216662</v>
      </c>
      <c r="J1281" s="1">
        <f t="shared" si="2747"/>
        <v>0</v>
      </c>
      <c r="K1281" s="1">
        <f t="shared" si="2748"/>
        <v>3.4616906928348006</v>
      </c>
      <c r="L1281" s="1">
        <f t="shared" ref="L1281:N1281" si="2890">E1281/$H1281</f>
        <v>0.95117100909251417</v>
      </c>
      <c r="M1281" s="1">
        <f t="shared" si="2890"/>
        <v>0</v>
      </c>
      <c r="N1281" s="1">
        <f t="shared" si="2890"/>
        <v>-0.30866439940804408</v>
      </c>
      <c r="O1281" s="1">
        <f t="shared" si="2882"/>
        <v>-0.30866439940804408</v>
      </c>
      <c r="P1281" s="1">
        <f t="shared" si="2750"/>
        <v>0.29359262825588411</v>
      </c>
      <c r="Q1281" s="1">
        <f t="shared" si="2751"/>
        <v>0</v>
      </c>
      <c r="R1281" s="1">
        <f t="shared" si="2752"/>
        <v>0.90472628853807147</v>
      </c>
      <c r="S1281" s="1">
        <f t="shared" si="2753"/>
        <v>0.90674977646311894</v>
      </c>
      <c r="T1281" s="1">
        <f t="shared" ref="T1281:V1281" si="2891">$S1281*P1281</f>
        <v>0.2662150500422425</v>
      </c>
      <c r="U1281" s="1">
        <f t="shared" si="2891"/>
        <v>0</v>
      </c>
      <c r="V1281" s="1">
        <f t="shared" si="2891"/>
        <v>0.82036035989220357</v>
      </c>
      <c r="W1281" s="1">
        <f t="shared" si="2755"/>
        <v>-10.401227764174418</v>
      </c>
      <c r="X1281" s="1">
        <f t="shared" si="2756"/>
        <v>0</v>
      </c>
      <c r="Y1281" s="1">
        <f t="shared" si="2757"/>
        <v>-5.5245989472729953</v>
      </c>
    </row>
    <row r="1282" spans="1:25">
      <c r="A1282" s="1">
        <v>1.27999999999999</v>
      </c>
      <c r="B1282" s="1">
        <f t="shared" si="2758"/>
        <v>42.626870446286588</v>
      </c>
      <c r="C1282" s="1">
        <f t="shared" si="2759"/>
        <v>0</v>
      </c>
      <c r="D1282" s="1">
        <f t="shared" si="2760"/>
        <v>-2.091776570559674</v>
      </c>
      <c r="E1282" s="1">
        <f t="shared" si="2761"/>
        <v>15.779386640300061</v>
      </c>
      <c r="F1282" s="1">
        <f t="shared" si="2762"/>
        <v>0</v>
      </c>
      <c r="G1282" s="1">
        <f t="shared" si="2763"/>
        <v>-5.1294669210817263</v>
      </c>
      <c r="H1282" s="1">
        <f t="shared" si="2880"/>
        <v>16.592181099498394</v>
      </c>
      <c r="I1282" s="1">
        <f t="shared" ref="I1282:I1345" si="2892">-K_drag*$H1282*E1282</f>
        <v>-10.655158992625701</v>
      </c>
      <c r="J1282" s="1">
        <f t="shared" ref="J1282:J1345" si="2893">-K_drag*$H1282*F1282</f>
        <v>0</v>
      </c>
      <c r="K1282" s="1">
        <f t="shared" ref="K1282:K1345" si="2894">-K_drag*$H1282*G1282</f>
        <v>3.4637142011560909</v>
      </c>
      <c r="L1282" s="1">
        <f t="shared" ref="L1282:N1282" si="2895">E1282/$H1282</f>
        <v>0.95101340478842145</v>
      </c>
      <c r="M1282" s="1">
        <f t="shared" si="2895"/>
        <v>0</v>
      </c>
      <c r="N1282" s="1">
        <f t="shared" si="2895"/>
        <v>-0.30914964647033644</v>
      </c>
      <c r="O1282" s="1">
        <f t="shared" si="2882"/>
        <v>-0.30914964647033644</v>
      </c>
      <c r="P1282" s="1">
        <f t="shared" ref="P1282:P1345" si="2896">u_axis_f-$O1282*L1282</f>
        <v>0.29400545787889143</v>
      </c>
      <c r="Q1282" s="1">
        <f t="shared" ref="Q1282:Q1345" si="2897">u_axis_r-$O1282*M1282</f>
        <v>0</v>
      </c>
      <c r="R1282" s="1">
        <f t="shared" ref="R1282:R1345" si="2898">u_axis_u-$O1282*N1282</f>
        <v>0.904426496087266</v>
      </c>
      <c r="S1282" s="1">
        <f t="shared" ref="S1282:S1345" si="2899">K_lift*H1282^2</f>
        <v>0.90585572768132694</v>
      </c>
      <c r="T1282" s="1">
        <f t="shared" ref="T1282:V1282" si="2900">$S1282*P1282</f>
        <v>0.2663265279891649</v>
      </c>
      <c r="U1282" s="1">
        <f t="shared" si="2900"/>
        <v>0</v>
      </c>
      <c r="V1282" s="1">
        <f t="shared" si="2900"/>
        <v>0.81927992174740316</v>
      </c>
      <c r="W1282" s="1">
        <f t="shared" ref="W1282:W1345" si="2901">I1282+T1282+g_f</f>
        <v>-10.388832464636536</v>
      </c>
      <c r="X1282" s="1">
        <f t="shared" ref="X1282:X1345" si="2902">J1282+U1282+g_r</f>
        <v>0</v>
      </c>
      <c r="Y1282" s="1">
        <f t="shared" ref="Y1282:Y1345" si="2903">K1282+V1282+g_u</f>
        <v>-5.5236558770965054</v>
      </c>
    </row>
    <row r="1283" spans="1:25">
      <c r="A1283" s="1">
        <v>1.2809999999999899</v>
      </c>
      <c r="B1283" s="1">
        <f t="shared" ref="B1283:B1346" si="2904">B1282+E1283*dt</f>
        <v>42.642639444094421</v>
      </c>
      <c r="C1283" s="1">
        <f t="shared" ref="C1283:C1346" si="2905">C1282+F1283*dt</f>
        <v>0</v>
      </c>
      <c r="D1283" s="1">
        <f t="shared" ref="D1283:D1346" si="2906">D1282+G1283*dt</f>
        <v>-2.0969115611366327</v>
      </c>
      <c r="E1283" s="1">
        <f t="shared" ref="E1283:E1346" si="2907">E1282+W1282*dt</f>
        <v>15.768997807835424</v>
      </c>
      <c r="F1283" s="1">
        <f t="shared" ref="F1283:F1346" si="2908">F1282+X1282*dt</f>
        <v>0</v>
      </c>
      <c r="G1283" s="1">
        <f t="shared" ref="G1283:G1346" si="2909">G1282+Y1282*dt</f>
        <v>-5.1349905769588231</v>
      </c>
      <c r="H1283" s="1">
        <f t="shared" si="2880"/>
        <v>16.58401097711209</v>
      </c>
      <c r="I1283" s="1">
        <f t="shared" si="2892"/>
        <v>-10.642900618115313</v>
      </c>
      <c r="J1283" s="1">
        <f t="shared" si="2893"/>
        <v>0</v>
      </c>
      <c r="K1283" s="1">
        <f t="shared" si="2894"/>
        <v>3.4657366975075514</v>
      </c>
      <c r="L1283" s="1">
        <f t="shared" ref="L1283:N1283" si="2910">E1283/$H1283</f>
        <v>0.9508554854189688</v>
      </c>
      <c r="M1283" s="1">
        <f t="shared" si="2910"/>
        <v>0</v>
      </c>
      <c r="N1283" s="1">
        <f t="shared" si="2910"/>
        <v>-0.30963502038473817</v>
      </c>
      <c r="O1283" s="1">
        <f t="shared" si="2882"/>
        <v>-0.30963502038473817</v>
      </c>
      <c r="P1283" s="1">
        <f t="shared" si="2896"/>
        <v>0.29441815761064249</v>
      </c>
      <c r="Q1283" s="1">
        <f t="shared" si="2897"/>
        <v>0</v>
      </c>
      <c r="R1283" s="1">
        <f t="shared" si="2898"/>
        <v>0.90412615415134279</v>
      </c>
      <c r="S1283" s="1">
        <f t="shared" si="2899"/>
        <v>0.9049638461413213</v>
      </c>
      <c r="T1283" s="1">
        <f t="shared" ref="T1283:V1283" si="2911">$S1283*P1283</f>
        <v>0.26643778828516879</v>
      </c>
      <c r="U1283" s="1">
        <f t="shared" si="2911"/>
        <v>0</v>
      </c>
      <c r="V1283" s="1">
        <f t="shared" si="2911"/>
        <v>0.81820148185776032</v>
      </c>
      <c r="W1283" s="1">
        <f t="shared" si="2901"/>
        <v>-10.376462829830144</v>
      </c>
      <c r="X1283" s="1">
        <f t="shared" si="2902"/>
        <v>0</v>
      </c>
      <c r="Y1283" s="1">
        <f t="shared" si="2903"/>
        <v>-5.5227118206346875</v>
      </c>
    </row>
    <row r="1284" spans="1:25">
      <c r="A1284" s="1">
        <v>1.28199999999999</v>
      </c>
      <c r="B1284" s="1">
        <f t="shared" si="2904"/>
        <v>42.658398065439428</v>
      </c>
      <c r="C1284" s="1">
        <f t="shared" si="2905"/>
        <v>0</v>
      </c>
      <c r="D1284" s="1">
        <f t="shared" si="2906"/>
        <v>-2.1020520744254121</v>
      </c>
      <c r="E1284" s="1">
        <f t="shared" si="2907"/>
        <v>15.758621345005594</v>
      </c>
      <c r="F1284" s="1">
        <f t="shared" si="2908"/>
        <v>0</v>
      </c>
      <c r="G1284" s="1">
        <f t="shared" si="2909"/>
        <v>-5.1405132887794576</v>
      </c>
      <c r="H1284" s="1">
        <f t="shared" si="2880"/>
        <v>16.575856646562315</v>
      </c>
      <c r="I1284" s="1">
        <f t="shared" si="2892"/>
        <v>-10.630667624549243</v>
      </c>
      <c r="J1284" s="1">
        <f t="shared" si="2893"/>
        <v>0</v>
      </c>
      <c r="K1284" s="1">
        <f t="shared" si="2894"/>
        <v>3.4677581874833439</v>
      </c>
      <c r="L1284" s="1">
        <f t="shared" ref="L1284:N1284" si="2912">E1284/$H1284</f>
        <v>0.9506972508883148</v>
      </c>
      <c r="M1284" s="1">
        <f t="shared" si="2912"/>
        <v>0</v>
      </c>
      <c r="N1284" s="1">
        <f t="shared" si="2912"/>
        <v>-0.31012052036813159</v>
      </c>
      <c r="O1284" s="1">
        <f t="shared" si="2882"/>
        <v>-0.31012052036813159</v>
      </c>
      <c r="P1284" s="1">
        <f t="shared" si="2896"/>
        <v>0.29483072615803635</v>
      </c>
      <c r="Q1284" s="1">
        <f t="shared" si="2897"/>
        <v>0</v>
      </c>
      <c r="R1284" s="1">
        <f t="shared" si="2898"/>
        <v>0.90382526284659925</v>
      </c>
      <c r="S1284" s="1">
        <f t="shared" si="2899"/>
        <v>0.90407412650302821</v>
      </c>
      <c r="T1284" s="1">
        <f t="shared" ref="T1284:V1284" si="2913">$S1284*P1284</f>
        <v>0.26654883121758022</v>
      </c>
      <c r="U1284" s="1">
        <f t="shared" si="2913"/>
        <v>0</v>
      </c>
      <c r="V1284" s="1">
        <f t="shared" si="2913"/>
        <v>0.81712503501940914</v>
      </c>
      <c r="W1284" s="1">
        <f t="shared" si="2901"/>
        <v>-10.364118793331663</v>
      </c>
      <c r="X1284" s="1">
        <f t="shared" si="2902"/>
        <v>0</v>
      </c>
      <c r="Y1284" s="1">
        <f t="shared" si="2903"/>
        <v>-5.5217667774972465</v>
      </c>
    </row>
    <row r="1285" spans="1:25">
      <c r="A1285" s="1">
        <v>1.2829999999999899</v>
      </c>
      <c r="B1285" s="1">
        <f t="shared" si="2904"/>
        <v>42.674146322665642</v>
      </c>
      <c r="C1285" s="1">
        <f t="shared" si="2905"/>
        <v>0</v>
      </c>
      <c r="D1285" s="1">
        <f t="shared" si="2906"/>
        <v>-2.1071981094809691</v>
      </c>
      <c r="E1285" s="1">
        <f t="shared" si="2907"/>
        <v>15.748257226212262</v>
      </c>
      <c r="F1285" s="1">
        <f t="shared" si="2908"/>
        <v>0</v>
      </c>
      <c r="G1285" s="1">
        <f t="shared" si="2909"/>
        <v>-5.146035055556955</v>
      </c>
      <c r="H1285" s="1">
        <f t="shared" si="2880"/>
        <v>16.567718082342171</v>
      </c>
      <c r="I1285" s="1">
        <f t="shared" si="2892"/>
        <v>-10.618459945998437</v>
      </c>
      <c r="J1285" s="1">
        <f t="shared" si="2893"/>
        <v>0</v>
      </c>
      <c r="K1285" s="1">
        <f t="shared" si="2894"/>
        <v>3.4697786766642738</v>
      </c>
      <c r="L1285" s="1">
        <f t="shared" ref="L1285:N1285" si="2914">E1285/$H1285</f>
        <v>0.95053870110191652</v>
      </c>
      <c r="M1285" s="1">
        <f t="shared" si="2914"/>
        <v>0</v>
      </c>
      <c r="N1285" s="1">
        <f t="shared" si="2914"/>
        <v>-0.3106061456370135</v>
      </c>
      <c r="O1285" s="1">
        <f t="shared" si="2882"/>
        <v>-0.3106061456370135</v>
      </c>
      <c r="P1285" s="1">
        <f t="shared" si="2896"/>
        <v>0.2952431622280795</v>
      </c>
      <c r="Q1285" s="1">
        <f t="shared" si="2897"/>
        <v>0</v>
      </c>
      <c r="R1285" s="1">
        <f t="shared" si="2898"/>
        <v>0.90352382229251837</v>
      </c>
      <c r="S1285" s="1">
        <f t="shared" si="2899"/>
        <v>0.90318656344315351</v>
      </c>
      <c r="T1285" s="1">
        <f t="shared" ref="T1285:V1285" si="2915">$S1285*P1285</f>
        <v>0.26665965707286859</v>
      </c>
      <c r="U1285" s="1">
        <f t="shared" si="2915"/>
        <v>0</v>
      </c>
      <c r="V1285" s="1">
        <f t="shared" si="2915"/>
        <v>0.81605057604540221</v>
      </c>
      <c r="W1285" s="1">
        <f t="shared" si="2901"/>
        <v>-10.351800288925569</v>
      </c>
      <c r="X1285" s="1">
        <f t="shared" si="2902"/>
        <v>0</v>
      </c>
      <c r="Y1285" s="1">
        <f t="shared" si="2903"/>
        <v>-5.5208207472903235</v>
      </c>
    </row>
    <row r="1286" spans="1:25">
      <c r="A1286" s="1">
        <v>1.28399999999999</v>
      </c>
      <c r="B1286" s="1">
        <f t="shared" si="2904"/>
        <v>42.689884228091564</v>
      </c>
      <c r="C1286" s="1">
        <f t="shared" si="2905"/>
        <v>0</v>
      </c>
      <c r="D1286" s="1">
        <f t="shared" si="2906"/>
        <v>-2.1123496653572733</v>
      </c>
      <c r="E1286" s="1">
        <f t="shared" si="2907"/>
        <v>15.737905425923337</v>
      </c>
      <c r="F1286" s="1">
        <f t="shared" si="2908"/>
        <v>0</v>
      </c>
      <c r="G1286" s="1">
        <f t="shared" si="2909"/>
        <v>-5.1515558763042453</v>
      </c>
      <c r="H1286" s="1">
        <f t="shared" si="2880"/>
        <v>16.559595259002922</v>
      </c>
      <c r="I1286" s="1">
        <f t="shared" si="2892"/>
        <v>-10.606277516740247</v>
      </c>
      <c r="J1286" s="1">
        <f t="shared" si="2893"/>
        <v>0</v>
      </c>
      <c r="K1286" s="1">
        <f t="shared" si="2894"/>
        <v>3.4717981706178147</v>
      </c>
      <c r="L1286" s="1">
        <f t="shared" ref="L1286:N1286" si="2916">E1286/$H1286</f>
        <v>0.95037983596653075</v>
      </c>
      <c r="M1286" s="1">
        <f t="shared" si="2916"/>
        <v>0</v>
      </c>
      <c r="N1286" s="1">
        <f t="shared" si="2916"/>
        <v>-0.31109189540749849</v>
      </c>
      <c r="O1286" s="1">
        <f t="shared" si="2882"/>
        <v>-0.31109189540749849</v>
      </c>
      <c r="P1286" s="1">
        <f t="shared" si="2896"/>
        <v>0.29565546452789554</v>
      </c>
      <c r="Q1286" s="1">
        <f t="shared" si="2897"/>
        <v>0</v>
      </c>
      <c r="R1286" s="1">
        <f t="shared" si="2898"/>
        <v>0.90322183261177003</v>
      </c>
      <c r="S1286" s="1">
        <f t="shared" si="2899"/>
        <v>0.90230115165511815</v>
      </c>
      <c r="T1286" s="1">
        <f t="shared" ref="T1286:V1286" si="2917">$S1286*P1286</f>
        <v>0.26677026613664906</v>
      </c>
      <c r="U1286" s="1">
        <f t="shared" si="2917"/>
        <v>0</v>
      </c>
      <c r="V1286" s="1">
        <f t="shared" si="2917"/>
        <v>0.81497809976564639</v>
      </c>
      <c r="W1286" s="1">
        <f t="shared" si="2901"/>
        <v>-10.339507250603598</v>
      </c>
      <c r="X1286" s="1">
        <f t="shared" si="2902"/>
        <v>0</v>
      </c>
      <c r="Y1286" s="1">
        <f t="shared" si="2903"/>
        <v>-5.5198737296165383</v>
      </c>
    </row>
    <row r="1287" spans="1:25">
      <c r="A1287" s="1">
        <v>1.2849999999999899</v>
      </c>
      <c r="B1287" s="1">
        <f t="shared" si="2904"/>
        <v>42.705611794010238</v>
      </c>
      <c r="C1287" s="1">
        <f t="shared" si="2905"/>
        <v>0</v>
      </c>
      <c r="D1287" s="1">
        <f t="shared" si="2906"/>
        <v>-2.1175067411073072</v>
      </c>
      <c r="E1287" s="1">
        <f t="shared" si="2907"/>
        <v>15.727565918672733</v>
      </c>
      <c r="F1287" s="1">
        <f t="shared" si="2908"/>
        <v>0</v>
      </c>
      <c r="G1287" s="1">
        <f t="shared" si="2909"/>
        <v>-5.1570757500338615</v>
      </c>
      <c r="H1287" s="1">
        <f t="shared" si="2880"/>
        <v>16.551488151153762</v>
      </c>
      <c r="I1287" s="1">
        <f t="shared" si="2892"/>
        <v>-10.594120271257621</v>
      </c>
      <c r="J1287" s="1">
        <f t="shared" si="2893"/>
        <v>0</v>
      </c>
      <c r="K1287" s="1">
        <f t="shared" si="2894"/>
        <v>3.4738166748981278</v>
      </c>
      <c r="L1287" s="1">
        <f t="shared" ref="L1287:N1287" si="2918">E1287/$H1287</f>
        <v>0.95022065539021661</v>
      </c>
      <c r="M1287" s="1">
        <f t="shared" si="2918"/>
        <v>0</v>
      </c>
      <c r="N1287" s="1">
        <f t="shared" si="2918"/>
        <v>-0.31157776889532285</v>
      </c>
      <c r="O1287" s="1">
        <f t="shared" si="2882"/>
        <v>-0.31157776889532285</v>
      </c>
      <c r="P1287" s="1">
        <f t="shared" si="2896"/>
        <v>0.29606763176473511</v>
      </c>
      <c r="Q1287" s="1">
        <f t="shared" si="2897"/>
        <v>0</v>
      </c>
      <c r="R1287" s="1">
        <f t="shared" si="2898"/>
        <v>0.90291929393021275</v>
      </c>
      <c r="S1287" s="1">
        <f t="shared" si="2899"/>
        <v>0.90141788584899196</v>
      </c>
      <c r="T1287" s="1">
        <f t="shared" ref="T1287:V1287" si="2919">$S1287*P1287</f>
        <v>0.26688065869368538</v>
      </c>
      <c r="U1287" s="1">
        <f t="shared" si="2919"/>
        <v>0</v>
      </c>
      <c r="V1287" s="1">
        <f t="shared" si="2919"/>
        <v>0.8139076010268369</v>
      </c>
      <c r="W1287" s="1">
        <f t="shared" si="2901"/>
        <v>-10.327239612563936</v>
      </c>
      <c r="X1287" s="1">
        <f t="shared" si="2902"/>
        <v>0</v>
      </c>
      <c r="Y1287" s="1">
        <f t="shared" si="2903"/>
        <v>-5.5189257240750349</v>
      </c>
    </row>
    <row r="1288" spans="1:25">
      <c r="A1288" s="1">
        <v>1.28599999999999</v>
      </c>
      <c r="B1288" s="1">
        <f t="shared" si="2904"/>
        <v>42.721329032689297</v>
      </c>
      <c r="C1288" s="1">
        <f t="shared" si="2905"/>
        <v>0</v>
      </c>
      <c r="D1288" s="1">
        <f t="shared" si="2906"/>
        <v>-2.122669335783065</v>
      </c>
      <c r="E1288" s="1">
        <f t="shared" si="2907"/>
        <v>15.717238679060168</v>
      </c>
      <c r="F1288" s="1">
        <f t="shared" si="2908"/>
        <v>0</v>
      </c>
      <c r="G1288" s="1">
        <f t="shared" si="2909"/>
        <v>-5.1625946757579362</v>
      </c>
      <c r="H1288" s="1">
        <f t="shared" si="2880"/>
        <v>16.543396733461638</v>
      </c>
      <c r="I1288" s="1">
        <f t="shared" si="2892"/>
        <v>-10.581988144238325</v>
      </c>
      <c r="J1288" s="1">
        <f t="shared" si="2893"/>
        <v>0</v>
      </c>
      <c r="K1288" s="1">
        <f t="shared" si="2894"/>
        <v>3.4758341950460907</v>
      </c>
      <c r="L1288" s="1">
        <f t="shared" ref="L1288:N1288" si="2920">E1288/$H1288</f>
        <v>0.9500611592823357</v>
      </c>
      <c r="M1288" s="1">
        <f t="shared" si="2920"/>
        <v>0</v>
      </c>
      <c r="N1288" s="1">
        <f t="shared" si="2920"/>
        <v>-0.31206376531584784</v>
      </c>
      <c r="O1288" s="1">
        <f t="shared" si="2882"/>
        <v>-0.31206376531584784</v>
      </c>
      <c r="P1288" s="1">
        <f t="shared" si="2896"/>
        <v>0.29647966264598513</v>
      </c>
      <c r="Q1288" s="1">
        <f t="shared" si="2897"/>
        <v>0</v>
      </c>
      <c r="R1288" s="1">
        <f t="shared" si="2898"/>
        <v>0.90261620637689544</v>
      </c>
      <c r="S1288" s="1">
        <f t="shared" si="2899"/>
        <v>0.90053676075143174</v>
      </c>
      <c r="T1288" s="1">
        <f t="shared" ref="T1288:V1288" si="2921">$S1288*P1288</f>
        <v>0.26699083502789273</v>
      </c>
      <c r="U1288" s="1">
        <f t="shared" si="2921"/>
        <v>0</v>
      </c>
      <c r="V1288" s="1">
        <f t="shared" si="2921"/>
        <v>0.81283907469239525</v>
      </c>
      <c r="W1288" s="1">
        <f t="shared" si="2901"/>
        <v>-10.314997309210433</v>
      </c>
      <c r="X1288" s="1">
        <f t="shared" si="2902"/>
        <v>0</v>
      </c>
      <c r="Y1288" s="1">
        <f t="shared" si="2903"/>
        <v>-5.5179767302615135</v>
      </c>
    </row>
    <row r="1289" spans="1:25">
      <c r="A1289" s="1">
        <v>1.2869999999999899</v>
      </c>
      <c r="B1289" s="1">
        <f t="shared" si="2904"/>
        <v>42.737035956371045</v>
      </c>
      <c r="C1289" s="1">
        <f t="shared" si="2905"/>
        <v>0</v>
      </c>
      <c r="D1289" s="1">
        <f t="shared" si="2906"/>
        <v>-2.1278374484355531</v>
      </c>
      <c r="E1289" s="1">
        <f t="shared" si="2907"/>
        <v>15.706923681750958</v>
      </c>
      <c r="F1289" s="1">
        <f t="shared" si="2908"/>
        <v>0</v>
      </c>
      <c r="G1289" s="1">
        <f t="shared" si="2909"/>
        <v>-5.1681126524881975</v>
      </c>
      <c r="H1289" s="1">
        <f t="shared" si="2880"/>
        <v>16.535320980651015</v>
      </c>
      <c r="I1289" s="1">
        <f t="shared" si="2892"/>
        <v>-10.56988107057415</v>
      </c>
      <c r="J1289" s="1">
        <f t="shared" si="2893"/>
        <v>0</v>
      </c>
      <c r="K1289" s="1">
        <f t="shared" si="2894"/>
        <v>3.4778507365893168</v>
      </c>
      <c r="L1289" s="1">
        <f t="shared" ref="L1289:N1289" si="2922">E1289/$H1289</f>
        <v>0.94990134755355426</v>
      </c>
      <c r="M1289" s="1">
        <f t="shared" si="2922"/>
        <v>0</v>
      </c>
      <c r="N1289" s="1">
        <f t="shared" si="2922"/>
        <v>-0.31254988388406374</v>
      </c>
      <c r="O1289" s="1">
        <f t="shared" si="2882"/>
        <v>-0.31254988388406374</v>
      </c>
      <c r="P1289" s="1">
        <f t="shared" si="2896"/>
        <v>0.29689155587917904</v>
      </c>
      <c r="Q1289" s="1">
        <f t="shared" si="2897"/>
        <v>0</v>
      </c>
      <c r="R1289" s="1">
        <f t="shared" si="2898"/>
        <v>0.9023125700840583</v>
      </c>
      <c r="S1289" s="1">
        <f t="shared" si="2899"/>
        <v>0.89965777110561451</v>
      </c>
      <c r="T1289" s="1">
        <f t="shared" ref="T1289:V1289" si="2923">$S1289*P1289</f>
        <v>0.26710079542234022</v>
      </c>
      <c r="U1289" s="1">
        <f t="shared" si="2923"/>
        <v>0</v>
      </c>
      <c r="V1289" s="1">
        <f t="shared" si="2923"/>
        <v>0.81177251564240249</v>
      </c>
      <c r="W1289" s="1">
        <f t="shared" si="2901"/>
        <v>-10.302780275151809</v>
      </c>
      <c r="X1289" s="1">
        <f t="shared" si="2902"/>
        <v>0</v>
      </c>
      <c r="Y1289" s="1">
        <f t="shared" si="2903"/>
        <v>-5.5170267477682806</v>
      </c>
    </row>
    <row r="1290" spans="1:25">
      <c r="A1290" s="1">
        <v>1.28799999999999</v>
      </c>
      <c r="B1290" s="1">
        <f t="shared" si="2904"/>
        <v>42.752732577272518</v>
      </c>
      <c r="C1290" s="1">
        <f t="shared" si="2905"/>
        <v>0</v>
      </c>
      <c r="D1290" s="1">
        <f t="shared" si="2906"/>
        <v>-2.1330110781147891</v>
      </c>
      <c r="E1290" s="1">
        <f t="shared" si="2907"/>
        <v>15.696620901475805</v>
      </c>
      <c r="F1290" s="1">
        <f t="shared" si="2908"/>
        <v>0</v>
      </c>
      <c r="G1290" s="1">
        <f t="shared" si="2909"/>
        <v>-5.1736296792359662</v>
      </c>
      <c r="H1290" s="1">
        <f t="shared" si="2880"/>
        <v>16.527260867503678</v>
      </c>
      <c r="I1290" s="1">
        <f t="shared" si="2892"/>
        <v>-10.557798985360108</v>
      </c>
      <c r="J1290" s="1">
        <f t="shared" si="2893"/>
        <v>0</v>
      </c>
      <c r="K1290" s="1">
        <f t="shared" si="2894"/>
        <v>3.4798663050421776</v>
      </c>
      <c r="L1290" s="1">
        <f t="shared" ref="L1290:N1290" si="2924">E1290/$H1290</f>
        <v>0.94974122011584516</v>
      </c>
      <c r="M1290" s="1">
        <f t="shared" si="2924"/>
        <v>0</v>
      </c>
      <c r="N1290" s="1">
        <f t="shared" si="2924"/>
        <v>-0.31303612381459345</v>
      </c>
      <c r="O1290" s="1">
        <f t="shared" si="2882"/>
        <v>-0.31303612381459345</v>
      </c>
      <c r="P1290" s="1">
        <f t="shared" si="2896"/>
        <v>0.29730331017200673</v>
      </c>
      <c r="Q1290" s="1">
        <f t="shared" si="2897"/>
        <v>0</v>
      </c>
      <c r="R1290" s="1">
        <f t="shared" si="2898"/>
        <v>0.90200838518713455</v>
      </c>
      <c r="S1290" s="1">
        <f t="shared" si="2899"/>
        <v>0.89878091167117469</v>
      </c>
      <c r="T1290" s="1">
        <f t="shared" ref="T1290:V1290" si="2925">$S1290*P1290</f>
        <v>0.26721054015925422</v>
      </c>
      <c r="U1290" s="1">
        <f t="shared" si="2925"/>
        <v>0</v>
      </c>
      <c r="V1290" s="1">
        <f t="shared" si="2925"/>
        <v>0.81070791877353687</v>
      </c>
      <c r="W1290" s="1">
        <f t="shared" si="2901"/>
        <v>-10.290588445200854</v>
      </c>
      <c r="X1290" s="1">
        <f t="shared" si="2902"/>
        <v>0</v>
      </c>
      <c r="Y1290" s="1">
        <f t="shared" si="2903"/>
        <v>-5.5160757761842847</v>
      </c>
    </row>
    <row r="1291" spans="1:25">
      <c r="A1291" s="1">
        <v>1.2889999999999899</v>
      </c>
      <c r="B1291" s="1">
        <f t="shared" si="2904"/>
        <v>42.768418907585549</v>
      </c>
      <c r="C1291" s="1">
        <f t="shared" si="2905"/>
        <v>0</v>
      </c>
      <c r="D1291" s="1">
        <f t="shared" si="2906"/>
        <v>-2.1381902238698012</v>
      </c>
      <c r="E1291" s="1">
        <f t="shared" si="2907"/>
        <v>15.686330313030604</v>
      </c>
      <c r="F1291" s="1">
        <f t="shared" si="2908"/>
        <v>0</v>
      </c>
      <c r="G1291" s="1">
        <f t="shared" si="2909"/>
        <v>-5.1791457550121507</v>
      </c>
      <c r="H1291" s="1">
        <f t="shared" si="2880"/>
        <v>16.519216368858519</v>
      </c>
      <c r="I1291" s="1">
        <f t="shared" si="2892"/>
        <v>-10.545741823893671</v>
      </c>
      <c r="J1291" s="1">
        <f t="shared" si="2893"/>
        <v>0</v>
      </c>
      <c r="K1291" s="1">
        <f t="shared" si="2894"/>
        <v>3.4818809059058253</v>
      </c>
      <c r="L1291" s="1">
        <f t="shared" ref="L1291:N1291" si="2926">E1291/$H1291</f>
        <v>0.94958077688248921</v>
      </c>
      <c r="M1291" s="1">
        <f t="shared" si="2926"/>
        <v>0</v>
      </c>
      <c r="N1291" s="1">
        <f t="shared" si="2926"/>
        <v>-0.3135224843216961</v>
      </c>
      <c r="O1291" s="1">
        <f t="shared" si="2882"/>
        <v>-0.3135224843216961</v>
      </c>
      <c r="P1291" s="1">
        <f t="shared" si="2896"/>
        <v>0.29771492423232421</v>
      </c>
      <c r="Q1291" s="1">
        <f t="shared" si="2897"/>
        <v>0</v>
      </c>
      <c r="R1291" s="1">
        <f t="shared" si="2898"/>
        <v>0.90170365182475187</v>
      </c>
      <c r="S1291" s="1">
        <f t="shared" si="2899"/>
        <v>0.89790617722413923</v>
      </c>
      <c r="T1291" s="1">
        <f t="shared" ref="T1291:V1291" si="2927">$S1291*P1291</f>
        <v>0.26732006952002046</v>
      </c>
      <c r="U1291" s="1">
        <f t="shared" si="2927"/>
        <v>0</v>
      </c>
      <c r="V1291" s="1">
        <f t="shared" si="2927"/>
        <v>0.80964527899900918</v>
      </c>
      <c r="W1291" s="1">
        <f t="shared" si="2901"/>
        <v>-10.278421754373651</v>
      </c>
      <c r="X1291" s="1">
        <f t="shared" si="2902"/>
        <v>0</v>
      </c>
      <c r="Y1291" s="1">
        <f t="shared" si="2903"/>
        <v>-5.5151238150951647</v>
      </c>
    </row>
    <row r="1292" spans="1:25">
      <c r="A1292" s="1">
        <v>1.28999999999999</v>
      </c>
      <c r="B1292" s="1">
        <f t="shared" si="2904"/>
        <v>42.784094959476825</v>
      </c>
      <c r="C1292" s="1">
        <f t="shared" si="2905"/>
        <v>0</v>
      </c>
      <c r="D1292" s="1">
        <f t="shared" si="2906"/>
        <v>-2.1433748847486283</v>
      </c>
      <c r="E1292" s="1">
        <f t="shared" si="2907"/>
        <v>15.676051891276231</v>
      </c>
      <c r="F1292" s="1">
        <f t="shared" si="2908"/>
        <v>0</v>
      </c>
      <c r="G1292" s="1">
        <f t="shared" si="2909"/>
        <v>-5.1846608788272457</v>
      </c>
      <c r="H1292" s="1">
        <f t="shared" si="2880"/>
        <v>16.511187459611339</v>
      </c>
      <c r="I1292" s="1">
        <f t="shared" si="2892"/>
        <v>-10.533709521673973</v>
      </c>
      <c r="J1292" s="1">
        <f t="shared" si="2893"/>
        <v>0</v>
      </c>
      <c r="K1292" s="1">
        <f t="shared" si="2894"/>
        <v>3.4838945446682144</v>
      </c>
      <c r="L1292" s="1">
        <f t="shared" ref="L1292:N1292" si="2928">E1292/$H1292</f>
        <v>0.94942001776807594</v>
      </c>
      <c r="M1292" s="1">
        <f t="shared" si="2928"/>
        <v>0</v>
      </c>
      <c r="N1292" s="1">
        <f t="shared" si="2928"/>
        <v>-0.31400896461927086</v>
      </c>
      <c r="O1292" s="1">
        <f t="shared" si="2882"/>
        <v>-0.31400896461927086</v>
      </c>
      <c r="P1292" s="1">
        <f t="shared" si="2896"/>
        <v>0.29812639676816327</v>
      </c>
      <c r="Q1292" s="1">
        <f t="shared" si="2897"/>
        <v>0</v>
      </c>
      <c r="R1292" s="1">
        <f t="shared" si="2898"/>
        <v>0.90139837013873347</v>
      </c>
      <c r="S1292" s="1">
        <f t="shared" si="2899"/>
        <v>0.89703356255686562</v>
      </c>
      <c r="T1292" s="1">
        <f t="shared" ref="T1292:V1292" si="2929">$S1292*P1292</f>
        <v>0.2674293837851871</v>
      </c>
      <c r="U1292" s="1">
        <f t="shared" si="2929"/>
        <v>0</v>
      </c>
      <c r="V1292" s="1">
        <f t="shared" si="2929"/>
        <v>0.80858459124850024</v>
      </c>
      <c r="W1292" s="1">
        <f t="shared" si="2901"/>
        <v>-10.266280137888787</v>
      </c>
      <c r="X1292" s="1">
        <f t="shared" si="2902"/>
        <v>0</v>
      </c>
      <c r="Y1292" s="1">
        <f t="shared" si="2903"/>
        <v>-5.5141708640832849</v>
      </c>
    </row>
    <row r="1293" spans="1:25">
      <c r="A1293" s="1">
        <v>1.2909999999999899</v>
      </c>
      <c r="B1293" s="1">
        <f t="shared" si="2904"/>
        <v>42.799760745087966</v>
      </c>
      <c r="C1293" s="1">
        <f t="shared" si="2905"/>
        <v>0</v>
      </c>
      <c r="D1293" s="1">
        <f t="shared" si="2906"/>
        <v>-2.1485650597983197</v>
      </c>
      <c r="E1293" s="1">
        <f t="shared" si="2907"/>
        <v>15.665785611138341</v>
      </c>
      <c r="F1293" s="1">
        <f t="shared" si="2908"/>
        <v>0</v>
      </c>
      <c r="G1293" s="1">
        <f t="shared" si="2909"/>
        <v>-5.1901750496913293</v>
      </c>
      <c r="H1293" s="1">
        <f t="shared" si="2880"/>
        <v>16.503174114714643</v>
      </c>
      <c r="I1293" s="1">
        <f t="shared" si="2892"/>
        <v>-10.521702014401045</v>
      </c>
      <c r="J1293" s="1">
        <f t="shared" si="2893"/>
        <v>0</v>
      </c>
      <c r="K1293" s="1">
        <f t="shared" si="2894"/>
        <v>3.4859072268041302</v>
      </c>
      <c r="L1293" s="1">
        <f t="shared" ref="L1293:N1293" si="2930">E1293/$H1293</f>
        <v>0.94925894268850597</v>
      </c>
      <c r="M1293" s="1">
        <f t="shared" si="2930"/>
        <v>0</v>
      </c>
      <c r="N1293" s="1">
        <f t="shared" si="2930"/>
        <v>-0.31449556392086048</v>
      </c>
      <c r="O1293" s="1">
        <f t="shared" si="2882"/>
        <v>-0.31449556392086048</v>
      </c>
      <c r="P1293" s="1">
        <f t="shared" si="2896"/>
        <v>0.29853772648774146</v>
      </c>
      <c r="Q1293" s="1">
        <f t="shared" si="2897"/>
        <v>0</v>
      </c>
      <c r="R1293" s="1">
        <f t="shared" si="2898"/>
        <v>0.90109254027409991</v>
      </c>
      <c r="S1293" s="1">
        <f t="shared" si="2899"/>
        <v>0.89616306247797883</v>
      </c>
      <c r="T1293" s="1">
        <f t="shared" ref="T1293:V1293" si="2931">$S1293*P1293</f>
        <v>0.26753848323446761</v>
      </c>
      <c r="U1293" s="1">
        <f t="shared" si="2931"/>
        <v>0</v>
      </c>
      <c r="V1293" s="1">
        <f t="shared" si="2931"/>
        <v>0.80752585046809888</v>
      </c>
      <c r="W1293" s="1">
        <f t="shared" si="2901"/>
        <v>-10.254163531166578</v>
      </c>
      <c r="X1293" s="1">
        <f t="shared" si="2902"/>
        <v>0</v>
      </c>
      <c r="Y1293" s="1">
        <f t="shared" si="2903"/>
        <v>-5.5132169227277705</v>
      </c>
    </row>
    <row r="1294" spans="1:25">
      <c r="A1294" s="1">
        <v>1.29199999999999</v>
      </c>
      <c r="B1294" s="1">
        <f t="shared" si="2904"/>
        <v>42.815416276535572</v>
      </c>
      <c r="C1294" s="1">
        <f t="shared" si="2905"/>
        <v>0</v>
      </c>
      <c r="D1294" s="1">
        <f t="shared" si="2906"/>
        <v>-2.1537607480649337</v>
      </c>
      <c r="E1294" s="1">
        <f t="shared" si="2907"/>
        <v>15.655531447607174</v>
      </c>
      <c r="F1294" s="1">
        <f t="shared" si="2908"/>
        <v>0</v>
      </c>
      <c r="G1294" s="1">
        <f t="shared" si="2909"/>
        <v>-5.1956882666140567</v>
      </c>
      <c r="H1294" s="1">
        <f t="shared" si="2880"/>
        <v>16.495176309177424</v>
      </c>
      <c r="I1294" s="1">
        <f t="shared" si="2892"/>
        <v>-10.509719237975032</v>
      </c>
      <c r="J1294" s="1">
        <f t="shared" si="2893"/>
        <v>0</v>
      </c>
      <c r="K1294" s="1">
        <f t="shared" si="2894"/>
        <v>3.4879189577752014</v>
      </c>
      <c r="L1294" s="1">
        <f t="shared" ref="L1294:N1294" si="2932">E1294/$H1294</f>
        <v>0.94909755156099207</v>
      </c>
      <c r="M1294" s="1">
        <f t="shared" si="2932"/>
        <v>0</v>
      </c>
      <c r="N1294" s="1">
        <f t="shared" si="2932"/>
        <v>-0.31498228143965523</v>
      </c>
      <c r="O1294" s="1">
        <f t="shared" si="2882"/>
        <v>-0.31498228143965523</v>
      </c>
      <c r="P1294" s="1">
        <f t="shared" si="2896"/>
        <v>0.29894891209947211</v>
      </c>
      <c r="Q1294" s="1">
        <f t="shared" si="2897"/>
        <v>0</v>
      </c>
      <c r="R1294" s="1">
        <f t="shared" si="2898"/>
        <v>0.90078616237906983</v>
      </c>
      <c r="S1294" s="1">
        <f t="shared" si="2899"/>
        <v>0.89529467181230671</v>
      </c>
      <c r="T1294" s="1">
        <f t="shared" ref="T1294:V1294" si="2933">$S1294*P1294</f>
        <v>0.267647368146743</v>
      </c>
      <c r="U1294" s="1">
        <f t="shared" si="2933"/>
        <v>0</v>
      </c>
      <c r="V1294" s="1">
        <f t="shared" si="2933"/>
        <v>0.80646905162023652</v>
      </c>
      <c r="W1294" s="1">
        <f t="shared" si="2901"/>
        <v>-10.242071869828289</v>
      </c>
      <c r="X1294" s="1">
        <f t="shared" si="2902"/>
        <v>0</v>
      </c>
      <c r="Y1294" s="1">
        <f t="shared" si="2903"/>
        <v>-5.5122619906045616</v>
      </c>
    </row>
    <row r="1295" spans="1:25">
      <c r="A1295" s="1">
        <v>1.2929999999999899</v>
      </c>
      <c r="B1295" s="1">
        <f t="shared" si="2904"/>
        <v>42.831061565911313</v>
      </c>
      <c r="C1295" s="1">
        <f t="shared" si="2905"/>
        <v>0</v>
      </c>
      <c r="D1295" s="1">
        <f t="shared" si="2906"/>
        <v>-2.1589619485935385</v>
      </c>
      <c r="E1295" s="1">
        <f t="shared" si="2907"/>
        <v>15.645289375737345</v>
      </c>
      <c r="F1295" s="1">
        <f t="shared" si="2908"/>
        <v>0</v>
      </c>
      <c r="G1295" s="1">
        <f t="shared" si="2909"/>
        <v>-5.2012005286046614</v>
      </c>
      <c r="H1295" s="1">
        <f t="shared" si="2880"/>
        <v>16.487194018064969</v>
      </c>
      <c r="I1295" s="1">
        <f t="shared" si="2892"/>
        <v>-10.497761128495435</v>
      </c>
      <c r="J1295" s="1">
        <f t="shared" si="2893"/>
        <v>0</v>
      </c>
      <c r="K1295" s="1">
        <f t="shared" si="2894"/>
        <v>3.4899297430299296</v>
      </c>
      <c r="L1295" s="1">
        <f t="shared" ref="L1295:N1295" si="2934">E1295/$H1295</f>
        <v>0.94893584430406097</v>
      </c>
      <c r="M1295" s="1">
        <f t="shared" si="2934"/>
        <v>0</v>
      </c>
      <c r="N1295" s="1">
        <f t="shared" si="2934"/>
        <v>-0.31546911638849651</v>
      </c>
      <c r="O1295" s="1">
        <f t="shared" si="2882"/>
        <v>-0.31546911638849651</v>
      </c>
      <c r="P1295" s="1">
        <f t="shared" si="2896"/>
        <v>0.29935995231197399</v>
      </c>
      <c r="Q1295" s="1">
        <f t="shared" si="2897"/>
        <v>0</v>
      </c>
      <c r="R1295" s="1">
        <f t="shared" si="2898"/>
        <v>0.90047923660506124</v>
      </c>
      <c r="S1295" s="1">
        <f t="shared" si="2899"/>
        <v>0.89442838540081848</v>
      </c>
      <c r="T1295" s="1">
        <f t="shared" ref="T1295:V1295" si="2935">$S1295*P1295</f>
        <v>0.26775603880006493</v>
      </c>
      <c r="U1295" s="1">
        <f t="shared" si="2935"/>
        <v>0</v>
      </c>
      <c r="V1295" s="1">
        <f t="shared" si="2935"/>
        <v>0.80541418968362655</v>
      </c>
      <c r="W1295" s="1">
        <f t="shared" si="2901"/>
        <v>-10.23000508969537</v>
      </c>
      <c r="X1295" s="1">
        <f t="shared" si="2902"/>
        <v>0</v>
      </c>
      <c r="Y1295" s="1">
        <f t="shared" si="2903"/>
        <v>-5.5113060672864433</v>
      </c>
    </row>
    <row r="1296" spans="1:25">
      <c r="A1296" s="1">
        <v>1.29399999999999</v>
      </c>
      <c r="B1296" s="1">
        <f t="shared" si="2904"/>
        <v>42.846696625281957</v>
      </c>
      <c r="C1296" s="1">
        <f t="shared" si="2905"/>
        <v>0</v>
      </c>
      <c r="D1296" s="1">
        <f t="shared" si="2906"/>
        <v>-2.1641686604282104</v>
      </c>
      <c r="E1296" s="1">
        <f t="shared" si="2907"/>
        <v>15.63505937064765</v>
      </c>
      <c r="F1296" s="1">
        <f t="shared" si="2908"/>
        <v>0</v>
      </c>
      <c r="G1296" s="1">
        <f t="shared" si="2909"/>
        <v>-5.2067118346719479</v>
      </c>
      <c r="H1296" s="1">
        <f t="shared" si="2880"/>
        <v>16.47922721649865</v>
      </c>
      <c r="I1296" s="1">
        <f t="shared" si="2892"/>
        <v>-10.485827622260336</v>
      </c>
      <c r="J1296" s="1">
        <f t="shared" si="2893"/>
        <v>0</v>
      </c>
      <c r="K1296" s="1">
        <f t="shared" si="2894"/>
        <v>3.4919395880037105</v>
      </c>
      <c r="L1296" s="1">
        <f t="shared" ref="L1296:N1296" si="2936">E1296/$H1296</f>
        <v>0.9487738208375549</v>
      </c>
      <c r="M1296" s="1">
        <f t="shared" si="2936"/>
        <v>0</v>
      </c>
      <c r="N1296" s="1">
        <f t="shared" si="2936"/>
        <v>-0.31595606797988074</v>
      </c>
      <c r="O1296" s="1">
        <f t="shared" si="2882"/>
        <v>-0.31595606797988074</v>
      </c>
      <c r="P1296" s="1">
        <f t="shared" si="2896"/>
        <v>0.2997708458340817</v>
      </c>
      <c r="Q1296" s="1">
        <f t="shared" si="2897"/>
        <v>0</v>
      </c>
      <c r="R1296" s="1">
        <f t="shared" si="2898"/>
        <v>0.900171763106693</v>
      </c>
      <c r="S1296" s="1">
        <f t="shared" si="2899"/>
        <v>0.89356419810056253</v>
      </c>
      <c r="T1296" s="1">
        <f t="shared" ref="T1296:V1296" si="2937">$S1296*P1296</f>
        <v>0.26786449547165858</v>
      </c>
      <c r="U1296" s="1">
        <f t="shared" si="2937"/>
        <v>0</v>
      </c>
      <c r="V1296" s="1">
        <f t="shared" si="2937"/>
        <v>0.80436125965320171</v>
      </c>
      <c r="W1296" s="1">
        <f t="shared" si="2901"/>
        <v>-10.217963126788678</v>
      </c>
      <c r="X1296" s="1">
        <f t="shared" si="2902"/>
        <v>0</v>
      </c>
      <c r="Y1296" s="1">
        <f t="shared" si="2903"/>
        <v>-5.5103491523430872</v>
      </c>
    </row>
    <row r="1297" spans="1:25">
      <c r="A1297" s="1">
        <v>1.2949999999999899</v>
      </c>
      <c r="B1297" s="1">
        <f t="shared" si="2904"/>
        <v>42.86232146668948</v>
      </c>
      <c r="C1297" s="1">
        <f t="shared" si="2905"/>
        <v>0</v>
      </c>
      <c r="D1297" s="1">
        <f t="shared" si="2906"/>
        <v>-2.1693808826120349</v>
      </c>
      <c r="E1297" s="1">
        <f t="shared" si="2907"/>
        <v>15.624841407520861</v>
      </c>
      <c r="F1297" s="1">
        <f t="shared" si="2908"/>
        <v>0</v>
      </c>
      <c r="G1297" s="1">
        <f t="shared" si="2909"/>
        <v>-5.2122221838242906</v>
      </c>
      <c r="H1297" s="1">
        <f t="shared" si="2880"/>
        <v>16.471275879655728</v>
      </c>
      <c r="I1297" s="1">
        <f t="shared" si="2892"/>
        <v>-10.473918655765637</v>
      </c>
      <c r="J1297" s="1">
        <f t="shared" si="2893"/>
        <v>0</v>
      </c>
      <c r="K1297" s="1">
        <f t="shared" si="2894"/>
        <v>3.4939484981188507</v>
      </c>
      <c r="L1297" s="1">
        <f t="shared" ref="L1297:N1297" si="2938">E1297/$H1297</f>
        <v>0.94861148108263249</v>
      </c>
      <c r="M1297" s="1">
        <f t="shared" si="2938"/>
        <v>0</v>
      </c>
      <c r="N1297" s="1">
        <f t="shared" si="2938"/>
        <v>-0.3164431354259627</v>
      </c>
      <c r="O1297" s="1">
        <f t="shared" si="2882"/>
        <v>-0.3164431354259627</v>
      </c>
      <c r="P1297" s="1">
        <f t="shared" si="2896"/>
        <v>0.30018159137485451</v>
      </c>
      <c r="Q1297" s="1">
        <f t="shared" si="2897"/>
        <v>0</v>
      </c>
      <c r="R1297" s="1">
        <f t="shared" si="2898"/>
        <v>0.89986374204178587</v>
      </c>
      <c r="S1297" s="1">
        <f t="shared" si="2899"/>
        <v>0.89270210478460399</v>
      </c>
      <c r="T1297" s="1">
        <f t="shared" ref="T1297:V1297" si="2939">$S1297*P1297</f>
        <v>0.26797273843792452</v>
      </c>
      <c r="U1297" s="1">
        <f t="shared" si="2939"/>
        <v>0</v>
      </c>
      <c r="V1297" s="1">
        <f t="shared" si="2939"/>
        <v>0.80331025654005217</v>
      </c>
      <c r="W1297" s="1">
        <f t="shared" si="2901"/>
        <v>-10.205945917327712</v>
      </c>
      <c r="X1297" s="1">
        <f t="shared" si="2902"/>
        <v>0</v>
      </c>
      <c r="Y1297" s="1">
        <f t="shared" si="2903"/>
        <v>-5.5093912453410967</v>
      </c>
    </row>
    <row r="1298" spans="1:25">
      <c r="A1298" s="1">
        <v>1.29599999999999</v>
      </c>
      <c r="B1298" s="1">
        <f t="shared" si="2904"/>
        <v>42.877936102151082</v>
      </c>
      <c r="C1298" s="1">
        <f t="shared" si="2905"/>
        <v>0</v>
      </c>
      <c r="D1298" s="1">
        <f t="shared" si="2906"/>
        <v>-2.1745986141871043</v>
      </c>
      <c r="E1298" s="1">
        <f t="shared" si="2907"/>
        <v>15.614635461603534</v>
      </c>
      <c r="F1298" s="1">
        <f t="shared" si="2908"/>
        <v>0</v>
      </c>
      <c r="G1298" s="1">
        <f t="shared" si="2909"/>
        <v>-5.2177315750696316</v>
      </c>
      <c r="H1298" s="1">
        <f t="shared" si="2880"/>
        <v>16.463339982769146</v>
      </c>
      <c r="I1298" s="1">
        <f t="shared" si="2892"/>
        <v>-10.462034165704299</v>
      </c>
      <c r="J1298" s="1">
        <f t="shared" si="2893"/>
        <v>0</v>
      </c>
      <c r="K1298" s="1">
        <f t="shared" si="2894"/>
        <v>3.4959564787845969</v>
      </c>
      <c r="L1298" s="1">
        <f t="shared" ref="L1298:N1298" si="2940">E1298/$H1298</f>
        <v>0.94844882496177063</v>
      </c>
      <c r="M1298" s="1">
        <f t="shared" si="2940"/>
        <v>0</v>
      </c>
      <c r="N1298" s="1">
        <f t="shared" si="2940"/>
        <v>-0.31693031793855997</v>
      </c>
      <c r="O1298" s="1">
        <f t="shared" si="2882"/>
        <v>-0.31693031793855997</v>
      </c>
      <c r="P1298" s="1">
        <f t="shared" si="2896"/>
        <v>0.30059218764358758</v>
      </c>
      <c r="Q1298" s="1">
        <f t="shared" si="2897"/>
        <v>0</v>
      </c>
      <c r="R1298" s="1">
        <f t="shared" si="2898"/>
        <v>0.89955517357136328</v>
      </c>
      <c r="S1298" s="1">
        <f t="shared" si="2899"/>
        <v>0.89184210034196354</v>
      </c>
      <c r="T1298" s="1">
        <f t="shared" ref="T1298:V1298" si="2941">$S1298*P1298</f>
        <v>0.26808076797444275</v>
      </c>
      <c r="U1298" s="1">
        <f t="shared" si="2941"/>
        <v>0</v>
      </c>
      <c r="V1298" s="1">
        <f t="shared" si="2941"/>
        <v>0.80226117537136421</v>
      </c>
      <c r="W1298" s="1">
        <f t="shared" si="2901"/>
        <v>-10.193953397729857</v>
      </c>
      <c r="X1298" s="1">
        <f t="shared" si="2902"/>
        <v>0</v>
      </c>
      <c r="Y1298" s="1">
        <f t="shared" si="2903"/>
        <v>-5.5084323458440387</v>
      </c>
    </row>
    <row r="1299" spans="1:25">
      <c r="A1299" s="1">
        <v>1.2969999999999899</v>
      </c>
      <c r="B1299" s="1">
        <f t="shared" si="2904"/>
        <v>42.893540543659292</v>
      </c>
      <c r="C1299" s="1">
        <f t="shared" si="2905"/>
        <v>0</v>
      </c>
      <c r="D1299" s="1">
        <f t="shared" si="2906"/>
        <v>-2.17982185419452</v>
      </c>
      <c r="E1299" s="1">
        <f t="shared" si="2907"/>
        <v>15.604441508205804</v>
      </c>
      <c r="F1299" s="1">
        <f t="shared" si="2908"/>
        <v>0</v>
      </c>
      <c r="G1299" s="1">
        <f t="shared" si="2909"/>
        <v>-5.2232400074154759</v>
      </c>
      <c r="H1299" s="1">
        <f t="shared" si="2880"/>
        <v>16.455419501127338</v>
      </c>
      <c r="I1299" s="1">
        <f t="shared" si="2892"/>
        <v>-10.450174088965596</v>
      </c>
      <c r="J1299" s="1">
        <f t="shared" si="2893"/>
        <v>0</v>
      </c>
      <c r="K1299" s="1">
        <f t="shared" si="2894"/>
        <v>3.4979635353971545</v>
      </c>
      <c r="L1299" s="1">
        <f t="shared" ref="L1299:N1299" si="2942">E1299/$H1299</f>
        <v>0.94828585239876539</v>
      </c>
      <c r="M1299" s="1">
        <f t="shared" si="2942"/>
        <v>0</v>
      </c>
      <c r="N1299" s="1">
        <f t="shared" si="2942"/>
        <v>-0.31741761472915586</v>
      </c>
      <c r="O1299" s="1">
        <f t="shared" si="2882"/>
        <v>-0.31741761472915586</v>
      </c>
      <c r="P1299" s="1">
        <f t="shared" si="2896"/>
        <v>0.30100263334982047</v>
      </c>
      <c r="Q1299" s="1">
        <f t="shared" si="2897"/>
        <v>0</v>
      </c>
      <c r="R1299" s="1">
        <f t="shared" si="2898"/>
        <v>0.89924605785965317</v>
      </c>
      <c r="S1299" s="1">
        <f t="shared" si="2899"/>
        <v>0.89098417967755617</v>
      </c>
      <c r="T1299" s="1">
        <f t="shared" ref="T1299:V1299" si="2943">$S1299*P1299</f>
        <v>0.26818858435597398</v>
      </c>
      <c r="U1299" s="1">
        <f t="shared" si="2943"/>
        <v>0</v>
      </c>
      <c r="V1299" s="1">
        <f t="shared" si="2943"/>
        <v>0.80121401119035929</v>
      </c>
      <c r="W1299" s="1">
        <f t="shared" si="2901"/>
        <v>-10.181985504609623</v>
      </c>
      <c r="X1299" s="1">
        <f t="shared" si="2902"/>
        <v>0</v>
      </c>
      <c r="Y1299" s="1">
        <f t="shared" si="2903"/>
        <v>-5.5074724534124853</v>
      </c>
    </row>
    <row r="1300" spans="1:25">
      <c r="A1300" s="1">
        <v>1.2979999999999901</v>
      </c>
      <c r="B1300" s="1">
        <f t="shared" si="2904"/>
        <v>42.909134803181992</v>
      </c>
      <c r="C1300" s="1">
        <f t="shared" si="2905"/>
        <v>0</v>
      </c>
      <c r="D1300" s="1">
        <f t="shared" si="2906"/>
        <v>-2.1850506016743889</v>
      </c>
      <c r="E1300" s="1">
        <f t="shared" si="2907"/>
        <v>15.594259522701195</v>
      </c>
      <c r="F1300" s="1">
        <f t="shared" si="2908"/>
        <v>0</v>
      </c>
      <c r="G1300" s="1">
        <f t="shared" si="2909"/>
        <v>-5.228747479868888</v>
      </c>
      <c r="H1300" s="1">
        <f t="shared" si="2880"/>
        <v>16.447514410074007</v>
      </c>
      <c r="I1300" s="1">
        <f t="shared" si="2892"/>
        <v>-10.438338362634349</v>
      </c>
      <c r="J1300" s="1">
        <f t="shared" si="2893"/>
        <v>0</v>
      </c>
      <c r="K1300" s="1">
        <f t="shared" si="2894"/>
        <v>3.499969673339705</v>
      </c>
      <c r="L1300" s="1">
        <f t="shared" ref="L1300:N1300" si="2944">E1300/$H1300</f>
        <v>0.94812256331873479</v>
      </c>
      <c r="M1300" s="1">
        <f t="shared" si="2944"/>
        <v>0</v>
      </c>
      <c r="N1300" s="1">
        <f t="shared" si="2944"/>
        <v>-0.31790502500890411</v>
      </c>
      <c r="O1300" s="1">
        <f t="shared" si="2882"/>
        <v>-0.31790502500890411</v>
      </c>
      <c r="P1300" s="1">
        <f t="shared" si="2896"/>
        <v>0.30141292720334867</v>
      </c>
      <c r="Q1300" s="1">
        <f t="shared" si="2897"/>
        <v>0</v>
      </c>
      <c r="R1300" s="1">
        <f t="shared" si="2898"/>
        <v>0.89893639507408807</v>
      </c>
      <c r="S1300" s="1">
        <f t="shared" si="2899"/>
        <v>0.89012833771212718</v>
      </c>
      <c r="T1300" s="1">
        <f t="shared" ref="T1300:V1300" si="2945">$S1300*P1300</f>
        <v>0.26829618785646314</v>
      </c>
      <c r="U1300" s="1">
        <f t="shared" si="2945"/>
        <v>0</v>
      </c>
      <c r="V1300" s="1">
        <f t="shared" si="2945"/>
        <v>0.80016875905623008</v>
      </c>
      <c r="W1300" s="1">
        <f t="shared" si="2901"/>
        <v>-10.170042174777887</v>
      </c>
      <c r="X1300" s="1">
        <f t="shared" si="2902"/>
        <v>0</v>
      </c>
      <c r="Y1300" s="1">
        <f t="shared" si="2903"/>
        <v>-5.5065115676040648</v>
      </c>
    </row>
    <row r="1301" spans="1:25">
      <c r="A1301" s="1">
        <v>1.2989999999999899</v>
      </c>
      <c r="B1301" s="1">
        <f t="shared" si="2904"/>
        <v>42.924718892662518</v>
      </c>
      <c r="C1301" s="1">
        <f t="shared" si="2905"/>
        <v>0</v>
      </c>
      <c r="D1301" s="1">
        <f t="shared" si="2906"/>
        <v>-2.1902848556658254</v>
      </c>
      <c r="E1301" s="1">
        <f t="shared" si="2907"/>
        <v>15.584089480526417</v>
      </c>
      <c r="F1301" s="1">
        <f t="shared" si="2908"/>
        <v>0</v>
      </c>
      <c r="G1301" s="1">
        <f t="shared" si="2909"/>
        <v>-5.2342539914364918</v>
      </c>
      <c r="H1301" s="1">
        <f t="shared" si="2880"/>
        <v>16.439624685007956</v>
      </c>
      <c r="I1301" s="1">
        <f t="shared" si="2892"/>
        <v>-10.426526923990188</v>
      </c>
      <c r="J1301" s="1">
        <f t="shared" si="2893"/>
        <v>0</v>
      </c>
      <c r="K1301" s="1">
        <f t="shared" si="2894"/>
        <v>3.5019748979824383</v>
      </c>
      <c r="L1301" s="1">
        <f t="shared" ref="L1301:N1301" si="2946">E1301/$H1301</f>
        <v>0.94795895764811833</v>
      </c>
      <c r="M1301" s="1">
        <f t="shared" si="2946"/>
        <v>0</v>
      </c>
      <c r="N1301" s="1">
        <f t="shared" si="2946"/>
        <v>-0.31839254798863181</v>
      </c>
      <c r="O1301" s="1">
        <f t="shared" si="2882"/>
        <v>-0.31839254798863181</v>
      </c>
      <c r="P1301" s="1">
        <f t="shared" si="2896"/>
        <v>0.30182306791423191</v>
      </c>
      <c r="Q1301" s="1">
        <f t="shared" si="2897"/>
        <v>0</v>
      </c>
      <c r="R1301" s="1">
        <f t="shared" si="2898"/>
        <v>0.89862618538530681</v>
      </c>
      <c r="S1301" s="1">
        <f t="shared" si="2899"/>
        <v>0.88927456938219596</v>
      </c>
      <c r="T1301" s="1">
        <f t="shared" ref="T1301:V1301" si="2947">$S1301*P1301</f>
        <v>0.26840357874904186</v>
      </c>
      <c r="U1301" s="1">
        <f t="shared" si="2947"/>
        <v>0</v>
      </c>
      <c r="V1301" s="1">
        <f t="shared" si="2947"/>
        <v>0.7991254140440841</v>
      </c>
      <c r="W1301" s="1">
        <f t="shared" si="2901"/>
        <v>-10.158123345241146</v>
      </c>
      <c r="X1301" s="1">
        <f t="shared" si="2902"/>
        <v>0</v>
      </c>
      <c r="Y1301" s="1">
        <f t="shared" si="2903"/>
        <v>-5.5055496879734767</v>
      </c>
    </row>
    <row r="1302" spans="1:25">
      <c r="A1302" s="1">
        <v>1.2999999999999901</v>
      </c>
      <c r="B1302" s="1">
        <f t="shared" si="2904"/>
        <v>42.9402928240197</v>
      </c>
      <c r="C1302" s="1">
        <f t="shared" si="2905"/>
        <v>0</v>
      </c>
      <c r="D1302" s="1">
        <f t="shared" si="2906"/>
        <v>-2.1955246152069501</v>
      </c>
      <c r="E1302" s="1">
        <f t="shared" si="2907"/>
        <v>15.573931357181177</v>
      </c>
      <c r="F1302" s="1">
        <f t="shared" si="2908"/>
        <v>0</v>
      </c>
      <c r="G1302" s="1">
        <f t="shared" si="2909"/>
        <v>-5.2397595411244655</v>
      </c>
      <c r="H1302" s="1">
        <f t="shared" si="2880"/>
        <v>16.43175030138287</v>
      </c>
      <c r="I1302" s="1">
        <f t="shared" si="2892"/>
        <v>-10.414739710506799</v>
      </c>
      <c r="J1302" s="1">
        <f t="shared" si="2893"/>
        <v>0</v>
      </c>
      <c r="K1302" s="1">
        <f t="shared" si="2894"/>
        <v>3.5039792146825639</v>
      </c>
      <c r="L1302" s="1">
        <f t="shared" ref="L1302:N1302" si="2948">E1302/$H1302</f>
        <v>0.94779503531467979</v>
      </c>
      <c r="M1302" s="1">
        <f t="shared" si="2948"/>
        <v>0</v>
      </c>
      <c r="N1302" s="1">
        <f t="shared" si="2948"/>
        <v>-0.31888018287884373</v>
      </c>
      <c r="O1302" s="1">
        <f t="shared" si="2882"/>
        <v>-0.31888018287884373</v>
      </c>
      <c r="P1302" s="1">
        <f t="shared" si="2896"/>
        <v>0.30223305419280522</v>
      </c>
      <c r="Q1302" s="1">
        <f t="shared" si="2897"/>
        <v>0</v>
      </c>
      <c r="R1302" s="1">
        <f t="shared" si="2898"/>
        <v>0.89831542896715522</v>
      </c>
      <c r="S1302" s="1">
        <f t="shared" si="2899"/>
        <v>0.88842286963999162</v>
      </c>
      <c r="T1302" s="1">
        <f t="shared" ref="T1302:V1302" si="2949">$S1302*P1302</f>
        <v>0.26851075730603113</v>
      </c>
      <c r="U1302" s="1">
        <f t="shared" si="2949"/>
        <v>0</v>
      </c>
      <c r="V1302" s="1">
        <f t="shared" si="2949"/>
        <v>0.79808397124488006</v>
      </c>
      <c r="W1302" s="1">
        <f t="shared" si="2901"/>
        <v>-10.146228953200769</v>
      </c>
      <c r="X1302" s="1">
        <f t="shared" si="2902"/>
        <v>0</v>
      </c>
      <c r="Y1302" s="1">
        <f t="shared" si="2903"/>
        <v>-5.5045868140725558</v>
      </c>
    </row>
    <row r="1303" spans="1:25">
      <c r="A1303" s="1">
        <v>1.3009999999999899</v>
      </c>
      <c r="B1303" s="1">
        <f t="shared" si="2904"/>
        <v>42.955856609147929</v>
      </c>
      <c r="C1303" s="1">
        <f t="shared" si="2905"/>
        <v>0</v>
      </c>
      <c r="D1303" s="1">
        <f t="shared" si="2906"/>
        <v>-2.2007698793348887</v>
      </c>
      <c r="E1303" s="1">
        <f t="shared" si="2907"/>
        <v>15.563785128227977</v>
      </c>
      <c r="F1303" s="1">
        <f t="shared" si="2908"/>
        <v>0</v>
      </c>
      <c r="G1303" s="1">
        <f t="shared" si="2909"/>
        <v>-5.2452641279385377</v>
      </c>
      <c r="H1303" s="1">
        <f t="shared" si="2880"/>
        <v>16.423891234707114</v>
      </c>
      <c r="I1303" s="1">
        <f t="shared" si="2892"/>
        <v>-10.402976659851184</v>
      </c>
      <c r="J1303" s="1">
        <f t="shared" si="2893"/>
        <v>0</v>
      </c>
      <c r="K1303" s="1">
        <f t="shared" si="2894"/>
        <v>3.5059826287843361</v>
      </c>
      <c r="L1303" s="1">
        <f t="shared" ref="L1303:N1303" si="2950">E1303/$H1303</f>
        <v>0.94763079624750846</v>
      </c>
      <c r="M1303" s="1">
        <f t="shared" si="2950"/>
        <v>0</v>
      </c>
      <c r="N1303" s="1">
        <f t="shared" si="2950"/>
        <v>-0.31936792888972615</v>
      </c>
      <c r="O1303" s="1">
        <f t="shared" si="2882"/>
        <v>-0.31936792888972615</v>
      </c>
      <c r="P1303" s="1">
        <f t="shared" si="2896"/>
        <v>0.30264288474968887</v>
      </c>
      <c r="Q1303" s="1">
        <f t="shared" si="2897"/>
        <v>0</v>
      </c>
      <c r="R1303" s="1">
        <f t="shared" si="2898"/>
        <v>0.89800412599668678</v>
      </c>
      <c r="S1303" s="1">
        <f t="shared" si="2899"/>
        <v>0.88757323345339334</v>
      </c>
      <c r="T1303" s="1">
        <f t="shared" ref="T1303:V1303" si="2951">$S1303*P1303</f>
        <v>0.268617723798944</v>
      </c>
      <c r="U1303" s="1">
        <f t="shared" si="2951"/>
        <v>0</v>
      </c>
      <c r="V1303" s="1">
        <f t="shared" si="2951"/>
        <v>0.79704442576536771</v>
      </c>
      <c r="W1303" s="1">
        <f t="shared" si="2901"/>
        <v>-10.134358936052241</v>
      </c>
      <c r="X1303" s="1">
        <f t="shared" si="2902"/>
        <v>0</v>
      </c>
      <c r="Y1303" s="1">
        <f t="shared" si="2903"/>
        <v>-5.5036229454502958</v>
      </c>
    </row>
    <row r="1304" spans="1:25">
      <c r="A1304" s="1">
        <v>1.3019999999999901</v>
      </c>
      <c r="B1304" s="1">
        <f t="shared" si="2904"/>
        <v>42.971410259917221</v>
      </c>
      <c r="C1304" s="1">
        <f t="shared" si="2905"/>
        <v>0</v>
      </c>
      <c r="D1304" s="1">
        <f t="shared" si="2906"/>
        <v>-2.2060206470857726</v>
      </c>
      <c r="E1304" s="1">
        <f t="shared" si="2907"/>
        <v>15.553650769291925</v>
      </c>
      <c r="F1304" s="1">
        <f t="shared" si="2908"/>
        <v>0</v>
      </c>
      <c r="G1304" s="1">
        <f t="shared" si="2909"/>
        <v>-5.2507677508839876</v>
      </c>
      <c r="H1304" s="1">
        <f t="shared" si="2880"/>
        <v>16.416047460543556</v>
      </c>
      <c r="I1304" s="1">
        <f t="shared" si="2892"/>
        <v>-10.391237709882923</v>
      </c>
      <c r="J1304" s="1">
        <f t="shared" si="2893"/>
        <v>0</v>
      </c>
      <c r="K1304" s="1">
        <f t="shared" si="2894"/>
        <v>3.5079851456190787</v>
      </c>
      <c r="L1304" s="1">
        <f t="shared" ref="L1304:N1304" si="2952">E1304/$H1304</f>
        <v>0.94746624037701976</v>
      </c>
      <c r="M1304" s="1">
        <f t="shared" si="2952"/>
        <v>0</v>
      </c>
      <c r="N1304" s="1">
        <f t="shared" si="2952"/>
        <v>-0.31985578523115016</v>
      </c>
      <c r="O1304" s="1">
        <f t="shared" si="2882"/>
        <v>-0.31985578523115016</v>
      </c>
      <c r="P1304" s="1">
        <f t="shared" si="2896"/>
        <v>0.3030525582957973</v>
      </c>
      <c r="Q1304" s="1">
        <f t="shared" si="2897"/>
        <v>0</v>
      </c>
      <c r="R1304" s="1">
        <f t="shared" si="2898"/>
        <v>0.8976922766541644</v>
      </c>
      <c r="S1304" s="1">
        <f t="shared" si="2899"/>
        <v>0.88672565580587126</v>
      </c>
      <c r="T1304" s="1">
        <f t="shared" ref="T1304:V1304" si="2953">$S1304*P1304</f>
        <v>0.26872447849848791</v>
      </c>
      <c r="U1304" s="1">
        <f t="shared" si="2953"/>
        <v>0</v>
      </c>
      <c r="V1304" s="1">
        <f t="shared" si="2953"/>
        <v>0.79600677272802955</v>
      </c>
      <c r="W1304" s="1">
        <f t="shared" si="2901"/>
        <v>-10.122513231384435</v>
      </c>
      <c r="X1304" s="1">
        <f t="shared" si="2902"/>
        <v>0</v>
      </c>
      <c r="Y1304" s="1">
        <f t="shared" si="2903"/>
        <v>-5.5026580816528909</v>
      </c>
    </row>
    <row r="1305" spans="1:25">
      <c r="A1305" s="1">
        <v>1.3029999999999899</v>
      </c>
      <c r="B1305" s="1">
        <f t="shared" si="2904"/>
        <v>42.986953788173281</v>
      </c>
      <c r="C1305" s="1">
        <f t="shared" si="2905"/>
        <v>0</v>
      </c>
      <c r="D1305" s="1">
        <f t="shared" si="2906"/>
        <v>-2.2112769174947382</v>
      </c>
      <c r="E1305" s="1">
        <f t="shared" si="2907"/>
        <v>15.543528256060542</v>
      </c>
      <c r="F1305" s="1">
        <f t="shared" si="2908"/>
        <v>0</v>
      </c>
      <c r="G1305" s="1">
        <f t="shared" si="2909"/>
        <v>-5.2562704089656407</v>
      </c>
      <c r="H1305" s="1">
        <f t="shared" si="2880"/>
        <v>16.408218954509362</v>
      </c>
      <c r="I1305" s="1">
        <f t="shared" si="2892"/>
        <v>-10.379522798653436</v>
      </c>
      <c r="J1305" s="1">
        <f t="shared" si="2893"/>
        <v>0</v>
      </c>
      <c r="K1305" s="1">
        <f t="shared" si="2894"/>
        <v>3.5099867705052019</v>
      </c>
      <c r="L1305" s="1">
        <f t="shared" ref="L1305:N1305" si="2954">E1305/$H1305</f>
        <v>0.94730136763495698</v>
      </c>
      <c r="M1305" s="1">
        <f t="shared" si="2954"/>
        <v>0</v>
      </c>
      <c r="N1305" s="1">
        <f t="shared" si="2954"/>
        <v>-0.32034375111267605</v>
      </c>
      <c r="O1305" s="1">
        <f t="shared" si="2882"/>
        <v>-0.32034375111267605</v>
      </c>
      <c r="P1305" s="1">
        <f t="shared" si="2896"/>
        <v>0.30346207354235027</v>
      </c>
      <c r="Q1305" s="1">
        <f t="shared" si="2897"/>
        <v>0</v>
      </c>
      <c r="R1305" s="1">
        <f t="shared" si="2898"/>
        <v>0.89737988112305989</v>
      </c>
      <c r="S1305" s="1">
        <f t="shared" si="2899"/>
        <v>0.88588013169642688</v>
      </c>
      <c r="T1305" s="1">
        <f t="shared" ref="T1305:V1305" si="2955">$S1305*P1305</f>
        <v>0.26883102167456802</v>
      </c>
      <c r="U1305" s="1">
        <f t="shared" si="2955"/>
        <v>0</v>
      </c>
      <c r="V1305" s="1">
        <f t="shared" si="2955"/>
        <v>0.79497100727102021</v>
      </c>
      <c r="W1305" s="1">
        <f t="shared" si="2901"/>
        <v>-10.110691776978868</v>
      </c>
      <c r="X1305" s="1">
        <f t="shared" si="2902"/>
        <v>0</v>
      </c>
      <c r="Y1305" s="1">
        <f t="shared" si="2903"/>
        <v>-5.5016922222237774</v>
      </c>
    </row>
    <row r="1306" spans="1:25">
      <c r="A1306" s="1">
        <v>1.3039999999999901</v>
      </c>
      <c r="B1306" s="1">
        <f t="shared" si="2904"/>
        <v>43.002487205737566</v>
      </c>
      <c r="C1306" s="1">
        <f t="shared" si="2905"/>
        <v>0</v>
      </c>
      <c r="D1306" s="1">
        <f t="shared" si="2906"/>
        <v>-2.216538689595926</v>
      </c>
      <c r="E1306" s="1">
        <f t="shared" si="2907"/>
        <v>15.533417564283564</v>
      </c>
      <c r="F1306" s="1">
        <f t="shared" si="2908"/>
        <v>0</v>
      </c>
      <c r="G1306" s="1">
        <f t="shared" si="2909"/>
        <v>-5.2617721011878649</v>
      </c>
      <c r="H1306" s="1">
        <f t="shared" si="2880"/>
        <v>16.40040569227579</v>
      </c>
      <c r="I1306" s="1">
        <f t="shared" si="2892"/>
        <v>-10.367831864405259</v>
      </c>
      <c r="J1306" s="1">
        <f t="shared" si="2893"/>
        <v>0</v>
      </c>
      <c r="K1306" s="1">
        <f t="shared" si="2894"/>
        <v>3.5119875087482253</v>
      </c>
      <c r="L1306" s="1">
        <f t="shared" ref="L1306:N1306" si="2956">E1306/$H1306</f>
        <v>0.94713617795439309</v>
      </c>
      <c r="M1306" s="1">
        <f t="shared" si="2956"/>
        <v>0</v>
      </c>
      <c r="N1306" s="1">
        <f t="shared" si="2956"/>
        <v>-0.3208318257435569</v>
      </c>
      <c r="O1306" s="1">
        <f t="shared" si="2882"/>
        <v>-0.3208318257435569</v>
      </c>
      <c r="P1306" s="1">
        <f t="shared" si="2896"/>
        <v>0.30387142920088234</v>
      </c>
      <c r="Q1306" s="1">
        <f t="shared" si="2897"/>
        <v>0</v>
      </c>
      <c r="R1306" s="1">
        <f t="shared" si="2898"/>
        <v>0.8970669395900559</v>
      </c>
      <c r="S1306" s="1">
        <f t="shared" si="2899"/>
        <v>0.88503665613953075</v>
      </c>
      <c r="T1306" s="1">
        <f t="shared" ref="T1306:V1306" si="2957">$S1306*P1306</f>
        <v>0.26893735359628906</v>
      </c>
      <c r="U1306" s="1">
        <f t="shared" si="2957"/>
        <v>0</v>
      </c>
      <c r="V1306" s="1">
        <f t="shared" si="2957"/>
        <v>0.7939371245481055</v>
      </c>
      <c r="W1306" s="1">
        <f t="shared" si="2901"/>
        <v>-10.09889451080897</v>
      </c>
      <c r="X1306" s="1">
        <f t="shared" si="2902"/>
        <v>0</v>
      </c>
      <c r="Y1306" s="1">
        <f t="shared" si="2903"/>
        <v>-5.5007253667036684</v>
      </c>
    </row>
    <row r="1307" spans="1:25">
      <c r="A1307" s="1">
        <v>1.3049999999999899</v>
      </c>
      <c r="B1307" s="1">
        <f t="shared" si="2904"/>
        <v>43.018010524407337</v>
      </c>
      <c r="C1307" s="1">
        <f t="shared" si="2905"/>
        <v>0</v>
      </c>
      <c r="D1307" s="1">
        <f t="shared" si="2906"/>
        <v>-2.2218059624224806</v>
      </c>
      <c r="E1307" s="1">
        <f t="shared" si="2907"/>
        <v>15.523318669772754</v>
      </c>
      <c r="F1307" s="1">
        <f t="shared" si="2908"/>
        <v>0</v>
      </c>
      <c r="G1307" s="1">
        <f t="shared" si="2909"/>
        <v>-5.267272826554569</v>
      </c>
      <c r="H1307" s="1">
        <f t="shared" si="2880"/>
        <v>16.392607649568006</v>
      </c>
      <c r="I1307" s="1">
        <f t="shared" si="2892"/>
        <v>-10.356164845571298</v>
      </c>
      <c r="J1307" s="1">
        <f t="shared" si="2893"/>
        <v>0</v>
      </c>
      <c r="K1307" s="1">
        <f t="shared" si="2894"/>
        <v>3.5139873656407992</v>
      </c>
      <c r="L1307" s="1">
        <f t="shared" ref="L1307:N1307" si="2958">E1307/$H1307</f>
        <v>0.94697067126973178</v>
      </c>
      <c r="M1307" s="1">
        <f t="shared" si="2958"/>
        <v>0</v>
      </c>
      <c r="N1307" s="1">
        <f t="shared" si="2958"/>
        <v>-0.32132000833274244</v>
      </c>
      <c r="O1307" s="1">
        <f t="shared" si="2882"/>
        <v>-0.32132000833274244</v>
      </c>
      <c r="P1307" s="1">
        <f t="shared" si="2896"/>
        <v>0.3042806239832529</v>
      </c>
      <c r="Q1307" s="1">
        <f t="shared" si="2897"/>
        <v>0</v>
      </c>
      <c r="R1307" s="1">
        <f t="shared" si="2898"/>
        <v>0.89675345224504632</v>
      </c>
      <c r="S1307" s="1">
        <f t="shared" si="2899"/>
        <v>0.88419522416506624</v>
      </c>
      <c r="T1307" s="1">
        <f t="shared" ref="T1307:V1307" si="2959">$S1307*P1307</f>
        <v>0.26904347453195854</v>
      </c>
      <c r="U1307" s="1">
        <f t="shared" si="2959"/>
        <v>0</v>
      </c>
      <c r="V1307" s="1">
        <f t="shared" si="2959"/>
        <v>0.79290511972860578</v>
      </c>
      <c r="W1307" s="1">
        <f t="shared" si="2901"/>
        <v>-10.087121371039339</v>
      </c>
      <c r="X1307" s="1">
        <f t="shared" si="2902"/>
        <v>0</v>
      </c>
      <c r="Y1307" s="1">
        <f t="shared" si="2903"/>
        <v>-5.4997575146305948</v>
      </c>
    </row>
    <row r="1308" spans="1:25">
      <c r="A1308" s="1">
        <v>1.3059999999999901</v>
      </c>
      <c r="B1308" s="1">
        <f t="shared" si="2904"/>
        <v>43.033523755955741</v>
      </c>
      <c r="C1308" s="1">
        <f t="shared" si="2905"/>
        <v>0</v>
      </c>
      <c r="D1308" s="1">
        <f t="shared" si="2906"/>
        <v>-2.22707873500655</v>
      </c>
      <c r="E1308" s="1">
        <f t="shared" si="2907"/>
        <v>15.513231548401714</v>
      </c>
      <c r="F1308" s="1">
        <f t="shared" si="2908"/>
        <v>0</v>
      </c>
      <c r="G1308" s="1">
        <f t="shared" si="2909"/>
        <v>-5.2727725840691999</v>
      </c>
      <c r="H1308" s="1">
        <f t="shared" si="2880"/>
        <v>16.3848248021649</v>
      </c>
      <c r="I1308" s="1">
        <f t="shared" si="2892"/>
        <v>-10.344521680774122</v>
      </c>
      <c r="J1308" s="1">
        <f t="shared" si="2893"/>
        <v>0</v>
      </c>
      <c r="K1308" s="1">
        <f t="shared" si="2894"/>
        <v>3.515986346462725</v>
      </c>
      <c r="L1308" s="1">
        <f t="shared" ref="L1308:N1308" si="2960">E1308/$H1308</f>
        <v>0.94680484751670801</v>
      </c>
      <c r="M1308" s="1">
        <f t="shared" si="2960"/>
        <v>0</v>
      </c>
      <c r="N1308" s="1">
        <f t="shared" si="2960"/>
        <v>-0.32180829808888267</v>
      </c>
      <c r="O1308" s="1">
        <f t="shared" si="2882"/>
        <v>-0.32180829808888267</v>
      </c>
      <c r="P1308" s="1">
        <f t="shared" si="2896"/>
        <v>0.30468965660165587</v>
      </c>
      <c r="Q1308" s="1">
        <f t="shared" si="2897"/>
        <v>0</v>
      </c>
      <c r="R1308" s="1">
        <f t="shared" si="2898"/>
        <v>0.8964394192811368</v>
      </c>
      <c r="S1308" s="1">
        <f t="shared" si="2899"/>
        <v>0.88335583081826929</v>
      </c>
      <c r="T1308" s="1">
        <f t="shared" ref="T1308:V1308" si="2961">$S1308*P1308</f>
        <v>0.26914938474908889</v>
      </c>
      <c r="U1308" s="1">
        <f t="shared" si="2961"/>
        <v>0</v>
      </c>
      <c r="V1308" s="1">
        <f t="shared" si="2961"/>
        <v>0.79187498799733547</v>
      </c>
      <c r="W1308" s="1">
        <f t="shared" si="2901"/>
        <v>-10.075372296025034</v>
      </c>
      <c r="X1308" s="1">
        <f t="shared" si="2902"/>
        <v>0</v>
      </c>
      <c r="Y1308" s="1">
        <f t="shared" si="2903"/>
        <v>-5.4987886655399389</v>
      </c>
    </row>
    <row r="1309" spans="1:25">
      <c r="A1309" s="1">
        <v>1.3069999999999899</v>
      </c>
      <c r="B1309" s="1">
        <f t="shared" si="2904"/>
        <v>43.049026912131851</v>
      </c>
      <c r="C1309" s="1">
        <f t="shared" si="2905"/>
        <v>0</v>
      </c>
      <c r="D1309" s="1">
        <f t="shared" si="2906"/>
        <v>-2.2323570063792846</v>
      </c>
      <c r="E1309" s="1">
        <f t="shared" si="2907"/>
        <v>15.503156176105689</v>
      </c>
      <c r="F1309" s="1">
        <f t="shared" si="2908"/>
        <v>0</v>
      </c>
      <c r="G1309" s="1">
        <f t="shared" si="2909"/>
        <v>-5.2782713727347401</v>
      </c>
      <c r="H1309" s="1">
        <f t="shared" si="2880"/>
        <v>16.377057125898872</v>
      </c>
      <c r="I1309" s="1">
        <f t="shared" si="2892"/>
        <v>-10.332902308825226</v>
      </c>
      <c r="J1309" s="1">
        <f t="shared" si="2893"/>
        <v>0</v>
      </c>
      <c r="K1309" s="1">
        <f t="shared" si="2894"/>
        <v>3.5179844564809781</v>
      </c>
      <c r="L1309" s="1">
        <f t="shared" ref="L1309:N1309" si="2962">E1309/$H1309</f>
        <v>0.9466387066323908</v>
      </c>
      <c r="M1309" s="1">
        <f t="shared" si="2962"/>
        <v>0</v>
      </c>
      <c r="N1309" s="1">
        <f t="shared" si="2962"/>
        <v>-0.32229669422033214</v>
      </c>
      <c r="O1309" s="1">
        <f t="shared" si="2882"/>
        <v>-0.32229669422033214</v>
      </c>
      <c r="P1309" s="1">
        <f t="shared" si="2896"/>
        <v>0.30509852576863034</v>
      </c>
      <c r="Q1309" s="1">
        <f t="shared" si="2897"/>
        <v>0</v>
      </c>
      <c r="R1309" s="1">
        <f t="shared" si="2898"/>
        <v>0.89612484089464572</v>
      </c>
      <c r="S1309" s="1">
        <f t="shared" si="2899"/>
        <v>0.88251847115966919</v>
      </c>
      <c r="T1309" s="1">
        <f t="shared" ref="T1309:V1309" si="2963">$S1309*P1309</f>
        <v>0.26925508451440056</v>
      </c>
      <c r="U1309" s="1">
        <f t="shared" si="2963"/>
        <v>0</v>
      </c>
      <c r="V1309" s="1">
        <f t="shared" si="2963"/>
        <v>0.79084672455454452</v>
      </c>
      <c r="W1309" s="1">
        <f t="shared" si="2901"/>
        <v>-10.063647224310825</v>
      </c>
      <c r="X1309" s="1">
        <f t="shared" si="2902"/>
        <v>0</v>
      </c>
      <c r="Y1309" s="1">
        <f t="shared" si="2903"/>
        <v>-5.4978188189644772</v>
      </c>
    </row>
    <row r="1310" spans="1:25">
      <c r="A1310" s="1">
        <v>1.3079999999999901</v>
      </c>
      <c r="B1310" s="1">
        <f t="shared" si="2904"/>
        <v>43.064520004660729</v>
      </c>
      <c r="C1310" s="1">
        <f t="shared" si="2905"/>
        <v>0</v>
      </c>
      <c r="D1310" s="1">
        <f t="shared" si="2906"/>
        <v>-2.2376407755708381</v>
      </c>
      <c r="E1310" s="1">
        <f t="shared" si="2907"/>
        <v>15.493092528881379</v>
      </c>
      <c r="F1310" s="1">
        <f t="shared" si="2908"/>
        <v>0</v>
      </c>
      <c r="G1310" s="1">
        <f t="shared" si="2909"/>
        <v>-5.2837691915537048</v>
      </c>
      <c r="H1310" s="1">
        <f t="shared" si="2880"/>
        <v>16.36930459665566</v>
      </c>
      <c r="I1310" s="1">
        <f t="shared" si="2892"/>
        <v>-10.321306668724326</v>
      </c>
      <c r="J1310" s="1">
        <f t="shared" si="2893"/>
        <v>0</v>
      </c>
      <c r="K1310" s="1">
        <f t="shared" si="2894"/>
        <v>3.5199817009497276</v>
      </c>
      <c r="L1310" s="1">
        <f t="shared" ref="L1310:N1310" si="2964">E1310/$H1310</f>
        <v>0.94647224855518319</v>
      </c>
      <c r="M1310" s="1">
        <f t="shared" si="2964"/>
        <v>0</v>
      </c>
      <c r="N1310" s="1">
        <f t="shared" si="2964"/>
        <v>-0.32278519593515342</v>
      </c>
      <c r="O1310" s="1">
        <f t="shared" si="2882"/>
        <v>-0.32278519593515342</v>
      </c>
      <c r="P1310" s="1">
        <f t="shared" si="2896"/>
        <v>0.30550723019707005</v>
      </c>
      <c r="Q1310" s="1">
        <f t="shared" si="2897"/>
        <v>0</v>
      </c>
      <c r="R1310" s="1">
        <f t="shared" si="2898"/>
        <v>0.89580971728510461</v>
      </c>
      <c r="S1310" s="1">
        <f t="shared" si="2899"/>
        <v>0.88168314026503114</v>
      </c>
      <c r="T1310" s="1">
        <f t="shared" ref="T1310:V1310" si="2965">$S1310*P1310</f>
        <v>0.26936057409382447</v>
      </c>
      <c r="U1310" s="1">
        <f t="shared" si="2965"/>
        <v>0</v>
      </c>
      <c r="V1310" s="1">
        <f t="shared" si="2965"/>
        <v>0.78982032461586082</v>
      </c>
      <c r="W1310" s="1">
        <f t="shared" si="2901"/>
        <v>-10.051946094630502</v>
      </c>
      <c r="X1310" s="1">
        <f t="shared" si="2902"/>
        <v>0</v>
      </c>
      <c r="Y1310" s="1">
        <f t="shared" si="2903"/>
        <v>-5.4968479744344112</v>
      </c>
    </row>
    <row r="1311" spans="1:25">
      <c r="A1311" s="1">
        <v>1.3089999999999899</v>
      </c>
      <c r="B1311" s="1">
        <f t="shared" si="2904"/>
        <v>43.080003045243515</v>
      </c>
      <c r="C1311" s="1">
        <f t="shared" si="2905"/>
        <v>0</v>
      </c>
      <c r="D1311" s="1">
        <f t="shared" si="2906"/>
        <v>-2.2429300416103661</v>
      </c>
      <c r="E1311" s="1">
        <f t="shared" si="2907"/>
        <v>15.483040582786748</v>
      </c>
      <c r="F1311" s="1">
        <f t="shared" si="2908"/>
        <v>0</v>
      </c>
      <c r="G1311" s="1">
        <f t="shared" si="2909"/>
        <v>-5.2892660395281395</v>
      </c>
      <c r="H1311" s="1">
        <f t="shared" si="2880"/>
        <v>16.361567190374128</v>
      </c>
      <c r="I1311" s="1">
        <f t="shared" si="2892"/>
        <v>-10.30973469965862</v>
      </c>
      <c r="J1311" s="1">
        <f t="shared" si="2893"/>
        <v>0</v>
      </c>
      <c r="K1311" s="1">
        <f t="shared" si="2894"/>
        <v>3.5219780851103546</v>
      </c>
      <c r="L1311" s="1">
        <f t="shared" ref="L1311:N1311" si="2966">E1311/$H1311</f>
        <v>0.94630547322482428</v>
      </c>
      <c r="M1311" s="1">
        <f t="shared" si="2966"/>
        <v>0</v>
      </c>
      <c r="N1311" s="1">
        <f t="shared" si="2966"/>
        <v>-0.32327380244112142</v>
      </c>
      <c r="O1311" s="1">
        <f t="shared" si="2882"/>
        <v>-0.32327380244112142</v>
      </c>
      <c r="P1311" s="1">
        <f t="shared" si="2896"/>
        <v>0.30591576860023373</v>
      </c>
      <c r="Q1311" s="1">
        <f t="shared" si="2897"/>
        <v>0</v>
      </c>
      <c r="R1311" s="1">
        <f t="shared" si="2898"/>
        <v>0.89549404865525883</v>
      </c>
      <c r="S1311" s="1">
        <f t="shared" si="2899"/>
        <v>0.8808498332252962</v>
      </c>
      <c r="T1311" s="1">
        <f t="shared" ref="T1311:V1311" si="2967">$S1311*P1311</f>
        <v>0.2694658537525042</v>
      </c>
      <c r="U1311" s="1">
        <f t="shared" si="2967"/>
        <v>0</v>
      </c>
      <c r="V1311" s="1">
        <f t="shared" si="2967"/>
        <v>0.78879578341223</v>
      </c>
      <c r="W1311" s="1">
        <f t="shared" si="2901"/>
        <v>-10.040268845906116</v>
      </c>
      <c r="X1311" s="1">
        <f t="shared" si="2902"/>
        <v>0</v>
      </c>
      <c r="Y1311" s="1">
        <f t="shared" si="2903"/>
        <v>-5.4958761314774147</v>
      </c>
    </row>
    <row r="1312" spans="1:25">
      <c r="A1312" s="1">
        <v>1.3099999999999901</v>
      </c>
      <c r="B1312" s="1">
        <f t="shared" si="2904"/>
        <v>43.095476045557454</v>
      </c>
      <c r="C1312" s="1">
        <f t="shared" si="2905"/>
        <v>0</v>
      </c>
      <c r="D1312" s="1">
        <f t="shared" si="2906"/>
        <v>-2.2482248035260257</v>
      </c>
      <c r="E1312" s="1">
        <f t="shared" si="2907"/>
        <v>15.473000313940842</v>
      </c>
      <c r="F1312" s="1">
        <f t="shared" si="2908"/>
        <v>0</v>
      </c>
      <c r="G1312" s="1">
        <f t="shared" si="2909"/>
        <v>-5.2947619156596168</v>
      </c>
      <c r="H1312" s="1">
        <f t="shared" si="2880"/>
        <v>16.353844883046094</v>
      </c>
      <c r="I1312" s="1">
        <f t="shared" si="2892"/>
        <v>-10.298186341002102</v>
      </c>
      <c r="J1312" s="1">
        <f t="shared" si="2893"/>
        <v>0</v>
      </c>
      <c r="K1312" s="1">
        <f t="shared" si="2894"/>
        <v>3.5239736141914788</v>
      </c>
      <c r="L1312" s="1">
        <f t="shared" ref="L1312:N1312" si="2968">E1312/$H1312</f>
        <v>0.9461383805823903</v>
      </c>
      <c r="M1312" s="1">
        <f t="shared" si="2968"/>
        <v>0</v>
      </c>
      <c r="N1312" s="1">
        <f t="shared" si="2968"/>
        <v>-0.32376251294572667</v>
      </c>
      <c r="O1312" s="1">
        <f t="shared" si="2882"/>
        <v>-0.32376251294572667</v>
      </c>
      <c r="P1312" s="1">
        <f t="shared" si="2896"/>
        <v>0.30632413969175498</v>
      </c>
      <c r="Q1312" s="1">
        <f t="shared" si="2897"/>
        <v>0</v>
      </c>
      <c r="R1312" s="1">
        <f t="shared" si="2898"/>
        <v>0.8951778352110682</v>
      </c>
      <c r="S1312" s="1">
        <f t="shared" si="2899"/>
        <v>0.88001854514652489</v>
      </c>
      <c r="T1312" s="1">
        <f t="shared" ref="T1312:V1312" si="2969">$S1312*P1312</f>
        <v>0.26957092375479907</v>
      </c>
      <c r="U1312" s="1">
        <f t="shared" si="2969"/>
        <v>0</v>
      </c>
      <c r="V1312" s="1">
        <f t="shared" si="2969"/>
        <v>0.7877730961898598</v>
      </c>
      <c r="W1312" s="1">
        <f t="shared" si="2901"/>
        <v>-10.028615417247304</v>
      </c>
      <c r="X1312" s="1">
        <f t="shared" si="2902"/>
        <v>0</v>
      </c>
      <c r="Y1312" s="1">
        <f t="shared" si="2903"/>
        <v>-5.4949032896186605</v>
      </c>
    </row>
    <row r="1313" spans="1:25">
      <c r="A1313" s="1">
        <v>1.31099999999999</v>
      </c>
      <c r="B1313" s="1">
        <f t="shared" si="2904"/>
        <v>43.11093901725598</v>
      </c>
      <c r="C1313" s="1">
        <f t="shared" si="2905"/>
        <v>0</v>
      </c>
      <c r="D1313" s="1">
        <f t="shared" si="2906"/>
        <v>-2.253525060344975</v>
      </c>
      <c r="E1313" s="1">
        <f t="shared" si="2907"/>
        <v>15.462971698523594</v>
      </c>
      <c r="F1313" s="1">
        <f t="shared" si="2908"/>
        <v>0</v>
      </c>
      <c r="G1313" s="1">
        <f t="shared" si="2909"/>
        <v>-5.3002568189492356</v>
      </c>
      <c r="H1313" s="1">
        <f t="shared" si="2880"/>
        <v>16.34613765071613</v>
      </c>
      <c r="I1313" s="1">
        <f t="shared" si="2892"/>
        <v>-10.286661532314838</v>
      </c>
      <c r="J1313" s="1">
        <f t="shared" si="2893"/>
        <v>0</v>
      </c>
      <c r="K1313" s="1">
        <f t="shared" si="2894"/>
        <v>3.5259682934089747</v>
      </c>
      <c r="L1313" s="1">
        <f t="shared" ref="L1313:N1313" si="2970">E1313/$H1313</f>
        <v>0.94597097057029589</v>
      </c>
      <c r="M1313" s="1">
        <f t="shared" si="2970"/>
        <v>0</v>
      </c>
      <c r="N1313" s="1">
        <f t="shared" si="2970"/>
        <v>-0.32425132665617978</v>
      </c>
      <c r="O1313" s="1">
        <f t="shared" si="2882"/>
        <v>-0.32425132665617978</v>
      </c>
      <c r="P1313" s="1">
        <f t="shared" si="2896"/>
        <v>0.30673234218565243</v>
      </c>
      <c r="Q1313" s="1">
        <f t="shared" si="2897"/>
        <v>0</v>
      </c>
      <c r="R1313" s="1">
        <f t="shared" si="2898"/>
        <v>0.89486107716170737</v>
      </c>
      <c r="S1313" s="1">
        <f t="shared" si="2899"/>
        <v>0.87918927114983858</v>
      </c>
      <c r="T1313" s="1">
        <f t="shared" ref="T1313:V1313" si="2971">$S1313*P1313</f>
        <v>0.26967578436428663</v>
      </c>
      <c r="U1313" s="1">
        <f t="shared" si="2971"/>
        <v>0</v>
      </c>
      <c r="V1313" s="1">
        <f t="shared" si="2971"/>
        <v>0.78675225821016093</v>
      </c>
      <c r="W1313" s="1">
        <f t="shared" si="2901"/>
        <v>-10.016985747950551</v>
      </c>
      <c r="X1313" s="1">
        <f t="shared" si="2902"/>
        <v>0</v>
      </c>
      <c r="Y1313" s="1">
        <f t="shared" si="2903"/>
        <v>-5.4939294483808636</v>
      </c>
    </row>
    <row r="1314" spans="1:25">
      <c r="A1314" s="1">
        <v>1.3119999999999901</v>
      </c>
      <c r="B1314" s="1">
        <f t="shared" si="2904"/>
        <v>43.126391971968758</v>
      </c>
      <c r="C1314" s="1">
        <f t="shared" si="2905"/>
        <v>0</v>
      </c>
      <c r="D1314" s="1">
        <f t="shared" si="2906"/>
        <v>-2.2588308110933726</v>
      </c>
      <c r="E1314" s="1">
        <f t="shared" si="2907"/>
        <v>15.452954712775643</v>
      </c>
      <c r="F1314" s="1">
        <f t="shared" si="2908"/>
        <v>0</v>
      </c>
      <c r="G1314" s="1">
        <f t="shared" si="2909"/>
        <v>-5.3057507483976165</v>
      </c>
      <c r="H1314" s="1">
        <f t="shared" si="2880"/>
        <v>16.338445469481385</v>
      </c>
      <c r="I1314" s="1">
        <f t="shared" si="2892"/>
        <v>-10.275160213342254</v>
      </c>
      <c r="J1314" s="1">
        <f t="shared" si="2893"/>
        <v>0</v>
      </c>
      <c r="K1314" s="1">
        <f t="shared" si="2894"/>
        <v>3.527962127965993</v>
      </c>
      <c r="L1314" s="1">
        <f t="shared" ref="L1314:N1314" si="2972">E1314/$H1314</f>
        <v>0.9458032431322948</v>
      </c>
      <c r="M1314" s="1">
        <f t="shared" si="2972"/>
        <v>0</v>
      </c>
      <c r="N1314" s="1">
        <f t="shared" si="2972"/>
        <v>-0.32474024277941488</v>
      </c>
      <c r="O1314" s="1">
        <f t="shared" si="2882"/>
        <v>-0.32474024277941488</v>
      </c>
      <c r="P1314" s="1">
        <f t="shared" si="2896"/>
        <v>0.30714037479633938</v>
      </c>
      <c r="Q1314" s="1">
        <f t="shared" si="2897"/>
        <v>0</v>
      </c>
      <c r="R1314" s="1">
        <f t="shared" si="2898"/>
        <v>0.8945437747195667</v>
      </c>
      <c r="S1314" s="1">
        <f t="shared" si="2899"/>
        <v>0.8783620063713633</v>
      </c>
      <c r="T1314" s="1">
        <f t="shared" ref="T1314:V1314" si="2973">$S1314*P1314</f>
        <v>0.26978043584376515</v>
      </c>
      <c r="U1314" s="1">
        <f t="shared" si="2973"/>
        <v>0</v>
      </c>
      <c r="V1314" s="1">
        <f t="shared" si="2973"/>
        <v>0.78573326474969141</v>
      </c>
      <c r="W1314" s="1">
        <f t="shared" si="2901"/>
        <v>-10.005379777498488</v>
      </c>
      <c r="X1314" s="1">
        <f t="shared" si="2902"/>
        <v>0</v>
      </c>
      <c r="Y1314" s="1">
        <f t="shared" si="2903"/>
        <v>-5.4929546072843154</v>
      </c>
    </row>
    <row r="1315" spans="1:25">
      <c r="A1315" s="1">
        <v>1.31299999999999</v>
      </c>
      <c r="B1315" s="1">
        <f t="shared" si="2904"/>
        <v>43.141834921301758</v>
      </c>
      <c r="C1315" s="1">
        <f t="shared" si="2905"/>
        <v>0</v>
      </c>
      <c r="D1315" s="1">
        <f t="shared" si="2906"/>
        <v>-2.2641420547963773</v>
      </c>
      <c r="E1315" s="1">
        <f t="shared" si="2907"/>
        <v>15.442949332998145</v>
      </c>
      <c r="F1315" s="1">
        <f t="shared" si="2908"/>
        <v>0</v>
      </c>
      <c r="G1315" s="1">
        <f t="shared" si="2909"/>
        <v>-5.3112437030049007</v>
      </c>
      <c r="H1315" s="1">
        <f t="shared" si="2880"/>
        <v>16.330768315491376</v>
      </c>
      <c r="I1315" s="1">
        <f t="shared" si="2892"/>
        <v>-10.263682324014448</v>
      </c>
      <c r="J1315" s="1">
        <f t="shared" si="2893"/>
        <v>0</v>
      </c>
      <c r="K1315" s="1">
        <f t="shared" si="2894"/>
        <v>3.5299551230529826</v>
      </c>
      <c r="L1315" s="1">
        <f t="shared" ref="L1315:N1315" si="2974">E1315/$H1315</f>
        <v>0.94563519821348241</v>
      </c>
      <c r="M1315" s="1">
        <f t="shared" si="2974"/>
        <v>0</v>
      </c>
      <c r="N1315" s="1">
        <f t="shared" si="2974"/>
        <v>-0.32522926052209389</v>
      </c>
      <c r="O1315" s="1">
        <f t="shared" si="2882"/>
        <v>-0.32522926052209389</v>
      </c>
      <c r="P1315" s="1">
        <f t="shared" si="2896"/>
        <v>0.30754823623863459</v>
      </c>
      <c r="Q1315" s="1">
        <f t="shared" si="2897"/>
        <v>0</v>
      </c>
      <c r="R1315" s="1">
        <f t="shared" si="2898"/>
        <v>0.89422592810025203</v>
      </c>
      <c r="S1315" s="1">
        <f t="shared" si="2899"/>
        <v>0.87753674596217024</v>
      </c>
      <c r="T1315" s="1">
        <f t="shared" ref="T1315:V1315" si="2975">$S1315*P1315</f>
        <v>0.26988487845525622</v>
      </c>
      <c r="U1315" s="1">
        <f t="shared" si="2975"/>
        <v>0</v>
      </c>
      <c r="V1315" s="1">
        <f t="shared" si="2975"/>
        <v>0.78471611110009676</v>
      </c>
      <c r="W1315" s="1">
        <f t="shared" si="2901"/>
        <v>-9.993797445559192</v>
      </c>
      <c r="X1315" s="1">
        <f t="shared" si="2902"/>
        <v>0</v>
      </c>
      <c r="Y1315" s="1">
        <f t="shared" si="2903"/>
        <v>-5.4919787658469197</v>
      </c>
    </row>
    <row r="1316" spans="1:25">
      <c r="A1316" s="1">
        <v>1.3139999999999901</v>
      </c>
      <c r="B1316" s="1">
        <f t="shared" si="2904"/>
        <v>43.157267876837309</v>
      </c>
      <c r="C1316" s="1">
        <f t="shared" si="2905"/>
        <v>0</v>
      </c>
      <c r="D1316" s="1">
        <f t="shared" si="2906"/>
        <v>-2.269458790478148</v>
      </c>
      <c r="E1316" s="1">
        <f t="shared" si="2907"/>
        <v>15.432955535552585</v>
      </c>
      <c r="F1316" s="1">
        <f t="shared" si="2908"/>
        <v>0</v>
      </c>
      <c r="G1316" s="1">
        <f t="shared" si="2909"/>
        <v>-5.3167356817707478</v>
      </c>
      <c r="H1316" s="1">
        <f t="shared" si="2880"/>
        <v>16.323106164947816</v>
      </c>
      <c r="I1316" s="1">
        <f t="shared" si="2892"/>
        <v>-10.252227804445477</v>
      </c>
      <c r="J1316" s="1">
        <f t="shared" si="2893"/>
        <v>0</v>
      </c>
      <c r="K1316" s="1">
        <f t="shared" si="2894"/>
        <v>3.5319472838477104</v>
      </c>
      <c r="L1316" s="1">
        <f t="shared" ref="L1316:N1316" si="2976">E1316/$H1316</f>
        <v>0.94546683576029555</v>
      </c>
      <c r="M1316" s="1">
        <f t="shared" si="2976"/>
        <v>0</v>
      </c>
      <c r="N1316" s="1">
        <f t="shared" si="2976"/>
        <v>-0.32571837909061013</v>
      </c>
      <c r="O1316" s="1">
        <f t="shared" si="2882"/>
        <v>-0.32571837909061013</v>
      </c>
      <c r="P1316" s="1">
        <f t="shared" si="2896"/>
        <v>0.3079559252277716</v>
      </c>
      <c r="Q1316" s="1">
        <f t="shared" si="2897"/>
        <v>0</v>
      </c>
      <c r="R1316" s="1">
        <f t="shared" si="2898"/>
        <v>0.89390753752258556</v>
      </c>
      <c r="S1316" s="1">
        <f t="shared" si="2899"/>
        <v>0.87671348508822022</v>
      </c>
      <c r="T1316" s="1">
        <f t="shared" ref="T1316:V1316" si="2977">$S1316*P1316</f>
        <v>0.26998911246000701</v>
      </c>
      <c r="U1316" s="1">
        <f t="shared" si="2977"/>
        <v>0</v>
      </c>
      <c r="V1316" s="1">
        <f t="shared" si="2977"/>
        <v>0.78370079256805503</v>
      </c>
      <c r="W1316" s="1">
        <f t="shared" si="2901"/>
        <v>-9.9822386919854704</v>
      </c>
      <c r="X1316" s="1">
        <f t="shared" si="2902"/>
        <v>0</v>
      </c>
      <c r="Y1316" s="1">
        <f t="shared" si="2903"/>
        <v>-5.4910019235842338</v>
      </c>
    </row>
    <row r="1317" spans="1:25">
      <c r="A1317" s="1">
        <v>1.31499999999999</v>
      </c>
      <c r="B1317" s="1">
        <f t="shared" si="2904"/>
        <v>43.172690850134167</v>
      </c>
      <c r="C1317" s="1">
        <f t="shared" si="2905"/>
        <v>0</v>
      </c>
      <c r="D1317" s="1">
        <f t="shared" si="2906"/>
        <v>-2.2747810171618426</v>
      </c>
      <c r="E1317" s="1">
        <f t="shared" si="2907"/>
        <v>15.422973296860599</v>
      </c>
      <c r="F1317" s="1">
        <f t="shared" si="2908"/>
        <v>0</v>
      </c>
      <c r="G1317" s="1">
        <f t="shared" si="2909"/>
        <v>-5.3222266836943319</v>
      </c>
      <c r="H1317" s="1">
        <f t="shared" si="2880"/>
        <v>16.315458994104429</v>
      </c>
      <c r="I1317" s="1">
        <f t="shared" si="2892"/>
        <v>-10.240796594932664</v>
      </c>
      <c r="J1317" s="1">
        <f t="shared" si="2893"/>
        <v>0</v>
      </c>
      <c r="K1317" s="1">
        <f t="shared" si="2894"/>
        <v>3.5339386155152801</v>
      </c>
      <c r="L1317" s="1">
        <f t="shared" ref="L1317:N1317" si="2978">E1317/$H1317</f>
        <v>0.94529815572051468</v>
      </c>
      <c r="M1317" s="1">
        <f t="shared" si="2978"/>
        <v>0</v>
      </c>
      <c r="N1317" s="1">
        <f t="shared" si="2978"/>
        <v>-0.32620759769109237</v>
      </c>
      <c r="O1317" s="1">
        <f t="shared" si="2882"/>
        <v>-0.32620759769109237</v>
      </c>
      <c r="P1317" s="1">
        <f t="shared" si="2896"/>
        <v>0.30836344047940922</v>
      </c>
      <c r="Q1317" s="1">
        <f t="shared" si="2897"/>
        <v>0</v>
      </c>
      <c r="R1317" s="1">
        <f t="shared" si="2898"/>
        <v>0.89358860320860645</v>
      </c>
      <c r="S1317" s="1">
        <f t="shared" si="2899"/>
        <v>0.87589221893030722</v>
      </c>
      <c r="T1317" s="1">
        <f t="shared" ref="T1317:V1317" si="2979">$S1317*P1317</f>
        <v>0.27009313811849345</v>
      </c>
      <c r="U1317" s="1">
        <f t="shared" si="2979"/>
        <v>0</v>
      </c>
      <c r="V1317" s="1">
        <f t="shared" si="2979"/>
        <v>0.78268730447522017</v>
      </c>
      <c r="W1317" s="1">
        <f t="shared" si="2901"/>
        <v>-9.9707034568141708</v>
      </c>
      <c r="X1317" s="1">
        <f t="shared" si="2902"/>
        <v>0</v>
      </c>
      <c r="Y1317" s="1">
        <f t="shared" si="2903"/>
        <v>-5.4900240800094995</v>
      </c>
    </row>
    <row r="1318" spans="1:25">
      <c r="A1318" s="1">
        <v>1.3159999999999901</v>
      </c>
      <c r="B1318" s="1">
        <f t="shared" si="2904"/>
        <v>43.188103852727572</v>
      </c>
      <c r="C1318" s="1">
        <f t="shared" si="2905"/>
        <v>0</v>
      </c>
      <c r="D1318" s="1">
        <f t="shared" si="2906"/>
        <v>-2.2801087338696169</v>
      </c>
      <c r="E1318" s="1">
        <f t="shared" si="2907"/>
        <v>15.413002593403785</v>
      </c>
      <c r="F1318" s="1">
        <f t="shared" si="2908"/>
        <v>0</v>
      </c>
      <c r="G1318" s="1">
        <f t="shared" si="2909"/>
        <v>-5.327716707774341</v>
      </c>
      <c r="H1318" s="1">
        <f t="shared" si="2880"/>
        <v>16.307826779266748</v>
      </c>
      <c r="I1318" s="1">
        <f t="shared" si="2892"/>
        <v>-10.229388635955905</v>
      </c>
      <c r="J1318" s="1">
        <f t="shared" si="2893"/>
        <v>0</v>
      </c>
      <c r="K1318" s="1">
        <f t="shared" si="2894"/>
        <v>3.5359291232081542</v>
      </c>
      <c r="L1318" s="1">
        <f t="shared" ref="L1318:N1318" si="2980">E1318/$H1318</f>
        <v>0.94512915804326469</v>
      </c>
      <c r="M1318" s="1">
        <f t="shared" si="2980"/>
        <v>0</v>
      </c>
      <c r="N1318" s="1">
        <f t="shared" si="2980"/>
        <v>-0.32669691552940888</v>
      </c>
      <c r="O1318" s="1">
        <f t="shared" si="2882"/>
        <v>-0.32669691552940888</v>
      </c>
      <c r="P1318" s="1">
        <f t="shared" si="2896"/>
        <v>0.30877078070964176</v>
      </c>
      <c r="Q1318" s="1">
        <f t="shared" si="2897"/>
        <v>0</v>
      </c>
      <c r="R1318" s="1">
        <f t="shared" si="2898"/>
        <v>0.89326912538357028</v>
      </c>
      <c r="S1318" s="1">
        <f t="shared" si="2899"/>
        <v>0.87507294268400015</v>
      </c>
      <c r="T1318" s="1">
        <f t="shared" ref="T1318:V1318" si="2981">$S1318*P1318</f>
        <v>0.27019695569042235</v>
      </c>
      <c r="U1318" s="1">
        <f t="shared" si="2981"/>
        <v>0</v>
      </c>
      <c r="V1318" s="1">
        <f t="shared" si="2981"/>
        <v>0.78167564215816399</v>
      </c>
      <c r="W1318" s="1">
        <f t="shared" si="2901"/>
        <v>-9.9591916802654818</v>
      </c>
      <c r="X1318" s="1">
        <f t="shared" si="2902"/>
        <v>0</v>
      </c>
      <c r="Y1318" s="1">
        <f t="shared" si="2903"/>
        <v>-5.4890452346336813</v>
      </c>
    </row>
    <row r="1319" spans="1:25">
      <c r="A1319" s="1">
        <v>1.31699999999999</v>
      </c>
      <c r="B1319" s="1">
        <f t="shared" si="2904"/>
        <v>43.203506896129298</v>
      </c>
      <c r="C1319" s="1">
        <f t="shared" si="2905"/>
        <v>0</v>
      </c>
      <c r="D1319" s="1">
        <f t="shared" si="2906"/>
        <v>-2.285441939622626</v>
      </c>
      <c r="E1319" s="1">
        <f t="shared" si="2907"/>
        <v>15.40304340172352</v>
      </c>
      <c r="F1319" s="1">
        <f t="shared" si="2908"/>
        <v>0</v>
      </c>
      <c r="G1319" s="1">
        <f t="shared" si="2909"/>
        <v>-5.3332057530089747</v>
      </c>
      <c r="H1319" s="1">
        <f t="shared" si="2880"/>
        <v>16.30020949679195</v>
      </c>
      <c r="I1319" s="1">
        <f t="shared" si="2892"/>
        <v>-10.218003868176982</v>
      </c>
      <c r="J1319" s="1">
        <f t="shared" si="2893"/>
        <v>0</v>
      </c>
      <c r="K1319" s="1">
        <f t="shared" si="2894"/>
        <v>3.5379188120661764</v>
      </c>
      <c r="L1319" s="1">
        <f t="shared" ref="L1319:N1319" si="2982">E1319/$H1319</f>
        <v>0.94495984267901578</v>
      </c>
      <c r="M1319" s="1">
        <f t="shared" si="2982"/>
        <v>0</v>
      </c>
      <c r="N1319" s="1">
        <f t="shared" si="2982"/>
        <v>-0.32718633181117118</v>
      </c>
      <c r="O1319" s="1">
        <f t="shared" si="2882"/>
        <v>-0.32718633181117118</v>
      </c>
      <c r="P1319" s="1">
        <f t="shared" si="2896"/>
        <v>0.30917794463500858</v>
      </c>
      <c r="Q1319" s="1">
        <f t="shared" si="2897"/>
        <v>0</v>
      </c>
      <c r="R1319" s="1">
        <f t="shared" si="2898"/>
        <v>0.8929491042759502</v>
      </c>
      <c r="S1319" s="1">
        <f t="shared" si="2899"/>
        <v>0.87425565155958929</v>
      </c>
      <c r="T1319" s="1">
        <f t="shared" ref="T1319:V1319" si="2983">$S1319*P1319</f>
        <v>0.27030056543473407</v>
      </c>
      <c r="U1319" s="1">
        <f t="shared" si="2983"/>
        <v>0</v>
      </c>
      <c r="V1319" s="1">
        <f t="shared" si="2983"/>
        <v>0.7806658009683225</v>
      </c>
      <c r="W1319" s="1">
        <f t="shared" si="2901"/>
        <v>-9.9477033027422479</v>
      </c>
      <c r="X1319" s="1">
        <f t="shared" si="2902"/>
        <v>0</v>
      </c>
      <c r="Y1319" s="1">
        <f t="shared" si="2903"/>
        <v>-5.4880653869655003</v>
      </c>
    </row>
    <row r="1320" spans="1:25">
      <c r="A1320" s="1">
        <v>1.3179999999999901</v>
      </c>
      <c r="B1320" s="1">
        <f t="shared" si="2904"/>
        <v>43.218899991827719</v>
      </c>
      <c r="C1320" s="1">
        <f t="shared" si="2905"/>
        <v>0</v>
      </c>
      <c r="D1320" s="1">
        <f t="shared" si="2906"/>
        <v>-2.2907806334410221</v>
      </c>
      <c r="E1320" s="1">
        <f t="shared" si="2907"/>
        <v>15.393095698420778</v>
      </c>
      <c r="F1320" s="1">
        <f t="shared" si="2908"/>
        <v>0</v>
      </c>
      <c r="G1320" s="1">
        <f t="shared" si="2909"/>
        <v>-5.3386938183959405</v>
      </c>
      <c r="H1320" s="1">
        <f t="shared" si="2880"/>
        <v>16.292607123088658</v>
      </c>
      <c r="I1320" s="1">
        <f t="shared" si="2892"/>
        <v>-10.206642232438858</v>
      </c>
      <c r="J1320" s="1">
        <f t="shared" si="2893"/>
        <v>0</v>
      </c>
      <c r="K1320" s="1">
        <f t="shared" si="2894"/>
        <v>3.5399076872165862</v>
      </c>
      <c r="L1320" s="1">
        <f t="shared" ref="L1320:N1320" si="2984">E1320/$H1320</f>
        <v>0.94479020957958537</v>
      </c>
      <c r="M1320" s="1">
        <f t="shared" si="2984"/>
        <v>0</v>
      </c>
      <c r="N1320" s="1">
        <f t="shared" si="2984"/>
        <v>-0.32767584574173797</v>
      </c>
      <c r="O1320" s="1">
        <f t="shared" si="2882"/>
        <v>-0.32767584574173797</v>
      </c>
      <c r="P1320" s="1">
        <f t="shared" si="2896"/>
        <v>0.3095849309725045</v>
      </c>
      <c r="Q1320" s="1">
        <f t="shared" si="2897"/>
        <v>0</v>
      </c>
      <c r="R1320" s="1">
        <f t="shared" si="2898"/>
        <v>0.89262854011743675</v>
      </c>
      <c r="S1320" s="1">
        <f t="shared" si="2899"/>
        <v>0.87344034078202748</v>
      </c>
      <c r="T1320" s="1">
        <f t="shared" ref="T1320:V1320" si="2985">$S1320*P1320</f>
        <v>0.27040396760960478</v>
      </c>
      <c r="U1320" s="1">
        <f t="shared" si="2985"/>
        <v>0</v>
      </c>
      <c r="V1320" s="1">
        <f t="shared" si="2985"/>
        <v>0.77965777627193766</v>
      </c>
      <c r="W1320" s="1">
        <f t="shared" si="2901"/>
        <v>-9.9362382648292531</v>
      </c>
      <c r="X1320" s="1">
        <f t="shared" si="2902"/>
        <v>0</v>
      </c>
      <c r="Y1320" s="1">
        <f t="shared" si="2903"/>
        <v>-5.4870845365114755</v>
      </c>
    </row>
    <row r="1321" spans="1:25">
      <c r="A1321" s="1">
        <v>1.31899999999999</v>
      </c>
      <c r="B1321" s="1">
        <f t="shared" si="2904"/>
        <v>43.234283151287876</v>
      </c>
      <c r="C1321" s="1">
        <f t="shared" si="2905"/>
        <v>0</v>
      </c>
      <c r="D1321" s="1">
        <f t="shared" si="2906"/>
        <v>-2.2961248143439548</v>
      </c>
      <c r="E1321" s="1">
        <f t="shared" si="2907"/>
        <v>15.383159460155948</v>
      </c>
      <c r="F1321" s="1">
        <f t="shared" si="2908"/>
        <v>0</v>
      </c>
      <c r="G1321" s="1">
        <f t="shared" si="2909"/>
        <v>-5.3441809029324521</v>
      </c>
      <c r="H1321" s="1">
        <f t="shared" si="2880"/>
        <v>16.285019634616759</v>
      </c>
      <c r="I1321" s="1">
        <f t="shared" si="2892"/>
        <v>-10.195303669765018</v>
      </c>
      <c r="J1321" s="1">
        <f t="shared" si="2893"/>
        <v>0</v>
      </c>
      <c r="K1321" s="1">
        <f t="shared" si="2894"/>
        <v>3.5418957537740434</v>
      </c>
      <c r="L1321" s="1">
        <f t="shared" ref="L1321:N1321" si="2986">E1321/$H1321</f>
        <v>0.94462025869813848</v>
      </c>
      <c r="M1321" s="1">
        <f t="shared" si="2986"/>
        <v>0</v>
      </c>
      <c r="N1321" s="1">
        <f t="shared" si="2986"/>
        <v>-0.3281654565262192</v>
      </c>
      <c r="O1321" s="1">
        <f t="shared" si="2882"/>
        <v>-0.3281654565262192</v>
      </c>
      <c r="P1321" s="1">
        <f t="shared" si="2896"/>
        <v>0.30999173843958988</v>
      </c>
      <c r="Q1321" s="1">
        <f t="shared" si="2897"/>
        <v>0</v>
      </c>
      <c r="R1321" s="1">
        <f t="shared" si="2898"/>
        <v>0.89230743314293814</v>
      </c>
      <c r="S1321" s="1">
        <f t="shared" si="2899"/>
        <v>0.87262700559087625</v>
      </c>
      <c r="T1321" s="1">
        <f t="shared" ref="T1321:V1321" si="2987">$S1321*P1321</f>
        <v>0.27050716247244944</v>
      </c>
      <c r="U1321" s="1">
        <f t="shared" si="2987"/>
        <v>0</v>
      </c>
      <c r="V1321" s="1">
        <f t="shared" si="2987"/>
        <v>0.77865156345000308</v>
      </c>
      <c r="W1321" s="1">
        <f t="shared" si="2901"/>
        <v>-9.9247965072925677</v>
      </c>
      <c r="X1321" s="1">
        <f t="shared" si="2902"/>
        <v>0</v>
      </c>
      <c r="Y1321" s="1">
        <f t="shared" si="2903"/>
        <v>-5.4861026827759529</v>
      </c>
    </row>
    <row r="1322" spans="1:25">
      <c r="A1322" s="1">
        <v>1.3199999999999901</v>
      </c>
      <c r="B1322" s="1">
        <f t="shared" si="2904"/>
        <v>43.249656385951525</v>
      </c>
      <c r="C1322" s="1">
        <f t="shared" si="2905"/>
        <v>0</v>
      </c>
      <c r="D1322" s="1">
        <f t="shared" si="2906"/>
        <v>-2.3014744813495698</v>
      </c>
      <c r="E1322" s="1">
        <f t="shared" si="2907"/>
        <v>15.373234663648656</v>
      </c>
      <c r="F1322" s="1">
        <f t="shared" si="2908"/>
        <v>0</v>
      </c>
      <c r="G1322" s="1">
        <f t="shared" si="2909"/>
        <v>-5.3496670056152285</v>
      </c>
      <c r="H1322" s="1">
        <f t="shared" si="2880"/>
        <v>16.277447007887226</v>
      </c>
      <c r="I1322" s="1">
        <f t="shared" si="2892"/>
        <v>-10.18398812135877</v>
      </c>
      <c r="J1322" s="1">
        <f t="shared" si="2893"/>
        <v>0</v>
      </c>
      <c r="K1322" s="1">
        <f t="shared" si="2894"/>
        <v>3.5438830168406477</v>
      </c>
      <c r="L1322" s="1">
        <f t="shared" ref="L1322:N1322" si="2988">E1322/$H1322</f>
        <v>0.94444998998918972</v>
      </c>
      <c r="M1322" s="1">
        <f t="shared" si="2988"/>
        <v>0</v>
      </c>
      <c r="N1322" s="1">
        <f t="shared" si="2988"/>
        <v>-0.32865516336947992</v>
      </c>
      <c r="O1322" s="1">
        <f t="shared" si="2882"/>
        <v>-0.32865516336947992</v>
      </c>
      <c r="P1322" s="1">
        <f t="shared" si="2896"/>
        <v>0.31039836575420082</v>
      </c>
      <c r="Q1322" s="1">
        <f t="shared" si="2897"/>
        <v>0</v>
      </c>
      <c r="R1322" s="1">
        <f t="shared" si="2898"/>
        <v>0.89198578359058045</v>
      </c>
      <c r="S1322" s="1">
        <f t="shared" si="2899"/>
        <v>0.87181564124024957</v>
      </c>
      <c r="T1322" s="1">
        <f t="shared" ref="T1322:V1322" si="2989">$S1322*P1322</f>
        <v>0.27061015027992413</v>
      </c>
      <c r="U1322" s="1">
        <f t="shared" si="2989"/>
        <v>0</v>
      </c>
      <c r="V1322" s="1">
        <f t="shared" si="2989"/>
        <v>0.77764715789820837</v>
      </c>
      <c r="W1322" s="1">
        <f t="shared" si="2901"/>
        <v>-9.9133779710788446</v>
      </c>
      <c r="X1322" s="1">
        <f t="shared" si="2902"/>
        <v>0</v>
      </c>
      <c r="Y1322" s="1">
        <f t="shared" si="2903"/>
        <v>-5.4851198252611431</v>
      </c>
    </row>
    <row r="1323" spans="1:25">
      <c r="A1323" s="1">
        <v>1.32099999999999</v>
      </c>
      <c r="B1323" s="1">
        <f t="shared" si="2904"/>
        <v>43.265019707237201</v>
      </c>
      <c r="C1323" s="1">
        <f t="shared" si="2905"/>
        <v>0</v>
      </c>
      <c r="D1323" s="1">
        <f t="shared" si="2906"/>
        <v>-2.3068296334750102</v>
      </c>
      <c r="E1323" s="1">
        <f t="shared" si="2907"/>
        <v>15.363321285677577</v>
      </c>
      <c r="F1323" s="1">
        <f t="shared" si="2908"/>
        <v>0</v>
      </c>
      <c r="G1323" s="1">
        <f t="shared" si="2909"/>
        <v>-5.3551521254404895</v>
      </c>
      <c r="H1323" s="1">
        <f t="shared" si="2880"/>
        <v>16.26988921946193</v>
      </c>
      <c r="I1323" s="1">
        <f t="shared" si="2892"/>
        <v>-10.172695528602564</v>
      </c>
      <c r="J1323" s="1">
        <f t="shared" si="2893"/>
        <v>0</v>
      </c>
      <c r="K1323" s="1">
        <f t="shared" si="2894"/>
        <v>3.545869481505957</v>
      </c>
      <c r="L1323" s="1">
        <f t="shared" ref="L1323:N1323" si="2990">E1323/$H1323</f>
        <v>0.94427940340860317</v>
      </c>
      <c r="M1323" s="1">
        <f t="shared" si="2990"/>
        <v>0</v>
      </c>
      <c r="N1323" s="1">
        <f t="shared" si="2990"/>
        <v>-0.3291449654761443</v>
      </c>
      <c r="O1323" s="1">
        <f t="shared" si="2882"/>
        <v>-0.3291449654761443</v>
      </c>
      <c r="P1323" s="1">
        <f t="shared" si="2896"/>
        <v>0.31080481163475882</v>
      </c>
      <c r="Q1323" s="1">
        <f t="shared" si="2897"/>
        <v>0</v>
      </c>
      <c r="R1323" s="1">
        <f t="shared" si="2898"/>
        <v>0.89166359170170773</v>
      </c>
      <c r="S1323" s="1">
        <f t="shared" si="2899"/>
        <v>0.87100624299875906</v>
      </c>
      <c r="T1323" s="1">
        <f t="shared" ref="T1323:V1323" si="2991">$S1323*P1323</f>
        <v>0.27071293128792828</v>
      </c>
      <c r="U1323" s="1">
        <f t="shared" si="2991"/>
        <v>0</v>
      </c>
      <c r="V1323" s="1">
        <f t="shared" si="2991"/>
        <v>0.7766445550268839</v>
      </c>
      <c r="W1323" s="1">
        <f t="shared" si="2901"/>
        <v>-9.9019825973146354</v>
      </c>
      <c r="X1323" s="1">
        <f t="shared" si="2902"/>
        <v>0</v>
      </c>
      <c r="Y1323" s="1">
        <f t="shared" si="2903"/>
        <v>-5.4841359634671587</v>
      </c>
    </row>
    <row r="1324" spans="1:25">
      <c r="A1324" s="1">
        <v>1.3219999999999901</v>
      </c>
      <c r="B1324" s="1">
        <f t="shared" si="2904"/>
        <v>43.280373126540283</v>
      </c>
      <c r="C1324" s="1">
        <f t="shared" si="2905"/>
        <v>0</v>
      </c>
      <c r="D1324" s="1">
        <f t="shared" si="2906"/>
        <v>-2.3121902697364143</v>
      </c>
      <c r="E1324" s="1">
        <f t="shared" si="2907"/>
        <v>15.353419303080262</v>
      </c>
      <c r="F1324" s="1">
        <f t="shared" si="2908"/>
        <v>0</v>
      </c>
      <c r="G1324" s="1">
        <f t="shared" si="2909"/>
        <v>-5.3606362614039567</v>
      </c>
      <c r="H1324" s="1">
        <f t="shared" si="2880"/>
        <v>16.262346245953459</v>
      </c>
      <c r="I1324" s="1">
        <f t="shared" si="2892"/>
        <v>-10.161425833057327</v>
      </c>
      <c r="J1324" s="1">
        <f t="shared" si="2893"/>
        <v>0</v>
      </c>
      <c r="K1324" s="1">
        <f t="shared" si="2894"/>
        <v>3.5478551528470073</v>
      </c>
      <c r="L1324" s="1">
        <f t="shared" ref="L1324:N1324" si="2992">E1324/$H1324</f>
        <v>0.94410849891359527</v>
      </c>
      <c r="M1324" s="1">
        <f t="shared" si="2992"/>
        <v>0</v>
      </c>
      <c r="N1324" s="1">
        <f t="shared" si="2992"/>
        <v>-0.32963486205059972</v>
      </c>
      <c r="O1324" s="1">
        <f t="shared" si="2882"/>
        <v>-0.32963486205059972</v>
      </c>
      <c r="P1324" s="1">
        <f t="shared" si="2896"/>
        <v>0.31121107480018173</v>
      </c>
      <c r="Q1324" s="1">
        <f t="shared" si="2897"/>
        <v>0</v>
      </c>
      <c r="R1324" s="1">
        <f t="shared" si="2898"/>
        <v>0.89134085772088212</v>
      </c>
      <c r="S1324" s="1">
        <f t="shared" si="2899"/>
        <v>0.87019880614945733</v>
      </c>
      <c r="T1324" s="1">
        <f t="shared" ref="T1324:V1324" si="2993">$S1324*P1324</f>
        <v>0.27081550575160762</v>
      </c>
      <c r="U1324" s="1">
        <f t="shared" si="2993"/>
        <v>0</v>
      </c>
      <c r="V1324" s="1">
        <f t="shared" si="2993"/>
        <v>0.7756437502609449</v>
      </c>
      <c r="W1324" s="1">
        <f t="shared" si="2901"/>
        <v>-9.8906103273057191</v>
      </c>
      <c r="X1324" s="1">
        <f t="shared" si="2902"/>
        <v>0</v>
      </c>
      <c r="Y1324" s="1">
        <f t="shared" si="2903"/>
        <v>-5.4831510968920476</v>
      </c>
    </row>
    <row r="1325" spans="1:25">
      <c r="A1325" s="1">
        <v>1.32299999999999</v>
      </c>
      <c r="B1325" s="1">
        <f t="shared" si="2904"/>
        <v>43.295716655233036</v>
      </c>
      <c r="C1325" s="1">
        <f t="shared" si="2905"/>
        <v>0</v>
      </c>
      <c r="D1325" s="1">
        <f t="shared" si="2906"/>
        <v>-2.317556389148915</v>
      </c>
      <c r="E1325" s="1">
        <f t="shared" si="2907"/>
        <v>15.343528692752956</v>
      </c>
      <c r="F1325" s="1">
        <f t="shared" si="2908"/>
        <v>0</v>
      </c>
      <c r="G1325" s="1">
        <f t="shared" si="2909"/>
        <v>-5.3661194125008489</v>
      </c>
      <c r="H1325" s="1">
        <f t="shared" si="2880"/>
        <v>16.254818064024946</v>
      </c>
      <c r="I1325" s="1">
        <f t="shared" si="2892"/>
        <v>-10.150178976461788</v>
      </c>
      <c r="J1325" s="1">
        <f t="shared" si="2893"/>
        <v>0</v>
      </c>
      <c r="K1325" s="1">
        <f t="shared" si="2894"/>
        <v>3.5498400359283355</v>
      </c>
      <c r="L1325" s="1">
        <f t="shared" ref="L1325:N1325" si="2994">E1325/$H1325</f>
        <v>0.94393727646273395</v>
      </c>
      <c r="M1325" s="1">
        <f t="shared" si="2994"/>
        <v>0</v>
      </c>
      <c r="N1325" s="1">
        <f t="shared" si="2994"/>
        <v>-0.33012485229700039</v>
      </c>
      <c r="O1325" s="1">
        <f t="shared" si="2882"/>
        <v>-0.33012485229700039</v>
      </c>
      <c r="P1325" s="1">
        <f t="shared" si="2896"/>
        <v>0.31161715396989287</v>
      </c>
      <c r="Q1325" s="1">
        <f t="shared" si="2897"/>
        <v>0</v>
      </c>
      <c r="R1325" s="1">
        <f t="shared" si="2898"/>
        <v>0.89101758189588365</v>
      </c>
      <c r="S1325" s="1">
        <f t="shared" si="2899"/>
        <v>0.86939332598978614</v>
      </c>
      <c r="T1325" s="1">
        <f t="shared" ref="T1325:V1325" si="2995">$S1325*P1325</f>
        <v>0.27091787392535643</v>
      </c>
      <c r="U1325" s="1">
        <f t="shared" si="2995"/>
        <v>0</v>
      </c>
      <c r="V1325" s="1">
        <f t="shared" si="2995"/>
        <v>0.77464473903983899</v>
      </c>
      <c r="W1325" s="1">
        <f t="shared" si="2901"/>
        <v>-9.8792611025364323</v>
      </c>
      <c r="X1325" s="1">
        <f t="shared" si="2902"/>
        <v>0</v>
      </c>
      <c r="Y1325" s="1">
        <f t="shared" si="2903"/>
        <v>-5.4821652250318245</v>
      </c>
    </row>
    <row r="1326" spans="1:25">
      <c r="A1326" s="1">
        <v>1.3239999999999901</v>
      </c>
      <c r="B1326" s="1">
        <f t="shared" si="2904"/>
        <v>43.31105030466469</v>
      </c>
      <c r="C1326" s="1">
        <f t="shared" si="2905"/>
        <v>0</v>
      </c>
      <c r="D1326" s="1">
        <f t="shared" si="2906"/>
        <v>-2.3229279907266411</v>
      </c>
      <c r="E1326" s="1">
        <f t="shared" si="2907"/>
        <v>15.33364943165042</v>
      </c>
      <c r="F1326" s="1">
        <f t="shared" si="2908"/>
        <v>0</v>
      </c>
      <c r="G1326" s="1">
        <f t="shared" si="2909"/>
        <v>-5.3716015777258805</v>
      </c>
      <c r="H1326" s="1">
        <f t="shared" si="2880"/>
        <v>16.247304650389875</v>
      </c>
      <c r="I1326" s="1">
        <f t="shared" si="2892"/>
        <v>-10.138954900731806</v>
      </c>
      <c r="J1326" s="1">
        <f t="shared" si="2893"/>
        <v>0</v>
      </c>
      <c r="K1326" s="1">
        <f t="shared" si="2894"/>
        <v>3.5518241358019957</v>
      </c>
      <c r="L1326" s="1">
        <f t="shared" ref="L1326:N1326" si="2996">E1326/$H1326</f>
        <v>0.94376573601594094</v>
      </c>
      <c r="M1326" s="1">
        <f t="shared" si="2996"/>
        <v>0</v>
      </c>
      <c r="N1326" s="1">
        <f t="shared" si="2996"/>
        <v>-0.33061493541927167</v>
      </c>
      <c r="O1326" s="1">
        <f t="shared" si="2882"/>
        <v>-0.33061493541927167</v>
      </c>
      <c r="P1326" s="1">
        <f t="shared" si="2896"/>
        <v>0.31202304786383173</v>
      </c>
      <c r="Q1326" s="1">
        <f t="shared" si="2897"/>
        <v>0</v>
      </c>
      <c r="R1326" s="1">
        <f t="shared" si="2898"/>
        <v>0.89069376447771087</v>
      </c>
      <c r="S1326" s="1">
        <f t="shared" si="2899"/>
        <v>0.86858979783151946</v>
      </c>
      <c r="T1326" s="1">
        <f t="shared" ref="T1326:V1326" si="2997">$S1326*P1326</f>
        <v>0.2710200360628201</v>
      </c>
      <c r="U1326" s="1">
        <f t="shared" si="2997"/>
        <v>0</v>
      </c>
      <c r="V1326" s="1">
        <f t="shared" si="2997"/>
        <v>0.77364751681748989</v>
      </c>
      <c r="W1326" s="1">
        <f t="shared" si="2901"/>
        <v>-9.8679348646689853</v>
      </c>
      <c r="X1326" s="1">
        <f t="shared" si="2902"/>
        <v>0</v>
      </c>
      <c r="Y1326" s="1">
        <f t="shared" si="2903"/>
        <v>-5.4811783473805136</v>
      </c>
    </row>
    <row r="1327" spans="1:25">
      <c r="A1327" s="1">
        <v>1.32499999999999</v>
      </c>
      <c r="B1327" s="1">
        <f t="shared" si="2904"/>
        <v>43.326374086161472</v>
      </c>
      <c r="C1327" s="1">
        <f t="shared" si="2905"/>
        <v>0</v>
      </c>
      <c r="D1327" s="1">
        <f t="shared" si="2906"/>
        <v>-2.3283050734827144</v>
      </c>
      <c r="E1327" s="1">
        <f t="shared" si="2907"/>
        <v>15.323781496785751</v>
      </c>
      <c r="F1327" s="1">
        <f t="shared" si="2908"/>
        <v>0</v>
      </c>
      <c r="G1327" s="1">
        <f t="shared" si="2909"/>
        <v>-5.3770827560732615</v>
      </c>
      <c r="H1327" s="1">
        <f t="shared" si="2880"/>
        <v>16.239805981811905</v>
      </c>
      <c r="I1327" s="1">
        <f t="shared" si="2892"/>
        <v>-10.12775354795969</v>
      </c>
      <c r="J1327" s="1">
        <f t="shared" si="2893"/>
        <v>0</v>
      </c>
      <c r="K1327" s="1">
        <f t="shared" si="2894"/>
        <v>3.5538074575075789</v>
      </c>
      <c r="L1327" s="1">
        <f t="shared" ref="L1327:N1327" si="2998">E1327/$H1327</f>
        <v>0.94359387753449309</v>
      </c>
      <c r="M1327" s="1">
        <f t="shared" si="2998"/>
        <v>0</v>
      </c>
      <c r="N1327" s="1">
        <f t="shared" si="2998"/>
        <v>-0.33110511062111408</v>
      </c>
      <c r="O1327" s="1">
        <f t="shared" si="2882"/>
        <v>-0.33110511062111408</v>
      </c>
      <c r="P1327" s="1">
        <f t="shared" si="2896"/>
        <v>0.31242875520246433</v>
      </c>
      <c r="Q1327" s="1">
        <f t="shared" si="2897"/>
        <v>0</v>
      </c>
      <c r="R1327" s="1">
        <f t="shared" si="2898"/>
        <v>0.89036940572057977</v>
      </c>
      <c r="S1327" s="1">
        <f t="shared" si="2899"/>
        <v>0.86778821700070896</v>
      </c>
      <c r="T1327" s="1">
        <f t="shared" ref="T1327:V1327" si="2999">$S1327*P1327</f>
        <v>0.27112199241689749</v>
      </c>
      <c r="U1327" s="1">
        <f t="shared" si="2999"/>
        <v>0</v>
      </c>
      <c r="V1327" s="1">
        <f t="shared" si="2999"/>
        <v>0.77265207906224276</v>
      </c>
      <c r="W1327" s="1">
        <f t="shared" si="2901"/>
        <v>-9.8566315555427924</v>
      </c>
      <c r="X1327" s="1">
        <f t="shared" si="2902"/>
        <v>0</v>
      </c>
      <c r="Y1327" s="1">
        <f t="shared" si="2903"/>
        <v>-5.4801904634301781</v>
      </c>
    </row>
    <row r="1328" spans="1:25">
      <c r="A1328" s="1">
        <v>1.3259999999999901</v>
      </c>
      <c r="B1328" s="1">
        <f t="shared" si="2904"/>
        <v>43.341688011026704</v>
      </c>
      <c r="C1328" s="1">
        <f t="shared" si="2905"/>
        <v>0</v>
      </c>
      <c r="D1328" s="1">
        <f t="shared" si="2906"/>
        <v>-2.3336876364292509</v>
      </c>
      <c r="E1328" s="1">
        <f t="shared" si="2907"/>
        <v>15.313924865230208</v>
      </c>
      <c r="F1328" s="1">
        <f t="shared" si="2908"/>
        <v>0</v>
      </c>
      <c r="G1328" s="1">
        <f t="shared" si="2909"/>
        <v>-5.3825629465366918</v>
      </c>
      <c r="H1328" s="1">
        <f t="shared" si="2880"/>
        <v>16.232322035104708</v>
      </c>
      <c r="I1328" s="1">
        <f t="shared" si="2892"/>
        <v>-10.116574860413571</v>
      </c>
      <c r="J1328" s="1">
        <f t="shared" si="2893"/>
        <v>0</v>
      </c>
      <c r="K1328" s="1">
        <f t="shared" si="2894"/>
        <v>3.5557900060722365</v>
      </c>
      <c r="L1328" s="1">
        <f t="shared" ref="L1328:N1328" si="3000">E1328/$H1328</f>
        <v>0.94342170098102196</v>
      </c>
      <c r="M1328" s="1">
        <f t="shared" si="3000"/>
        <v>0</v>
      </c>
      <c r="N1328" s="1">
        <f t="shared" si="3000"/>
        <v>-0.33159537710600695</v>
      </c>
      <c r="O1328" s="1">
        <f t="shared" si="2882"/>
        <v>-0.33159537710600695</v>
      </c>
      <c r="P1328" s="1">
        <f t="shared" si="2896"/>
        <v>0.31283427470679248</v>
      </c>
      <c r="Q1328" s="1">
        <f t="shared" si="2897"/>
        <v>0</v>
      </c>
      <c r="R1328" s="1">
        <f t="shared" si="2898"/>
        <v>0.89004450588192507</v>
      </c>
      <c r="S1328" s="1">
        <f t="shared" si="2899"/>
        <v>0.86698857883763292</v>
      </c>
      <c r="T1328" s="1">
        <f t="shared" ref="T1328:V1328" si="3001">$S1328*P1328</f>
        <v>0.27122374323974369</v>
      </c>
      <c r="U1328" s="1">
        <f t="shared" si="3001"/>
        <v>0</v>
      </c>
      <c r="V1328" s="1">
        <f t="shared" si="3001"/>
        <v>0.77165842125681339</v>
      </c>
      <c r="W1328" s="1">
        <f t="shared" si="2901"/>
        <v>-9.845351117173827</v>
      </c>
      <c r="X1328" s="1">
        <f t="shared" si="2902"/>
        <v>0</v>
      </c>
      <c r="Y1328" s="1">
        <f t="shared" si="2903"/>
        <v>-5.4792015726709495</v>
      </c>
    </row>
    <row r="1329" spans="1:25">
      <c r="A1329" s="1">
        <v>1.32699999999999</v>
      </c>
      <c r="B1329" s="1">
        <f t="shared" si="2904"/>
        <v>43.356992090540814</v>
      </c>
      <c r="C1329" s="1">
        <f t="shared" si="2905"/>
        <v>0</v>
      </c>
      <c r="D1329" s="1">
        <f t="shared" si="2906"/>
        <v>-2.3390756785773603</v>
      </c>
      <c r="E1329" s="1">
        <f t="shared" si="2907"/>
        <v>15.304079514113035</v>
      </c>
      <c r="F1329" s="1">
        <f t="shared" si="2908"/>
        <v>0</v>
      </c>
      <c r="G1329" s="1">
        <f t="shared" si="2909"/>
        <v>-5.3880421481093626</v>
      </c>
      <c r="H1329" s="1">
        <f t="shared" si="2880"/>
        <v>16.224852787131759</v>
      </c>
      <c r="I1329" s="1">
        <f t="shared" si="2892"/>
        <v>-10.105418780536697</v>
      </c>
      <c r="J1329" s="1">
        <f t="shared" si="2893"/>
        <v>0</v>
      </c>
      <c r="K1329" s="1">
        <f t="shared" si="2894"/>
        <v>3.5577717865106937</v>
      </c>
      <c r="L1329" s="1">
        <f t="shared" ref="L1329:N1329" si="3002">E1329/$H1329</f>
        <v>0.94324920631951692</v>
      </c>
      <c r="M1329" s="1">
        <f t="shared" si="3002"/>
        <v>0</v>
      </c>
      <c r="N1329" s="1">
        <f t="shared" si="3002"/>
        <v>-0.33208573407721281</v>
      </c>
      <c r="O1329" s="1">
        <f t="shared" si="2882"/>
        <v>-0.33208573407721281</v>
      </c>
      <c r="P1329" s="1">
        <f t="shared" si="2896"/>
        <v>0.31323960509836513</v>
      </c>
      <c r="Q1329" s="1">
        <f t="shared" si="2897"/>
        <v>0</v>
      </c>
      <c r="R1329" s="1">
        <f t="shared" si="2898"/>
        <v>0.88971906522239874</v>
      </c>
      <c r="S1329" s="1">
        <f t="shared" si="2899"/>
        <v>0.86619087869673794</v>
      </c>
      <c r="T1329" s="1">
        <f t="shared" ref="T1329:V1329" si="3003">$S1329*P1329</f>
        <v>0.27132528878277207</v>
      </c>
      <c r="U1329" s="1">
        <f t="shared" si="3003"/>
        <v>0</v>
      </c>
      <c r="V1329" s="1">
        <f t="shared" si="3003"/>
        <v>0.77066653889822989</v>
      </c>
      <c r="W1329" s="1">
        <f t="shared" si="2901"/>
        <v>-9.834093491753924</v>
      </c>
      <c r="X1329" s="1">
        <f t="shared" si="2902"/>
        <v>0</v>
      </c>
      <c r="Y1329" s="1">
        <f t="shared" si="2903"/>
        <v>-5.4782116745910763</v>
      </c>
    </row>
    <row r="1330" spans="1:25">
      <c r="A1330" s="1">
        <v>1.3279999999999901</v>
      </c>
      <c r="B1330" s="1">
        <f t="shared" si="2904"/>
        <v>43.372286335961434</v>
      </c>
      <c r="C1330" s="1">
        <f t="shared" si="2905"/>
        <v>0</v>
      </c>
      <c r="D1330" s="1">
        <f t="shared" si="2906"/>
        <v>-2.3444691989371442</v>
      </c>
      <c r="E1330" s="1">
        <f t="shared" si="2907"/>
        <v>15.29424542062128</v>
      </c>
      <c r="F1330" s="1">
        <f t="shared" si="2908"/>
        <v>0</v>
      </c>
      <c r="G1330" s="1">
        <f t="shared" si="2909"/>
        <v>-5.3935203597839534</v>
      </c>
      <c r="H1330" s="1">
        <f t="shared" si="2880"/>
        <v>16.217398214806192</v>
      </c>
      <c r="I1330" s="1">
        <f t="shared" si="2892"/>
        <v>-10.094285250946808</v>
      </c>
      <c r="J1330" s="1">
        <f t="shared" si="2893"/>
        <v>0</v>
      </c>
      <c r="K1330" s="1">
        <f t="shared" si="2894"/>
        <v>3.5597528038252757</v>
      </c>
      <c r="L1330" s="1">
        <f t="shared" ref="L1330:N1330" si="3004">E1330/$H1330</f>
        <v>0.94307639351532424</v>
      </c>
      <c r="M1330" s="1">
        <f t="shared" si="3004"/>
        <v>0</v>
      </c>
      <c r="N1330" s="1">
        <f t="shared" si="3004"/>
        <v>-0.33257618073778117</v>
      </c>
      <c r="O1330" s="1">
        <f t="shared" si="2882"/>
        <v>-0.33257618073778117</v>
      </c>
      <c r="P1330" s="1">
        <f t="shared" si="2896"/>
        <v>0.3136447450992873</v>
      </c>
      <c r="Q1330" s="1">
        <f t="shared" si="2897"/>
        <v>0</v>
      </c>
      <c r="R1330" s="1">
        <f t="shared" si="2898"/>
        <v>0.88939308400587069</v>
      </c>
      <c r="S1330" s="1">
        <f t="shared" si="2899"/>
        <v>0.8653951119465898</v>
      </c>
      <c r="T1330" s="1">
        <f t="shared" ref="T1330:V1330" si="3005">$S1330*P1330</f>
        <v>0.27142662929665734</v>
      </c>
      <c r="U1330" s="1">
        <f t="shared" si="3005"/>
        <v>0</v>
      </c>
      <c r="V1330" s="1">
        <f t="shared" si="3005"/>
        <v>0.7696764274977832</v>
      </c>
      <c r="W1330" s="1">
        <f t="shared" si="2901"/>
        <v>-9.8228586216501501</v>
      </c>
      <c r="X1330" s="1">
        <f t="shared" si="2902"/>
        <v>0</v>
      </c>
      <c r="Y1330" s="1">
        <f t="shared" si="2903"/>
        <v>-5.4772207686769407</v>
      </c>
    </row>
    <row r="1331" spans="1:25">
      <c r="A1331" s="1">
        <v>1.32899999999999</v>
      </c>
      <c r="B1331" s="1">
        <f t="shared" si="2904"/>
        <v>43.387570758523431</v>
      </c>
      <c r="C1331" s="1">
        <f t="shared" si="2905"/>
        <v>0</v>
      </c>
      <c r="D1331" s="1">
        <f t="shared" si="2906"/>
        <v>-2.3498681965176971</v>
      </c>
      <c r="E1331" s="1">
        <f t="shared" si="2907"/>
        <v>15.28442256199963</v>
      </c>
      <c r="F1331" s="1">
        <f t="shared" si="2908"/>
        <v>0</v>
      </c>
      <c r="G1331" s="1">
        <f t="shared" si="2909"/>
        <v>-5.3989975805526305</v>
      </c>
      <c r="H1331" s="1">
        <f t="shared" si="2880"/>
        <v>16.209958295090598</v>
      </c>
      <c r="I1331" s="1">
        <f t="shared" si="2892"/>
        <v>-10.083174214435465</v>
      </c>
      <c r="J1331" s="1">
        <f t="shared" si="2893"/>
        <v>0</v>
      </c>
      <c r="K1331" s="1">
        <f t="shared" si="2894"/>
        <v>3.5617330630059207</v>
      </c>
      <c r="L1331" s="1">
        <f t="shared" ref="L1331:N1331" si="3006">E1331/$H1331</f>
        <v>0.94290326253514922</v>
      </c>
      <c r="M1331" s="1">
        <f t="shared" si="3006"/>
        <v>0</v>
      </c>
      <c r="N1331" s="1">
        <f t="shared" si="3006"/>
        <v>-0.33306671629055262</v>
      </c>
      <c r="O1331" s="1">
        <f t="shared" si="2882"/>
        <v>-0.33306671629055262</v>
      </c>
      <c r="P1331" s="1">
        <f t="shared" si="2896"/>
        <v>0.31404969343223099</v>
      </c>
      <c r="Q1331" s="1">
        <f t="shared" si="2897"/>
        <v>0</v>
      </c>
      <c r="R1331" s="1">
        <f t="shared" si="2898"/>
        <v>0.8890665624994285</v>
      </c>
      <c r="S1331" s="1">
        <f t="shared" si="2899"/>
        <v>0.86460127396981667</v>
      </c>
      <c r="T1331" s="1">
        <f t="shared" ref="T1331:V1331" si="3007">$S1331*P1331</f>
        <v>0.2715277650313373</v>
      </c>
      <c r="U1331" s="1">
        <f t="shared" si="3007"/>
        <v>0</v>
      </c>
      <c r="V1331" s="1">
        <f t="shared" si="3007"/>
        <v>0.76868808258097154</v>
      </c>
      <c r="W1331" s="1">
        <f t="shared" si="2901"/>
        <v>-9.8116464494041278</v>
      </c>
      <c r="X1331" s="1">
        <f t="shared" si="2902"/>
        <v>0</v>
      </c>
      <c r="Y1331" s="1">
        <f t="shared" si="2903"/>
        <v>-5.4762288544131072</v>
      </c>
    </row>
    <row r="1332" spans="1:25">
      <c r="A1332" s="1">
        <v>1.3299999999999901</v>
      </c>
      <c r="B1332" s="1">
        <f t="shared" si="2904"/>
        <v>43.402845369438978</v>
      </c>
      <c r="C1332" s="1">
        <f t="shared" si="2905"/>
        <v>0</v>
      </c>
      <c r="D1332" s="1">
        <f t="shared" si="2906"/>
        <v>-2.3552726703271043</v>
      </c>
      <c r="E1332" s="1">
        <f t="shared" si="2907"/>
        <v>15.274610915550227</v>
      </c>
      <c r="F1332" s="1">
        <f t="shared" si="2908"/>
        <v>0</v>
      </c>
      <c r="G1332" s="1">
        <f t="shared" si="2909"/>
        <v>-5.4044738094070439</v>
      </c>
      <c r="H1332" s="1">
        <f t="shared" si="2880"/>
        <v>16.202533004996869</v>
      </c>
      <c r="I1332" s="1">
        <f t="shared" si="2892"/>
        <v>-10.072085613967412</v>
      </c>
      <c r="J1332" s="1">
        <f t="shared" si="2893"/>
        <v>0</v>
      </c>
      <c r="K1332" s="1">
        <f t="shared" si="2894"/>
        <v>3.5637125690302067</v>
      </c>
      <c r="L1332" s="1">
        <f t="shared" ref="L1332:N1332" si="3008">E1332/$H1332</f>
        <v>0.94272981334705686</v>
      </c>
      <c r="M1332" s="1">
        <f t="shared" si="3008"/>
        <v>0</v>
      </c>
      <c r="N1332" s="1">
        <f t="shared" si="3008"/>
        <v>-0.33355733993816283</v>
      </c>
      <c r="O1332" s="1">
        <f t="shared" si="2882"/>
        <v>-0.33355733993816283</v>
      </c>
      <c r="P1332" s="1">
        <f t="shared" si="2896"/>
        <v>0.31445444882044504</v>
      </c>
      <c r="Q1332" s="1">
        <f t="shared" si="2897"/>
        <v>0</v>
      </c>
      <c r="R1332" s="1">
        <f t="shared" si="2898"/>
        <v>0.88873950097337684</v>
      </c>
      <c r="S1332" s="1">
        <f t="shared" si="2899"/>
        <v>0.86380936016305865</v>
      </c>
      <c r="T1332" s="1">
        <f t="shared" ref="T1332:V1332" si="3009">$S1332*P1332</f>
        <v>0.27162869623601593</v>
      </c>
      <c r="U1332" s="1">
        <f t="shared" si="3009"/>
        <v>0</v>
      </c>
      <c r="V1332" s="1">
        <f t="shared" si="3009"/>
        <v>0.76770149968744872</v>
      </c>
      <c r="W1332" s="1">
        <f t="shared" si="2901"/>
        <v>-9.8004569177313954</v>
      </c>
      <c r="X1332" s="1">
        <f t="shared" si="2902"/>
        <v>0</v>
      </c>
      <c r="Y1332" s="1">
        <f t="shared" si="2903"/>
        <v>-5.4752359312823442</v>
      </c>
    </row>
    <row r="1333" spans="1:25">
      <c r="A1333" s="1">
        <v>1.33099999999999</v>
      </c>
      <c r="B1333" s="1">
        <f t="shared" si="2904"/>
        <v>43.41811017989761</v>
      </c>
      <c r="C1333" s="1">
        <f t="shared" si="2905"/>
        <v>0</v>
      </c>
      <c r="D1333" s="1">
        <f t="shared" si="2906"/>
        <v>-2.3606826193724428</v>
      </c>
      <c r="E1333" s="1">
        <f t="shared" si="2907"/>
        <v>15.264810458632496</v>
      </c>
      <c r="F1333" s="1">
        <f t="shared" si="2908"/>
        <v>0</v>
      </c>
      <c r="G1333" s="1">
        <f t="shared" si="2909"/>
        <v>-5.4099490453383261</v>
      </c>
      <c r="H1333" s="1">
        <f t="shared" si="2880"/>
        <v>16.195122321585998</v>
      </c>
      <c r="I1333" s="1">
        <f t="shared" si="2892"/>
        <v>-10.061019392679894</v>
      </c>
      <c r="J1333" s="1">
        <f t="shared" si="2893"/>
        <v>0</v>
      </c>
      <c r="K1333" s="1">
        <f t="shared" si="2894"/>
        <v>3.5656913268633583</v>
      </c>
      <c r="L1333" s="1">
        <f t="shared" ref="L1333:N1333" si="3010">E1333/$H1333</f>
        <v>0.94255604592047337</v>
      </c>
      <c r="M1333" s="1">
        <f t="shared" si="3010"/>
        <v>0</v>
      </c>
      <c r="N1333" s="1">
        <f t="shared" si="3010"/>
        <v>-0.33404805088304679</v>
      </c>
      <c r="O1333" s="1">
        <f t="shared" si="2882"/>
        <v>-0.33404805088304679</v>
      </c>
      <c r="P1333" s="1">
        <f t="shared" si="2896"/>
        <v>0.31485900998776567</v>
      </c>
      <c r="Q1333" s="1">
        <f t="shared" si="2897"/>
        <v>0</v>
      </c>
      <c r="R1333" s="1">
        <f t="shared" si="2898"/>
        <v>0.88841189970123735</v>
      </c>
      <c r="S1333" s="1">
        <f t="shared" si="2899"/>
        <v>0.86301936593691153</v>
      </c>
      <c r="T1333" s="1">
        <f t="shared" ref="T1333:V1333" si="3011">$S1333*P1333</f>
        <v>0.27172942315916521</v>
      </c>
      <c r="U1333" s="1">
        <f t="shared" si="3011"/>
        <v>0</v>
      </c>
      <c r="V1333" s="1">
        <f t="shared" si="3011"/>
        <v>0.76671667437096891</v>
      </c>
      <c r="W1333" s="1">
        <f t="shared" si="2901"/>
        <v>-9.7892899695207287</v>
      </c>
      <c r="X1333" s="1">
        <f t="shared" si="2902"/>
        <v>0</v>
      </c>
      <c r="Y1333" s="1">
        <f t="shared" si="2903"/>
        <v>-5.4742419987656721</v>
      </c>
    </row>
    <row r="1334" spans="1:25">
      <c r="A1334" s="1">
        <v>1.3319999999999901</v>
      </c>
      <c r="B1334" s="1">
        <f t="shared" si="2904"/>
        <v>43.433365201066273</v>
      </c>
      <c r="C1334" s="1">
        <f t="shared" si="2905"/>
        <v>0</v>
      </c>
      <c r="D1334" s="1">
        <f t="shared" si="2906"/>
        <v>-2.3660980426597797</v>
      </c>
      <c r="E1334" s="1">
        <f t="shared" si="2907"/>
        <v>15.255021168662976</v>
      </c>
      <c r="F1334" s="1">
        <f t="shared" si="2908"/>
        <v>0</v>
      </c>
      <c r="G1334" s="1">
        <f t="shared" si="2909"/>
        <v>-5.4154232873370916</v>
      </c>
      <c r="H1334" s="1">
        <f t="shared" si="2880"/>
        <v>16.187726221967939</v>
      </c>
      <c r="I1334" s="1">
        <f t="shared" si="2892"/>
        <v>-10.049975493882062</v>
      </c>
      <c r="J1334" s="1">
        <f t="shared" si="2893"/>
        <v>0</v>
      </c>
      <c r="K1334" s="1">
        <f t="shared" si="2894"/>
        <v>3.567669341458283</v>
      </c>
      <c r="L1334" s="1">
        <f t="shared" ref="L1334:N1334" si="3012">E1334/$H1334</f>
        <v>0.94238196022618592</v>
      </c>
      <c r="M1334" s="1">
        <f t="shared" si="3012"/>
        <v>0</v>
      </c>
      <c r="N1334" s="1">
        <f t="shared" si="3012"/>
        <v>-0.33453884832744224</v>
      </c>
      <c r="O1334" s="1">
        <f t="shared" si="2882"/>
        <v>-0.33453884832744224</v>
      </c>
      <c r="P1334" s="1">
        <f t="shared" si="2896"/>
        <v>0.31526337565862572</v>
      </c>
      <c r="Q1334" s="1">
        <f t="shared" si="2897"/>
        <v>0</v>
      </c>
      <c r="R1334" s="1">
        <f t="shared" si="2898"/>
        <v>0.88808375895974856</v>
      </c>
      <c r="S1334" s="1">
        <f t="shared" si="2899"/>
        <v>0.86223128671587856</v>
      </c>
      <c r="T1334" s="1">
        <f t="shared" ref="T1334:V1334" si="3013">$S1334*P1334</f>
        <v>0.27182994604852823</v>
      </c>
      <c r="U1334" s="1">
        <f t="shared" si="3013"/>
        <v>0</v>
      </c>
      <c r="V1334" s="1">
        <f t="shared" si="3013"/>
        <v>0.76573360219933817</v>
      </c>
      <c r="W1334" s="1">
        <f t="shared" si="2901"/>
        <v>-9.7781455478335335</v>
      </c>
      <c r="X1334" s="1">
        <f t="shared" si="2902"/>
        <v>0</v>
      </c>
      <c r="Y1334" s="1">
        <f t="shared" si="2903"/>
        <v>-5.4732470563423785</v>
      </c>
    </row>
    <row r="1335" spans="1:25">
      <c r="A1335" s="1">
        <v>1.33299999999999</v>
      </c>
      <c r="B1335" s="1">
        <f t="shared" si="2904"/>
        <v>43.44861044408939</v>
      </c>
      <c r="C1335" s="1">
        <f t="shared" si="2905"/>
        <v>0</v>
      </c>
      <c r="D1335" s="1">
        <f t="shared" si="2906"/>
        <v>-2.3715189391941731</v>
      </c>
      <c r="E1335" s="1">
        <f t="shared" si="2907"/>
        <v>15.245243023115142</v>
      </c>
      <c r="F1335" s="1">
        <f t="shared" si="2908"/>
        <v>0</v>
      </c>
      <c r="G1335" s="1">
        <f t="shared" si="2909"/>
        <v>-5.4208965343934343</v>
      </c>
      <c r="H1335" s="1">
        <f t="shared" si="2880"/>
        <v>16.180344683301396</v>
      </c>
      <c r="I1335" s="1">
        <f t="shared" si="2892"/>
        <v>-10.03895386105428</v>
      </c>
      <c r="J1335" s="1">
        <f t="shared" si="2893"/>
        <v>0</v>
      </c>
      <c r="K1335" s="1">
        <f t="shared" si="2894"/>
        <v>3.5696466177555739</v>
      </c>
      <c r="L1335" s="1">
        <f t="shared" ref="L1335:N1335" si="3014">E1335/$H1335</f>
        <v>0.94220755623634478</v>
      </c>
      <c r="M1335" s="1">
        <f t="shared" si="3014"/>
        <v>0</v>
      </c>
      <c r="N1335" s="1">
        <f t="shared" si="3014"/>
        <v>-0.3350297314733946</v>
      </c>
      <c r="O1335" s="1">
        <f t="shared" si="2882"/>
        <v>-0.3350297314733946</v>
      </c>
      <c r="P1335" s="1">
        <f t="shared" si="2896"/>
        <v>0.31566754455806595</v>
      </c>
      <c r="Q1335" s="1">
        <f t="shared" si="2897"/>
        <v>0</v>
      </c>
      <c r="R1335" s="1">
        <f t="shared" si="2898"/>
        <v>0.88775507902886508</v>
      </c>
      <c r="S1335" s="1">
        <f t="shared" si="2899"/>
        <v>0.86144511793831391</v>
      </c>
      <c r="T1335" s="1">
        <f t="shared" ref="T1335:V1335" si="3015">$S1335*P1335</f>
        <v>0.27193026515112106</v>
      </c>
      <c r="U1335" s="1">
        <f t="shared" si="3015"/>
        <v>0</v>
      </c>
      <c r="V1335" s="1">
        <f t="shared" si="3015"/>
        <v>0.76475227875435792</v>
      </c>
      <c r="W1335" s="1">
        <f t="shared" si="2901"/>
        <v>-9.7670235959031579</v>
      </c>
      <c r="X1335" s="1">
        <f t="shared" si="2902"/>
        <v>0</v>
      </c>
      <c r="Y1335" s="1">
        <f t="shared" si="2903"/>
        <v>-5.472251103490068</v>
      </c>
    </row>
    <row r="1336" spans="1:25">
      <c r="A1336" s="1">
        <v>1.3339999999999901</v>
      </c>
      <c r="B1336" s="1">
        <f t="shared" si="2904"/>
        <v>43.463845920088907</v>
      </c>
      <c r="C1336" s="1">
        <f t="shared" si="2905"/>
        <v>0</v>
      </c>
      <c r="D1336" s="1">
        <f t="shared" si="2906"/>
        <v>-2.3769453079796699</v>
      </c>
      <c r="E1336" s="1">
        <f t="shared" si="2907"/>
        <v>15.235475999519238</v>
      </c>
      <c r="F1336" s="1">
        <f t="shared" si="2908"/>
        <v>0</v>
      </c>
      <c r="G1336" s="1">
        <f t="shared" si="2909"/>
        <v>-5.4263687854969245</v>
      </c>
      <c r="H1336" s="1">
        <f t="shared" si="2880"/>
        <v>16.172977682793668</v>
      </c>
      <c r="I1336" s="1">
        <f t="shared" si="2892"/>
        <v>-10.027954437847509</v>
      </c>
      <c r="J1336" s="1">
        <f t="shared" si="2893"/>
        <v>0</v>
      </c>
      <c r="K1336" s="1">
        <f t="shared" si="2894"/>
        <v>3.5716231606835374</v>
      </c>
      <c r="L1336" s="1">
        <f t="shared" ref="L1336:N1336" si="3016">E1336/$H1336</f>
        <v>0.94203283392446446</v>
      </c>
      <c r="M1336" s="1">
        <f t="shared" si="3016"/>
        <v>0</v>
      </c>
      <c r="N1336" s="1">
        <f t="shared" si="3016"/>
        <v>-0.33552069952276042</v>
      </c>
      <c r="O1336" s="1">
        <f t="shared" si="2882"/>
        <v>-0.33552069952276042</v>
      </c>
      <c r="P1336" s="1">
        <f t="shared" si="2896"/>
        <v>0.31607151541174472</v>
      </c>
      <c r="Q1336" s="1">
        <f t="shared" si="2897"/>
        <v>0</v>
      </c>
      <c r="R1336" s="1">
        <f t="shared" si="2898"/>
        <v>0.88742586019175751</v>
      </c>
      <c r="S1336" s="1">
        <f t="shared" si="2899"/>
        <v>0.86066085505637213</v>
      </c>
      <c r="T1336" s="1">
        <f t="shared" ref="T1336:V1336" si="3017">$S1336*P1336</f>
        <v>0.27203038071323549</v>
      </c>
      <c r="U1336" s="1">
        <f t="shared" si="3017"/>
        <v>0</v>
      </c>
      <c r="V1336" s="1">
        <f t="shared" si="3017"/>
        <v>0.76377269963177452</v>
      </c>
      <c r="W1336" s="1">
        <f t="shared" si="2901"/>
        <v>-9.7559240571342727</v>
      </c>
      <c r="X1336" s="1">
        <f t="shared" si="2902"/>
        <v>0</v>
      </c>
      <c r="Y1336" s="1">
        <f t="shared" si="2903"/>
        <v>-5.4712541396846879</v>
      </c>
    </row>
    <row r="1337" spans="1:25">
      <c r="A1337" s="1">
        <v>1.33499999999999</v>
      </c>
      <c r="B1337" s="1">
        <f t="shared" si="2904"/>
        <v>43.479071640164371</v>
      </c>
      <c r="C1337" s="1">
        <f t="shared" si="2905"/>
        <v>0</v>
      </c>
      <c r="D1337" s="1">
        <f t="shared" si="2906"/>
        <v>-2.3823771480193066</v>
      </c>
      <c r="E1337" s="1">
        <f t="shared" si="2907"/>
        <v>15.225720075462103</v>
      </c>
      <c r="F1337" s="1">
        <f t="shared" si="2908"/>
        <v>0</v>
      </c>
      <c r="G1337" s="1">
        <f t="shared" si="2909"/>
        <v>-5.4318400396366089</v>
      </c>
      <c r="H1337" s="1">
        <f t="shared" si="2880"/>
        <v>16.165625197700493</v>
      </c>
      <c r="I1337" s="1">
        <f t="shared" si="2892"/>
        <v>-10.016977168082674</v>
      </c>
      <c r="J1337" s="1">
        <f t="shared" si="2893"/>
        <v>0</v>
      </c>
      <c r="K1337" s="1">
        <f t="shared" si="2894"/>
        <v>3.5735989751582129</v>
      </c>
      <c r="L1337" s="1">
        <f t="shared" ref="L1337:N1337" si="3018">E1337/$H1337</f>
        <v>0.94185779326542296</v>
      </c>
      <c r="M1337" s="1">
        <f t="shared" si="3018"/>
        <v>0</v>
      </c>
      <c r="N1337" s="1">
        <f t="shared" si="3018"/>
        <v>-0.33601175167721137</v>
      </c>
      <c r="O1337" s="1">
        <f t="shared" si="2882"/>
        <v>-0.33601175167721137</v>
      </c>
      <c r="P1337" s="1">
        <f t="shared" si="2896"/>
        <v>0.31647528694594756</v>
      </c>
      <c r="Q1337" s="1">
        <f t="shared" si="2897"/>
        <v>0</v>
      </c>
      <c r="R1337" s="1">
        <f t="shared" si="2898"/>
        <v>0.8870961027348121</v>
      </c>
      <c r="S1337" s="1">
        <f t="shared" si="2899"/>
        <v>0.8598784935359578</v>
      </c>
      <c r="T1337" s="1">
        <f t="shared" ref="T1337:V1337" si="3019">$S1337*P1337</f>
        <v>0.27213029298044139</v>
      </c>
      <c r="U1337" s="1">
        <f t="shared" si="3019"/>
        <v>0</v>
      </c>
      <c r="V1337" s="1">
        <f t="shared" si="3019"/>
        <v>0.76279486044122946</v>
      </c>
      <c r="W1337" s="1">
        <f t="shared" si="2901"/>
        <v>-9.7448468751022332</v>
      </c>
      <c r="X1337" s="1">
        <f t="shared" si="2902"/>
        <v>0</v>
      </c>
      <c r="Y1337" s="1">
        <f t="shared" si="2903"/>
        <v>-5.4702561644005572</v>
      </c>
    </row>
    <row r="1338" spans="1:25">
      <c r="A1338" s="1">
        <v>1.3359999999999901</v>
      </c>
      <c r="B1338" s="1">
        <f t="shared" si="2904"/>
        <v>43.494287615392956</v>
      </c>
      <c r="C1338" s="1">
        <f t="shared" si="2905"/>
        <v>0</v>
      </c>
      <c r="D1338" s="1">
        <f t="shared" si="2906"/>
        <v>-2.3878144583151077</v>
      </c>
      <c r="E1338" s="1">
        <f t="shared" si="2907"/>
        <v>15.215975228587</v>
      </c>
      <c r="F1338" s="1">
        <f t="shared" si="2908"/>
        <v>0</v>
      </c>
      <c r="G1338" s="1">
        <f t="shared" si="2909"/>
        <v>-5.4373102958010096</v>
      </c>
      <c r="H1338" s="1">
        <f t="shared" si="2880"/>
        <v>16.158287205325845</v>
      </c>
      <c r="I1338" s="1">
        <f t="shared" si="2892"/>
        <v>-10.006021995750016</v>
      </c>
      <c r="J1338" s="1">
        <f t="shared" si="2893"/>
        <v>0</v>
      </c>
      <c r="K1338" s="1">
        <f t="shared" si="2894"/>
        <v>3.5755740660833881</v>
      </c>
      <c r="L1338" s="1">
        <f t="shared" ref="L1338:N1338" si="3020">E1338/$H1338</f>
        <v>0.94168243423546438</v>
      </c>
      <c r="M1338" s="1">
        <f t="shared" si="3020"/>
        <v>0</v>
      </c>
      <c r="N1338" s="1">
        <f t="shared" si="3020"/>
        <v>-0.33650288713823873</v>
      </c>
      <c r="O1338" s="1">
        <f t="shared" si="2882"/>
        <v>-0.33650288713823873</v>
      </c>
      <c r="P1338" s="1">
        <f t="shared" si="2896"/>
        <v>0.3168788578875984</v>
      </c>
      <c r="Q1338" s="1">
        <f t="shared" si="2897"/>
        <v>0</v>
      </c>
      <c r="R1338" s="1">
        <f t="shared" si="2898"/>
        <v>0.88676580694762974</v>
      </c>
      <c r="S1338" s="1">
        <f t="shared" si="2899"/>
        <v>0.85909802885667153</v>
      </c>
      <c r="T1338" s="1">
        <f t="shared" ref="T1338:V1338" si="3021">$S1338*P1338</f>
        <v>0.27223000219758914</v>
      </c>
      <c r="U1338" s="1">
        <f t="shared" si="3021"/>
        <v>0</v>
      </c>
      <c r="V1338" s="1">
        <f t="shared" si="3021"/>
        <v>0.76181875680620448</v>
      </c>
      <c r="W1338" s="1">
        <f t="shared" si="2901"/>
        <v>-9.733791993552428</v>
      </c>
      <c r="X1338" s="1">
        <f t="shared" si="2902"/>
        <v>0</v>
      </c>
      <c r="Y1338" s="1">
        <f t="shared" si="2903"/>
        <v>-5.469257177110407</v>
      </c>
    </row>
    <row r="1339" spans="1:25">
      <c r="A1339" s="1">
        <v>1.33699999999999</v>
      </c>
      <c r="B1339" s="1">
        <f t="shared" si="2904"/>
        <v>43.50949385682955</v>
      </c>
      <c r="C1339" s="1">
        <f t="shared" si="2905"/>
        <v>0</v>
      </c>
      <c r="D1339" s="1">
        <f t="shared" si="2906"/>
        <v>-2.3932572378680859</v>
      </c>
      <c r="E1339" s="1">
        <f t="shared" si="2907"/>
        <v>15.206241436593448</v>
      </c>
      <c r="F1339" s="1">
        <f t="shared" si="2908"/>
        <v>0</v>
      </c>
      <c r="G1339" s="1">
        <f t="shared" si="2909"/>
        <v>-5.44277955297812</v>
      </c>
      <c r="H1339" s="1">
        <f t="shared" si="2880"/>
        <v>16.150963683021775</v>
      </c>
      <c r="I1339" s="1">
        <f t="shared" si="2892"/>
        <v>-9.9950888650084622</v>
      </c>
      <c r="J1339" s="1">
        <f t="shared" si="2893"/>
        <v>0</v>
      </c>
      <c r="K1339" s="1">
        <f t="shared" si="2894"/>
        <v>3.5775484383506173</v>
      </c>
      <c r="L1339" s="1">
        <f t="shared" ref="L1339:N1339" si="3022">E1339/$H1339</f>
        <v>0.94150675681219942</v>
      </c>
      <c r="M1339" s="1">
        <f t="shared" si="3022"/>
        <v>0</v>
      </c>
      <c r="N1339" s="1">
        <f t="shared" si="3022"/>
        <v>-0.33699410510715727</v>
      </c>
      <c r="O1339" s="1">
        <f t="shared" si="2882"/>
        <v>-0.33699410510715727</v>
      </c>
      <c r="P1339" s="1">
        <f t="shared" si="2896"/>
        <v>0.31728222696426911</v>
      </c>
      <c r="Q1339" s="1">
        <f t="shared" si="2897"/>
        <v>0</v>
      </c>
      <c r="R1339" s="1">
        <f t="shared" si="2898"/>
        <v>0.88643497312302622</v>
      </c>
      <c r="S1339" s="1">
        <f t="shared" si="2899"/>
        <v>0.85831945651175778</v>
      </c>
      <c r="T1339" s="1">
        <f t="shared" ref="T1339:V1339" si="3023">$S1339*P1339</f>
        <v>0.27232950860881167</v>
      </c>
      <c r="U1339" s="1">
        <f t="shared" si="3023"/>
        <v>0</v>
      </c>
      <c r="V1339" s="1">
        <f t="shared" si="3023"/>
        <v>0.76084438436397051</v>
      </c>
      <c r="W1339" s="1">
        <f t="shared" si="2901"/>
        <v>-9.7227593563996511</v>
      </c>
      <c r="X1339" s="1">
        <f t="shared" si="2902"/>
        <v>0</v>
      </c>
      <c r="Y1339" s="1">
        <f t="shared" si="2903"/>
        <v>-5.4682571772854116</v>
      </c>
    </row>
    <row r="1340" spans="1:25">
      <c r="A1340" s="1">
        <v>1.3379999999999901</v>
      </c>
      <c r="B1340" s="1">
        <f t="shared" si="2904"/>
        <v>43.524690375506786</v>
      </c>
      <c r="C1340" s="1">
        <f t="shared" si="2905"/>
        <v>0</v>
      </c>
      <c r="D1340" s="1">
        <f t="shared" si="2906"/>
        <v>-2.3987054856782413</v>
      </c>
      <c r="E1340" s="1">
        <f t="shared" si="2907"/>
        <v>15.196518677237048</v>
      </c>
      <c r="F1340" s="1">
        <f t="shared" si="2908"/>
        <v>0</v>
      </c>
      <c r="G1340" s="1">
        <f t="shared" si="2909"/>
        <v>-5.4482478101554053</v>
      </c>
      <c r="H1340" s="1">
        <f t="shared" si="2880"/>
        <v>16.143654608188246</v>
      </c>
      <c r="I1340" s="1">
        <f t="shared" si="2892"/>
        <v>-9.9841777201849951</v>
      </c>
      <c r="J1340" s="1">
        <f t="shared" si="2893"/>
        <v>0</v>
      </c>
      <c r="K1340" s="1">
        <f t="shared" si="2894"/>
        <v>3.579522096839244</v>
      </c>
      <c r="L1340" s="1">
        <f t="shared" ref="L1340:N1340" si="3024">E1340/$H1340</f>
        <v>0.94133076097460611</v>
      </c>
      <c r="M1340" s="1">
        <f t="shared" si="3024"/>
        <v>0</v>
      </c>
      <c r="N1340" s="1">
        <f t="shared" si="3024"/>
        <v>-0.3374854047851093</v>
      </c>
      <c r="O1340" s="1">
        <f t="shared" si="2882"/>
        <v>-0.3374854047851093</v>
      </c>
      <c r="P1340" s="1">
        <f t="shared" si="2896"/>
        <v>0.3176853929041899</v>
      </c>
      <c r="Q1340" s="1">
        <f t="shared" si="2897"/>
        <v>0</v>
      </c>
      <c r="R1340" s="1">
        <f t="shared" si="2898"/>
        <v>0.88610360155703094</v>
      </c>
      <c r="S1340" s="1">
        <f t="shared" si="2899"/>
        <v>0.85754277200805618</v>
      </c>
      <c r="T1340" s="1">
        <f t="shared" ref="T1340:V1340" si="3025">$S1340*P1340</f>
        <v>0.27242881245752748</v>
      </c>
      <c r="U1340" s="1">
        <f t="shared" si="3025"/>
        <v>0</v>
      </c>
      <c r="V1340" s="1">
        <f t="shared" si="3025"/>
        <v>0.75987173876553848</v>
      </c>
      <c r="W1340" s="1">
        <f t="shared" si="2901"/>
        <v>-9.7117489077274683</v>
      </c>
      <c r="X1340" s="1">
        <f t="shared" si="2902"/>
        <v>0</v>
      </c>
      <c r="Y1340" s="1">
        <f t="shared" si="2903"/>
        <v>-5.4672561643952164</v>
      </c>
    </row>
    <row r="1341" spans="1:25">
      <c r="A1341" s="1">
        <v>1.33899999999999</v>
      </c>
      <c r="B1341" s="1">
        <f t="shared" si="2904"/>
        <v>43.539877182435113</v>
      </c>
      <c r="C1341" s="1">
        <f t="shared" si="2905"/>
        <v>0</v>
      </c>
      <c r="D1341" s="1">
        <f t="shared" si="2906"/>
        <v>-2.4041592007445609</v>
      </c>
      <c r="E1341" s="1">
        <f t="shared" si="2907"/>
        <v>15.18680692832932</v>
      </c>
      <c r="F1341" s="1">
        <f t="shared" si="2908"/>
        <v>0</v>
      </c>
      <c r="G1341" s="1">
        <f t="shared" si="2909"/>
        <v>-5.4537150663198002</v>
      </c>
      <c r="H1341" s="1">
        <f t="shared" si="2880"/>
        <v>16.136359958272962</v>
      </c>
      <c r="I1341" s="1">
        <f t="shared" si="2892"/>
        <v>-9.9732885057740361</v>
      </c>
      <c r="J1341" s="1">
        <f t="shared" si="2893"/>
        <v>0</v>
      </c>
      <c r="K1341" s="1">
        <f t="shared" si="2894"/>
        <v>3.581495046416415</v>
      </c>
      <c r="L1341" s="1">
        <f t="shared" ref="L1341:N1341" si="3026">E1341/$H1341</f>
        <v>0.94115444670303017</v>
      </c>
      <c r="M1341" s="1">
        <f t="shared" si="3026"/>
        <v>0</v>
      </c>
      <c r="N1341" s="1">
        <f t="shared" si="3026"/>
        <v>-0.33797678537306869</v>
      </c>
      <c r="O1341" s="1">
        <f t="shared" si="2882"/>
        <v>-0.33797678537306869</v>
      </c>
      <c r="P1341" s="1">
        <f t="shared" si="2896"/>
        <v>0.31808835443625927</v>
      </c>
      <c r="Q1341" s="1">
        <f t="shared" si="2897"/>
        <v>0</v>
      </c>
      <c r="R1341" s="1">
        <f t="shared" si="2898"/>
        <v>0.88577169254888666</v>
      </c>
      <c r="S1341" s="1">
        <f t="shared" si="2899"/>
        <v>0.85676797086594891</v>
      </c>
      <c r="T1341" s="1">
        <f t="shared" ref="T1341:V1341" si="3027">$S1341*P1341</f>
        <v>0.2725279139864426</v>
      </c>
      <c r="U1341" s="1">
        <f t="shared" si="3027"/>
        <v>0</v>
      </c>
      <c r="V1341" s="1">
        <f t="shared" si="3027"/>
        <v>0.75890081567560674</v>
      </c>
      <c r="W1341" s="1">
        <f t="shared" si="2901"/>
        <v>-9.7007605917875939</v>
      </c>
      <c r="X1341" s="1">
        <f t="shared" si="2902"/>
        <v>0</v>
      </c>
      <c r="Y1341" s="1">
        <f t="shared" si="2903"/>
        <v>-5.4662541379079777</v>
      </c>
    </row>
    <row r="1342" spans="1:25">
      <c r="A1342" s="1">
        <v>1.3399999999999901</v>
      </c>
      <c r="B1342" s="1">
        <f t="shared" si="2904"/>
        <v>43.555054288602854</v>
      </c>
      <c r="C1342" s="1">
        <f t="shared" si="2905"/>
        <v>0</v>
      </c>
      <c r="D1342" s="1">
        <f t="shared" si="2906"/>
        <v>-2.4096183820650188</v>
      </c>
      <c r="E1342" s="1">
        <f t="shared" si="2907"/>
        <v>15.177106167737533</v>
      </c>
      <c r="F1342" s="1">
        <f t="shared" si="2908"/>
        <v>0</v>
      </c>
      <c r="G1342" s="1">
        <f t="shared" si="2909"/>
        <v>-5.4591813204577084</v>
      </c>
      <c r="H1342" s="1">
        <f t="shared" si="2880"/>
        <v>16.129079710771194</v>
      </c>
      <c r="I1342" s="1">
        <f t="shared" si="2892"/>
        <v>-9.9624211664368119</v>
      </c>
      <c r="J1342" s="1">
        <f t="shared" si="2893"/>
        <v>0</v>
      </c>
      <c r="K1342" s="1">
        <f t="shared" si="2894"/>
        <v>3.5834672919371044</v>
      </c>
      <c r="L1342" s="1">
        <f t="shared" ref="L1342:N1342" si="3028">E1342/$H1342</f>
        <v>0.94097781397918678</v>
      </c>
      <c r="M1342" s="1">
        <f t="shared" si="3028"/>
        <v>0</v>
      </c>
      <c r="N1342" s="1">
        <f t="shared" si="3028"/>
        <v>-0.33846824607184511</v>
      </c>
      <c r="O1342" s="1">
        <f t="shared" si="2882"/>
        <v>-0.33846824607184511</v>
      </c>
      <c r="P1342" s="1">
        <f t="shared" si="2896"/>
        <v>0.31849111029005428</v>
      </c>
      <c r="Q1342" s="1">
        <f t="shared" si="2897"/>
        <v>0</v>
      </c>
      <c r="R1342" s="1">
        <f t="shared" si="2898"/>
        <v>0.88543924640104887</v>
      </c>
      <c r="S1342" s="1">
        <f t="shared" si="2899"/>
        <v>0.85599504861930997</v>
      </c>
      <c r="T1342" s="1">
        <f t="shared" ref="T1342:V1342" si="3029">$S1342*P1342</f>
        <v>0.27262681343755302</v>
      </c>
      <c r="U1342" s="1">
        <f t="shared" si="3029"/>
        <v>0</v>
      </c>
      <c r="V1342" s="1">
        <f t="shared" si="3029"/>
        <v>0.75793161077251103</v>
      </c>
      <c r="W1342" s="1">
        <f t="shared" si="2901"/>
        <v>-9.6897943529992592</v>
      </c>
      <c r="X1342" s="1">
        <f t="shared" si="2902"/>
        <v>0</v>
      </c>
      <c r="Y1342" s="1">
        <f t="shared" si="2903"/>
        <v>-5.4652510972903841</v>
      </c>
    </row>
    <row r="1343" spans="1:25">
      <c r="A1343" s="1">
        <v>1.34099999999999</v>
      </c>
      <c r="B1343" s="1">
        <f t="shared" si="2904"/>
        <v>43.570221704976241</v>
      </c>
      <c r="C1343" s="1">
        <f t="shared" si="2905"/>
        <v>0</v>
      </c>
      <c r="D1343" s="1">
        <f t="shared" si="2906"/>
        <v>-2.4150830286365736</v>
      </c>
      <c r="E1343" s="1">
        <f t="shared" si="2907"/>
        <v>15.167416373384533</v>
      </c>
      <c r="F1343" s="1">
        <f t="shared" si="2908"/>
        <v>0</v>
      </c>
      <c r="G1343" s="1">
        <f t="shared" si="2909"/>
        <v>-5.464646571554999</v>
      </c>
      <c r="H1343" s="1">
        <f t="shared" si="2880"/>
        <v>16.121813843225613</v>
      </c>
      <c r="I1343" s="1">
        <f t="shared" si="2892"/>
        <v>-9.9515756470007339</v>
      </c>
      <c r="J1343" s="1">
        <f t="shared" si="2893"/>
        <v>0</v>
      </c>
      <c r="K1343" s="1">
        <f t="shared" si="2894"/>
        <v>3.5854388382441265</v>
      </c>
      <c r="L1343" s="1">
        <f t="shared" ref="L1343:N1343" si="3030">E1343/$H1343</f>
        <v>0.94080086278616115</v>
      </c>
      <c r="M1343" s="1">
        <f t="shared" si="3030"/>
        <v>0</v>
      </c>
      <c r="N1343" s="1">
        <f t="shared" si="3030"/>
        <v>-0.33895978608208799</v>
      </c>
      <c r="O1343" s="1">
        <f t="shared" si="2882"/>
        <v>-0.33895978608208799</v>
      </c>
      <c r="P1343" s="1">
        <f t="shared" si="2896"/>
        <v>0.31889365919584101</v>
      </c>
      <c r="Q1343" s="1">
        <f t="shared" si="2897"/>
        <v>0</v>
      </c>
      <c r="R1343" s="1">
        <f t="shared" si="2898"/>
        <v>0.88510626341918519</v>
      </c>
      <c r="S1343" s="1">
        <f t="shared" si="2899"/>
        <v>0.8552240008154548</v>
      </c>
      <c r="T1343" s="1">
        <f t="shared" ref="T1343:V1343" si="3031">$S1343*P1343</f>
        <v>0.27272551105214732</v>
      </c>
      <c r="U1343" s="1">
        <f t="shared" si="3031"/>
        <v>0</v>
      </c>
      <c r="V1343" s="1">
        <f t="shared" si="3031"/>
        <v>0.75696411974817335</v>
      </c>
      <c r="W1343" s="1">
        <f t="shared" si="2901"/>
        <v>-9.6788501359485863</v>
      </c>
      <c r="X1343" s="1">
        <f t="shared" si="2902"/>
        <v>0</v>
      </c>
      <c r="Y1343" s="1">
        <f t="shared" si="2903"/>
        <v>-5.4642470420076998</v>
      </c>
    </row>
    <row r="1344" spans="1:25">
      <c r="A1344" s="1">
        <v>1.3419999999999901</v>
      </c>
      <c r="B1344" s="1">
        <f t="shared" si="2904"/>
        <v>43.585379442499487</v>
      </c>
      <c r="C1344" s="1">
        <f t="shared" si="2905"/>
        <v>0</v>
      </c>
      <c r="D1344" s="1">
        <f t="shared" si="2906"/>
        <v>-2.4205531394551705</v>
      </c>
      <c r="E1344" s="1">
        <f t="shared" si="2907"/>
        <v>15.157737523248585</v>
      </c>
      <c r="F1344" s="1">
        <f t="shared" si="2908"/>
        <v>0</v>
      </c>
      <c r="G1344" s="1">
        <f t="shared" si="2909"/>
        <v>-5.4701108185970071</v>
      </c>
      <c r="H1344" s="1">
        <f t="shared" si="2880"/>
        <v>16.114562333226125</v>
      </c>
      <c r="I1344" s="1">
        <f t="shared" si="2892"/>
        <v>-9.940751892458783</v>
      </c>
      <c r="J1344" s="1">
        <f t="shared" si="2893"/>
        <v>0</v>
      </c>
      <c r="K1344" s="1">
        <f t="shared" si="2894"/>
        <v>3.5874096901681578</v>
      </c>
      <c r="L1344" s="1">
        <f t="shared" ref="L1344:N1344" si="3032">E1344/$H1344</f>
        <v>0.94062359310840904</v>
      </c>
      <c r="M1344" s="1">
        <f t="shared" si="3032"/>
        <v>0</v>
      </c>
      <c r="N1344" s="1">
        <f t="shared" si="3032"/>
        <v>-0.33945140460429091</v>
      </c>
      <c r="O1344" s="1">
        <f t="shared" si="2882"/>
        <v>-0.33945140460429091</v>
      </c>
      <c r="P1344" s="1">
        <f t="shared" si="2896"/>
        <v>0.31929599988458446</v>
      </c>
      <c r="Q1344" s="1">
        <f t="shared" si="2897"/>
        <v>0</v>
      </c>
      <c r="R1344" s="1">
        <f t="shared" si="2898"/>
        <v>0.88477274391217398</v>
      </c>
      <c r="S1344" s="1">
        <f t="shared" si="2899"/>
        <v>0.85445482301508979</v>
      </c>
      <c r="T1344" s="1">
        <f t="shared" ref="T1344:V1344" si="3033">$S1344*P1344</f>
        <v>0.27282400707080873</v>
      </c>
      <c r="U1344" s="1">
        <f t="shared" si="3033"/>
        <v>0</v>
      </c>
      <c r="V1344" s="1">
        <f t="shared" si="3033"/>
        <v>0.75599833830805196</v>
      </c>
      <c r="W1344" s="1">
        <f t="shared" si="2901"/>
        <v>-9.6679278853879751</v>
      </c>
      <c r="X1344" s="1">
        <f t="shared" si="2902"/>
        <v>0</v>
      </c>
      <c r="Y1344" s="1">
        <f t="shared" si="2903"/>
        <v>-5.4632419715237894</v>
      </c>
    </row>
    <row r="1345" spans="1:25">
      <c r="A1345" s="1">
        <v>1.34299999999999</v>
      </c>
      <c r="B1345" s="1">
        <f t="shared" si="2904"/>
        <v>43.60052751209485</v>
      </c>
      <c r="C1345" s="1">
        <f t="shared" si="2905"/>
        <v>0</v>
      </c>
      <c r="D1345" s="1">
        <f t="shared" si="2906"/>
        <v>-2.426028713515739</v>
      </c>
      <c r="E1345" s="1">
        <f t="shared" si="2907"/>
        <v>15.148069595363197</v>
      </c>
      <c r="F1345" s="1">
        <f t="shared" si="2908"/>
        <v>0</v>
      </c>
      <c r="G1345" s="1">
        <f t="shared" si="2909"/>
        <v>-5.4755740605685306</v>
      </c>
      <c r="H1345" s="1">
        <f t="shared" si="2880"/>
        <v>16.107325158409694</v>
      </c>
      <c r="I1345" s="1">
        <f t="shared" si="2892"/>
        <v>-9.9299498479688904</v>
      </c>
      <c r="J1345" s="1">
        <f t="shared" si="2893"/>
        <v>0</v>
      </c>
      <c r="K1345" s="1">
        <f t="shared" si="2894"/>
        <v>3.5893798525277525</v>
      </c>
      <c r="L1345" s="1">
        <f t="shared" ref="L1345:N1345" si="3034">E1345/$H1345</f>
        <v>0.94044600493175823</v>
      </c>
      <c r="M1345" s="1">
        <f t="shared" si="3034"/>
        <v>0</v>
      </c>
      <c r="N1345" s="1">
        <f t="shared" si="3034"/>
        <v>-0.33994310083879525</v>
      </c>
      <c r="O1345" s="1">
        <f t="shared" si="2882"/>
        <v>-0.33994310083879525</v>
      </c>
      <c r="P1345" s="1">
        <f t="shared" si="2896"/>
        <v>0.3196981310879588</v>
      </c>
      <c r="Q1345" s="1">
        <f t="shared" si="2897"/>
        <v>0</v>
      </c>
      <c r="R1345" s="1">
        <f t="shared" si="2898"/>
        <v>0.88443868819210469</v>
      </c>
      <c r="S1345" s="1">
        <f t="shared" si="2899"/>
        <v>0.85368751079226068</v>
      </c>
      <c r="T1345" s="1">
        <f t="shared" ref="T1345:V1345" si="3035">$S1345*P1345</f>
        <v>0.27292230173341742</v>
      </c>
      <c r="U1345" s="1">
        <f t="shared" si="3035"/>
        <v>0</v>
      </c>
      <c r="V1345" s="1">
        <f t="shared" si="3035"/>
        <v>0.75503426217109026</v>
      </c>
      <c r="W1345" s="1">
        <f t="shared" si="2901"/>
        <v>-9.6570275462354722</v>
      </c>
      <c r="X1345" s="1">
        <f t="shared" si="2902"/>
        <v>0</v>
      </c>
      <c r="Y1345" s="1">
        <f t="shared" si="2903"/>
        <v>-5.4622358853011566</v>
      </c>
    </row>
    <row r="1346" spans="1:25">
      <c r="A1346" s="1">
        <v>1.3439999999999901</v>
      </c>
      <c r="B1346" s="1">
        <f t="shared" si="2904"/>
        <v>43.615665924662665</v>
      </c>
      <c r="C1346" s="1">
        <f t="shared" si="2905"/>
        <v>0</v>
      </c>
      <c r="D1346" s="1">
        <f t="shared" si="2906"/>
        <v>-2.4315097498121929</v>
      </c>
      <c r="E1346" s="1">
        <f t="shared" si="2907"/>
        <v>15.13841256781696</v>
      </c>
      <c r="F1346" s="1">
        <f t="shared" si="2908"/>
        <v>0</v>
      </c>
      <c r="G1346" s="1">
        <f t="shared" si="2909"/>
        <v>-5.4810362964538317</v>
      </c>
      <c r="H1346" s="1">
        <f t="shared" si="2880"/>
        <v>16.100102296460193</v>
      </c>
      <c r="I1346" s="1">
        <f t="shared" ref="I1346:I1409" si="3036">-K_drag*$H1346*E1346</f>
        <v>-9.919169458853327</v>
      </c>
      <c r="J1346" s="1">
        <f t="shared" ref="J1346:J1409" si="3037">-K_drag*$H1346*F1346</f>
        <v>0</v>
      </c>
      <c r="K1346" s="1">
        <f t="shared" ref="K1346:K1409" si="3038">-K_drag*$H1346*G1346</f>
        <v>3.5913493301293649</v>
      </c>
      <c r="L1346" s="1">
        <f t="shared" ref="L1346:N1346" si="3039">E1346/$H1346</f>
        <v>0.94026809824340851</v>
      </c>
      <c r="M1346" s="1">
        <f t="shared" si="3039"/>
        <v>0</v>
      </c>
      <c r="N1346" s="1">
        <f t="shared" si="3039"/>
        <v>-0.34043487398579481</v>
      </c>
      <c r="O1346" s="1">
        <f t="shared" si="2882"/>
        <v>-0.34043487398579481</v>
      </c>
      <c r="P1346" s="1">
        <f t="shared" ref="P1346:P1409" si="3040">u_axis_f-$O1346*L1346</f>
        <v>0.32010005153835769</v>
      </c>
      <c r="Q1346" s="1">
        <f t="shared" ref="Q1346:Q1409" si="3041">u_axis_r-$O1346*M1346</f>
        <v>0</v>
      </c>
      <c r="R1346" s="1">
        <f t="shared" ref="R1346:R1409" si="3042">u_axis_u-$O1346*N1346</f>
        <v>0.88410409657427602</v>
      </c>
      <c r="S1346" s="1">
        <f t="shared" ref="S1346:S1409" si="3043">K_lift*H1346^2</f>
        <v>0.85292205973430568</v>
      </c>
      <c r="T1346" s="1">
        <f t="shared" ref="T1346:V1346" si="3044">$S1346*P1346</f>
        <v>0.27302039527915345</v>
      </c>
      <c r="U1346" s="1">
        <f t="shared" si="3044"/>
        <v>0</v>
      </c>
      <c r="V1346" s="1">
        <f t="shared" si="3044"/>
        <v>0.75407188706966899</v>
      </c>
      <c r="W1346" s="1">
        <f t="shared" ref="W1346:W1409" si="3045">I1346+T1346+g_f</f>
        <v>-9.6461490635741729</v>
      </c>
      <c r="X1346" s="1">
        <f t="shared" ref="X1346:X1409" si="3046">J1346+U1346+g_r</f>
        <v>0</v>
      </c>
      <c r="Y1346" s="1">
        <f t="shared" ref="Y1346:Y1409" si="3047">K1346+V1346+g_u</f>
        <v>-5.4612287828009656</v>
      </c>
    </row>
    <row r="1347" spans="1:25">
      <c r="A1347" s="1">
        <v>1.34499999999999</v>
      </c>
      <c r="B1347" s="1">
        <f t="shared" ref="B1347:B1410" si="3048">B1346+E1347*dt</f>
        <v>43.63079469108142</v>
      </c>
      <c r="C1347" s="1">
        <f t="shared" ref="C1347:C1410" si="3049">C1346+F1347*dt</f>
        <v>0</v>
      </c>
      <c r="D1347" s="1">
        <f t="shared" ref="D1347:D1410" si="3050">D1346+G1347*dt</f>
        <v>-2.4369962473374294</v>
      </c>
      <c r="E1347" s="1">
        <f t="shared" ref="E1347:E1410" si="3051">E1346+W1346*dt</f>
        <v>15.128766418753386</v>
      </c>
      <c r="F1347" s="1">
        <f t="shared" ref="F1347:F1410" si="3052">F1346+X1346*dt</f>
        <v>0</v>
      </c>
      <c r="G1347" s="1">
        <f t="shared" ref="G1347:G1410" si="3053">G1346+Y1346*dt</f>
        <v>-5.4864975252366328</v>
      </c>
      <c r="H1347" s="1">
        <f t="shared" si="2880"/>
        <v>16.09289372510823</v>
      </c>
      <c r="I1347" s="1">
        <f t="shared" si="3036"/>
        <v>-9.9084106705980997</v>
      </c>
      <c r="J1347" s="1">
        <f t="shared" si="3037"/>
        <v>0</v>
      </c>
      <c r="K1347" s="1">
        <f t="shared" si="3038"/>
        <v>3.593318127767366</v>
      </c>
      <c r="L1347" s="1">
        <f t="shared" ref="L1347:N1347" si="3054">E1347/$H1347</f>
        <v>0.94008987303193292</v>
      </c>
      <c r="M1347" s="1">
        <f t="shared" si="3054"/>
        <v>0</v>
      </c>
      <c r="N1347" s="1">
        <f t="shared" si="3054"/>
        <v>-0.3409267232453394</v>
      </c>
      <c r="O1347" s="1">
        <f t="shared" si="2882"/>
        <v>-0.3409267232453394</v>
      </c>
      <c r="P1347" s="1">
        <f t="shared" si="3040"/>
        <v>0.32050175996890407</v>
      </c>
      <c r="Q1347" s="1">
        <f t="shared" si="3041"/>
        <v>0</v>
      </c>
      <c r="R1347" s="1">
        <f t="shared" si="3042"/>
        <v>0.88376896937719573</v>
      </c>
      <c r="S1347" s="1">
        <f t="shared" si="3043"/>
        <v>0.8521584654418034</v>
      </c>
      <c r="T1347" s="1">
        <f t="shared" ref="T1347:V1347" si="3055">$S1347*P1347</f>
        <v>0.27311828794649851</v>
      </c>
      <c r="U1347" s="1">
        <f t="shared" si="3055"/>
        <v>0</v>
      </c>
      <c r="V1347" s="1">
        <f t="shared" si="3055"/>
        <v>0.75311120874955528</v>
      </c>
      <c r="W1347" s="1">
        <f t="shared" si="3045"/>
        <v>-9.6352923826516008</v>
      </c>
      <c r="X1347" s="1">
        <f t="shared" si="3046"/>
        <v>0</v>
      </c>
      <c r="Y1347" s="1">
        <f t="shared" si="3047"/>
        <v>-5.4602206634830779</v>
      </c>
    </row>
    <row r="1348" spans="1:25">
      <c r="A1348" s="1">
        <v>1.3459999999999901</v>
      </c>
      <c r="B1348" s="1">
        <f t="shared" si="3048"/>
        <v>43.645913822207788</v>
      </c>
      <c r="C1348" s="1">
        <f t="shared" si="3049"/>
        <v>0</v>
      </c>
      <c r="D1348" s="1">
        <f t="shared" si="3050"/>
        <v>-2.4424882050833294</v>
      </c>
      <c r="E1348" s="1">
        <f t="shared" si="3051"/>
        <v>15.119131126370736</v>
      </c>
      <c r="F1348" s="1">
        <f t="shared" si="3052"/>
        <v>0</v>
      </c>
      <c r="G1348" s="1">
        <f t="shared" si="3053"/>
        <v>-5.4919577459001161</v>
      </c>
      <c r="H1348" s="1">
        <f t="shared" si="2880"/>
        <v>16.085699422130972</v>
      </c>
      <c r="I1348" s="1">
        <f t="shared" si="3036"/>
        <v>-9.8976734288523271</v>
      </c>
      <c r="J1348" s="1">
        <f t="shared" si="3037"/>
        <v>0</v>
      </c>
      <c r="K1348" s="1">
        <f t="shared" si="3038"/>
        <v>3.595286250224059</v>
      </c>
      <c r="L1348" s="1">
        <f t="shared" ref="L1348:N1348" si="3056">E1348/$H1348</f>
        <v>0.93991132928727883</v>
      </c>
      <c r="M1348" s="1">
        <f t="shared" si="3056"/>
        <v>0</v>
      </c>
      <c r="N1348" s="1">
        <f t="shared" si="3056"/>
        <v>-0.34141864781733949</v>
      </c>
      <c r="O1348" s="1">
        <f t="shared" si="2882"/>
        <v>-0.34141864781733949</v>
      </c>
      <c r="P1348" s="1">
        <f t="shared" si="3040"/>
        <v>0.32090325511346085</v>
      </c>
      <c r="Q1348" s="1">
        <f t="shared" si="3041"/>
        <v>0</v>
      </c>
      <c r="R1348" s="1">
        <f t="shared" si="3042"/>
        <v>0.88343330692257949</v>
      </c>
      <c r="S1348" s="1">
        <f t="shared" si="3043"/>
        <v>0.85139672352852358</v>
      </c>
      <c r="T1348" s="1">
        <f t="shared" ref="T1348:V1348" si="3057">$S1348*P1348</f>
        <v>0.27321597997323849</v>
      </c>
      <c r="U1348" s="1">
        <f t="shared" si="3057"/>
        <v>0</v>
      </c>
      <c r="V1348" s="1">
        <f t="shared" si="3057"/>
        <v>0.75215222296985274</v>
      </c>
      <c r="W1348" s="1">
        <f t="shared" si="3045"/>
        <v>-9.6244574488790882</v>
      </c>
      <c r="X1348" s="1">
        <f t="shared" si="3046"/>
        <v>0</v>
      </c>
      <c r="Y1348" s="1">
        <f t="shared" si="3047"/>
        <v>-5.4592115268060875</v>
      </c>
    </row>
    <row r="1349" spans="1:25">
      <c r="A1349" s="1">
        <v>1.34699999999999</v>
      </c>
      <c r="B1349" s="1">
        <f t="shared" si="3048"/>
        <v>43.661023328876709</v>
      </c>
      <c r="C1349" s="1">
        <f t="shared" si="3049"/>
        <v>0</v>
      </c>
      <c r="D1349" s="1">
        <f t="shared" si="3050"/>
        <v>-2.4479856220407563</v>
      </c>
      <c r="E1349" s="1">
        <f t="shared" si="3051"/>
        <v>15.109506668921856</v>
      </c>
      <c r="F1349" s="1">
        <f t="shared" si="3052"/>
        <v>0</v>
      </c>
      <c r="G1349" s="1">
        <f t="shared" si="3053"/>
        <v>-5.497416957426922</v>
      </c>
      <c r="H1349" s="1">
        <f t="shared" si="2880"/>
        <v>16.078519365351998</v>
      </c>
      <c r="I1349" s="1">
        <f t="shared" si="3036"/>
        <v>-9.8869576794276455</v>
      </c>
      <c r="J1349" s="1">
        <f t="shared" si="3037"/>
        <v>0</v>
      </c>
      <c r="K1349" s="1">
        <f t="shared" si="3038"/>
        <v>3.5972537022697</v>
      </c>
      <c r="L1349" s="1">
        <f t="shared" ref="L1349:N1349" si="3058">E1349/$H1349</f>
        <v>0.93973246700076807</v>
      </c>
      <c r="M1349" s="1">
        <f t="shared" si="3058"/>
        <v>0</v>
      </c>
      <c r="N1349" s="1">
        <f t="shared" si="3058"/>
        <v>-0.34191064690156997</v>
      </c>
      <c r="O1349" s="1">
        <f t="shared" si="2882"/>
        <v>-0.34191064690156997</v>
      </c>
      <c r="P1349" s="1">
        <f t="shared" si="3040"/>
        <v>0.32130453570664086</v>
      </c>
      <c r="Q1349" s="1">
        <f t="shared" si="3041"/>
        <v>0</v>
      </c>
      <c r="R1349" s="1">
        <f t="shared" si="3042"/>
        <v>0.88309710953534992</v>
      </c>
      <c r="S1349" s="1">
        <f t="shared" si="3043"/>
        <v>0.8506368296213781</v>
      </c>
      <c r="T1349" s="1">
        <f t="shared" ref="T1349:V1349" si="3059">$S1349*P1349</f>
        <v>0.27331347159646585</v>
      </c>
      <c r="U1349" s="1">
        <f t="shared" si="3059"/>
        <v>0</v>
      </c>
      <c r="V1349" s="1">
        <f t="shared" si="3059"/>
        <v>0.75119492550295297</v>
      </c>
      <c r="W1349" s="1">
        <f t="shared" si="3045"/>
        <v>-9.6136442078311788</v>
      </c>
      <c r="X1349" s="1">
        <f t="shared" si="3046"/>
        <v>0</v>
      </c>
      <c r="Y1349" s="1">
        <f t="shared" si="3047"/>
        <v>-5.4582013722273466</v>
      </c>
    </row>
    <row r="1350" spans="1:25">
      <c r="A1350" s="1">
        <v>1.3479999999999901</v>
      </c>
      <c r="B1350" s="1">
        <f t="shared" si="3048"/>
        <v>43.67612322190142</v>
      </c>
      <c r="C1350" s="1">
        <f t="shared" si="3049"/>
        <v>0</v>
      </c>
      <c r="D1350" s="1">
        <f t="shared" si="3050"/>
        <v>-2.4534884971995554</v>
      </c>
      <c r="E1350" s="1">
        <f t="shared" si="3051"/>
        <v>15.099893024714024</v>
      </c>
      <c r="F1350" s="1">
        <f t="shared" si="3052"/>
        <v>0</v>
      </c>
      <c r="G1350" s="1">
        <f t="shared" si="3053"/>
        <v>-5.5028751587991493</v>
      </c>
      <c r="H1350" s="1">
        <f t="shared" si="2880"/>
        <v>16.071353532641115</v>
      </c>
      <c r="I1350" s="1">
        <f t="shared" si="3036"/>
        <v>-9.8762633682976055</v>
      </c>
      <c r="J1350" s="1">
        <f t="shared" si="3037"/>
        <v>0</v>
      </c>
      <c r="K1350" s="1">
        <f t="shared" si="3038"/>
        <v>3.5992204886625143</v>
      </c>
      <c r="L1350" s="1">
        <f t="shared" ref="L1350:N1350" si="3060">E1350/$H1350</f>
        <v>0.93955328616509848</v>
      </c>
      <c r="M1350" s="1">
        <f t="shared" si="3060"/>
        <v>0</v>
      </c>
      <c r="N1350" s="1">
        <f t="shared" si="3060"/>
        <v>-0.34240271969767466</v>
      </c>
      <c r="O1350" s="1">
        <f t="shared" si="2882"/>
        <v>-0.34240271969767466</v>
      </c>
      <c r="P1350" s="1">
        <f t="shared" si="3040"/>
        <v>0.3217056004838173</v>
      </c>
      <c r="Q1350" s="1">
        <f t="shared" si="3041"/>
        <v>0</v>
      </c>
      <c r="R1350" s="1">
        <f t="shared" si="3042"/>
        <v>0.88276037754363568</v>
      </c>
      <c r="S1350" s="1">
        <f t="shared" si="3043"/>
        <v>0.84987877936037082</v>
      </c>
      <c r="T1350" s="1">
        <f t="shared" ref="T1350:V1350" si="3061">$S1350*P1350</f>
        <v>0.27341076305258177</v>
      </c>
      <c r="U1350" s="1">
        <f t="shared" si="3061"/>
        <v>0</v>
      </c>
      <c r="V1350" s="1">
        <f t="shared" si="3061"/>
        <v>0.75023931213448514</v>
      </c>
      <c r="W1350" s="1">
        <f t="shared" si="3045"/>
        <v>-9.6028526052450243</v>
      </c>
      <c r="X1350" s="1">
        <f t="shared" si="3046"/>
        <v>0</v>
      </c>
      <c r="Y1350" s="1">
        <f t="shared" si="3047"/>
        <v>-5.4571901992029996</v>
      </c>
    </row>
    <row r="1351" spans="1:25">
      <c r="A1351" s="1">
        <v>1.34899999999999</v>
      </c>
      <c r="B1351" s="1">
        <f t="shared" si="3048"/>
        <v>43.691213512073531</v>
      </c>
      <c r="C1351" s="1">
        <f t="shared" si="3049"/>
        <v>0</v>
      </c>
      <c r="D1351" s="1">
        <f t="shared" si="3050"/>
        <v>-2.4589968295485538</v>
      </c>
      <c r="E1351" s="1">
        <f t="shared" si="3051"/>
        <v>15.09029017210878</v>
      </c>
      <c r="F1351" s="1">
        <f t="shared" si="3052"/>
        <v>0</v>
      </c>
      <c r="G1351" s="1">
        <f t="shared" si="3053"/>
        <v>-5.5083323489983522</v>
      </c>
      <c r="H1351" s="1">
        <f t="shared" si="2880"/>
        <v>16.064201901914224</v>
      </c>
      <c r="I1351" s="1">
        <f t="shared" si="3036"/>
        <v>-9.8655904415970763</v>
      </c>
      <c r="J1351" s="1">
        <f t="shared" si="3037"/>
        <v>0</v>
      </c>
      <c r="K1351" s="1">
        <f t="shared" si="3038"/>
        <v>3.6011866141487197</v>
      </c>
      <c r="L1351" s="1">
        <f t="shared" ref="L1351:N1351" si="3062">E1351/$H1351</f>
        <v>0.9393737867743438</v>
      </c>
      <c r="M1351" s="1">
        <f t="shared" si="3062"/>
        <v>0</v>
      </c>
      <c r="N1351" s="1">
        <f t="shared" si="3062"/>
        <v>-0.34289486540516989</v>
      </c>
      <c r="O1351" s="1">
        <f t="shared" si="2882"/>
        <v>-0.34289486540516989</v>
      </c>
      <c r="P1351" s="1">
        <f t="shared" si="3040"/>
        <v>0.32210644818113338</v>
      </c>
      <c r="Q1351" s="1">
        <f t="shared" si="3041"/>
        <v>0</v>
      </c>
      <c r="R1351" s="1">
        <f t="shared" si="3042"/>
        <v>0.88242311127877038</v>
      </c>
      <c r="S1351" s="1">
        <f t="shared" si="3043"/>
        <v>0.84912256839855138</v>
      </c>
      <c r="T1351" s="1">
        <f t="shared" ref="T1351:V1351" si="3063">$S1351*P1351</f>
        <v>0.27350785457729887</v>
      </c>
      <c r="U1351" s="1">
        <f t="shared" si="3063"/>
        <v>0</v>
      </c>
      <c r="V1351" s="1">
        <f t="shared" si="3063"/>
        <v>0.74928537866327016</v>
      </c>
      <c r="W1351" s="1">
        <f t="shared" si="3045"/>
        <v>-9.5920825870197781</v>
      </c>
      <c r="X1351" s="1">
        <f t="shared" si="3046"/>
        <v>0</v>
      </c>
      <c r="Y1351" s="1">
        <f t="shared" si="3047"/>
        <v>-5.4561780071880097</v>
      </c>
    </row>
    <row r="1352" spans="1:25">
      <c r="A1352" s="1">
        <v>1.3499999999999901</v>
      </c>
      <c r="B1352" s="1">
        <f t="shared" si="3048"/>
        <v>43.706294210163051</v>
      </c>
      <c r="C1352" s="1">
        <f t="shared" si="3049"/>
        <v>0</v>
      </c>
      <c r="D1352" s="1">
        <f t="shared" si="3050"/>
        <v>-2.4645106180755594</v>
      </c>
      <c r="E1352" s="1">
        <f t="shared" si="3051"/>
        <v>15.080698089521761</v>
      </c>
      <c r="F1352" s="1">
        <f t="shared" si="3052"/>
        <v>0</v>
      </c>
      <c r="G1352" s="1">
        <f t="shared" si="3053"/>
        <v>-5.5137885270055405</v>
      </c>
      <c r="H1352" s="1">
        <f t="shared" si="2880"/>
        <v>16.057064451133126</v>
      </c>
      <c r="I1352" s="1">
        <f t="shared" si="3036"/>
        <v>-9.8549388456216356</v>
      </c>
      <c r="J1352" s="1">
        <f t="shared" si="3037"/>
        <v>0</v>
      </c>
      <c r="K1352" s="1">
        <f t="shared" si="3038"/>
        <v>3.6031520834625348</v>
      </c>
      <c r="L1352" s="1">
        <f t="shared" ref="L1352:N1352" si="3064">E1352/$H1352</f>
        <v>0.93919396882395501</v>
      </c>
      <c r="M1352" s="1">
        <f t="shared" si="3064"/>
        <v>0</v>
      </c>
      <c r="N1352" s="1">
        <f t="shared" si="3064"/>
        <v>-0.34338708322344935</v>
      </c>
      <c r="O1352" s="1">
        <f t="shared" si="2882"/>
        <v>-0.34338708322344935</v>
      </c>
      <c r="P1352" s="1">
        <f t="shared" si="3040"/>
        <v>0.32250707753551311</v>
      </c>
      <c r="Q1352" s="1">
        <f t="shared" si="3041"/>
        <v>0</v>
      </c>
      <c r="R1352" s="1">
        <f t="shared" si="3042"/>
        <v>0.88208531107529187</v>
      </c>
      <c r="S1352" s="1">
        <f t="shared" si="3043"/>
        <v>0.84836819240196337</v>
      </c>
      <c r="T1352" s="1">
        <f t="shared" ref="T1352:V1352" si="3065">$S1352*P1352</f>
        <v>0.27360474640564308</v>
      </c>
      <c r="U1352" s="1">
        <f t="shared" si="3065"/>
        <v>0</v>
      </c>
      <c r="V1352" s="1">
        <f t="shared" si="3065"/>
        <v>0.74833312090126891</v>
      </c>
      <c r="W1352" s="1">
        <f t="shared" si="3045"/>
        <v>-9.5813340992159919</v>
      </c>
      <c r="X1352" s="1">
        <f t="shared" si="3046"/>
        <v>0</v>
      </c>
      <c r="Y1352" s="1">
        <f t="shared" si="3047"/>
        <v>-5.4551647956361959</v>
      </c>
    </row>
    <row r="1353" spans="1:25">
      <c r="A1353" s="1">
        <v>1.35099999999999</v>
      </c>
      <c r="B1353" s="1">
        <f t="shared" si="3048"/>
        <v>43.721365326918473</v>
      </c>
      <c r="C1353" s="1">
        <f t="shared" si="3049"/>
        <v>0</v>
      </c>
      <c r="D1353" s="1">
        <f t="shared" si="3050"/>
        <v>-2.4700298617673604</v>
      </c>
      <c r="E1353" s="1">
        <f t="shared" si="3051"/>
        <v>15.071116755422544</v>
      </c>
      <c r="F1353" s="1">
        <f t="shared" si="3052"/>
        <v>0</v>
      </c>
      <c r="G1353" s="1">
        <f t="shared" si="3053"/>
        <v>-5.5192436918011767</v>
      </c>
      <c r="H1353" s="1">
        <f t="shared" si="2880"/>
        <v>16.049941158305387</v>
      </c>
      <c r="I1353" s="1">
        <f t="shared" si="3036"/>
        <v>-9.8443085268269943</v>
      </c>
      <c r="J1353" s="1">
        <f t="shared" si="3037"/>
        <v>0</v>
      </c>
      <c r="K1353" s="1">
        <f t="shared" si="3038"/>
        <v>3.6051169013262085</v>
      </c>
      <c r="L1353" s="1">
        <f t="shared" ref="L1353:N1353" si="3066">E1353/$H1353</f>
        <v>0.9390138323107603</v>
      </c>
      <c r="M1353" s="1">
        <f t="shared" si="3066"/>
        <v>0</v>
      </c>
      <c r="N1353" s="1">
        <f t="shared" si="3066"/>
        <v>-0.34387937235178745</v>
      </c>
      <c r="O1353" s="1">
        <f t="shared" si="2882"/>
        <v>-0.34387937235178745</v>
      </c>
      <c r="P1353" s="1">
        <f t="shared" si="3040"/>
        <v>0.32290748728467084</v>
      </c>
      <c r="Q1353" s="1">
        <f t="shared" si="3041"/>
        <v>0</v>
      </c>
      <c r="R1353" s="1">
        <f t="shared" si="3042"/>
        <v>0.88174697727094076</v>
      </c>
      <c r="S1353" s="1">
        <f t="shared" si="3043"/>
        <v>0.84761564704959824</v>
      </c>
      <c r="T1353" s="1">
        <f t="shared" ref="T1353:V1353" si="3067">$S1353*P1353</f>
        <v>0.27370143877195618</v>
      </c>
      <c r="U1353" s="1">
        <f t="shared" si="3067"/>
        <v>0</v>
      </c>
      <c r="V1353" s="1">
        <f t="shared" si="3067"/>
        <v>0.74738253467353588</v>
      </c>
      <c r="W1353" s="1">
        <f t="shared" si="3045"/>
        <v>-9.5706070880550378</v>
      </c>
      <c r="X1353" s="1">
        <f t="shared" si="3046"/>
        <v>0</v>
      </c>
      <c r="Y1353" s="1">
        <f t="shared" si="3047"/>
        <v>-5.4541505640002548</v>
      </c>
    </row>
    <row r="1354" spans="1:25">
      <c r="A1354" s="1">
        <v>1.3519999999999901</v>
      </c>
      <c r="B1354" s="1">
        <f t="shared" si="3048"/>
        <v>43.736426873066804</v>
      </c>
      <c r="C1354" s="1">
        <f t="shared" si="3049"/>
        <v>0</v>
      </c>
      <c r="D1354" s="1">
        <f t="shared" si="3050"/>
        <v>-2.4755545596097255</v>
      </c>
      <c r="E1354" s="1">
        <f t="shared" si="3051"/>
        <v>15.061546148334489</v>
      </c>
      <c r="F1354" s="1">
        <f t="shared" si="3052"/>
        <v>0</v>
      </c>
      <c r="G1354" s="1">
        <f t="shared" si="3053"/>
        <v>-5.5246978423651774</v>
      </c>
      <c r="H1354" s="1">
        <f t="shared" si="2880"/>
        <v>16.04283200148415</v>
      </c>
      <c r="I1354" s="1">
        <f t="shared" si="3036"/>
        <v>-9.8336994318283804</v>
      </c>
      <c r="J1354" s="1">
        <f t="shared" si="3037"/>
        <v>0</v>
      </c>
      <c r="K1354" s="1">
        <f t="shared" si="3038"/>
        <v>3.6070810724500255</v>
      </c>
      <c r="L1354" s="1">
        <f t="shared" ref="L1354:N1354" si="3068">E1354/$H1354</f>
        <v>0.93883337723296734</v>
      </c>
      <c r="M1354" s="1">
        <f t="shared" si="3068"/>
        <v>0</v>
      </c>
      <c r="N1354" s="1">
        <f t="shared" si="3068"/>
        <v>-0.3443717319893444</v>
      </c>
      <c r="O1354" s="1">
        <f t="shared" si="2882"/>
        <v>-0.3443717319893444</v>
      </c>
      <c r="P1354" s="1">
        <f t="shared" si="3040"/>
        <v>0.32330767616712247</v>
      </c>
      <c r="Q1354" s="1">
        <f t="shared" si="3041"/>
        <v>0</v>
      </c>
      <c r="R1354" s="1">
        <f t="shared" si="3042"/>
        <v>0.8814081102066591</v>
      </c>
      <c r="S1354" s="1">
        <f t="shared" si="3043"/>
        <v>0.84686492803334479</v>
      </c>
      <c r="T1354" s="1">
        <f t="shared" ref="T1354:V1354" si="3069">$S1354*P1354</f>
        <v>0.2737979319098981</v>
      </c>
      <c r="U1354" s="1">
        <f t="shared" si="3069"/>
        <v>0</v>
      </c>
      <c r="V1354" s="1">
        <f t="shared" si="3069"/>
        <v>0.74643361581816881</v>
      </c>
      <c r="W1354" s="1">
        <f t="shared" si="3045"/>
        <v>-9.5599014999184817</v>
      </c>
      <c r="X1354" s="1">
        <f t="shared" si="3046"/>
        <v>0</v>
      </c>
      <c r="Y1354" s="1">
        <f t="shared" si="3047"/>
        <v>-5.4531353117318053</v>
      </c>
    </row>
    <row r="1355" spans="1:25">
      <c r="A1355" s="1">
        <v>1.35299999999999</v>
      </c>
      <c r="B1355" s="1">
        <f t="shared" si="3048"/>
        <v>43.751478859313636</v>
      </c>
      <c r="C1355" s="1">
        <f t="shared" si="3049"/>
        <v>0</v>
      </c>
      <c r="D1355" s="1">
        <f t="shared" si="3050"/>
        <v>-2.4810847105874023</v>
      </c>
      <c r="E1355" s="1">
        <f t="shared" si="3051"/>
        <v>15.051986246834572</v>
      </c>
      <c r="F1355" s="1">
        <f t="shared" si="3052"/>
        <v>0</v>
      </c>
      <c r="G1355" s="1">
        <f t="shared" si="3053"/>
        <v>-5.5301509776769091</v>
      </c>
      <c r="H1355" s="1">
        <f t="shared" si="2880"/>
        <v>16.035736958767998</v>
      </c>
      <c r="I1355" s="1">
        <f t="shared" si="3036"/>
        <v>-9.8231115073999717</v>
      </c>
      <c r="J1355" s="1">
        <f t="shared" si="3037"/>
        <v>0</v>
      </c>
      <c r="K1355" s="1">
        <f t="shared" si="3038"/>
        <v>3.6090446015323345</v>
      </c>
      <c r="L1355" s="1">
        <f t="shared" ref="L1355:N1355" si="3070">E1355/$H1355</f>
        <v>0.93865260359016223</v>
      </c>
      <c r="M1355" s="1">
        <f t="shared" si="3070"/>
        <v>0</v>
      </c>
      <c r="N1355" s="1">
        <f t="shared" si="3070"/>
        <v>-0.34486416133516962</v>
      </c>
      <c r="O1355" s="1">
        <f t="shared" si="2882"/>
        <v>-0.34486416133516962</v>
      </c>
      <c r="P1355" s="1">
        <f t="shared" si="3040"/>
        <v>0.32370764292219473</v>
      </c>
      <c r="Q1355" s="1">
        <f t="shared" si="3041"/>
        <v>0</v>
      </c>
      <c r="R1355" s="1">
        <f t="shared" si="3042"/>
        <v>0.88106871022659006</v>
      </c>
      <c r="S1355" s="1">
        <f t="shared" si="3043"/>
        <v>0.84611603105794275</v>
      </c>
      <c r="T1355" s="1">
        <f t="shared" ref="T1355:V1355" si="3071">$S1355*P1355</f>
        <v>0.27389422605244917</v>
      </c>
      <c r="U1355" s="1">
        <f t="shared" si="3071"/>
        <v>0</v>
      </c>
      <c r="V1355" s="1">
        <f t="shared" si="3071"/>
        <v>0.74548636018626302</v>
      </c>
      <c r="W1355" s="1">
        <f t="shared" si="3045"/>
        <v>-9.5492172813475218</v>
      </c>
      <c r="X1355" s="1">
        <f t="shared" si="3046"/>
        <v>0</v>
      </c>
      <c r="Y1355" s="1">
        <f t="shared" si="3047"/>
        <v>-5.4521190382814018</v>
      </c>
    </row>
    <row r="1356" spans="1:25">
      <c r="A1356" s="1">
        <v>1.3539999999999901</v>
      </c>
      <c r="B1356" s="1">
        <f t="shared" si="3048"/>
        <v>43.766521296343193</v>
      </c>
      <c r="C1356" s="1">
        <f t="shared" si="3049"/>
        <v>0</v>
      </c>
      <c r="D1356" s="1">
        <f t="shared" si="3050"/>
        <v>-2.4866203136841176</v>
      </c>
      <c r="E1356" s="1">
        <f t="shared" si="3051"/>
        <v>15.042437029553223</v>
      </c>
      <c r="F1356" s="1">
        <f t="shared" si="3052"/>
        <v>0</v>
      </c>
      <c r="G1356" s="1">
        <f t="shared" si="3053"/>
        <v>-5.5356030967151906</v>
      </c>
      <c r="H1356" s="1">
        <f t="shared" si="2880"/>
        <v>16.028656008300782</v>
      </c>
      <c r="I1356" s="1">
        <f t="shared" si="3036"/>
        <v>-9.8125447004742945</v>
      </c>
      <c r="J1356" s="1">
        <f t="shared" si="3037"/>
        <v>0</v>
      </c>
      <c r="K1356" s="1">
        <f t="shared" si="3038"/>
        <v>3.6110074932595584</v>
      </c>
      <c r="L1356" s="1">
        <f t="shared" ref="L1356:N1356" si="3072">E1356/$H1356</f>
        <v>0.93847151138331097</v>
      </c>
      <c r="M1356" s="1">
        <f t="shared" si="3072"/>
        <v>0</v>
      </c>
      <c r="N1356" s="1">
        <f t="shared" si="3072"/>
        <v>-0.34535665958820627</v>
      </c>
      <c r="O1356" s="1">
        <f t="shared" si="2882"/>
        <v>-0.34535665958820627</v>
      </c>
      <c r="P1356" s="1">
        <f t="shared" si="3040"/>
        <v>0.32410738629003555</v>
      </c>
      <c r="Q1356" s="1">
        <f t="shared" si="3041"/>
        <v>0</v>
      </c>
      <c r="R1356" s="1">
        <f t="shared" si="3042"/>
        <v>0.88072877767807578</v>
      </c>
      <c r="S1356" s="1">
        <f t="shared" si="3043"/>
        <v>0.84536895184093508</v>
      </c>
      <c r="T1356" s="1">
        <f t="shared" ref="T1356:V1356" si="3073">$S1356*P1356</f>
        <v>0.27399032143191243</v>
      </c>
      <c r="U1356" s="1">
        <f t="shared" si="3073"/>
        <v>0</v>
      </c>
      <c r="V1356" s="1">
        <f t="shared" si="3073"/>
        <v>0.74454076364186283</v>
      </c>
      <c r="W1356" s="1">
        <f t="shared" si="3045"/>
        <v>-9.5385543790423828</v>
      </c>
      <c r="X1356" s="1">
        <f t="shared" si="3046"/>
        <v>0</v>
      </c>
      <c r="Y1356" s="1">
        <f t="shared" si="3047"/>
        <v>-5.4511017430985778</v>
      </c>
    </row>
    <row r="1357" spans="1:25">
      <c r="A1357" s="1">
        <v>1.35499999999999</v>
      </c>
      <c r="B1357" s="1">
        <f t="shared" si="3048"/>
        <v>43.781554194818369</v>
      </c>
      <c r="C1357" s="1">
        <f t="shared" si="3049"/>
        <v>0</v>
      </c>
      <c r="D1357" s="1">
        <f t="shared" si="3050"/>
        <v>-2.4921613678825758</v>
      </c>
      <c r="E1357" s="1">
        <f t="shared" si="3051"/>
        <v>15.03289847517418</v>
      </c>
      <c r="F1357" s="1">
        <f t="shared" si="3052"/>
        <v>0</v>
      </c>
      <c r="G1357" s="1">
        <f t="shared" si="3053"/>
        <v>-5.5410541984582888</v>
      </c>
      <c r="H1357" s="1">
        <f t="shared" si="2880"/>
        <v>16.021589128271465</v>
      </c>
      <c r="I1357" s="1">
        <f t="shared" si="3036"/>
        <v>-9.8019989581416525</v>
      </c>
      <c r="J1357" s="1">
        <f t="shared" si="3037"/>
        <v>0</v>
      </c>
      <c r="K1357" s="1">
        <f t="shared" si="3038"/>
        <v>3.6129697523062179</v>
      </c>
      <c r="L1357" s="1">
        <f t="shared" ref="L1357:N1357" si="3074">E1357/$H1357</f>
        <v>0.93829010061476015</v>
      </c>
      <c r="M1357" s="1">
        <f t="shared" si="3074"/>
        <v>0</v>
      </c>
      <c r="N1357" s="1">
        <f t="shared" si="3074"/>
        <v>-0.34584922594729534</v>
      </c>
      <c r="O1357" s="1">
        <f t="shared" si="2882"/>
        <v>-0.34584922594729534</v>
      </c>
      <c r="P1357" s="1">
        <f t="shared" si="3040"/>
        <v>0.32450690501162466</v>
      </c>
      <c r="Q1357" s="1">
        <f t="shared" si="3041"/>
        <v>0</v>
      </c>
      <c r="R1357" s="1">
        <f t="shared" si="3042"/>
        <v>0.88038831291165665</v>
      </c>
      <c r="S1357" s="1">
        <f t="shared" si="3043"/>
        <v>0.84462368611261873</v>
      </c>
      <c r="T1357" s="1">
        <f t="shared" ref="T1357:V1357" si="3075">$S1357*P1357</f>
        <v>0.27408621827991586</v>
      </c>
      <c r="U1357" s="1">
        <f t="shared" si="3075"/>
        <v>0</v>
      </c>
      <c r="V1357" s="1">
        <f t="shared" si="3075"/>
        <v>0.74359682206191302</v>
      </c>
      <c r="W1357" s="1">
        <f t="shared" si="3045"/>
        <v>-9.5279127398617369</v>
      </c>
      <c r="X1357" s="1">
        <f t="shared" si="3046"/>
        <v>0</v>
      </c>
      <c r="Y1357" s="1">
        <f t="shared" si="3047"/>
        <v>-5.4500834256318686</v>
      </c>
    </row>
    <row r="1358" spans="1:25">
      <c r="A1358" s="1">
        <v>1.3559999999999901</v>
      </c>
      <c r="B1358" s="1">
        <f t="shared" si="3048"/>
        <v>43.796577565380801</v>
      </c>
      <c r="C1358" s="1">
        <f t="shared" si="3049"/>
        <v>0</v>
      </c>
      <c r="D1358" s="1">
        <f t="shared" si="3050"/>
        <v>-2.4977078721644599</v>
      </c>
      <c r="E1358" s="1">
        <f t="shared" si="3051"/>
        <v>15.023370562434319</v>
      </c>
      <c r="F1358" s="1">
        <f t="shared" si="3052"/>
        <v>0</v>
      </c>
      <c r="G1358" s="1">
        <f t="shared" si="3053"/>
        <v>-5.5465042818839203</v>
      </c>
      <c r="H1358" s="1">
        <f t="shared" si="2880"/>
        <v>16.014536296913963</v>
      </c>
      <c r="I1358" s="1">
        <f t="shared" si="3036"/>
        <v>-9.7914742276495339</v>
      </c>
      <c r="J1358" s="1">
        <f t="shared" si="3037"/>
        <v>0</v>
      </c>
      <c r="K1358" s="1">
        <f t="shared" si="3038"/>
        <v>3.6149313833349455</v>
      </c>
      <c r="L1358" s="1">
        <f t="shared" ref="L1358:N1358" si="3076">E1358/$H1358</f>
        <v>0.93810837128823743</v>
      </c>
      <c r="M1358" s="1">
        <f t="shared" si="3076"/>
        <v>0</v>
      </c>
      <c r="N1358" s="1">
        <f t="shared" si="3076"/>
        <v>-0.34634185961117986</v>
      </c>
      <c r="O1358" s="1">
        <f t="shared" si="2882"/>
        <v>-0.34634185961117986</v>
      </c>
      <c r="P1358" s="1">
        <f t="shared" si="3040"/>
        <v>0.32490619782878333</v>
      </c>
      <c r="Q1358" s="1">
        <f t="shared" si="3041"/>
        <v>0</v>
      </c>
      <c r="R1358" s="1">
        <f t="shared" si="3042"/>
        <v>0.8800473162810698</v>
      </c>
      <c r="S1358" s="1">
        <f t="shared" si="3043"/>
        <v>0.84388022961599951</v>
      </c>
      <c r="T1358" s="1">
        <f t="shared" ref="T1358:V1358" si="3077">$S1358*P1358</f>
        <v>0.27418191682741505</v>
      </c>
      <c r="U1358" s="1">
        <f t="shared" si="3077"/>
        <v>0</v>
      </c>
      <c r="V1358" s="1">
        <f t="shared" si="3077"/>
        <v>0.74265453133621329</v>
      </c>
      <c r="W1358" s="1">
        <f t="shared" si="3045"/>
        <v>-9.5172923108221195</v>
      </c>
      <c r="X1358" s="1">
        <f t="shared" si="3046"/>
        <v>0</v>
      </c>
      <c r="Y1358" s="1">
        <f t="shared" si="3047"/>
        <v>-5.4490640853288408</v>
      </c>
    </row>
    <row r="1359" spans="1:25">
      <c r="A1359" s="1">
        <v>1.35699999999999</v>
      </c>
      <c r="B1359" s="1">
        <f t="shared" si="3048"/>
        <v>43.811591418650927</v>
      </c>
      <c r="C1359" s="1">
        <f t="shared" si="3049"/>
        <v>0</v>
      </c>
      <c r="D1359" s="1">
        <f t="shared" si="3050"/>
        <v>-2.5032598255104292</v>
      </c>
      <c r="E1359" s="1">
        <f t="shared" si="3051"/>
        <v>15.013853270123498</v>
      </c>
      <c r="F1359" s="1">
        <f t="shared" si="3052"/>
        <v>0</v>
      </c>
      <c r="G1359" s="1">
        <f t="shared" si="3053"/>
        <v>-5.5519533459692489</v>
      </c>
      <c r="H1359" s="1">
        <f t="shared" si="2880"/>
        <v>16.007497492506978</v>
      </c>
      <c r="I1359" s="1">
        <f t="shared" si="3036"/>
        <v>-9.780970456402029</v>
      </c>
      <c r="J1359" s="1">
        <f t="shared" si="3037"/>
        <v>0</v>
      </c>
      <c r="K1359" s="1">
        <f t="shared" si="3038"/>
        <v>3.6168923909965009</v>
      </c>
      <c r="L1359" s="1">
        <f t="shared" ref="L1359:N1359" si="3078">E1359/$H1359</f>
        <v>0.93792632340885262</v>
      </c>
      <c r="M1359" s="1">
        <f t="shared" si="3078"/>
        <v>0</v>
      </c>
      <c r="N1359" s="1">
        <f t="shared" si="3078"/>
        <v>-0.3468345597785093</v>
      </c>
      <c r="O1359" s="1">
        <f t="shared" si="2882"/>
        <v>-0.3468345597785093</v>
      </c>
      <c r="P1359" s="1">
        <f t="shared" si="3040"/>
        <v>0.32530526348418515</v>
      </c>
      <c r="Q1359" s="1">
        <f t="shared" si="3041"/>
        <v>0</v>
      </c>
      <c r="R1359" s="1">
        <f t="shared" si="3042"/>
        <v>0.87970578814324762</v>
      </c>
      <c r="S1359" s="1">
        <f t="shared" si="3043"/>
        <v>0.8431385781067412</v>
      </c>
      <c r="T1359" s="1">
        <f t="shared" ref="T1359:V1359" si="3079">$S1359*P1359</f>
        <v>0.27427741730469468</v>
      </c>
      <c r="U1359" s="1">
        <f t="shared" si="3079"/>
        <v>0</v>
      </c>
      <c r="V1359" s="1">
        <f t="shared" si="3079"/>
        <v>0.74171388736736787</v>
      </c>
      <c r="W1359" s="1">
        <f t="shared" si="3045"/>
        <v>-9.5066930390973337</v>
      </c>
      <c r="X1359" s="1">
        <f t="shared" si="3046"/>
        <v>0</v>
      </c>
      <c r="Y1359" s="1">
        <f t="shared" si="3047"/>
        <v>-5.4480437216361306</v>
      </c>
    </row>
    <row r="1360" spans="1:25">
      <c r="A1360" s="1">
        <v>1.3579999999999901</v>
      </c>
      <c r="B1360" s="1">
        <f t="shared" si="3048"/>
        <v>43.826595765228014</v>
      </c>
      <c r="C1360" s="1">
        <f t="shared" si="3049"/>
        <v>0</v>
      </c>
      <c r="D1360" s="1">
        <f t="shared" si="3050"/>
        <v>-2.5088172269001201</v>
      </c>
      <c r="E1360" s="1">
        <f t="shared" si="3051"/>
        <v>15.0043465770844</v>
      </c>
      <c r="F1360" s="1">
        <f t="shared" si="3052"/>
        <v>0</v>
      </c>
      <c r="G1360" s="1">
        <f t="shared" si="3053"/>
        <v>-5.5574013896908854</v>
      </c>
      <c r="H1360" s="1">
        <f t="shared" si="2880"/>
        <v>16.000472693373862</v>
      </c>
      <c r="I1360" s="1">
        <f t="shared" si="3036"/>
        <v>-9.7704875919592684</v>
      </c>
      <c r="J1360" s="1">
        <f t="shared" si="3037"/>
        <v>0</v>
      </c>
      <c r="K1360" s="1">
        <f t="shared" si="3038"/>
        <v>3.6188527799297958</v>
      </c>
      <c r="L1360" s="1">
        <f t="shared" ref="L1360:N1360" si="3080">E1360/$H1360</f>
        <v>0.9377439569830972</v>
      </c>
      <c r="M1360" s="1">
        <f t="shared" si="3080"/>
        <v>0</v>
      </c>
      <c r="N1360" s="1">
        <f t="shared" si="3080"/>
        <v>-0.34732732564784313</v>
      </c>
      <c r="O1360" s="1">
        <f t="shared" si="2882"/>
        <v>-0.34732732564784313</v>
      </c>
      <c r="P1360" s="1">
        <f t="shared" si="3040"/>
        <v>0.32570410072136519</v>
      </c>
      <c r="Q1360" s="1">
        <f t="shared" si="3041"/>
        <v>0</v>
      </c>
      <c r="R1360" s="1">
        <f t="shared" si="3042"/>
        <v>0.87936372885831715</v>
      </c>
      <c r="S1360" s="1">
        <f t="shared" si="3043"/>
        <v>0.84239872735312327</v>
      </c>
      <c r="T1360" s="1">
        <f t="shared" ref="T1360:V1360" si="3081">$S1360*P1360</f>
        <v>0.27437271994137152</v>
      </c>
      <c r="U1360" s="1">
        <f t="shared" si="3081"/>
        <v>0</v>
      </c>
      <c r="V1360" s="1">
        <f t="shared" si="3081"/>
        <v>0.74077488607074338</v>
      </c>
      <c r="W1360" s="1">
        <f t="shared" si="3045"/>
        <v>-9.4961148720178965</v>
      </c>
      <c r="X1360" s="1">
        <f t="shared" si="3046"/>
        <v>0</v>
      </c>
      <c r="Y1360" s="1">
        <f t="shared" si="3047"/>
        <v>-5.4470223339994606</v>
      </c>
    </row>
    <row r="1361" spans="1:25">
      <c r="A1361" s="1">
        <v>1.35899999999999</v>
      </c>
      <c r="B1361" s="1">
        <f t="shared" si="3048"/>
        <v>43.841590615690222</v>
      </c>
      <c r="C1361" s="1">
        <f t="shared" si="3049"/>
        <v>0</v>
      </c>
      <c r="D1361" s="1">
        <f t="shared" si="3050"/>
        <v>-2.514380075312145</v>
      </c>
      <c r="E1361" s="1">
        <f t="shared" si="3051"/>
        <v>14.994850462212382</v>
      </c>
      <c r="F1361" s="1">
        <f t="shared" si="3052"/>
        <v>0</v>
      </c>
      <c r="G1361" s="1">
        <f t="shared" si="3053"/>
        <v>-5.5628484120248851</v>
      </c>
      <c r="H1361" s="1">
        <f t="shared" si="2880"/>
        <v>15.993461877882432</v>
      </c>
      <c r="I1361" s="1">
        <f t="shared" si="3036"/>
        <v>-9.7600255820368389</v>
      </c>
      <c r="J1361" s="1">
        <f t="shared" si="3037"/>
        <v>0</v>
      </c>
      <c r="K1361" s="1">
        <f t="shared" si="3038"/>
        <v>3.6208125547619012</v>
      </c>
      <c r="L1361" s="1">
        <f t="shared" ref="L1361:N1361" si="3082">E1361/$H1361</f>
        <v>0.93756127201884654</v>
      </c>
      <c r="M1361" s="1">
        <f t="shared" si="3082"/>
        <v>0</v>
      </c>
      <c r="N1361" s="1">
        <f t="shared" si="3082"/>
        <v>-0.34782015641765596</v>
      </c>
      <c r="O1361" s="1">
        <f t="shared" si="2882"/>
        <v>-0.34782015641765596</v>
      </c>
      <c r="P1361" s="1">
        <f t="shared" si="3040"/>
        <v>0.3261027082847317</v>
      </c>
      <c r="Q1361" s="1">
        <f t="shared" si="3041"/>
        <v>0</v>
      </c>
      <c r="R1361" s="1">
        <f t="shared" si="3042"/>
        <v>0.87902113878959731</v>
      </c>
      <c r="S1361" s="1">
        <f t="shared" si="3043"/>
        <v>0.84166067313598947</v>
      </c>
      <c r="T1361" s="1">
        <f t="shared" ref="T1361:V1361" si="3083">$S1361*P1361</f>
        <v>0.27446782496639649</v>
      </c>
      <c r="U1361" s="1">
        <f t="shared" si="3083"/>
        <v>0</v>
      </c>
      <c r="V1361" s="1">
        <f t="shared" si="3083"/>
        <v>0.73983752337441655</v>
      </c>
      <c r="W1361" s="1">
        <f t="shared" si="3045"/>
        <v>-9.4855577570704419</v>
      </c>
      <c r="X1361" s="1">
        <f t="shared" si="3046"/>
        <v>0</v>
      </c>
      <c r="Y1361" s="1">
        <f t="shared" si="3047"/>
        <v>-5.4459999218636819</v>
      </c>
    </row>
    <row r="1362" spans="1:25">
      <c r="A1362" s="1">
        <v>1.3599999999999901</v>
      </c>
      <c r="B1362" s="1">
        <f t="shared" si="3048"/>
        <v>43.856575980594677</v>
      </c>
      <c r="C1362" s="1">
        <f t="shared" si="3049"/>
        <v>0</v>
      </c>
      <c r="D1362" s="1">
        <f t="shared" si="3050"/>
        <v>-2.5199483697240916</v>
      </c>
      <c r="E1362" s="1">
        <f t="shared" si="3051"/>
        <v>14.985364904455311</v>
      </c>
      <c r="F1362" s="1">
        <f t="shared" si="3052"/>
        <v>0</v>
      </c>
      <c r="G1362" s="1">
        <f t="shared" si="3053"/>
        <v>-5.5682944119467486</v>
      </c>
      <c r="H1362" s="1">
        <f t="shared" si="2880"/>
        <v>15.986465024444845</v>
      </c>
      <c r="I1362" s="1">
        <f t="shared" si="3036"/>
        <v>-9.7495843745052184</v>
      </c>
      <c r="J1362" s="1">
        <f t="shared" si="3037"/>
        <v>0</v>
      </c>
      <c r="K1362" s="1">
        <f t="shared" si="3038"/>
        <v>3.6227717201080751</v>
      </c>
      <c r="L1362" s="1">
        <f t="shared" ref="L1362:N1362" si="3084">E1362/$H1362</f>
        <v>0.93737826852535844</v>
      </c>
      <c r="M1362" s="1">
        <f t="shared" si="3084"/>
        <v>0</v>
      </c>
      <c r="N1362" s="1">
        <f t="shared" si="3084"/>
        <v>-0.34831305128634066</v>
      </c>
      <c r="O1362" s="1">
        <f t="shared" si="2882"/>
        <v>-0.34831305128634066</v>
      </c>
      <c r="P1362" s="1">
        <f t="shared" si="3040"/>
        <v>0.32650108491957436</v>
      </c>
      <c r="Q1362" s="1">
        <f t="shared" si="3041"/>
        <v>0</v>
      </c>
      <c r="R1362" s="1">
        <f t="shared" si="3042"/>
        <v>0.87867801830359904</v>
      </c>
      <c r="S1362" s="1">
        <f t="shared" si="3043"/>
        <v>0.84092441124870509</v>
      </c>
      <c r="T1362" s="1">
        <f t="shared" ref="T1362:V1362" si="3085">$S1362*P1362</f>
        <v>0.27456273260805653</v>
      </c>
      <c r="U1362" s="1">
        <f t="shared" si="3085"/>
        <v>0</v>
      </c>
      <c r="V1362" s="1">
        <f t="shared" si="3085"/>
        <v>0.73890179521913291</v>
      </c>
      <c r="W1362" s="1">
        <f t="shared" si="3045"/>
        <v>-9.4750216418971611</v>
      </c>
      <c r="X1362" s="1">
        <f t="shared" si="3046"/>
        <v>0</v>
      </c>
      <c r="Y1362" s="1">
        <f t="shared" si="3047"/>
        <v>-5.4449764846727913</v>
      </c>
    </row>
    <row r="1363" spans="1:25">
      <c r="A1363" s="1">
        <v>1.36099999999999</v>
      </c>
      <c r="B1363" s="1">
        <f t="shared" si="3048"/>
        <v>43.871551870477489</v>
      </c>
      <c r="C1363" s="1">
        <f t="shared" si="3049"/>
        <v>0</v>
      </c>
      <c r="D1363" s="1">
        <f t="shared" si="3050"/>
        <v>-2.5255221091125231</v>
      </c>
      <c r="E1363" s="1">
        <f t="shared" si="3051"/>
        <v>14.975889882813414</v>
      </c>
      <c r="F1363" s="1">
        <f t="shared" si="3052"/>
        <v>0</v>
      </c>
      <c r="G1363" s="1">
        <f t="shared" si="3053"/>
        <v>-5.573739388431421</v>
      </c>
      <c r="H1363" s="1">
        <f t="shared" si="2880"/>
        <v>15.979482111517413</v>
      </c>
      <c r="I1363" s="1">
        <f t="shared" si="3036"/>
        <v>-9.7391639173891917</v>
      </c>
      <c r="J1363" s="1">
        <f t="shared" si="3037"/>
        <v>0</v>
      </c>
      <c r="K1363" s="1">
        <f t="shared" si="3038"/>
        <v>3.6247302805717703</v>
      </c>
      <c r="L1363" s="1">
        <f t="shared" ref="L1363:N1363" si="3086">E1363/$H1363</f>
        <v>0.93719494651327606</v>
      </c>
      <c r="M1363" s="1">
        <f t="shared" si="3086"/>
        <v>0</v>
      </c>
      <c r="N1363" s="1">
        <f t="shared" si="3086"/>
        <v>-0.34880600945221363</v>
      </c>
      <c r="O1363" s="1">
        <f t="shared" si="2882"/>
        <v>-0.34880600945221363</v>
      </c>
      <c r="P1363" s="1">
        <f t="shared" si="3040"/>
        <v>0.32689922937207661</v>
      </c>
      <c r="Q1363" s="1">
        <f t="shared" si="3041"/>
        <v>0</v>
      </c>
      <c r="R1363" s="1">
        <f t="shared" si="3042"/>
        <v>0.87833436777002227</v>
      </c>
      <c r="S1363" s="1">
        <f t="shared" si="3043"/>
        <v>0.84018993749710724</v>
      </c>
      <c r="T1363" s="1">
        <f t="shared" ref="T1363:V1363" si="3087">$S1363*P1363</f>
        <v>0.27465744309397755</v>
      </c>
      <c r="U1363" s="1">
        <f t="shared" si="3087"/>
        <v>0</v>
      </c>
      <c r="V1363" s="1">
        <f t="shared" si="3087"/>
        <v>0.7379676975582562</v>
      </c>
      <c r="W1363" s="1">
        <f t="shared" si="3045"/>
        <v>-9.4645064742952147</v>
      </c>
      <c r="X1363" s="1">
        <f t="shared" si="3046"/>
        <v>0</v>
      </c>
      <c r="Y1363" s="1">
        <f t="shared" si="3047"/>
        <v>-5.4439520218699728</v>
      </c>
    </row>
    <row r="1364" spans="1:25">
      <c r="A1364" s="1">
        <v>1.3619999999999901</v>
      </c>
      <c r="B1364" s="1">
        <f t="shared" si="3048"/>
        <v>43.886518295853826</v>
      </c>
      <c r="C1364" s="1">
        <f t="shared" si="3049"/>
        <v>0</v>
      </c>
      <c r="D1364" s="1">
        <f t="shared" si="3050"/>
        <v>-2.5311012924529765</v>
      </c>
      <c r="E1364" s="1">
        <f t="shared" si="3051"/>
        <v>14.966425376339119</v>
      </c>
      <c r="F1364" s="1">
        <f t="shared" si="3052"/>
        <v>0</v>
      </c>
      <c r="G1364" s="1">
        <f t="shared" si="3053"/>
        <v>-5.5791833404532909</v>
      </c>
      <c r="H1364" s="1">
        <f t="shared" si="2880"/>
        <v>15.972513117600471</v>
      </c>
      <c r="I1364" s="1">
        <f t="shared" si="3036"/>
        <v>-9.7287641588673086</v>
      </c>
      <c r="J1364" s="1">
        <f t="shared" si="3037"/>
        <v>0</v>
      </c>
      <c r="K1364" s="1">
        <f t="shared" si="3038"/>
        <v>3.6266882407446603</v>
      </c>
      <c r="L1364" s="1">
        <f t="shared" ref="L1364:N1364" si="3088">E1364/$H1364</f>
        <v>0.93701130599462645</v>
      </c>
      <c r="M1364" s="1">
        <f t="shared" si="3088"/>
        <v>0</v>
      </c>
      <c r="N1364" s="1">
        <f t="shared" si="3088"/>
        <v>-0.34929903011351815</v>
      </c>
      <c r="O1364" s="1">
        <f t="shared" si="2882"/>
        <v>-0.34929903011351815</v>
      </c>
      <c r="P1364" s="1">
        <f t="shared" si="3040"/>
        <v>0.327297140389324</v>
      </c>
      <c r="Q1364" s="1">
        <f t="shared" si="3041"/>
        <v>0</v>
      </c>
      <c r="R1364" s="1">
        <f t="shared" si="3042"/>
        <v>0.87799018756175551</v>
      </c>
      <c r="S1364" s="1">
        <f t="shared" si="3043"/>
        <v>0.83945724769946151</v>
      </c>
      <c r="T1364" s="1">
        <f t="shared" ref="T1364:V1364" si="3089">$S1364*P1364</f>
        <v>0.27475195665112617</v>
      </c>
      <c r="U1364" s="1">
        <f t="shared" si="3089"/>
        <v>0</v>
      </c>
      <c r="V1364" s="1">
        <f t="shared" si="3089"/>
        <v>0.73703522635772523</v>
      </c>
      <c r="W1364" s="1">
        <f t="shared" si="3045"/>
        <v>-9.4540122022161821</v>
      </c>
      <c r="X1364" s="1">
        <f t="shared" si="3046"/>
        <v>0</v>
      </c>
      <c r="Y1364" s="1">
        <f t="shared" si="3047"/>
        <v>-5.442926532897614</v>
      </c>
    </row>
    <row r="1365" spans="1:25">
      <c r="A1365" s="1">
        <v>1.36299999999999</v>
      </c>
      <c r="B1365" s="1">
        <f t="shared" si="3048"/>
        <v>43.901475267217961</v>
      </c>
      <c r="C1365" s="1">
        <f t="shared" si="3049"/>
        <v>0</v>
      </c>
      <c r="D1365" s="1">
        <f t="shared" si="3050"/>
        <v>-2.5366859187199626</v>
      </c>
      <c r="E1365" s="1">
        <f t="shared" si="3051"/>
        <v>14.956971364136903</v>
      </c>
      <c r="F1365" s="1">
        <f t="shared" si="3052"/>
        <v>0</v>
      </c>
      <c r="G1365" s="1">
        <f t="shared" si="3053"/>
        <v>-5.5846262669861888</v>
      </c>
      <c r="H1365" s="1">
        <f t="shared" si="2880"/>
        <v>15.9655580212382</v>
      </c>
      <c r="I1365" s="1">
        <f t="shared" si="3036"/>
        <v>-9.7183850472712887</v>
      </c>
      <c r="J1365" s="1">
        <f t="shared" si="3037"/>
        <v>0</v>
      </c>
      <c r="K1365" s="1">
        <f t="shared" si="3038"/>
        <v>3.6286456052066476</v>
      </c>
      <c r="L1365" s="1">
        <f t="shared" ref="L1365:N1365" si="3090">E1365/$H1365</f>
        <v>0.93682734698282244</v>
      </c>
      <c r="M1365" s="1">
        <f t="shared" si="3090"/>
        <v>0</v>
      </c>
      <c r="N1365" s="1">
        <f t="shared" si="3090"/>
        <v>-0.34979211246842945</v>
      </c>
      <c r="O1365" s="1">
        <f t="shared" si="2882"/>
        <v>-0.34979211246842945</v>
      </c>
      <c r="P1365" s="1">
        <f t="shared" si="3040"/>
        <v>0.32769481671931583</v>
      </c>
      <c r="Q1365" s="1">
        <f t="shared" si="3041"/>
        <v>0</v>
      </c>
      <c r="R1365" s="1">
        <f t="shared" si="3042"/>
        <v>0.87764547805487358</v>
      </c>
      <c r="S1365" s="1">
        <f t="shared" si="3043"/>
        <v>0.83872633768641258</v>
      </c>
      <c r="T1365" s="1">
        <f t="shared" ref="T1365:V1365" si="3091">$S1365*P1365</f>
        <v>0.27484627350581198</v>
      </c>
      <c r="U1365" s="1">
        <f t="shared" si="3091"/>
        <v>0</v>
      </c>
      <c r="V1365" s="1">
        <f t="shared" si="3091"/>
        <v>0.73610437759600489</v>
      </c>
      <c r="W1365" s="1">
        <f t="shared" si="3045"/>
        <v>-9.4435387737654768</v>
      </c>
      <c r="X1365" s="1">
        <f t="shared" si="3046"/>
        <v>0</v>
      </c>
      <c r="Y1365" s="1">
        <f t="shared" si="3047"/>
        <v>-5.4419000171973471</v>
      </c>
    </row>
    <row r="1366" spans="1:25">
      <c r="A1366" s="1">
        <v>1.3639999999999901</v>
      </c>
      <c r="B1366" s="1">
        <f t="shared" si="3048"/>
        <v>43.916422795043324</v>
      </c>
      <c r="C1366" s="1">
        <f t="shared" si="3049"/>
        <v>0</v>
      </c>
      <c r="D1366" s="1">
        <f t="shared" si="3050"/>
        <v>-2.542275986886966</v>
      </c>
      <c r="E1366" s="1">
        <f t="shared" si="3051"/>
        <v>14.947527825363137</v>
      </c>
      <c r="F1366" s="1">
        <f t="shared" si="3052"/>
        <v>0</v>
      </c>
      <c r="G1366" s="1">
        <f t="shared" si="3053"/>
        <v>-5.5900681670033858</v>
      </c>
      <c r="H1366" s="1">
        <f t="shared" si="2880"/>
        <v>15.958616801018497</v>
      </c>
      <c r="I1366" s="1">
        <f t="shared" si="3036"/>
        <v>-9.7080265310854905</v>
      </c>
      <c r="J1366" s="1">
        <f t="shared" si="3037"/>
        <v>0</v>
      </c>
      <c r="K1366" s="1">
        <f t="shared" si="3038"/>
        <v>3.6306023785258885</v>
      </c>
      <c r="L1366" s="1">
        <f t="shared" ref="L1366:N1366" si="3092">E1366/$H1366</f>
        <v>0.93664306949266229</v>
      </c>
      <c r="M1366" s="1">
        <f t="shared" si="3092"/>
        <v>0</v>
      </c>
      <c r="N1366" s="1">
        <f t="shared" si="3092"/>
        <v>-0.35028525571505803</v>
      </c>
      <c r="O1366" s="1">
        <f t="shared" si="2882"/>
        <v>-0.35028525571505803</v>
      </c>
      <c r="P1366" s="1">
        <f t="shared" si="3040"/>
        <v>0.32809225711097406</v>
      </c>
      <c r="Q1366" s="1">
        <f t="shared" si="3041"/>
        <v>0</v>
      </c>
      <c r="R1366" s="1">
        <f t="shared" si="3042"/>
        <v>0.87730023962863646</v>
      </c>
      <c r="S1366" s="1">
        <f t="shared" si="3043"/>
        <v>0.83799720330094196</v>
      </c>
      <c r="T1366" s="1">
        <f t="shared" ref="T1366:V1366" si="3093">$S1366*P1366</f>
        <v>0.27494039388368985</v>
      </c>
      <c r="U1366" s="1">
        <f t="shared" si="3093"/>
        <v>0</v>
      </c>
      <c r="V1366" s="1">
        <f t="shared" si="3093"/>
        <v>0.73517514726404354</v>
      </c>
      <c r="W1366" s="1">
        <f t="shared" si="3045"/>
        <v>-9.4330861372018013</v>
      </c>
      <c r="X1366" s="1">
        <f t="shared" si="3046"/>
        <v>0</v>
      </c>
      <c r="Y1366" s="1">
        <f t="shared" si="3047"/>
        <v>-5.4408724742100674</v>
      </c>
    </row>
    <row r="1367" spans="1:25">
      <c r="A1367" s="1">
        <v>1.36499999999999</v>
      </c>
      <c r="B1367" s="1">
        <f t="shared" si="3048"/>
        <v>43.931360889782553</v>
      </c>
      <c r="C1367" s="1">
        <f t="shared" si="3049"/>
        <v>0</v>
      </c>
      <c r="D1367" s="1">
        <f t="shared" si="3050"/>
        <v>-2.5478714959264437</v>
      </c>
      <c r="E1367" s="1">
        <f t="shared" si="3051"/>
        <v>14.938094739225935</v>
      </c>
      <c r="F1367" s="1">
        <f t="shared" si="3052"/>
        <v>0</v>
      </c>
      <c r="G1367" s="1">
        <f t="shared" si="3053"/>
        <v>-5.5955090394775961</v>
      </c>
      <c r="H1367" s="1">
        <f t="shared" si="2880"/>
        <v>15.951689435572804</v>
      </c>
      <c r="I1367" s="1">
        <f t="shared" si="3036"/>
        <v>-9.6976885589463304</v>
      </c>
      <c r="J1367" s="1">
        <f t="shared" si="3037"/>
        <v>0</v>
      </c>
      <c r="K1367" s="1">
        <f t="shared" si="3038"/>
        <v>3.6325585652588046</v>
      </c>
      <c r="L1367" s="1">
        <f t="shared" ref="L1367:N1367" si="3094">E1367/$H1367</f>
        <v>0.93645847354033118</v>
      </c>
      <c r="M1367" s="1">
        <f t="shared" si="3094"/>
        <v>0</v>
      </c>
      <c r="N1367" s="1">
        <f t="shared" si="3094"/>
        <v>-0.35077845905145461</v>
      </c>
      <c r="O1367" s="1">
        <f t="shared" si="2882"/>
        <v>-0.35077845905145461</v>
      </c>
      <c r="P1367" s="1">
        <f t="shared" si="3040"/>
        <v>0.32848946031415477</v>
      </c>
      <c r="Q1367" s="1">
        <f t="shared" si="3041"/>
        <v>0</v>
      </c>
      <c r="R1367" s="1">
        <f t="shared" si="3042"/>
        <v>0.87695447266548698</v>
      </c>
      <c r="S1367" s="1">
        <f t="shared" si="3043"/>
        <v>0.83726984039831975</v>
      </c>
      <c r="T1367" s="1">
        <f t="shared" ref="T1367:V1367" si="3095">$S1367*P1367</f>
        <v>0.27503431800976258</v>
      </c>
      <c r="U1367" s="1">
        <f t="shared" si="3095"/>
        <v>0</v>
      </c>
      <c r="V1367" s="1">
        <f t="shared" si="3095"/>
        <v>0.73424753136522491</v>
      </c>
      <c r="W1367" s="1">
        <f t="shared" si="3045"/>
        <v>-9.4226542409365681</v>
      </c>
      <c r="X1367" s="1">
        <f t="shared" si="3046"/>
        <v>0</v>
      </c>
      <c r="Y1367" s="1">
        <f t="shared" si="3047"/>
        <v>-5.4398439033759702</v>
      </c>
    </row>
    <row r="1368" spans="1:25">
      <c r="A1368" s="1">
        <v>1.3659999999999901</v>
      </c>
      <c r="B1368" s="1">
        <f t="shared" si="3048"/>
        <v>43.946289561867538</v>
      </c>
      <c r="C1368" s="1">
        <f t="shared" si="3049"/>
        <v>0</v>
      </c>
      <c r="D1368" s="1">
        <f t="shared" si="3050"/>
        <v>-2.5534724448098247</v>
      </c>
      <c r="E1368" s="1">
        <f t="shared" si="3051"/>
        <v>14.928672084984999</v>
      </c>
      <c r="F1368" s="1">
        <f t="shared" si="3052"/>
        <v>0</v>
      </c>
      <c r="G1368" s="1">
        <f t="shared" si="3053"/>
        <v>-5.6009488833809717</v>
      </c>
      <c r="H1368" s="1">
        <f t="shared" si="2880"/>
        <v>15.944775903575971</v>
      </c>
      <c r="I1368" s="1">
        <f t="shared" si="3036"/>
        <v>-9.6873710796417409</v>
      </c>
      <c r="J1368" s="1">
        <f t="shared" si="3037"/>
        <v>0</v>
      </c>
      <c r="K1368" s="1">
        <f t="shared" si="3038"/>
        <v>3.6345141699501031</v>
      </c>
      <c r="L1368" s="1">
        <f t="shared" ref="L1368:N1368" si="3096">E1368/$H1368</f>
        <v>0.93627355914340016</v>
      </c>
      <c r="M1368" s="1">
        <f t="shared" si="3096"/>
        <v>0</v>
      </c>
      <c r="N1368" s="1">
        <f t="shared" si="3096"/>
        <v>-0.35127172167561377</v>
      </c>
      <c r="O1368" s="1">
        <f t="shared" si="2882"/>
        <v>-0.35127172167561377</v>
      </c>
      <c r="P1368" s="1">
        <f t="shared" si="3040"/>
        <v>0.32888642507965676</v>
      </c>
      <c r="Q1368" s="1">
        <f t="shared" si="3041"/>
        <v>0</v>
      </c>
      <c r="R1368" s="1">
        <f t="shared" si="3042"/>
        <v>0.87660817755105014</v>
      </c>
      <c r="S1368" s="1">
        <f t="shared" si="3043"/>
        <v>0.83654424484606071</v>
      </c>
      <c r="T1368" s="1">
        <f t="shared" ref="T1368:V1368" si="3097">$S1368*P1368</f>
        <v>0.27512804610838199</v>
      </c>
      <c r="U1368" s="1">
        <f t="shared" si="3097"/>
        <v>0</v>
      </c>
      <c r="V1368" s="1">
        <f t="shared" si="3097"/>
        <v>0.73332152591532473</v>
      </c>
      <c r="W1368" s="1">
        <f t="shared" si="3045"/>
        <v>-9.4122430335333593</v>
      </c>
      <c r="X1368" s="1">
        <f t="shared" si="3046"/>
        <v>0</v>
      </c>
      <c r="Y1368" s="1">
        <f t="shared" si="3047"/>
        <v>-5.4388143041345716</v>
      </c>
    </row>
    <row r="1369" spans="1:25">
      <c r="A1369" s="1">
        <v>1.36699999999999</v>
      </c>
      <c r="B1369" s="1">
        <f t="shared" si="3048"/>
        <v>43.961208821709491</v>
      </c>
      <c r="C1369" s="1">
        <f t="shared" si="3049"/>
        <v>0</v>
      </c>
      <c r="D1369" s="1">
        <f t="shared" si="3050"/>
        <v>-2.55907883250751</v>
      </c>
      <c r="E1369" s="1">
        <f t="shared" si="3051"/>
        <v>14.919259841951465</v>
      </c>
      <c r="F1369" s="1">
        <f t="shared" si="3052"/>
        <v>0</v>
      </c>
      <c r="G1369" s="1">
        <f t="shared" si="3053"/>
        <v>-5.6063876976851059</v>
      </c>
      <c r="H1369" s="1">
        <f t="shared" si="2880"/>
        <v>15.937876183746083</v>
      </c>
      <c r="I1369" s="1">
        <f t="shared" si="3036"/>
        <v>-9.6770740421105987</v>
      </c>
      <c r="J1369" s="1">
        <f t="shared" si="3037"/>
        <v>0</v>
      </c>
      <c r="K1369" s="1">
        <f t="shared" si="3038"/>
        <v>3.6364691971327918</v>
      </c>
      <c r="L1369" s="1">
        <f t="shared" ref="L1369:N1369" si="3098">E1369/$H1369</f>
        <v>0.93608832632082861</v>
      </c>
      <c r="M1369" s="1">
        <f t="shared" si="3098"/>
        <v>0</v>
      </c>
      <c r="N1369" s="1">
        <f t="shared" si="3098"/>
        <v>-0.35176504278547888</v>
      </c>
      <c r="O1369" s="1">
        <f t="shared" si="2882"/>
        <v>-0.35176504278547888</v>
      </c>
      <c r="P1369" s="1">
        <f t="shared" si="3040"/>
        <v>0.3292831501592336</v>
      </c>
      <c r="Q1369" s="1">
        <f t="shared" si="3041"/>
        <v>0</v>
      </c>
      <c r="R1369" s="1">
        <f t="shared" si="3042"/>
        <v>0.87626135467413024</v>
      </c>
      <c r="S1369" s="1">
        <f t="shared" si="3043"/>
        <v>0.83582041252387784</v>
      </c>
      <c r="T1369" s="1">
        <f t="shared" ref="T1369:V1369" si="3099">$S1369*P1369</f>
        <v>0.27522157840325262</v>
      </c>
      <c r="U1369" s="1">
        <f t="shared" si="3099"/>
        <v>0</v>
      </c>
      <c r="V1369" s="1">
        <f t="shared" si="3099"/>
        <v>0.73239712694246362</v>
      </c>
      <c r="W1369" s="1">
        <f t="shared" si="3045"/>
        <v>-9.4018524637073462</v>
      </c>
      <c r="X1369" s="1">
        <f t="shared" si="3046"/>
        <v>0</v>
      </c>
      <c r="Y1369" s="1">
        <f t="shared" si="3047"/>
        <v>-5.4377836759247442</v>
      </c>
    </row>
    <row r="1370" spans="1:25">
      <c r="A1370" s="1">
        <v>1.3679999999999899</v>
      </c>
      <c r="B1370" s="1">
        <f t="shared" si="3048"/>
        <v>43.976118679698978</v>
      </c>
      <c r="C1370" s="1">
        <f t="shared" si="3049"/>
        <v>0</v>
      </c>
      <c r="D1370" s="1">
        <f t="shared" si="3050"/>
        <v>-2.5646906579888711</v>
      </c>
      <c r="E1370" s="1">
        <f t="shared" si="3051"/>
        <v>14.909857989487758</v>
      </c>
      <c r="F1370" s="1">
        <f t="shared" si="3052"/>
        <v>0</v>
      </c>
      <c r="G1370" s="1">
        <f t="shared" si="3053"/>
        <v>-5.6118254813610307</v>
      </c>
      <c r="H1370" s="1">
        <f t="shared" si="2880"/>
        <v>15.930990254844327</v>
      </c>
      <c r="I1370" s="1">
        <f t="shared" si="3036"/>
        <v>-9.6667973954421917</v>
      </c>
      <c r="J1370" s="1">
        <f t="shared" si="3037"/>
        <v>0</v>
      </c>
      <c r="K1370" s="1">
        <f t="shared" si="3038"/>
        <v>3.6384236513281971</v>
      </c>
      <c r="L1370" s="1">
        <f t="shared" ref="L1370:N1370" si="3100">E1370/$H1370</f>
        <v>0.93590277509296316</v>
      </c>
      <c r="M1370" s="1">
        <f t="shared" si="3100"/>
        <v>0</v>
      </c>
      <c r="N1370" s="1">
        <f t="shared" si="3100"/>
        <v>-0.35225842157894582</v>
      </c>
      <c r="O1370" s="1">
        <f t="shared" si="2882"/>
        <v>-0.35225842157894582</v>
      </c>
      <c r="P1370" s="1">
        <f t="shared" si="3040"/>
        <v>0.32967963430560232</v>
      </c>
      <c r="Q1370" s="1">
        <f t="shared" si="3041"/>
        <v>0</v>
      </c>
      <c r="R1370" s="1">
        <f t="shared" si="3042"/>
        <v>0.87591400442670964</v>
      </c>
      <c r="S1370" s="1">
        <f t="shared" si="3043"/>
        <v>0.83509833932363786</v>
      </c>
      <c r="T1370" s="1">
        <f t="shared" ref="T1370:V1370" si="3101">$S1370*P1370</f>
        <v>0.27531491511743272</v>
      </c>
      <c r="U1370" s="1">
        <f t="shared" si="3101"/>
        <v>0</v>
      </c>
      <c r="V1370" s="1">
        <f t="shared" si="3101"/>
        <v>0.73147433048706278</v>
      </c>
      <c r="W1370" s="1">
        <f t="shared" si="3045"/>
        <v>-9.3914824803247594</v>
      </c>
      <c r="X1370" s="1">
        <f t="shared" si="3046"/>
        <v>0</v>
      </c>
      <c r="Y1370" s="1">
        <f t="shared" si="3047"/>
        <v>-5.4367520181847393</v>
      </c>
    </row>
    <row r="1371" spans="1:25">
      <c r="A1371" s="1">
        <v>1.36899999999999</v>
      </c>
      <c r="B1371" s="1">
        <f t="shared" si="3048"/>
        <v>43.991019146205986</v>
      </c>
      <c r="C1371" s="1">
        <f t="shared" si="3049"/>
        <v>0</v>
      </c>
      <c r="D1371" s="1">
        <f t="shared" si="3050"/>
        <v>-2.5703079202222501</v>
      </c>
      <c r="E1371" s="1">
        <f t="shared" si="3051"/>
        <v>14.900466507007433</v>
      </c>
      <c r="F1371" s="1">
        <f t="shared" si="3052"/>
        <v>0</v>
      </c>
      <c r="G1371" s="1">
        <f t="shared" si="3053"/>
        <v>-5.6172622333792157</v>
      </c>
      <c r="H1371" s="1">
        <f t="shared" si="2880"/>
        <v>15.924118095674837</v>
      </c>
      <c r="I1371" s="1">
        <f t="shared" si="3036"/>
        <v>-9.6565410888756578</v>
      </c>
      <c r="J1371" s="1">
        <f t="shared" si="3037"/>
        <v>0</v>
      </c>
      <c r="K1371" s="1">
        <f t="shared" si="3038"/>
        <v>3.6403775370459801</v>
      </c>
      <c r="L1371" s="1">
        <f t="shared" ref="L1371:N1371" si="3102">E1371/$H1371</f>
        <v>0.93571690548153885</v>
      </c>
      <c r="M1371" s="1">
        <f t="shared" si="3102"/>
        <v>0</v>
      </c>
      <c r="N1371" s="1">
        <f t="shared" si="3102"/>
        <v>-0.35275185725386732</v>
      </c>
      <c r="O1371" s="1">
        <f t="shared" si="2882"/>
        <v>-0.35275185725386732</v>
      </c>
      <c r="P1371" s="1">
        <f t="shared" si="3040"/>
        <v>0.33007587627245427</v>
      </c>
      <c r="Q1371" s="1">
        <f t="shared" si="3041"/>
        <v>0</v>
      </c>
      <c r="R1371" s="1">
        <f t="shared" si="3042"/>
        <v>0.87556612720394722</v>
      </c>
      <c r="S1371" s="1">
        <f t="shared" si="3043"/>
        <v>0.83437802114931703</v>
      </c>
      <c r="T1371" s="1">
        <f t="shared" ref="T1371:V1371" si="3103">$S1371*P1371</f>
        <v>0.27540805647333721</v>
      </c>
      <c r="U1371" s="1">
        <f t="shared" si="3103"/>
        <v>0</v>
      </c>
      <c r="V1371" s="1">
        <f t="shared" si="3103"/>
        <v>0.73055313260180066</v>
      </c>
      <c r="W1371" s="1">
        <f t="shared" si="3045"/>
        <v>-9.381133032402321</v>
      </c>
      <c r="X1371" s="1">
        <f t="shared" si="3046"/>
        <v>0</v>
      </c>
      <c r="Y1371" s="1">
        <f t="shared" si="3047"/>
        <v>-5.4357193303522191</v>
      </c>
    </row>
    <row r="1372" spans="1:25">
      <c r="A1372" s="1">
        <v>1.3699999999999899</v>
      </c>
      <c r="B1372" s="1">
        <f t="shared" si="3048"/>
        <v>44.005910231579961</v>
      </c>
      <c r="C1372" s="1">
        <f t="shared" si="3049"/>
        <v>0</v>
      </c>
      <c r="D1372" s="1">
        <f t="shared" si="3050"/>
        <v>-2.5759306181749597</v>
      </c>
      <c r="E1372" s="1">
        <f t="shared" si="3051"/>
        <v>14.891085373975031</v>
      </c>
      <c r="F1372" s="1">
        <f t="shared" si="3052"/>
        <v>0</v>
      </c>
      <c r="G1372" s="1">
        <f t="shared" si="3053"/>
        <v>-5.6226979527095677</v>
      </c>
      <c r="H1372" s="1">
        <f t="shared" si="2880"/>
        <v>15.917259685084534</v>
      </c>
      <c r="I1372" s="1">
        <f t="shared" si="3036"/>
        <v>-9.6463050717994339</v>
      </c>
      <c r="J1372" s="1">
        <f t="shared" si="3037"/>
        <v>0</v>
      </c>
      <c r="K1372" s="1">
        <f t="shared" si="3038"/>
        <v>3.6423308587841516</v>
      </c>
      <c r="L1372" s="1">
        <f t="shared" ref="L1372:N1372" si="3104">E1372/$H1372</f>
        <v>0.93553071750967953</v>
      </c>
      <c r="M1372" s="1">
        <f t="shared" si="3104"/>
        <v>0</v>
      </c>
      <c r="N1372" s="1">
        <f t="shared" si="3104"/>
        <v>-0.35324534900805737</v>
      </c>
      <c r="O1372" s="1">
        <f t="shared" si="2882"/>
        <v>-0.35324534900805737</v>
      </c>
      <c r="P1372" s="1">
        <f t="shared" si="3040"/>
        <v>0.33047187481446511</v>
      </c>
      <c r="Q1372" s="1">
        <f t="shared" si="3041"/>
        <v>0</v>
      </c>
      <c r="R1372" s="1">
        <f t="shared" si="3042"/>
        <v>0.8752177234041757</v>
      </c>
      <c r="S1372" s="1">
        <f t="shared" si="3043"/>
        <v>0.83365945391695462</v>
      </c>
      <c r="T1372" s="1">
        <f t="shared" ref="T1372:V1372" si="3105">$S1372*P1372</f>
        <v>0.27550100269273919</v>
      </c>
      <c r="U1372" s="1">
        <f t="shared" si="3105"/>
        <v>0</v>
      </c>
      <c r="V1372" s="1">
        <f t="shared" si="3105"/>
        <v>0.72963352935156534</v>
      </c>
      <c r="W1372" s="1">
        <f t="shared" si="3045"/>
        <v>-9.3708040691066952</v>
      </c>
      <c r="X1372" s="1">
        <f t="shared" si="3046"/>
        <v>0</v>
      </c>
      <c r="Y1372" s="1">
        <f t="shared" si="3047"/>
        <v>-5.4346856118642828</v>
      </c>
    </row>
    <row r="1373" spans="1:25">
      <c r="A1373" s="1">
        <v>1.37099999999999</v>
      </c>
      <c r="B1373" s="1">
        <f t="shared" si="3048"/>
        <v>44.020791946149863</v>
      </c>
      <c r="C1373" s="1">
        <f t="shared" si="3049"/>
        <v>0</v>
      </c>
      <c r="D1373" s="1">
        <f t="shared" si="3050"/>
        <v>-2.5815587508132811</v>
      </c>
      <c r="E1373" s="1">
        <f t="shared" si="3051"/>
        <v>14.881714569905924</v>
      </c>
      <c r="F1373" s="1">
        <f t="shared" si="3052"/>
        <v>0</v>
      </c>
      <c r="G1373" s="1">
        <f t="shared" si="3053"/>
        <v>-5.6281326383214321</v>
      </c>
      <c r="H1373" s="1">
        <f t="shared" si="2880"/>
        <v>15.910415001962997</v>
      </c>
      <c r="I1373" s="1">
        <f t="shared" si="3036"/>
        <v>-9.6360892937507252</v>
      </c>
      <c r="J1373" s="1">
        <f t="shared" si="3037"/>
        <v>0</v>
      </c>
      <c r="K1373" s="1">
        <f t="shared" si="3038"/>
        <v>3.6442836210290932</v>
      </c>
      <c r="L1373" s="1">
        <f t="shared" ref="L1373:N1373" si="3106">E1373/$H1373</f>
        <v>0.93534421120189803</v>
      </c>
      <c r="M1373" s="1">
        <f t="shared" si="3106"/>
        <v>0</v>
      </c>
      <c r="N1373" s="1">
        <f t="shared" si="3106"/>
        <v>-0.35373889603929526</v>
      </c>
      <c r="O1373" s="1">
        <f t="shared" si="2882"/>
        <v>-0.35373889603929526</v>
      </c>
      <c r="P1373" s="1">
        <f t="shared" si="3040"/>
        <v>0.33086762868730485</v>
      </c>
      <c r="Q1373" s="1">
        <f t="shared" si="3041"/>
        <v>0</v>
      </c>
      <c r="R1373" s="1">
        <f t="shared" si="3042"/>
        <v>0.87486879342890067</v>
      </c>
      <c r="S1373" s="1">
        <f t="shared" si="3043"/>
        <v>0.83294263355461096</v>
      </c>
      <c r="T1373" s="1">
        <f t="shared" ref="T1373:V1373" si="3107">$S1373*P1373</f>
        <v>0.27559375399677283</v>
      </c>
      <c r="U1373" s="1">
        <f t="shared" si="3107"/>
        <v>0</v>
      </c>
      <c r="V1373" s="1">
        <f t="shared" si="3107"/>
        <v>0.7287155168134134</v>
      </c>
      <c r="W1373" s="1">
        <f t="shared" si="3045"/>
        <v>-9.360495539753952</v>
      </c>
      <c r="X1373" s="1">
        <f t="shared" si="3046"/>
        <v>0</v>
      </c>
      <c r="Y1373" s="1">
        <f t="shared" si="3047"/>
        <v>-5.433650862157493</v>
      </c>
    </row>
    <row r="1374" spans="1:25">
      <c r="A1374" s="1">
        <v>1.3719999999999899</v>
      </c>
      <c r="B1374" s="1">
        <f t="shared" si="3048"/>
        <v>44.035664300224227</v>
      </c>
      <c r="C1374" s="1">
        <f t="shared" si="3049"/>
        <v>0</v>
      </c>
      <c r="D1374" s="1">
        <f t="shared" si="3050"/>
        <v>-2.5871923171024647</v>
      </c>
      <c r="E1374" s="1">
        <f t="shared" si="3051"/>
        <v>14.87235407436617</v>
      </c>
      <c r="F1374" s="1">
        <f t="shared" si="3052"/>
        <v>0</v>
      </c>
      <c r="G1374" s="1">
        <f t="shared" si="3053"/>
        <v>-5.6335662891835891</v>
      </c>
      <c r="H1374" s="1">
        <f t="shared" si="2880"/>
        <v>15.90358402524229</v>
      </c>
      <c r="I1374" s="1">
        <f t="shared" si="3036"/>
        <v>-9.6258937044149508</v>
      </c>
      <c r="J1374" s="1">
        <f t="shared" si="3037"/>
        <v>0</v>
      </c>
      <c r="K1374" s="1">
        <f t="shared" si="3038"/>
        <v>3.6462358282555685</v>
      </c>
      <c r="L1374" s="1">
        <f t="shared" ref="L1374:N1374" si="3108">E1374/$H1374</f>
        <v>0.93515738658409675</v>
      </c>
      <c r="M1374" s="1">
        <f t="shared" si="3108"/>
        <v>0</v>
      </c>
      <c r="N1374" s="1">
        <f t="shared" si="3108"/>
        <v>-0.35423249754532998</v>
      </c>
      <c r="O1374" s="1">
        <f t="shared" si="2882"/>
        <v>-0.35423249754532998</v>
      </c>
      <c r="P1374" s="1">
        <f t="shared" si="3040"/>
        <v>0.33126313664764823</v>
      </c>
      <c r="Q1374" s="1">
        <f t="shared" si="3041"/>
        <v>0</v>
      </c>
      <c r="R1374" s="1">
        <f t="shared" si="3042"/>
        <v>0.87451933768279777</v>
      </c>
      <c r="S1374" s="1">
        <f t="shared" si="3043"/>
        <v>0.83222755600232068</v>
      </c>
      <c r="T1374" s="1">
        <f t="shared" ref="T1374:V1374" si="3109">$S1374*P1374</f>
        <v>0.27568631060593507</v>
      </c>
      <c r="U1374" s="1">
        <f t="shared" si="3109"/>
        <v>0</v>
      </c>
      <c r="V1374" s="1">
        <f t="shared" si="3109"/>
        <v>0.72779909107652296</v>
      </c>
      <c r="W1374" s="1">
        <f t="shared" si="3045"/>
        <v>-9.3502073938090149</v>
      </c>
      <c r="X1374" s="1">
        <f t="shared" si="3046"/>
        <v>0</v>
      </c>
      <c r="Y1374" s="1">
        <f t="shared" si="3047"/>
        <v>-5.4326150806679081</v>
      </c>
    </row>
    <row r="1375" spans="1:25">
      <c r="A1375" s="1">
        <v>1.37299999999999</v>
      </c>
      <c r="B1375" s="1">
        <f t="shared" si="3048"/>
        <v>44.050527304091197</v>
      </c>
      <c r="C1375" s="1">
        <f t="shared" si="3049"/>
        <v>0</v>
      </c>
      <c r="D1375" s="1">
        <f t="shared" si="3050"/>
        <v>-2.5928313160067291</v>
      </c>
      <c r="E1375" s="1">
        <f t="shared" si="3051"/>
        <v>14.863003866972361</v>
      </c>
      <c r="F1375" s="1">
        <f t="shared" si="3052"/>
        <v>0</v>
      </c>
      <c r="G1375" s="1">
        <f t="shared" si="3053"/>
        <v>-5.6389989042642572</v>
      </c>
      <c r="H1375" s="1">
        <f t="shared" si="2880"/>
        <v>15.896766733896829</v>
      </c>
      <c r="I1375" s="1">
        <f t="shared" si="3036"/>
        <v>-9.6157182536252108</v>
      </c>
      <c r="J1375" s="1">
        <f t="shared" si="3037"/>
        <v>0</v>
      </c>
      <c r="K1375" s="1">
        <f t="shared" si="3038"/>
        <v>3.6481874849267446</v>
      </c>
      <c r="L1375" s="1">
        <f t="shared" ref="L1375:N1375" si="3110">E1375/$H1375</f>
        <v>0.9349702436835684</v>
      </c>
      <c r="M1375" s="1">
        <f t="shared" si="3110"/>
        <v>0</v>
      </c>
      <c r="N1375" s="1">
        <f t="shared" si="3110"/>
        <v>-0.35472615272388475</v>
      </c>
      <c r="O1375" s="1">
        <f t="shared" si="2882"/>
        <v>-0.35472615272388475</v>
      </c>
      <c r="P1375" s="1">
        <f t="shared" si="3040"/>
        <v>0.33165839745318521</v>
      </c>
      <c r="Q1375" s="1">
        <f t="shared" si="3041"/>
        <v>0</v>
      </c>
      <c r="R1375" s="1">
        <f t="shared" si="3042"/>
        <v>0.8741693565737112</v>
      </c>
      <c r="S1375" s="1">
        <f t="shared" si="3043"/>
        <v>0.8315142172120501</v>
      </c>
      <c r="T1375" s="1">
        <f t="shared" ref="T1375:V1375" si="3111">$S1375*P1375</f>
        <v>0.27577867274008827</v>
      </c>
      <c r="U1375" s="1">
        <f t="shared" si="3111"/>
        <v>0</v>
      </c>
      <c r="V1375" s="1">
        <f t="shared" si="3111"/>
        <v>0.72688424824215092</v>
      </c>
      <c r="W1375" s="1">
        <f t="shared" si="3045"/>
        <v>-9.3399395808851224</v>
      </c>
      <c r="X1375" s="1">
        <f t="shared" si="3046"/>
        <v>0</v>
      </c>
      <c r="Y1375" s="1">
        <f t="shared" si="3047"/>
        <v>-5.4315782668311039</v>
      </c>
    </row>
    <row r="1376" spans="1:25">
      <c r="A1376" s="1">
        <v>1.3739999999999899</v>
      </c>
      <c r="B1376" s="1">
        <f t="shared" si="3048"/>
        <v>44.065380968018587</v>
      </c>
      <c r="C1376" s="1">
        <f t="shared" si="3049"/>
        <v>0</v>
      </c>
      <c r="D1376" s="1">
        <f t="shared" si="3050"/>
        <v>-2.5984757464892603</v>
      </c>
      <c r="E1376" s="1">
        <f t="shared" si="3051"/>
        <v>14.853663927391477</v>
      </c>
      <c r="F1376" s="1">
        <f t="shared" si="3052"/>
        <v>0</v>
      </c>
      <c r="G1376" s="1">
        <f t="shared" si="3053"/>
        <v>-5.6444304825310887</v>
      </c>
      <c r="H1376" s="1">
        <f t="shared" si="2880"/>
        <v>15.889963106943229</v>
      </c>
      <c r="I1376" s="1">
        <f t="shared" si="3036"/>
        <v>-9.605562891361739</v>
      </c>
      <c r="J1376" s="1">
        <f t="shared" si="3037"/>
        <v>0</v>
      </c>
      <c r="K1376" s="1">
        <f t="shared" si="3038"/>
        <v>3.6501385954942047</v>
      </c>
      <c r="L1376" s="1">
        <f t="shared" ref="L1376:N1376" si="3112">E1376/$H1376</f>
        <v>0.9347827825289956</v>
      </c>
      <c r="M1376" s="1">
        <f t="shared" si="3112"/>
        <v>0</v>
      </c>
      <c r="N1376" s="1">
        <f t="shared" si="3112"/>
        <v>-0.35521986077266071</v>
      </c>
      <c r="O1376" s="1">
        <f t="shared" si="2882"/>
        <v>-0.35521986077266071</v>
      </c>
      <c r="P1376" s="1">
        <f t="shared" si="3040"/>
        <v>0.33205340986263021</v>
      </c>
      <c r="Q1376" s="1">
        <f t="shared" si="3041"/>
        <v>0</v>
      </c>
      <c r="R1376" s="1">
        <f t="shared" si="3042"/>
        <v>0.87381885051265151</v>
      </c>
      <c r="S1376" s="1">
        <f t="shared" si="3043"/>
        <v>0.83080261314765269</v>
      </c>
      <c r="T1376" s="1">
        <f t="shared" ref="T1376:V1376" si="3113">$S1376*P1376</f>
        <v>0.27587084061846173</v>
      </c>
      <c r="U1376" s="1">
        <f t="shared" si="3113"/>
        <v>0</v>
      </c>
      <c r="V1376" s="1">
        <f t="shared" si="3113"/>
        <v>0.72597098442358898</v>
      </c>
      <c r="W1376" s="1">
        <f t="shared" si="3045"/>
        <v>-9.3296920507432777</v>
      </c>
      <c r="X1376" s="1">
        <f t="shared" si="3046"/>
        <v>0</v>
      </c>
      <c r="Y1376" s="1">
        <f t="shared" si="3047"/>
        <v>-5.4305404200822061</v>
      </c>
    </row>
    <row r="1377" spans="1:25">
      <c r="A1377" s="1">
        <v>1.37499999999999</v>
      </c>
      <c r="B1377" s="1">
        <f t="shared" si="3048"/>
        <v>44.080225302253929</v>
      </c>
      <c r="C1377" s="1">
        <f t="shared" si="3049"/>
        <v>0</v>
      </c>
      <c r="D1377" s="1">
        <f t="shared" si="3050"/>
        <v>-2.6041256075122114</v>
      </c>
      <c r="E1377" s="1">
        <f t="shared" si="3051"/>
        <v>14.844334235340733</v>
      </c>
      <c r="F1377" s="1">
        <f t="shared" si="3052"/>
        <v>0</v>
      </c>
      <c r="G1377" s="1">
        <f t="shared" si="3053"/>
        <v>-5.6498610229511712</v>
      </c>
      <c r="H1377" s="1">
        <f t="shared" si="2880"/>
        <v>15.883173123440159</v>
      </c>
      <c r="I1377" s="1">
        <f t="shared" si="3036"/>
        <v>-9.5954275677513756</v>
      </c>
      <c r="J1377" s="1">
        <f t="shared" si="3037"/>
        <v>0</v>
      </c>
      <c r="K1377" s="1">
        <f t="shared" si="3038"/>
        <v>3.652089164397966</v>
      </c>
      <c r="L1377" s="1">
        <f t="shared" ref="L1377:N1377" si="3114">E1377/$H1377</f>
        <v>0.93459500315045219</v>
      </c>
      <c r="M1377" s="1">
        <f t="shared" si="3114"/>
        <v>0</v>
      </c>
      <c r="N1377" s="1">
        <f t="shared" si="3114"/>
        <v>-0.35571362088934155</v>
      </c>
      <c r="O1377" s="1">
        <f t="shared" si="2882"/>
        <v>-0.35571362088934155</v>
      </c>
      <c r="P1377" s="1">
        <f t="shared" si="3040"/>
        <v>0.3324481726357329</v>
      </c>
      <c r="Q1377" s="1">
        <f t="shared" si="3041"/>
        <v>0</v>
      </c>
      <c r="R1377" s="1">
        <f t="shared" si="3042"/>
        <v>0.87346781991379374</v>
      </c>
      <c r="S1377" s="1">
        <f t="shared" si="3043"/>
        <v>0.83009273978482556</v>
      </c>
      <c r="T1377" s="1">
        <f t="shared" ref="T1377:V1377" si="3115">$S1377*P1377</f>
        <v>0.2759628144596542</v>
      </c>
      <c r="U1377" s="1">
        <f t="shared" si="3115"/>
        <v>0</v>
      </c>
      <c r="V1377" s="1">
        <f t="shared" si="3115"/>
        <v>0.72505929574611971</v>
      </c>
      <c r="W1377" s="1">
        <f t="shared" si="3045"/>
        <v>-9.3194647532917223</v>
      </c>
      <c r="X1377" s="1">
        <f t="shared" si="3046"/>
        <v>0</v>
      </c>
      <c r="Y1377" s="1">
        <f t="shared" si="3047"/>
        <v>-5.4295015398559139</v>
      </c>
    </row>
    <row r="1378" spans="1:25">
      <c r="A1378" s="1">
        <v>1.3759999999999899</v>
      </c>
      <c r="B1378" s="1">
        <f t="shared" si="3048"/>
        <v>44.095060317024519</v>
      </c>
      <c r="C1378" s="1">
        <f t="shared" si="3049"/>
        <v>0</v>
      </c>
      <c r="D1378" s="1">
        <f t="shared" si="3050"/>
        <v>-2.6097808980367025</v>
      </c>
      <c r="E1378" s="1">
        <f t="shared" si="3051"/>
        <v>14.835014770587442</v>
      </c>
      <c r="F1378" s="1">
        <f t="shared" si="3052"/>
        <v>0</v>
      </c>
      <c r="G1378" s="1">
        <f t="shared" si="3053"/>
        <v>-5.6552905244910274</v>
      </c>
      <c r="H1378" s="1">
        <f t="shared" si="2880"/>
        <v>15.876396762488193</v>
      </c>
      <c r="I1378" s="1">
        <f t="shared" si="3036"/>
        <v>-9.5853122330670377</v>
      </c>
      <c r="J1378" s="1">
        <f t="shared" si="3037"/>
        <v>0</v>
      </c>
      <c r="K1378" s="1">
        <f t="shared" si="3038"/>
        <v>3.6540391960664969</v>
      </c>
      <c r="L1378" s="1">
        <f t="shared" ref="L1378:N1378" si="3116">E1378/$H1378</f>
        <v>0.93440690557940287</v>
      </c>
      <c r="M1378" s="1">
        <f t="shared" si="3116"/>
        <v>0</v>
      </c>
      <c r="N1378" s="1">
        <f t="shared" si="3116"/>
        <v>-0.35620743227159779</v>
      </c>
      <c r="O1378" s="1">
        <f t="shared" si="2882"/>
        <v>-0.35620743227159779</v>
      </c>
      <c r="P1378" s="1">
        <f t="shared" si="3040"/>
        <v>0.33284268453328841</v>
      </c>
      <c r="Q1378" s="1">
        <f t="shared" si="3041"/>
        <v>0</v>
      </c>
      <c r="R1378" s="1">
        <f t="shared" si="3042"/>
        <v>0.87311626519447505</v>
      </c>
      <c r="S1378" s="1">
        <f t="shared" si="3043"/>
        <v>0.82938459311106616</v>
      </c>
      <c r="T1378" s="1">
        <f t="shared" ref="T1378:V1378" si="3117">$S1378*P1378</f>
        <v>0.27605459448163638</v>
      </c>
      <c r="U1378" s="1">
        <f t="shared" si="3117"/>
        <v>0</v>
      </c>
      <c r="V1378" s="1">
        <f t="shared" si="3117"/>
        <v>0.72414917834697345</v>
      </c>
      <c r="W1378" s="1">
        <f t="shared" si="3045"/>
        <v>-9.309257638585402</v>
      </c>
      <c r="X1378" s="1">
        <f t="shared" si="3046"/>
        <v>0</v>
      </c>
      <c r="Y1378" s="1">
        <f t="shared" si="3047"/>
        <v>-5.4284616255865288</v>
      </c>
    </row>
    <row r="1379" spans="1:25">
      <c r="A1379" s="1">
        <v>1.37699999999999</v>
      </c>
      <c r="B1379" s="1">
        <f t="shared" si="3048"/>
        <v>44.109886022537466</v>
      </c>
      <c r="C1379" s="1">
        <f t="shared" si="3049"/>
        <v>0</v>
      </c>
      <c r="D1379" s="1">
        <f t="shared" si="3050"/>
        <v>-2.6154416170228192</v>
      </c>
      <c r="E1379" s="1">
        <f t="shared" si="3051"/>
        <v>14.825705512948856</v>
      </c>
      <c r="F1379" s="1">
        <f t="shared" si="3052"/>
        <v>0</v>
      </c>
      <c r="G1379" s="1">
        <f t="shared" si="3053"/>
        <v>-5.6607189861166143</v>
      </c>
      <c r="H1379" s="1">
        <f t="shared" si="2880"/>
        <v>15.869634003229665</v>
      </c>
      <c r="I1379" s="1">
        <f t="shared" si="3036"/>
        <v>-9.5752168377271687</v>
      </c>
      <c r="J1379" s="1">
        <f t="shared" si="3037"/>
        <v>0</v>
      </c>
      <c r="K1379" s="1">
        <f t="shared" si="3038"/>
        <v>3.6559886949167311</v>
      </c>
      <c r="L1379" s="1">
        <f t="shared" ref="L1379:N1379" si="3118">E1379/$H1379</f>
        <v>0.9342184898487037</v>
      </c>
      <c r="M1379" s="1">
        <f t="shared" si="3118"/>
        <v>0</v>
      </c>
      <c r="N1379" s="1">
        <f t="shared" si="3118"/>
        <v>-0.35670129411709106</v>
      </c>
      <c r="O1379" s="1">
        <f t="shared" si="2882"/>
        <v>-0.35670129411709106</v>
      </c>
      <c r="P1379" s="1">
        <f t="shared" si="3040"/>
        <v>0.33323694431714712</v>
      </c>
      <c r="Q1379" s="1">
        <f t="shared" si="3041"/>
        <v>0</v>
      </c>
      <c r="R1379" s="1">
        <f t="shared" si="3042"/>
        <v>0.87276418677519252</v>
      </c>
      <c r="S1379" s="1">
        <f t="shared" si="3043"/>
        <v>0.82867816912562786</v>
      </c>
      <c r="T1379" s="1">
        <f t="shared" ref="T1379:V1379" si="3119">$S1379*P1379</f>
        <v>0.2761461809017523</v>
      </c>
      <c r="U1379" s="1">
        <f t="shared" si="3119"/>
        <v>0</v>
      </c>
      <c r="V1379" s="1">
        <f t="shared" si="3119"/>
        <v>0.72324062837528402</v>
      </c>
      <c r="W1379" s="1">
        <f t="shared" si="3045"/>
        <v>-9.2990706568254158</v>
      </c>
      <c r="X1379" s="1">
        <f t="shared" si="3046"/>
        <v>0</v>
      </c>
      <c r="Y1379" s="1">
        <f t="shared" si="3047"/>
        <v>-5.4274206767079844</v>
      </c>
    </row>
    <row r="1380" spans="1:25">
      <c r="A1380" s="1">
        <v>1.3779999999999899</v>
      </c>
      <c r="B1380" s="1">
        <f t="shared" si="3048"/>
        <v>44.124702428979759</v>
      </c>
      <c r="C1380" s="1">
        <f t="shared" si="3049"/>
        <v>0</v>
      </c>
      <c r="D1380" s="1">
        <f t="shared" si="3050"/>
        <v>-2.6211077634296127</v>
      </c>
      <c r="E1380" s="1">
        <f t="shared" si="3051"/>
        <v>14.816406442292031</v>
      </c>
      <c r="F1380" s="1">
        <f t="shared" si="3052"/>
        <v>0</v>
      </c>
      <c r="G1380" s="1">
        <f t="shared" si="3053"/>
        <v>-5.666146406793322</v>
      </c>
      <c r="H1380" s="1">
        <f t="shared" si="2880"/>
        <v>15.862884824848527</v>
      </c>
      <c r="I1380" s="1">
        <f t="shared" si="3036"/>
        <v>-9.5651413322952372</v>
      </c>
      <c r="J1380" s="1">
        <f t="shared" si="3037"/>
        <v>0</v>
      </c>
      <c r="K1380" s="1">
        <f t="shared" si="3038"/>
        <v>3.6579376653540856</v>
      </c>
      <c r="L1380" s="1">
        <f t="shared" ref="L1380:N1380" si="3120">E1380/$H1380</f>
        <v>0.93402975599260285</v>
      </c>
      <c r="M1380" s="1">
        <f t="shared" si="3120"/>
        <v>0</v>
      </c>
      <c r="N1380" s="1">
        <f t="shared" si="3120"/>
        <v>-0.35719520562347823</v>
      </c>
      <c r="O1380" s="1">
        <f t="shared" si="2882"/>
        <v>-0.35719520562347823</v>
      </c>
      <c r="P1380" s="1">
        <f t="shared" si="3040"/>
        <v>0.33363095075022497</v>
      </c>
      <c r="Q1380" s="1">
        <f t="shared" si="3041"/>
        <v>0</v>
      </c>
      <c r="R1380" s="1">
        <f t="shared" si="3042"/>
        <v>0.87241158507960115</v>
      </c>
      <c r="S1380" s="1">
        <f t="shared" si="3043"/>
        <v>0.82797346383947845</v>
      </c>
      <c r="T1380" s="1">
        <f t="shared" ref="T1380:V1380" si="3121">$S1380*P1380</f>
        <v>0.27623757393672221</v>
      </c>
      <c r="U1380" s="1">
        <f t="shared" si="3121"/>
        <v>0</v>
      </c>
      <c r="V1380" s="1">
        <f t="shared" si="3121"/>
        <v>0.72233364199204719</v>
      </c>
      <c r="W1380" s="1">
        <f t="shared" si="3045"/>
        <v>-9.288903758358515</v>
      </c>
      <c r="X1380" s="1">
        <f t="shared" si="3046"/>
        <v>0</v>
      </c>
      <c r="Y1380" s="1">
        <f t="shared" si="3047"/>
        <v>-5.4263786926538664</v>
      </c>
    </row>
    <row r="1381" spans="1:25">
      <c r="A1381" s="1">
        <v>1.37899999999999</v>
      </c>
      <c r="B1381" s="1">
        <f t="shared" si="3048"/>
        <v>44.139509546518291</v>
      </c>
      <c r="C1381" s="1">
        <f t="shared" si="3049"/>
        <v>0</v>
      </c>
      <c r="D1381" s="1">
        <f t="shared" si="3050"/>
        <v>-2.6267793362150988</v>
      </c>
      <c r="E1381" s="1">
        <f t="shared" si="3051"/>
        <v>14.807117538533673</v>
      </c>
      <c r="F1381" s="1">
        <f t="shared" si="3052"/>
        <v>0</v>
      </c>
      <c r="G1381" s="1">
        <f t="shared" si="3053"/>
        <v>-5.6715727854859761</v>
      </c>
      <c r="H1381" s="1">
        <f t="shared" si="2880"/>
        <v>15.856149206570196</v>
      </c>
      <c r="I1381" s="1">
        <f t="shared" si="3036"/>
        <v>-9.5550856674791849</v>
      </c>
      <c r="J1381" s="1">
        <f t="shared" si="3037"/>
        <v>0</v>
      </c>
      <c r="K1381" s="1">
        <f t="shared" si="3038"/>
        <v>3.6598861117724768</v>
      </c>
      <c r="L1381" s="1">
        <f t="shared" ref="L1381:N1381" si="3122">E1381/$H1381</f>
        <v>0.93384070404674024</v>
      </c>
      <c r="M1381" s="1">
        <f t="shared" si="3122"/>
        <v>0</v>
      </c>
      <c r="N1381" s="1">
        <f t="shared" si="3122"/>
        <v>-0.35768916598841594</v>
      </c>
      <c r="O1381" s="1">
        <f t="shared" si="2882"/>
        <v>-0.35768916598841594</v>
      </c>
      <c r="P1381" s="1">
        <f t="shared" si="3040"/>
        <v>0.33402470259651368</v>
      </c>
      <c r="Q1381" s="1">
        <f t="shared" si="3041"/>
        <v>0</v>
      </c>
      <c r="R1381" s="1">
        <f t="shared" si="3042"/>
        <v>0.87205846053451141</v>
      </c>
      <c r="S1381" s="1">
        <f t="shared" si="3043"/>
        <v>0.82727047327525571</v>
      </c>
      <c r="T1381" s="1">
        <f t="shared" ref="T1381:V1381" si="3123">$S1381*P1381</f>
        <v>0.27632877380264442</v>
      </c>
      <c r="U1381" s="1">
        <f t="shared" si="3123"/>
        <v>0</v>
      </c>
      <c r="V1381" s="1">
        <f t="shared" si="3123"/>
        <v>0.72142821537007618</v>
      </c>
      <c r="W1381" s="1">
        <f t="shared" si="3045"/>
        <v>-9.2787568936765403</v>
      </c>
      <c r="X1381" s="1">
        <f t="shared" si="3046"/>
        <v>0</v>
      </c>
      <c r="Y1381" s="1">
        <f t="shared" si="3047"/>
        <v>-5.4253356728574467</v>
      </c>
    </row>
    <row r="1382" spans="1:25">
      <c r="A1382" s="1">
        <v>1.3799999999999899</v>
      </c>
      <c r="B1382" s="1">
        <f t="shared" si="3048"/>
        <v>44.15430738529993</v>
      </c>
      <c r="C1382" s="1">
        <f t="shared" si="3049"/>
        <v>0</v>
      </c>
      <c r="D1382" s="1">
        <f t="shared" si="3050"/>
        <v>-2.6324563343362577</v>
      </c>
      <c r="E1382" s="1">
        <f t="shared" si="3051"/>
        <v>14.797838781639996</v>
      </c>
      <c r="F1382" s="1">
        <f t="shared" si="3052"/>
        <v>0</v>
      </c>
      <c r="G1382" s="1">
        <f t="shared" si="3053"/>
        <v>-5.6769981211588334</v>
      </c>
      <c r="H1382" s="1">
        <f t="shared" si="2880"/>
        <v>15.849427127661416</v>
      </c>
      <c r="I1382" s="1">
        <f t="shared" si="3036"/>
        <v>-9.5450497941309251</v>
      </c>
      <c r="J1382" s="1">
        <f t="shared" si="3037"/>
        <v>0</v>
      </c>
      <c r="K1382" s="1">
        <f t="shared" si="3038"/>
        <v>3.6618340385543369</v>
      </c>
      <c r="L1382" s="1">
        <f t="shared" ref="L1382:N1382" si="3124">E1382/$H1382</f>
        <v>0.93365133404814848</v>
      </c>
      <c r="M1382" s="1">
        <f t="shared" si="3124"/>
        <v>0</v>
      </c>
      <c r="N1382" s="1">
        <f t="shared" si="3124"/>
        <v>-0.3581831744095646</v>
      </c>
      <c r="O1382" s="1">
        <f t="shared" si="2882"/>
        <v>-0.3581831744095646</v>
      </c>
      <c r="P1382" s="1">
        <f t="shared" si="3040"/>
        <v>0.33441819862109062</v>
      </c>
      <c r="Q1382" s="1">
        <f t="shared" si="3041"/>
        <v>0</v>
      </c>
      <c r="R1382" s="1">
        <f t="shared" si="3042"/>
        <v>0.87170481356988749</v>
      </c>
      <c r="S1382" s="1">
        <f t="shared" si="3043"/>
        <v>0.82656919346722513</v>
      </c>
      <c r="T1382" s="1">
        <f t="shared" ref="T1382:V1382" si="3125">$S1382*P1382</f>
        <v>0.27641978071499718</v>
      </c>
      <c r="U1382" s="1">
        <f t="shared" si="3125"/>
        <v>0</v>
      </c>
      <c r="V1382" s="1">
        <f t="shared" si="3125"/>
        <v>0.72052434469395976</v>
      </c>
      <c r="W1382" s="1">
        <f t="shared" si="3045"/>
        <v>-9.2686300134159278</v>
      </c>
      <c r="X1382" s="1">
        <f t="shared" si="3046"/>
        <v>0</v>
      </c>
      <c r="Y1382" s="1">
        <f t="shared" si="3047"/>
        <v>-5.4242916167517023</v>
      </c>
    </row>
    <row r="1383" spans="1:25">
      <c r="A1383" s="1">
        <v>1.38099999999999</v>
      </c>
      <c r="B1383" s="1">
        <f t="shared" si="3048"/>
        <v>44.169095955451553</v>
      </c>
      <c r="C1383" s="1">
        <f t="shared" si="3049"/>
        <v>0</v>
      </c>
      <c r="D1383" s="1">
        <f t="shared" si="3050"/>
        <v>-2.6381387567490333</v>
      </c>
      <c r="E1383" s="1">
        <f t="shared" si="3051"/>
        <v>14.78857015162658</v>
      </c>
      <c r="F1383" s="1">
        <f t="shared" si="3052"/>
        <v>0</v>
      </c>
      <c r="G1383" s="1">
        <f t="shared" si="3053"/>
        <v>-5.6824224127755851</v>
      </c>
      <c r="H1383" s="1">
        <f t="shared" si="2880"/>
        <v>15.842718567430115</v>
      </c>
      <c r="I1383" s="1">
        <f t="shared" si="3036"/>
        <v>-9.5350336632457982</v>
      </c>
      <c r="J1383" s="1">
        <f t="shared" si="3037"/>
        <v>0</v>
      </c>
      <c r="K1383" s="1">
        <f t="shared" si="3038"/>
        <v>3.6637814500706267</v>
      </c>
      <c r="L1383" s="1">
        <f t="shared" ref="L1383:N1383" si="3126">E1383/$H1383</f>
        <v>0.93346164603525295</v>
      </c>
      <c r="M1383" s="1">
        <f t="shared" si="3126"/>
        <v>0</v>
      </c>
      <c r="N1383" s="1">
        <f t="shared" si="3126"/>
        <v>-0.35867723008459301</v>
      </c>
      <c r="O1383" s="1">
        <f t="shared" si="2882"/>
        <v>-0.35867723008459301</v>
      </c>
      <c r="P1383" s="1">
        <f t="shared" si="3040"/>
        <v>0.33481143759012932</v>
      </c>
      <c r="Q1383" s="1">
        <f t="shared" si="3041"/>
        <v>0</v>
      </c>
      <c r="R1383" s="1">
        <f t="shared" si="3042"/>
        <v>0.87135064461884393</v>
      </c>
      <c r="S1383" s="1">
        <f t="shared" si="3043"/>
        <v>0.82586962046123713</v>
      </c>
      <c r="T1383" s="1">
        <f t="shared" ref="T1383:V1383" si="3127">$S1383*P1383</f>
        <v>0.27651059488864127</v>
      </c>
      <c r="U1383" s="1">
        <f t="shared" si="3127"/>
        <v>0</v>
      </c>
      <c r="V1383" s="1">
        <f t="shared" si="3127"/>
        <v>0.71962202616001891</v>
      </c>
      <c r="W1383" s="1">
        <f t="shared" si="3045"/>
        <v>-9.2585230683571567</v>
      </c>
      <c r="X1383" s="1">
        <f t="shared" si="3046"/>
        <v>0</v>
      </c>
      <c r="Y1383" s="1">
        <f t="shared" si="3047"/>
        <v>-5.4232465237693539</v>
      </c>
    </row>
    <row r="1384" spans="1:25">
      <c r="A1384" s="1">
        <v>1.3819999999999899</v>
      </c>
      <c r="B1384" s="1">
        <f t="shared" si="3048"/>
        <v>44.183875267080111</v>
      </c>
      <c r="C1384" s="1">
        <f t="shared" si="3049"/>
        <v>0</v>
      </c>
      <c r="D1384" s="1">
        <f t="shared" si="3050"/>
        <v>-2.6438266024083328</v>
      </c>
      <c r="E1384" s="1">
        <f t="shared" si="3051"/>
        <v>14.779311628558222</v>
      </c>
      <c r="F1384" s="1">
        <f t="shared" si="3052"/>
        <v>0</v>
      </c>
      <c r="G1384" s="1">
        <f t="shared" si="3053"/>
        <v>-5.687845659299354</v>
      </c>
      <c r="H1384" s="1">
        <f t="shared" si="2880"/>
        <v>15.836023505225256</v>
      </c>
      <c r="I1384" s="1">
        <f t="shared" si="3036"/>
        <v>-9.5250372259620733</v>
      </c>
      <c r="J1384" s="1">
        <f t="shared" si="3037"/>
        <v>0</v>
      </c>
      <c r="K1384" s="1">
        <f t="shared" si="3038"/>
        <v>3.6657283506808569</v>
      </c>
      <c r="L1384" s="1">
        <f t="shared" ref="L1384:N1384" si="3128">E1384/$H1384</f>
        <v>0.93327164004787178</v>
      </c>
      <c r="M1384" s="1">
        <f t="shared" si="3128"/>
        <v>0</v>
      </c>
      <c r="N1384" s="1">
        <f t="shared" si="3128"/>
        <v>-0.35917133221118241</v>
      </c>
      <c r="O1384" s="1">
        <f t="shared" si="2882"/>
        <v>-0.35917133221118241</v>
      </c>
      <c r="P1384" s="1">
        <f t="shared" si="3040"/>
        <v>0.33520441827090919</v>
      </c>
      <c r="Q1384" s="1">
        <f t="shared" si="3041"/>
        <v>0</v>
      </c>
      <c r="R1384" s="1">
        <f t="shared" si="3042"/>
        <v>0.87099595411764441</v>
      </c>
      <c r="S1384" s="1">
        <f t="shared" si="3043"/>
        <v>0.82517175031468515</v>
      </c>
      <c r="T1384" s="1">
        <f t="shared" ref="T1384:V1384" si="3129">$S1384*P1384</f>
        <v>0.27660121653782194</v>
      </c>
      <c r="U1384" s="1">
        <f t="shared" si="3129"/>
        <v>0</v>
      </c>
      <c r="V1384" s="1">
        <f t="shared" si="3129"/>
        <v>0.71872125597626579</v>
      </c>
      <c r="W1384" s="1">
        <f t="shared" si="3045"/>
        <v>-9.2484360094242515</v>
      </c>
      <c r="X1384" s="1">
        <f t="shared" si="3046"/>
        <v>0</v>
      </c>
      <c r="Y1384" s="1">
        <f t="shared" si="3047"/>
        <v>-5.4222003933428766</v>
      </c>
    </row>
    <row r="1385" spans="1:25">
      <c r="A1385" s="1">
        <v>1.38299999999999</v>
      </c>
      <c r="B1385" s="1">
        <f t="shared" si="3048"/>
        <v>44.198645330272662</v>
      </c>
      <c r="C1385" s="1">
        <f t="shared" si="3049"/>
        <v>0</v>
      </c>
      <c r="D1385" s="1">
        <f t="shared" si="3050"/>
        <v>-2.6495198702680254</v>
      </c>
      <c r="E1385" s="1">
        <f t="shared" si="3051"/>
        <v>14.770063192548799</v>
      </c>
      <c r="F1385" s="1">
        <f t="shared" si="3052"/>
        <v>0</v>
      </c>
      <c r="G1385" s="1">
        <f t="shared" si="3053"/>
        <v>-5.6932678596926971</v>
      </c>
      <c r="H1385" s="1">
        <f t="shared" si="2880"/>
        <v>15.829341920436701</v>
      </c>
      <c r="I1385" s="1">
        <f t="shared" si="3036"/>
        <v>-9.5150604335604161</v>
      </c>
      <c r="J1385" s="1">
        <f t="shared" si="3037"/>
        <v>0</v>
      </c>
      <c r="K1385" s="1">
        <f t="shared" si="3038"/>
        <v>3.6676747447331004</v>
      </c>
      <c r="L1385" s="1">
        <f t="shared" ref="L1385:N1385" si="3130">E1385/$H1385</f>
        <v>0.93308131612721656</v>
      </c>
      <c r="M1385" s="1">
        <f t="shared" si="3130"/>
        <v>0</v>
      </c>
      <c r="N1385" s="1">
        <f t="shared" si="3130"/>
        <v>-0.35966547998703102</v>
      </c>
      <c r="O1385" s="1">
        <f t="shared" si="2882"/>
        <v>-0.35966547998703102</v>
      </c>
      <c r="P1385" s="1">
        <f t="shared" si="3040"/>
        <v>0.33559713943182595</v>
      </c>
      <c r="Q1385" s="1">
        <f t="shared" si="3041"/>
        <v>0</v>
      </c>
      <c r="R1385" s="1">
        <f t="shared" si="3042"/>
        <v>0.87064074250569856</v>
      </c>
      <c r="S1385" s="1">
        <f t="shared" si="3043"/>
        <v>0.82447557909646241</v>
      </c>
      <c r="T1385" s="1">
        <f t="shared" ref="T1385:V1385" si="3131">$S1385*P1385</f>
        <v>0.27669164587617096</v>
      </c>
      <c r="U1385" s="1">
        <f t="shared" si="3131"/>
        <v>0</v>
      </c>
      <c r="V1385" s="1">
        <f t="shared" si="3131"/>
        <v>0.71782203036235981</v>
      </c>
      <c r="W1385" s="1">
        <f t="shared" si="3045"/>
        <v>-9.2383687876842444</v>
      </c>
      <c r="X1385" s="1">
        <f t="shared" si="3046"/>
        <v>0</v>
      </c>
      <c r="Y1385" s="1">
        <f t="shared" si="3047"/>
        <v>-5.4211532249045389</v>
      </c>
    </row>
    <row r="1386" spans="1:25">
      <c r="A1386" s="1">
        <v>1.3839999999999899</v>
      </c>
      <c r="B1386" s="1">
        <f t="shared" si="3048"/>
        <v>44.213406155096422</v>
      </c>
      <c r="C1386" s="1">
        <f t="shared" si="3049"/>
        <v>0</v>
      </c>
      <c r="D1386" s="1">
        <f t="shared" si="3050"/>
        <v>-2.655218559280943</v>
      </c>
      <c r="E1386" s="1">
        <f t="shared" si="3051"/>
        <v>14.760824823761114</v>
      </c>
      <c r="F1386" s="1">
        <f t="shared" si="3052"/>
        <v>0</v>
      </c>
      <c r="G1386" s="1">
        <f t="shared" si="3053"/>
        <v>-5.698689012917602</v>
      </c>
      <c r="H1386" s="1">
        <f t="shared" si="2880"/>
        <v>15.822673792495063</v>
      </c>
      <c r="I1386" s="1">
        <f t="shared" si="3036"/>
        <v>-9.5051032374633788</v>
      </c>
      <c r="J1386" s="1">
        <f t="shared" si="3037"/>
        <v>0</v>
      </c>
      <c r="K1386" s="1">
        <f t="shared" si="3038"/>
        <v>3.6696206365640092</v>
      </c>
      <c r="L1386" s="1">
        <f t="shared" ref="L1386:N1386" si="3132">E1386/$H1386</f>
        <v>0.93289067431589212</v>
      </c>
      <c r="M1386" s="1">
        <f t="shared" si="3132"/>
        <v>0</v>
      </c>
      <c r="N1386" s="1">
        <f t="shared" si="3132"/>
        <v>-0.36015967260985798</v>
      </c>
      <c r="O1386" s="1">
        <f t="shared" si="2882"/>
        <v>-0.36015967260985798</v>
      </c>
      <c r="P1386" s="1">
        <f t="shared" si="3040"/>
        <v>0.33598959984240134</v>
      </c>
      <c r="Q1386" s="1">
        <f t="shared" si="3041"/>
        <v>0</v>
      </c>
      <c r="R1386" s="1">
        <f t="shared" si="3042"/>
        <v>0.87028501022555993</v>
      </c>
      <c r="S1386" s="1">
        <f t="shared" si="3043"/>
        <v>0.82378110288692097</v>
      </c>
      <c r="T1386" s="1">
        <f t="shared" ref="T1386:V1386" si="3133">$S1386*P1386</f>
        <v>0.27678188311670865</v>
      </c>
      <c r="U1386" s="1">
        <f t="shared" si="3133"/>
        <v>0</v>
      </c>
      <c r="V1386" s="1">
        <f t="shared" si="3133"/>
        <v>0.71692434554956708</v>
      </c>
      <c r="W1386" s="1">
        <f t="shared" si="3045"/>
        <v>-9.2283213543466704</v>
      </c>
      <c r="X1386" s="1">
        <f t="shared" si="3046"/>
        <v>0</v>
      </c>
      <c r="Y1386" s="1">
        <f t="shared" si="3047"/>
        <v>-5.4201050178864234</v>
      </c>
    </row>
    <row r="1387" spans="1:25">
      <c r="A1387" s="1">
        <v>1.38499999999999</v>
      </c>
      <c r="B1387" s="1">
        <f t="shared" si="3048"/>
        <v>44.228157751598829</v>
      </c>
      <c r="C1387" s="1">
        <f t="shared" si="3049"/>
        <v>0</v>
      </c>
      <c r="D1387" s="1">
        <f t="shared" si="3050"/>
        <v>-2.6609226683988783</v>
      </c>
      <c r="E1387" s="1">
        <f t="shared" si="3051"/>
        <v>14.751596502406768</v>
      </c>
      <c r="F1387" s="1">
        <f t="shared" si="3052"/>
        <v>0</v>
      </c>
      <c r="G1387" s="1">
        <f t="shared" si="3053"/>
        <v>-5.7041091179354888</v>
      </c>
      <c r="H1387" s="1">
        <f t="shared" si="2880"/>
        <v>15.816019100871571</v>
      </c>
      <c r="I1387" s="1">
        <f t="shared" si="3036"/>
        <v>-9.4951655892348903</v>
      </c>
      <c r="J1387" s="1">
        <f t="shared" si="3037"/>
        <v>0</v>
      </c>
      <c r="K1387" s="1">
        <f t="shared" si="3038"/>
        <v>3.6715660304988296</v>
      </c>
      <c r="L1387" s="1">
        <f t="shared" ref="L1387:N1387" si="3134">E1387/$H1387</f>
        <v>0.93269971465789725</v>
      </c>
      <c r="M1387" s="1">
        <f t="shared" si="3134"/>
        <v>0</v>
      </c>
      <c r="N1387" s="1">
        <f t="shared" si="3134"/>
        <v>-0.36065390927740809</v>
      </c>
      <c r="O1387" s="1">
        <f t="shared" si="2882"/>
        <v>-0.36065390927740809</v>
      </c>
      <c r="P1387" s="1">
        <f t="shared" si="3040"/>
        <v>0.33638179827329368</v>
      </c>
      <c r="Q1387" s="1">
        <f t="shared" si="3041"/>
        <v>0</v>
      </c>
      <c r="R1387" s="1">
        <f t="shared" si="3042"/>
        <v>0.86992875772292311</v>
      </c>
      <c r="S1387" s="1">
        <f t="shared" si="3043"/>
        <v>0.82308831777782865</v>
      </c>
      <c r="T1387" s="1">
        <f t="shared" ref="T1387:V1387" si="3135">$S1387*P1387</f>
        <v>0.27687192847184622</v>
      </c>
      <c r="U1387" s="1">
        <f t="shared" si="3135"/>
        <v>0</v>
      </c>
      <c r="V1387" s="1">
        <f t="shared" si="3135"/>
        <v>0.71602819778071702</v>
      </c>
      <c r="W1387" s="1">
        <f t="shared" si="3045"/>
        <v>-9.2182936607630435</v>
      </c>
      <c r="X1387" s="1">
        <f t="shared" si="3046"/>
        <v>0</v>
      </c>
      <c r="Y1387" s="1">
        <f t="shared" si="3047"/>
        <v>-5.4190557717204531</v>
      </c>
    </row>
    <row r="1388" spans="1:25">
      <c r="A1388" s="1">
        <v>1.3859999999999899</v>
      </c>
      <c r="B1388" s="1">
        <f t="shared" si="3048"/>
        <v>44.242900129807573</v>
      </c>
      <c r="C1388" s="1">
        <f t="shared" si="3049"/>
        <v>0</v>
      </c>
      <c r="D1388" s="1">
        <f t="shared" si="3050"/>
        <v>-2.6666321965725857</v>
      </c>
      <c r="E1388" s="1">
        <f t="shared" si="3051"/>
        <v>14.742378208746004</v>
      </c>
      <c r="F1388" s="1">
        <f t="shared" si="3052"/>
        <v>0</v>
      </c>
      <c r="G1388" s="1">
        <f t="shared" si="3053"/>
        <v>-5.7095281737072092</v>
      </c>
      <c r="H1388" s="1">
        <f t="shared" si="2880"/>
        <v>15.809377825077918</v>
      </c>
      <c r="I1388" s="1">
        <f t="shared" si="3036"/>
        <v>-9.4852474405797356</v>
      </c>
      <c r="J1388" s="1">
        <f t="shared" si="3037"/>
        <v>0</v>
      </c>
      <c r="K1388" s="1">
        <f t="shared" si="3038"/>
        <v>3.673510930851418</v>
      </c>
      <c r="L1388" s="1">
        <f t="shared" ref="L1388:N1388" si="3136">E1388/$H1388</f>
        <v>0.93250843719862486</v>
      </c>
      <c r="M1388" s="1">
        <f t="shared" si="3136"/>
        <v>0</v>
      </c>
      <c r="N1388" s="1">
        <f t="shared" si="3136"/>
        <v>-0.36114818918745584</v>
      </c>
      <c r="O1388" s="1">
        <f t="shared" si="2882"/>
        <v>-0.36114818918745584</v>
      </c>
      <c r="P1388" s="1">
        <f t="shared" si="3040"/>
        <v>0.33677373349630774</v>
      </c>
      <c r="Q1388" s="1">
        <f t="shared" si="3041"/>
        <v>0</v>
      </c>
      <c r="R1388" s="1">
        <f t="shared" si="3042"/>
        <v>0.86957198544662162</v>
      </c>
      <c r="S1388" s="1">
        <f t="shared" si="3043"/>
        <v>0.82239721987232772</v>
      </c>
      <c r="T1388" s="1">
        <f t="shared" ref="T1388:V1388" si="3137">$S1388*P1388</f>
        <v>0.27696178215338768</v>
      </c>
      <c r="U1388" s="1">
        <f t="shared" si="3137"/>
        <v>0</v>
      </c>
      <c r="V1388" s="1">
        <f t="shared" si="3137"/>
        <v>0.71513358331016186</v>
      </c>
      <c r="W1388" s="1">
        <f t="shared" si="3045"/>
        <v>-9.2082856584263482</v>
      </c>
      <c r="X1388" s="1">
        <f t="shared" si="3046"/>
        <v>0</v>
      </c>
      <c r="Y1388" s="1">
        <f t="shared" si="3047"/>
        <v>-5.4180054858384192</v>
      </c>
    </row>
    <row r="1389" spans="1:25">
      <c r="A1389" s="1">
        <v>1.38699999999999</v>
      </c>
      <c r="B1389" s="1">
        <f t="shared" si="3048"/>
        <v>44.257633299730664</v>
      </c>
      <c r="C1389" s="1">
        <f t="shared" si="3049"/>
        <v>0</v>
      </c>
      <c r="D1389" s="1">
        <f t="shared" si="3050"/>
        <v>-2.6723471427517786</v>
      </c>
      <c r="E1389" s="1">
        <f t="shared" si="3051"/>
        <v>14.733169923087578</v>
      </c>
      <c r="F1389" s="1">
        <f t="shared" si="3052"/>
        <v>0</v>
      </c>
      <c r="G1389" s="1">
        <f t="shared" si="3053"/>
        <v>-5.7149461791930474</v>
      </c>
      <c r="H1389" s="1">
        <f t="shared" si="2880"/>
        <v>15.802749944666138</v>
      </c>
      <c r="I1389" s="1">
        <f t="shared" si="3036"/>
        <v>-9.4753487433430603</v>
      </c>
      <c r="J1389" s="1">
        <f t="shared" si="3037"/>
        <v>0</v>
      </c>
      <c r="K1389" s="1">
        <f t="shared" si="3038"/>
        <v>3.675455341924259</v>
      </c>
      <c r="L1389" s="1">
        <f t="shared" ref="L1389:N1389" si="3138">E1389/$H1389</f>
        <v>0.93231684198486153</v>
      </c>
      <c r="M1389" s="1">
        <f t="shared" si="3138"/>
        <v>0</v>
      </c>
      <c r="N1389" s="1">
        <f t="shared" si="3138"/>
        <v>-0.36164251153780985</v>
      </c>
      <c r="O1389" s="1">
        <f t="shared" si="2882"/>
        <v>-0.36164251153780985</v>
      </c>
      <c r="P1389" s="1">
        <f t="shared" si="3040"/>
        <v>0.33716540428440472</v>
      </c>
      <c r="Q1389" s="1">
        <f t="shared" si="3041"/>
        <v>0</v>
      </c>
      <c r="R1389" s="1">
        <f t="shared" si="3042"/>
        <v>0.86921469384862504</v>
      </c>
      <c r="S1389" s="1">
        <f t="shared" si="3043"/>
        <v>0.82170780528489407</v>
      </c>
      <c r="T1389" s="1">
        <f t="shared" ref="T1389:V1389" si="3139">$S1389*P1389</f>
        <v>0.27705144437253221</v>
      </c>
      <c r="U1389" s="1">
        <f t="shared" si="3139"/>
        <v>0</v>
      </c>
      <c r="V1389" s="1">
        <f t="shared" si="3139"/>
        <v>0.71424049840373482</v>
      </c>
      <c r="W1389" s="1">
        <f t="shared" si="3045"/>
        <v>-9.1982972989705285</v>
      </c>
      <c r="X1389" s="1">
        <f t="shared" si="3046"/>
        <v>0</v>
      </c>
      <c r="Y1389" s="1">
        <f t="shared" si="3047"/>
        <v>-5.4169541596720059</v>
      </c>
    </row>
    <row r="1390" spans="1:25">
      <c r="A1390" s="1">
        <v>1.3879999999999899</v>
      </c>
      <c r="B1390" s="1">
        <f t="shared" si="3048"/>
        <v>44.272357271356455</v>
      </c>
      <c r="C1390" s="1">
        <f t="shared" si="3049"/>
        <v>0</v>
      </c>
      <c r="D1390" s="1">
        <f t="shared" si="3050"/>
        <v>-2.6780675058851315</v>
      </c>
      <c r="E1390" s="1">
        <f t="shared" si="3051"/>
        <v>14.723971625788607</v>
      </c>
      <c r="F1390" s="1">
        <f t="shared" si="3052"/>
        <v>0</v>
      </c>
      <c r="G1390" s="1">
        <f t="shared" si="3053"/>
        <v>-5.720363133352719</v>
      </c>
      <c r="H1390" s="1">
        <f t="shared" si="2880"/>
        <v>15.796135439228449</v>
      </c>
      <c r="I1390" s="1">
        <f t="shared" si="3036"/>
        <v>-9.4654694495098521</v>
      </c>
      <c r="J1390" s="1">
        <f t="shared" si="3037"/>
        <v>0</v>
      </c>
      <c r="K1390" s="1">
        <f t="shared" si="3038"/>
        <v>3.6773992680084775</v>
      </c>
      <c r="L1390" s="1">
        <f t="shared" ref="L1390:N1390" si="3140">E1390/$H1390</f>
        <v>0.93212492906478839</v>
      </c>
      <c r="M1390" s="1">
        <f t="shared" si="3140"/>
        <v>0</v>
      </c>
      <c r="N1390" s="1">
        <f t="shared" si="3140"/>
        <v>-0.36213687552631707</v>
      </c>
      <c r="O1390" s="1">
        <f t="shared" si="2882"/>
        <v>-0.36213687552631707</v>
      </c>
      <c r="P1390" s="1">
        <f t="shared" si="3040"/>
        <v>0.3375568094117124</v>
      </c>
      <c r="Q1390" s="1">
        <f t="shared" si="3041"/>
        <v>0</v>
      </c>
      <c r="R1390" s="1">
        <f t="shared" si="3042"/>
        <v>0.86885688338403677</v>
      </c>
      <c r="S1390" s="1">
        <f t="shared" si="3043"/>
        <v>0.82102007014129497</v>
      </c>
      <c r="T1390" s="1">
        <f t="shared" ref="T1390:V1390" si="3141">$S1390*P1390</f>
        <v>0.27714091533987584</v>
      </c>
      <c r="U1390" s="1">
        <f t="shared" si="3141"/>
        <v>0</v>
      </c>
      <c r="V1390" s="1">
        <f t="shared" si="3141"/>
        <v>0.7133489393387088</v>
      </c>
      <c r="W1390" s="1">
        <f t="shared" si="3045"/>
        <v>-9.1883285341699761</v>
      </c>
      <c r="X1390" s="1">
        <f t="shared" si="3046"/>
        <v>0</v>
      </c>
      <c r="Y1390" s="1">
        <f t="shared" si="3047"/>
        <v>-5.4159017926528135</v>
      </c>
    </row>
    <row r="1391" spans="1:25">
      <c r="A1391" s="1">
        <v>1.38899999999999</v>
      </c>
      <c r="B1391" s="1">
        <f t="shared" si="3048"/>
        <v>44.287072054653713</v>
      </c>
      <c r="C1391" s="1">
        <f t="shared" si="3049"/>
        <v>0</v>
      </c>
      <c r="D1391" s="1">
        <f t="shared" si="3050"/>
        <v>-2.6837932849202768</v>
      </c>
      <c r="E1391" s="1">
        <f t="shared" si="3051"/>
        <v>14.714783297254437</v>
      </c>
      <c r="F1391" s="1">
        <f t="shared" si="3052"/>
        <v>0</v>
      </c>
      <c r="G1391" s="1">
        <f t="shared" si="3053"/>
        <v>-5.7257790351453721</v>
      </c>
      <c r="H1391" s="1">
        <f t="shared" si="2880"/>
        <v>15.789534288397123</v>
      </c>
      <c r="I1391" s="1">
        <f t="shared" si="3036"/>
        <v>-9.4556095112044503</v>
      </c>
      <c r="J1391" s="1">
        <f t="shared" si="3037"/>
        <v>0</v>
      </c>
      <c r="K1391" s="1">
        <f t="shared" si="3038"/>
        <v>3.6793427133838583</v>
      </c>
      <c r="L1391" s="1">
        <f t="shared" ref="L1391:N1391" si="3142">E1391/$H1391</f>
        <v>0.93193269848798121</v>
      </c>
      <c r="M1391" s="1">
        <f t="shared" si="3142"/>
        <v>0</v>
      </c>
      <c r="N1391" s="1">
        <f t="shared" si="3142"/>
        <v>-0.3626312803508675</v>
      </c>
      <c r="O1391" s="1">
        <f t="shared" si="2882"/>
        <v>-0.3626312803508675</v>
      </c>
      <c r="P1391" s="1">
        <f t="shared" si="3040"/>
        <v>0.33794794765353559</v>
      </c>
      <c r="Q1391" s="1">
        <f t="shared" si="3041"/>
        <v>0</v>
      </c>
      <c r="R1391" s="1">
        <f t="shared" si="3042"/>
        <v>0.86849855451109059</v>
      </c>
      <c r="S1391" s="1">
        <f t="shared" si="3043"/>
        <v>0.82033401057854793</v>
      </c>
      <c r="T1391" s="1">
        <f t="shared" ref="T1391:V1391" si="3143">$S1391*P1391</f>
        <v>0.27723019526541404</v>
      </c>
      <c r="U1391" s="1">
        <f t="shared" si="3143"/>
        <v>0</v>
      </c>
      <c r="V1391" s="1">
        <f t="shared" si="3143"/>
        <v>0.71245890240375453</v>
      </c>
      <c r="W1391" s="1">
        <f t="shared" si="3045"/>
        <v>-9.1783793159390363</v>
      </c>
      <c r="X1391" s="1">
        <f t="shared" si="3046"/>
        <v>0</v>
      </c>
      <c r="Y1391" s="1">
        <f t="shared" si="3047"/>
        <v>-5.4148483842123865</v>
      </c>
    </row>
    <row r="1392" spans="1:25">
      <c r="A1392" s="1">
        <v>1.3899999999999899</v>
      </c>
      <c r="B1392" s="1">
        <f t="shared" si="3048"/>
        <v>44.301777659571648</v>
      </c>
      <c r="C1392" s="1">
        <f t="shared" si="3049"/>
        <v>0</v>
      </c>
      <c r="D1392" s="1">
        <f t="shared" si="3050"/>
        <v>-2.6895244788038064</v>
      </c>
      <c r="E1392" s="1">
        <f t="shared" si="3051"/>
        <v>14.705604917938498</v>
      </c>
      <c r="F1392" s="1">
        <f t="shared" si="3052"/>
        <v>0</v>
      </c>
      <c r="G1392" s="1">
        <f t="shared" si="3053"/>
        <v>-5.7311938835295848</v>
      </c>
      <c r="H1392" s="1">
        <f t="shared" si="2880"/>
        <v>15.782946471844346</v>
      </c>
      <c r="I1392" s="1">
        <f t="shared" si="3036"/>
        <v>-9.4457688806900268</v>
      </c>
      <c r="J1392" s="1">
        <f t="shared" si="3037"/>
        <v>0</v>
      </c>
      <c r="K1392" s="1">
        <f t="shared" si="3038"/>
        <v>3.6812856823188582</v>
      </c>
      <c r="L1392" s="1">
        <f t="shared" ref="L1392:N1392" si="3144">E1392/$H1392</f>
        <v>0.93174015030541046</v>
      </c>
      <c r="M1392" s="1">
        <f t="shared" si="3144"/>
        <v>0</v>
      </c>
      <c r="N1392" s="1">
        <f t="shared" si="3144"/>
        <v>-0.36312572520939784</v>
      </c>
      <c r="O1392" s="1">
        <f t="shared" si="2882"/>
        <v>-0.36312572520939784</v>
      </c>
      <c r="P1392" s="1">
        <f t="shared" si="3040"/>
        <v>0.33833881778636554</v>
      </c>
      <c r="Q1392" s="1">
        <f t="shared" si="3041"/>
        <v>0</v>
      </c>
      <c r="R1392" s="1">
        <f t="shared" si="3042"/>
        <v>0.8681397076911489</v>
      </c>
      <c r="S1392" s="1">
        <f t="shared" si="3043"/>
        <v>0.81964962274487974</v>
      </c>
      <c r="T1392" s="1">
        <f t="shared" ref="T1392:V1392" si="3145">$S1392*P1392</f>
        <v>0.27731928435854314</v>
      </c>
      <c r="U1392" s="1">
        <f t="shared" si="3145"/>
        <v>0</v>
      </c>
      <c r="V1392" s="1">
        <f t="shared" si="3145"/>
        <v>0.71157038389890037</v>
      </c>
      <c r="W1392" s="1">
        <f t="shared" si="3045"/>
        <v>-9.1684495963314845</v>
      </c>
      <c r="X1392" s="1">
        <f t="shared" si="3046"/>
        <v>0</v>
      </c>
      <c r="Y1392" s="1">
        <f t="shared" si="3047"/>
        <v>-5.4137939337822409</v>
      </c>
    </row>
    <row r="1393" spans="1:25">
      <c r="A1393" s="1">
        <v>1.39099999999999</v>
      </c>
      <c r="B1393" s="1">
        <f t="shared" si="3048"/>
        <v>44.31647409603999</v>
      </c>
      <c r="C1393" s="1">
        <f t="shared" si="3049"/>
        <v>0</v>
      </c>
      <c r="D1393" s="1">
        <f t="shared" si="3050"/>
        <v>-2.6952610864812696</v>
      </c>
      <c r="E1393" s="1">
        <f t="shared" si="3051"/>
        <v>14.696436468342167</v>
      </c>
      <c r="F1393" s="1">
        <f t="shared" si="3052"/>
        <v>0</v>
      </c>
      <c r="G1393" s="1">
        <f t="shared" si="3053"/>
        <v>-5.7366076774633674</v>
      </c>
      <c r="H1393" s="1">
        <f t="shared" si="2880"/>
        <v>15.776371969282078</v>
      </c>
      <c r="I1393" s="1">
        <f t="shared" si="3036"/>
        <v>-9.4359475103681003</v>
      </c>
      <c r="J1393" s="1">
        <f t="shared" si="3037"/>
        <v>0</v>
      </c>
      <c r="K1393" s="1">
        <f t="shared" si="3038"/>
        <v>3.6832281790706212</v>
      </c>
      <c r="L1393" s="1">
        <f t="shared" ref="L1393:N1393" si="3146">E1393/$H1393</f>
        <v>0.93154728456944114</v>
      </c>
      <c r="M1393" s="1">
        <f t="shared" si="3146"/>
        <v>0</v>
      </c>
      <c r="N1393" s="1">
        <f t="shared" si="3146"/>
        <v>-0.36362020929989636</v>
      </c>
      <c r="O1393" s="1">
        <f t="shared" si="2882"/>
        <v>-0.36362020929989636</v>
      </c>
      <c r="P1393" s="1">
        <f t="shared" si="3040"/>
        <v>0.3387294185878903</v>
      </c>
      <c r="Q1393" s="1">
        <f t="shared" si="3041"/>
        <v>0</v>
      </c>
      <c r="R1393" s="1">
        <f t="shared" si="3042"/>
        <v>0.86778034338869958</v>
      </c>
      <c r="S1393" s="1">
        <f t="shared" si="3043"/>
        <v>0.81896690279968631</v>
      </c>
      <c r="T1393" s="1">
        <f t="shared" ref="T1393:V1393" si="3147">$S1393*P1393</f>
        <v>0.27740818282806301</v>
      </c>
      <c r="U1393" s="1">
        <f t="shared" si="3147"/>
        <v>0</v>
      </c>
      <c r="V1393" s="1">
        <f t="shared" si="3147"/>
        <v>0.71068338013549159</v>
      </c>
      <c r="W1393" s="1">
        <f t="shared" si="3045"/>
        <v>-9.1585393275400371</v>
      </c>
      <c r="X1393" s="1">
        <f t="shared" si="3046"/>
        <v>0</v>
      </c>
      <c r="Y1393" s="1">
        <f t="shared" si="3047"/>
        <v>-5.4127384407938868</v>
      </c>
    </row>
    <row r="1394" spans="1:25">
      <c r="A1394" s="1">
        <v>1.3919999999999899</v>
      </c>
      <c r="B1394" s="1">
        <f t="shared" si="3048"/>
        <v>44.331161373969003</v>
      </c>
      <c r="C1394" s="1">
        <f t="shared" si="3049"/>
        <v>0</v>
      </c>
      <c r="D1394" s="1">
        <f t="shared" si="3050"/>
        <v>-2.7010031068971738</v>
      </c>
      <c r="E1394" s="1">
        <f t="shared" si="3051"/>
        <v>14.687277929014627</v>
      </c>
      <c r="F1394" s="1">
        <f t="shared" si="3052"/>
        <v>0</v>
      </c>
      <c r="G1394" s="1">
        <f t="shared" si="3053"/>
        <v>-5.742020415904161</v>
      </c>
      <c r="H1394" s="1">
        <f t="shared" si="2880"/>
        <v>15.769810760461914</v>
      </c>
      <c r="I1394" s="1">
        <f t="shared" si="3036"/>
        <v>-9.426145352778029</v>
      </c>
      <c r="J1394" s="1">
        <f t="shared" si="3037"/>
        <v>0</v>
      </c>
      <c r="K1394" s="1">
        <f t="shared" si="3038"/>
        <v>3.6851702078849979</v>
      </c>
      <c r="L1394" s="1">
        <f t="shared" ref="L1394:N1394" si="3148">E1394/$H1394</f>
        <v>0.93135410133383378</v>
      </c>
      <c r="M1394" s="1">
        <f t="shared" si="3148"/>
        <v>0</v>
      </c>
      <c r="N1394" s="1">
        <f t="shared" si="3148"/>
        <v>-0.36411473182040716</v>
      </c>
      <c r="O1394" s="1">
        <f t="shared" si="2882"/>
        <v>-0.36411473182040716</v>
      </c>
      <c r="P1394" s="1">
        <f t="shared" si="3040"/>
        <v>0.33911974883700519</v>
      </c>
      <c r="Q1394" s="1">
        <f t="shared" si="3041"/>
        <v>0</v>
      </c>
      <c r="R1394" s="1">
        <f t="shared" si="3042"/>
        <v>0.86742046207135304</v>
      </c>
      <c r="S1394" s="1">
        <f t="shared" si="3043"/>
        <v>0.81828584691349016</v>
      </c>
      <c r="T1394" s="1">
        <f t="shared" ref="T1394:V1394" si="3149">$S1394*P1394</f>
        <v>0.27749689088217888</v>
      </c>
      <c r="U1394" s="1">
        <f t="shared" si="3149"/>
        <v>0</v>
      </c>
      <c r="V1394" s="1">
        <f t="shared" si="3149"/>
        <v>0.70979788743614813</v>
      </c>
      <c r="W1394" s="1">
        <f t="shared" si="3045"/>
        <v>-9.1486484618958492</v>
      </c>
      <c r="X1394" s="1">
        <f t="shared" si="3046"/>
        <v>0</v>
      </c>
      <c r="Y1394" s="1">
        <f t="shared" si="3047"/>
        <v>-5.4116819046788533</v>
      </c>
    </row>
    <row r="1395" spans="1:25">
      <c r="A1395" s="1">
        <v>1.39299999999999</v>
      </c>
      <c r="B1395" s="1">
        <f t="shared" si="3048"/>
        <v>44.345839503249557</v>
      </c>
      <c r="C1395" s="1">
        <f t="shared" si="3049"/>
        <v>0</v>
      </c>
      <c r="D1395" s="1">
        <f t="shared" si="3050"/>
        <v>-2.7067505389949829</v>
      </c>
      <c r="E1395" s="1">
        <f t="shared" si="3051"/>
        <v>14.678129280552731</v>
      </c>
      <c r="F1395" s="1">
        <f t="shared" si="3052"/>
        <v>0</v>
      </c>
      <c r="G1395" s="1">
        <f t="shared" si="3053"/>
        <v>-5.74743209780884</v>
      </c>
      <c r="H1395" s="1">
        <f t="shared" si="2880"/>
        <v>15.763262825174957</v>
      </c>
      <c r="I1395" s="1">
        <f t="shared" si="3036"/>
        <v>-9.4163623605965228</v>
      </c>
      <c r="J1395" s="1">
        <f t="shared" si="3037"/>
        <v>0</v>
      </c>
      <c r="K1395" s="1">
        <f t="shared" si="3038"/>
        <v>3.6871117729965581</v>
      </c>
      <c r="L1395" s="1">
        <f t="shared" ref="L1395:N1395" si="3150">E1395/$H1395</f>
        <v>0.93116060065374306</v>
      </c>
      <c r="M1395" s="1">
        <f t="shared" si="3150"/>
        <v>0</v>
      </c>
      <c r="N1395" s="1">
        <f t="shared" si="3150"/>
        <v>-0.3646092919690343</v>
      </c>
      <c r="O1395" s="1">
        <f t="shared" si="2882"/>
        <v>-0.3646092919690343</v>
      </c>
      <c r="P1395" s="1">
        <f t="shared" si="3040"/>
        <v>0.33950980731382197</v>
      </c>
      <c r="Q1395" s="1">
        <f t="shared" si="3041"/>
        <v>0</v>
      </c>
      <c r="R1395" s="1">
        <f t="shared" si="3042"/>
        <v>0.8670600642098395</v>
      </c>
      <c r="S1395" s="1">
        <f t="shared" si="3043"/>
        <v>0.81760645126790266</v>
      </c>
      <c r="T1395" s="1">
        <f t="shared" ref="T1395:V1395" si="3151">$S1395*P1395</f>
        <v>0.2775854087285034</v>
      </c>
      <c r="U1395" s="1">
        <f t="shared" si="3151"/>
        <v>0</v>
      </c>
      <c r="V1395" s="1">
        <f t="shared" si="3151"/>
        <v>0.70891390213472671</v>
      </c>
      <c r="W1395" s="1">
        <f t="shared" si="3045"/>
        <v>-9.1387769518680191</v>
      </c>
      <c r="X1395" s="1">
        <f t="shared" si="3046"/>
        <v>0</v>
      </c>
      <c r="Y1395" s="1">
        <f t="shared" si="3047"/>
        <v>-5.4106243248687145</v>
      </c>
    </row>
    <row r="1396" spans="1:25">
      <c r="A1396" s="1">
        <v>1.3939999999999899</v>
      </c>
      <c r="B1396" s="1">
        <f t="shared" si="3048"/>
        <v>44.360508493753159</v>
      </c>
      <c r="C1396" s="1">
        <f t="shared" si="3049"/>
        <v>0</v>
      </c>
      <c r="D1396" s="1">
        <f t="shared" si="3050"/>
        <v>-2.7125033817171165</v>
      </c>
      <c r="E1396" s="1">
        <f t="shared" si="3051"/>
        <v>14.668990503600863</v>
      </c>
      <c r="F1396" s="1">
        <f t="shared" si="3052"/>
        <v>0</v>
      </c>
      <c r="G1396" s="1">
        <f t="shared" si="3053"/>
        <v>-5.7528427221337086</v>
      </c>
      <c r="H1396" s="1">
        <f t="shared" si="2880"/>
        <v>15.756728143251665</v>
      </c>
      <c r="I1396" s="1">
        <f t="shared" si="3036"/>
        <v>-9.4065984866371455</v>
      </c>
      <c r="J1396" s="1">
        <f t="shared" si="3037"/>
        <v>0</v>
      </c>
      <c r="K1396" s="1">
        <f t="shared" si="3038"/>
        <v>3.689052878628607</v>
      </c>
      <c r="L1396" s="1">
        <f t="shared" ref="L1396:N1396" si="3152">E1396/$H1396</f>
        <v>0.93096678258571963</v>
      </c>
      <c r="M1396" s="1">
        <f t="shared" si="3152"/>
        <v>0</v>
      </c>
      <c r="N1396" s="1">
        <f t="shared" si="3152"/>
        <v>-0.36510388894394624</v>
      </c>
      <c r="O1396" s="1">
        <f t="shared" si="2882"/>
        <v>-0.36510388894394624</v>
      </c>
      <c r="P1396" s="1">
        <f t="shared" si="3040"/>
        <v>0.33989959279967952</v>
      </c>
      <c r="Q1396" s="1">
        <f t="shared" si="3041"/>
        <v>0</v>
      </c>
      <c r="R1396" s="1">
        <f t="shared" si="3042"/>
        <v>0.86669915027800659</v>
      </c>
      <c r="S1396" s="1">
        <f t="shared" si="3043"/>
        <v>0.81692871205558082</v>
      </c>
      <c r="T1396" s="1">
        <f t="shared" ref="T1396:V1396" si="3153">$S1396*P1396</f>
        <v>0.27767373657405858</v>
      </c>
      <c r="U1396" s="1">
        <f t="shared" si="3153"/>
        <v>0</v>
      </c>
      <c r="V1396" s="1">
        <f t="shared" si="3153"/>
        <v>0.70803142057627821</v>
      </c>
      <c r="W1396" s="1">
        <f t="shared" si="3045"/>
        <v>-9.1289247500630868</v>
      </c>
      <c r="X1396" s="1">
        <f t="shared" si="3046"/>
        <v>0</v>
      </c>
      <c r="Y1396" s="1">
        <f t="shared" si="3047"/>
        <v>-5.4095657007951141</v>
      </c>
    </row>
    <row r="1397" spans="1:25">
      <c r="A1397" s="1">
        <v>1.39499999999999</v>
      </c>
      <c r="B1397" s="1">
        <f t="shared" si="3048"/>
        <v>44.375168355332008</v>
      </c>
      <c r="C1397" s="1">
        <f t="shared" si="3049"/>
        <v>0</v>
      </c>
      <c r="D1397" s="1">
        <f t="shared" si="3050"/>
        <v>-2.7182616340049508</v>
      </c>
      <c r="E1397" s="1">
        <f t="shared" si="3051"/>
        <v>14.6598615788508</v>
      </c>
      <c r="F1397" s="1">
        <f t="shared" si="3052"/>
        <v>0</v>
      </c>
      <c r="G1397" s="1">
        <f t="shared" si="3053"/>
        <v>-5.7582522878345035</v>
      </c>
      <c r="H1397" s="1">
        <f t="shared" si="2880"/>
        <v>15.750206694561731</v>
      </c>
      <c r="I1397" s="1">
        <f t="shared" si="3036"/>
        <v>-9.3968536838498213</v>
      </c>
      <c r="J1397" s="1">
        <f t="shared" si="3037"/>
        <v>0</v>
      </c>
      <c r="K1397" s="1">
        <f t="shared" si="3038"/>
        <v>3.6909935289931988</v>
      </c>
      <c r="L1397" s="1">
        <f t="shared" ref="L1397:N1397" si="3154">E1397/$H1397</f>
        <v>0.93077264718770902</v>
      </c>
      <c r="M1397" s="1">
        <f t="shared" si="3154"/>
        <v>0</v>
      </c>
      <c r="N1397" s="1">
        <f t="shared" si="3154"/>
        <v>-0.36559852194338038</v>
      </c>
      <c r="O1397" s="1">
        <f t="shared" si="2882"/>
        <v>-0.36559852194338038</v>
      </c>
      <c r="P1397" s="1">
        <f t="shared" si="3040"/>
        <v>0.3402891040771539</v>
      </c>
      <c r="Q1397" s="1">
        <f t="shared" si="3041"/>
        <v>0</v>
      </c>
      <c r="R1397" s="1">
        <f t="shared" si="3042"/>
        <v>0.86633772075281557</v>
      </c>
      <c r="S1397" s="1">
        <f t="shared" si="3043"/>
        <v>0.81625262548018906</v>
      </c>
      <c r="T1397" s="1">
        <f t="shared" ref="T1397:V1397" si="3155">$S1397*P1397</f>
        <v>0.27776187462527818</v>
      </c>
      <c r="U1397" s="1">
        <f t="shared" si="3155"/>
        <v>0</v>
      </c>
      <c r="V1397" s="1">
        <f t="shared" si="3155"/>
        <v>0.70715043911700859</v>
      </c>
      <c r="W1397" s="1">
        <f t="shared" si="3045"/>
        <v>-9.1190918092245425</v>
      </c>
      <c r="X1397" s="1">
        <f t="shared" si="3046"/>
        <v>0</v>
      </c>
      <c r="Y1397" s="1">
        <f t="shared" si="3047"/>
        <v>-5.4085060318897922</v>
      </c>
    </row>
    <row r="1398" spans="1:25">
      <c r="A1398" s="1">
        <v>1.3959999999999899</v>
      </c>
      <c r="B1398" s="1">
        <f t="shared" si="3048"/>
        <v>44.38981909781905</v>
      </c>
      <c r="C1398" s="1">
        <f t="shared" si="3049"/>
        <v>0</v>
      </c>
      <c r="D1398" s="1">
        <f t="shared" si="3050"/>
        <v>-2.7240252947988171</v>
      </c>
      <c r="E1398" s="1">
        <f t="shared" si="3051"/>
        <v>14.650742487041574</v>
      </c>
      <c r="F1398" s="1">
        <f t="shared" si="3052"/>
        <v>0</v>
      </c>
      <c r="G1398" s="1">
        <f t="shared" si="3053"/>
        <v>-5.7636607938663929</v>
      </c>
      <c r="H1398" s="1">
        <f t="shared" si="2880"/>
        <v>15.743698459013933</v>
      </c>
      <c r="I1398" s="1">
        <f t="shared" si="3036"/>
        <v>-9.3871279053203498</v>
      </c>
      <c r="J1398" s="1">
        <f t="shared" si="3037"/>
        <v>0</v>
      </c>
      <c r="K1398" s="1">
        <f t="shared" si="3038"/>
        <v>3.6929337282911541</v>
      </c>
      <c r="L1398" s="1">
        <f t="shared" ref="L1398:N1398" si="3156">E1398/$H1398</f>
        <v>0.93057819451905244</v>
      </c>
      <c r="M1398" s="1">
        <f t="shared" si="3156"/>
        <v>0</v>
      </c>
      <c r="N1398" s="1">
        <f t="shared" si="3156"/>
        <v>-0.36609319016564712</v>
      </c>
      <c r="O1398" s="1">
        <f t="shared" si="2882"/>
        <v>-0.36609319016564712</v>
      </c>
      <c r="P1398" s="1">
        <f t="shared" si="3040"/>
        <v>0.34067833993006802</v>
      </c>
      <c r="Q1398" s="1">
        <f t="shared" si="3041"/>
        <v>0</v>
      </c>
      <c r="R1398" s="1">
        <f t="shared" si="3042"/>
        <v>0.8659757761143394</v>
      </c>
      <c r="S1398" s="1">
        <f t="shared" si="3043"/>
        <v>0.81557818775635815</v>
      </c>
      <c r="T1398" s="1">
        <f t="shared" ref="T1398:V1398" si="3157">$S1398*P1398</f>
        <v>0.27784982308800943</v>
      </c>
      <c r="U1398" s="1">
        <f t="shared" si="3157"/>
        <v>0</v>
      </c>
      <c r="V1398" s="1">
        <f t="shared" si="3157"/>
        <v>0.70627095412423868</v>
      </c>
      <c r="W1398" s="1">
        <f t="shared" si="3045"/>
        <v>-9.1092780822323398</v>
      </c>
      <c r="X1398" s="1">
        <f t="shared" si="3046"/>
        <v>0</v>
      </c>
      <c r="Y1398" s="1">
        <f t="shared" si="3047"/>
        <v>-5.4074453175846067</v>
      </c>
    </row>
    <row r="1399" spans="1:25">
      <c r="A1399" s="1">
        <v>1.39699999999999</v>
      </c>
      <c r="B1399" s="1">
        <f t="shared" si="3048"/>
        <v>44.40446073102801</v>
      </c>
      <c r="C1399" s="1">
        <f t="shared" si="3049"/>
        <v>0</v>
      </c>
      <c r="D1399" s="1">
        <f t="shared" si="3050"/>
        <v>-2.729794363038001</v>
      </c>
      <c r="E1399" s="1">
        <f t="shared" si="3051"/>
        <v>14.641633208959343</v>
      </c>
      <c r="F1399" s="1">
        <f t="shared" si="3052"/>
        <v>0</v>
      </c>
      <c r="G1399" s="1">
        <f t="shared" si="3053"/>
        <v>-5.7690682391839774</v>
      </c>
      <c r="H1399" s="1">
        <f t="shared" si="2880"/>
        <v>15.737203416556017</v>
      </c>
      <c r="I1399" s="1">
        <f t="shared" si="3036"/>
        <v>-9.3774211042699207</v>
      </c>
      <c r="J1399" s="1">
        <f t="shared" si="3037"/>
        <v>0</v>
      </c>
      <c r="K1399" s="1">
        <f t="shared" si="3038"/>
        <v>3.6948734807120767</v>
      </c>
      <c r="L1399" s="1">
        <f t="shared" ref="L1399:N1399" si="3158">E1399/$H1399</f>
        <v>0.93038342464048596</v>
      </c>
      <c r="M1399" s="1">
        <f t="shared" si="3158"/>
        <v>0</v>
      </c>
      <c r="N1399" s="1">
        <f t="shared" si="3158"/>
        <v>-0.36658789280913417</v>
      </c>
      <c r="O1399" s="1">
        <f t="shared" si="2882"/>
        <v>-0.36658789280913417</v>
      </c>
      <c r="P1399" s="1">
        <f t="shared" si="3040"/>
        <v>0.34106729914350165</v>
      </c>
      <c r="Q1399" s="1">
        <f t="shared" si="3041"/>
        <v>0</v>
      </c>
      <c r="R1399" s="1">
        <f t="shared" si="3042"/>
        <v>0.86561331684575871</v>
      </c>
      <c r="S1399" s="1">
        <f t="shared" si="3043"/>
        <v>0.81490539510964655</v>
      </c>
      <c r="T1399" s="1">
        <f t="shared" ref="T1399:V1399" si="3159">$S1399*P1399</f>
        <v>0.27793758216751524</v>
      </c>
      <c r="U1399" s="1">
        <f t="shared" si="3159"/>
        <v>0</v>
      </c>
      <c r="V1399" s="1">
        <f t="shared" si="3159"/>
        <v>0.7053929619763647</v>
      </c>
      <c r="W1399" s="1">
        <f t="shared" si="3045"/>
        <v>-9.0994835221024051</v>
      </c>
      <c r="X1399" s="1">
        <f t="shared" si="3046"/>
        <v>0</v>
      </c>
      <c r="Y1399" s="1">
        <f t="shared" si="3047"/>
        <v>-5.4063835573115577</v>
      </c>
    </row>
    <row r="1400" spans="1:25">
      <c r="A1400" s="1">
        <v>1.3979999999999899</v>
      </c>
      <c r="B1400" s="1">
        <f t="shared" si="3048"/>
        <v>44.41909326475345</v>
      </c>
      <c r="C1400" s="1">
        <f t="shared" si="3049"/>
        <v>0</v>
      </c>
      <c r="D1400" s="1">
        <f t="shared" si="3050"/>
        <v>-2.7355688376607423</v>
      </c>
      <c r="E1400" s="1">
        <f t="shared" si="3051"/>
        <v>14.63253372543724</v>
      </c>
      <c r="F1400" s="1">
        <f t="shared" si="3052"/>
        <v>0</v>
      </c>
      <c r="G1400" s="1">
        <f t="shared" si="3053"/>
        <v>-5.7744746227412893</v>
      </c>
      <c r="H1400" s="1">
        <f t="shared" si="2880"/>
        <v>15.730721547174541</v>
      </c>
      <c r="I1400" s="1">
        <f t="shared" si="3036"/>
        <v>-9.3677332340546187</v>
      </c>
      <c r="J1400" s="1">
        <f t="shared" si="3037"/>
        <v>0</v>
      </c>
      <c r="K1400" s="1">
        <f t="shared" si="3038"/>
        <v>3.6968127904343637</v>
      </c>
      <c r="L1400" s="1">
        <f t="shared" ref="L1400:N1400" si="3160">E1400/$H1400</f>
        <v>0.93018833761414133</v>
      </c>
      <c r="M1400" s="1">
        <f t="shared" si="3160"/>
        <v>0</v>
      </c>
      <c r="N1400" s="1">
        <f t="shared" si="3160"/>
        <v>-0.36708262907231143</v>
      </c>
      <c r="O1400" s="1">
        <f t="shared" si="2882"/>
        <v>-0.36708262907231143</v>
      </c>
      <c r="P1400" s="1">
        <f t="shared" si="3040"/>
        <v>0.34145598050380183</v>
      </c>
      <c r="Q1400" s="1">
        <f t="shared" si="3041"/>
        <v>0</v>
      </c>
      <c r="R1400" s="1">
        <f t="shared" si="3042"/>
        <v>0.86525034343335983</v>
      </c>
      <c r="S1400" s="1">
        <f t="shared" si="3043"/>
        <v>0.814234243776499</v>
      </c>
      <c r="T1400" s="1">
        <f t="shared" ref="T1400:V1400" si="3161">$S1400*P1400</f>
        <v>0.27802515206847606</v>
      </c>
      <c r="U1400" s="1">
        <f t="shared" si="3161"/>
        <v>0</v>
      </c>
      <c r="V1400" s="1">
        <f t="shared" si="3161"/>
        <v>0.70451645906281779</v>
      </c>
      <c r="W1400" s="1">
        <f t="shared" si="3045"/>
        <v>-9.0897080819861422</v>
      </c>
      <c r="X1400" s="1">
        <f t="shared" si="3046"/>
        <v>0</v>
      </c>
      <c r="Y1400" s="1">
        <f t="shared" si="3047"/>
        <v>-5.4053207505028178</v>
      </c>
    </row>
    <row r="1401" spans="1:25">
      <c r="A1401" s="1">
        <v>1.39899999999999</v>
      </c>
      <c r="B1401" s="1">
        <f t="shared" si="3048"/>
        <v>44.433716708770802</v>
      </c>
      <c r="C1401" s="1">
        <f t="shared" si="3049"/>
        <v>0</v>
      </c>
      <c r="D1401" s="1">
        <f t="shared" si="3050"/>
        <v>-2.7413487176042342</v>
      </c>
      <c r="E1401" s="1">
        <f t="shared" si="3051"/>
        <v>14.623444017355254</v>
      </c>
      <c r="F1401" s="1">
        <f t="shared" si="3052"/>
        <v>0</v>
      </c>
      <c r="G1401" s="1">
        <f t="shared" si="3053"/>
        <v>-5.7798799434917925</v>
      </c>
      <c r="H1401" s="1">
        <f t="shared" si="2880"/>
        <v>15.724252830894761</v>
      </c>
      <c r="I1401" s="1">
        <f t="shared" si="3036"/>
        <v>-9.3580642481649488</v>
      </c>
      <c r="J1401" s="1">
        <f t="shared" si="3037"/>
        <v>0</v>
      </c>
      <c r="K1401" s="1">
        <f t="shared" si="3038"/>
        <v>3.6987516616252236</v>
      </c>
      <c r="L1401" s="1">
        <f t="shared" ref="L1401:N1401" si="3162">E1401/$H1401</f>
        <v>0.92999293350354584</v>
      </c>
      <c r="M1401" s="1">
        <f t="shared" si="3162"/>
        <v>0</v>
      </c>
      <c r="N1401" s="1">
        <f t="shared" si="3162"/>
        <v>-0.36757739815373464</v>
      </c>
      <c r="O1401" s="1">
        <f t="shared" si="2882"/>
        <v>-0.36757739815373464</v>
      </c>
      <c r="P1401" s="1">
        <f t="shared" si="3040"/>
        <v>0.34184438279859253</v>
      </c>
      <c r="Q1401" s="1">
        <f t="shared" si="3041"/>
        <v>0</v>
      </c>
      <c r="R1401" s="1">
        <f t="shared" si="3042"/>
        <v>0.86488685636653084</v>
      </c>
      <c r="S1401" s="1">
        <f t="shared" si="3043"/>
        <v>0.81356473000420848</v>
      </c>
      <c r="T1401" s="1">
        <f t="shared" ref="T1401:V1401" si="3163">$S1401*P1401</f>
        <v>0.27811253299499222</v>
      </c>
      <c r="U1401" s="1">
        <f t="shared" si="3163"/>
        <v>0</v>
      </c>
      <c r="V1401" s="1">
        <f t="shared" si="3163"/>
        <v>0.70364144178402532</v>
      </c>
      <c r="W1401" s="1">
        <f t="shared" si="3045"/>
        <v>-9.0799517151699565</v>
      </c>
      <c r="X1401" s="1">
        <f t="shared" si="3046"/>
        <v>0</v>
      </c>
      <c r="Y1401" s="1">
        <f t="shared" si="3047"/>
        <v>-5.4042568965907503</v>
      </c>
    </row>
    <row r="1402" spans="1:25">
      <c r="A1402" s="1">
        <v>1.3999999999999899</v>
      </c>
      <c r="B1402" s="1">
        <f t="shared" si="3048"/>
        <v>44.448331072836446</v>
      </c>
      <c r="C1402" s="1">
        <f t="shared" si="3049"/>
        <v>0</v>
      </c>
      <c r="D1402" s="1">
        <f t="shared" si="3050"/>
        <v>-2.7471340018046226</v>
      </c>
      <c r="E1402" s="1">
        <f t="shared" si="3051"/>
        <v>14.614364065640084</v>
      </c>
      <c r="F1402" s="1">
        <f t="shared" si="3052"/>
        <v>0</v>
      </c>
      <c r="G1402" s="1">
        <f t="shared" si="3053"/>
        <v>-5.7852842003883831</v>
      </c>
      <c r="H1402" s="1">
        <f t="shared" si="2880"/>
        <v>15.71779724778048</v>
      </c>
      <c r="I1402" s="1">
        <f t="shared" si="3036"/>
        <v>-9.3484141002253516</v>
      </c>
      <c r="J1402" s="1">
        <f t="shared" si="3037"/>
        <v>0</v>
      </c>
      <c r="K1402" s="1">
        <f t="shared" si="3038"/>
        <v>3.7006900984406914</v>
      </c>
      <c r="L1402" s="1">
        <f t="shared" ref="L1402:N1402" si="3164">E1402/$H1402</f>
        <v>0.92979721237362234</v>
      </c>
      <c r="M1402" s="1">
        <f t="shared" si="3164"/>
        <v>0</v>
      </c>
      <c r="N1402" s="1">
        <f t="shared" si="3164"/>
        <v>-0.3680721992520502</v>
      </c>
      <c r="O1402" s="1">
        <f t="shared" si="2882"/>
        <v>-0.3680721992520502</v>
      </c>
      <c r="P1402" s="1">
        <f t="shared" si="3040"/>
        <v>0.34223250481678474</v>
      </c>
      <c r="Q1402" s="1">
        <f t="shared" si="3041"/>
        <v>0</v>
      </c>
      <c r="R1402" s="1">
        <f t="shared" si="3042"/>
        <v>0.86452285613775903</v>
      </c>
      <c r="S1402" s="1">
        <f t="shared" si="3043"/>
        <v>0.81289685005087597</v>
      </c>
      <c r="T1402" s="1">
        <f t="shared" ref="T1402:V1402" si="3165">$S1402*P1402</f>
        <v>0.27819972515058555</v>
      </c>
      <c r="U1402" s="1">
        <f t="shared" si="3165"/>
        <v>0</v>
      </c>
      <c r="V1402" s="1">
        <f t="shared" si="3165"/>
        <v>0.70276790655137089</v>
      </c>
      <c r="W1402" s="1">
        <f t="shared" si="3045"/>
        <v>-9.0702143750747659</v>
      </c>
      <c r="X1402" s="1">
        <f t="shared" si="3046"/>
        <v>0</v>
      </c>
      <c r="Y1402" s="1">
        <f t="shared" si="3047"/>
        <v>-5.403191995007937</v>
      </c>
    </row>
    <row r="1403" spans="1:25">
      <c r="A1403" s="1">
        <v>1.40099999999999</v>
      </c>
      <c r="B1403" s="1">
        <f t="shared" si="3048"/>
        <v>44.462936366687714</v>
      </c>
      <c r="C1403" s="1">
        <f t="shared" si="3049"/>
        <v>0</v>
      </c>
      <c r="D1403" s="1">
        <f t="shared" si="3050"/>
        <v>-2.7529246891970058</v>
      </c>
      <c r="E1403" s="1">
        <f t="shared" si="3051"/>
        <v>14.605293851265008</v>
      </c>
      <c r="F1403" s="1">
        <f t="shared" si="3052"/>
        <v>0</v>
      </c>
      <c r="G1403" s="1">
        <f t="shared" si="3053"/>
        <v>-5.7906873923833908</v>
      </c>
      <c r="H1403" s="1">
        <f t="shared" si="2880"/>
        <v>15.711354777933932</v>
      </c>
      <c r="I1403" s="1">
        <f t="shared" si="3036"/>
        <v>-9.3387827439937325</v>
      </c>
      <c r="J1403" s="1">
        <f t="shared" si="3037"/>
        <v>0</v>
      </c>
      <c r="K1403" s="1">
        <f t="shared" si="3038"/>
        <v>3.7026281050256453</v>
      </c>
      <c r="L1403" s="1">
        <f t="shared" ref="L1403:N1403" si="3166">E1403/$H1403</f>
        <v>0.92960117429068889</v>
      </c>
      <c r="M1403" s="1">
        <f t="shared" si="3166"/>
        <v>0</v>
      </c>
      <c r="N1403" s="1">
        <f t="shared" si="3166"/>
        <v>-0.3685670315659994</v>
      </c>
      <c r="O1403" s="1">
        <f t="shared" si="2882"/>
        <v>-0.3685670315659994</v>
      </c>
      <c r="P1403" s="1">
        <f t="shared" si="3040"/>
        <v>0.34262034534858643</v>
      </c>
      <c r="Q1403" s="1">
        <f t="shared" si="3041"/>
        <v>0</v>
      </c>
      <c r="R1403" s="1">
        <f t="shared" si="3042"/>
        <v>0.86415834324262764</v>
      </c>
      <c r="S1403" s="1">
        <f t="shared" si="3043"/>
        <v>0.81223060018537196</v>
      </c>
      <c r="T1403" s="1">
        <f t="shared" ref="T1403:V1403" si="3167">$S1403*P1403</f>
        <v>0.27828672873820176</v>
      </c>
      <c r="U1403" s="1">
        <f t="shared" si="3167"/>
        <v>0</v>
      </c>
      <c r="V1403" s="1">
        <f t="shared" si="3167"/>
        <v>0.70189584978715613</v>
      </c>
      <c r="W1403" s="1">
        <f t="shared" si="3045"/>
        <v>-9.0604960152555307</v>
      </c>
      <c r="X1403" s="1">
        <f t="shared" si="3046"/>
        <v>0</v>
      </c>
      <c r="Y1403" s="1">
        <f t="shared" si="3047"/>
        <v>-5.402126045187198</v>
      </c>
    </row>
    <row r="1404" spans="1:25">
      <c r="A1404" s="1">
        <v>1.4019999999999899</v>
      </c>
      <c r="B1404" s="1">
        <f t="shared" si="3048"/>
        <v>44.477532600042963</v>
      </c>
      <c r="C1404" s="1">
        <f t="shared" si="3049"/>
        <v>0</v>
      </c>
      <c r="D1404" s="1">
        <f t="shared" si="3050"/>
        <v>-2.7587207787154342</v>
      </c>
      <c r="E1404" s="1">
        <f t="shared" si="3051"/>
        <v>14.596233355249753</v>
      </c>
      <c r="F1404" s="1">
        <f t="shared" si="3052"/>
        <v>0</v>
      </c>
      <c r="G1404" s="1">
        <f t="shared" si="3053"/>
        <v>-5.7960895184285777</v>
      </c>
      <c r="H1404" s="1">
        <f t="shared" si="2880"/>
        <v>15.704925401495643</v>
      </c>
      <c r="I1404" s="1">
        <f t="shared" si="3036"/>
        <v>-9.3291701333609716</v>
      </c>
      <c r="J1404" s="1">
        <f t="shared" si="3037"/>
        <v>0</v>
      </c>
      <c r="K1404" s="1">
        <f t="shared" si="3038"/>
        <v>3.7045656855138183</v>
      </c>
      <c r="L1404" s="1">
        <f t="shared" ref="L1404:N1404" si="3168">E1404/$H1404</f>
        <v>0.92940481932245889</v>
      </c>
      <c r="M1404" s="1">
        <f t="shared" si="3168"/>
        <v>0</v>
      </c>
      <c r="N1404" s="1">
        <f t="shared" si="3168"/>
        <v>-0.3690618942944226</v>
      </c>
      <c r="O1404" s="1">
        <f t="shared" si="2882"/>
        <v>-0.3690618942944226</v>
      </c>
      <c r="P1404" s="1">
        <f t="shared" si="3040"/>
        <v>0.34300790318551228</v>
      </c>
      <c r="Q1404" s="1">
        <f t="shared" si="3041"/>
        <v>0</v>
      </c>
      <c r="R1404" s="1">
        <f t="shared" si="3042"/>
        <v>0.86379331817981242</v>
      </c>
      <c r="S1404" s="1">
        <f t="shared" si="3043"/>
        <v>0.81156597668729746</v>
      </c>
      <c r="T1404" s="1">
        <f t="shared" ref="T1404:V1404" si="3169">$S1404*P1404</f>
        <v>0.27837354396021224</v>
      </c>
      <c r="U1404" s="1">
        <f t="shared" si="3169"/>
        <v>0</v>
      </c>
      <c r="V1404" s="1">
        <f t="shared" si="3169"/>
        <v>0.70102526792456099</v>
      </c>
      <c r="W1404" s="1">
        <f t="shared" si="3045"/>
        <v>-9.0507965894007594</v>
      </c>
      <c r="X1404" s="1">
        <f t="shared" si="3046"/>
        <v>0</v>
      </c>
      <c r="Y1404" s="1">
        <f t="shared" si="3047"/>
        <v>-5.4010590465616204</v>
      </c>
    </row>
    <row r="1405" spans="1:25">
      <c r="A1405" s="1">
        <v>1.40299999999999</v>
      </c>
      <c r="B1405" s="1">
        <f t="shared" si="3048"/>
        <v>44.492119782601627</v>
      </c>
      <c r="C1405" s="1">
        <f t="shared" si="3049"/>
        <v>0</v>
      </c>
      <c r="D1405" s="1">
        <f t="shared" si="3050"/>
        <v>-2.7645222692929092</v>
      </c>
      <c r="E1405" s="1">
        <f t="shared" si="3051"/>
        <v>14.587182558660352</v>
      </c>
      <c r="F1405" s="1">
        <f t="shared" si="3052"/>
        <v>0</v>
      </c>
      <c r="G1405" s="1">
        <f t="shared" si="3053"/>
        <v>-5.8014905774751391</v>
      </c>
      <c r="H1405" s="1">
        <f t="shared" si="2880"/>
        <v>15.698509098644292</v>
      </c>
      <c r="I1405" s="1">
        <f t="shared" si="3036"/>
        <v>-9.3195762223504559</v>
      </c>
      <c r="J1405" s="1">
        <f t="shared" si="3037"/>
        <v>0</v>
      </c>
      <c r="K1405" s="1">
        <f t="shared" si="3038"/>
        <v>3.7065028440278138</v>
      </c>
      <c r="L1405" s="1">
        <f t="shared" ref="L1405:N1405" si="3170">E1405/$H1405</f>
        <v>0.92920814753804148</v>
      </c>
      <c r="M1405" s="1">
        <f t="shared" si="3170"/>
        <v>0</v>
      </c>
      <c r="N1405" s="1">
        <f t="shared" si="3170"/>
        <v>-0.36955678663626407</v>
      </c>
      <c r="O1405" s="1">
        <f t="shared" si="2882"/>
        <v>-0.36955678663626407</v>
      </c>
      <c r="P1405" s="1">
        <f t="shared" si="3040"/>
        <v>0.34339517712039419</v>
      </c>
      <c r="Q1405" s="1">
        <f t="shared" si="3041"/>
        <v>0</v>
      </c>
      <c r="R1405" s="1">
        <f t="shared" si="3042"/>
        <v>0.86342778145107879</v>
      </c>
      <c r="S1405" s="1">
        <f t="shared" si="3043"/>
        <v>0.81090297584694415</v>
      </c>
      <c r="T1405" s="1">
        <f t="shared" ref="T1405:V1405" si="3171">$S1405*P1405</f>
        <v>0.27846017101841614</v>
      </c>
      <c r="U1405" s="1">
        <f t="shared" si="3171"/>
        <v>0</v>
      </c>
      <c r="V1405" s="1">
        <f t="shared" si="3171"/>
        <v>0.70015615740760473</v>
      </c>
      <c r="W1405" s="1">
        <f t="shared" si="3045"/>
        <v>-9.0411160513320397</v>
      </c>
      <c r="X1405" s="1">
        <f t="shared" si="3046"/>
        <v>0</v>
      </c>
      <c r="Y1405" s="1">
        <f t="shared" si="3047"/>
        <v>-5.3999909985645811</v>
      </c>
    </row>
    <row r="1406" spans="1:25">
      <c r="A1406" s="1">
        <v>1.4039999999999899</v>
      </c>
      <c r="B1406" s="1">
        <f t="shared" si="3048"/>
        <v>44.506697924044239</v>
      </c>
      <c r="C1406" s="1">
        <f t="shared" si="3049"/>
        <v>0</v>
      </c>
      <c r="D1406" s="1">
        <f t="shared" si="3050"/>
        <v>-2.7703291598613831</v>
      </c>
      <c r="E1406" s="1">
        <f t="shared" si="3051"/>
        <v>14.57814144260902</v>
      </c>
      <c r="F1406" s="1">
        <f t="shared" si="3052"/>
        <v>0</v>
      </c>
      <c r="G1406" s="1">
        <f t="shared" si="3053"/>
        <v>-5.8068905684737038</v>
      </c>
      <c r="H1406" s="1">
        <f t="shared" si="2880"/>
        <v>15.692105849596588</v>
      </c>
      <c r="I1406" s="1">
        <f t="shared" si="3036"/>
        <v>-9.3100009651176077</v>
      </c>
      <c r="J1406" s="1">
        <f t="shared" si="3037"/>
        <v>0</v>
      </c>
      <c r="K1406" s="1">
        <f t="shared" si="3038"/>
        <v>3.708439584679124</v>
      </c>
      <c r="L1406" s="1">
        <f t="shared" ref="L1406:N1406" si="3172">E1406/$H1406</f>
        <v>0.92901115900794118</v>
      </c>
      <c r="M1406" s="1">
        <f t="shared" si="3172"/>
        <v>0</v>
      </c>
      <c r="N1406" s="1">
        <f t="shared" si="3172"/>
        <v>-0.37005170779057589</v>
      </c>
      <c r="O1406" s="1">
        <f t="shared" si="2882"/>
        <v>-0.37005170779057589</v>
      </c>
      <c r="P1406" s="1">
        <f t="shared" si="3040"/>
        <v>0.34378216594739086</v>
      </c>
      <c r="Q1406" s="1">
        <f t="shared" si="3041"/>
        <v>0</v>
      </c>
      <c r="R1406" s="1">
        <f t="shared" si="3042"/>
        <v>0.86306173356127824</v>
      </c>
      <c r="S1406" s="1">
        <f t="shared" si="3043"/>
        <v>0.81024159396525641</v>
      </c>
      <c r="T1406" s="1">
        <f t="shared" ref="T1406:V1406" si="3173">$S1406*P1406</f>
        <v>0.27854661011404225</v>
      </c>
      <c r="U1406" s="1">
        <f t="shared" si="3173"/>
        <v>0</v>
      </c>
      <c r="V1406" s="1">
        <f t="shared" si="3173"/>
        <v>0.69928851469110753</v>
      </c>
      <c r="W1406" s="1">
        <f t="shared" si="3045"/>
        <v>-9.0314543550035662</v>
      </c>
      <c r="X1406" s="1">
        <f t="shared" si="3046"/>
        <v>0</v>
      </c>
      <c r="Y1406" s="1">
        <f t="shared" si="3047"/>
        <v>-5.3989219006297677</v>
      </c>
    </row>
    <row r="1407" spans="1:25">
      <c r="A1407" s="1">
        <v>1.40499999999999</v>
      </c>
      <c r="B1407" s="1">
        <f t="shared" si="3048"/>
        <v>44.521267034032491</v>
      </c>
      <c r="C1407" s="1">
        <f t="shared" si="3049"/>
        <v>0</v>
      </c>
      <c r="D1407" s="1">
        <f t="shared" si="3050"/>
        <v>-2.7761414493517576</v>
      </c>
      <c r="E1407" s="1">
        <f t="shared" si="3051"/>
        <v>14.569109988254016</v>
      </c>
      <c r="F1407" s="1">
        <f t="shared" si="3052"/>
        <v>0</v>
      </c>
      <c r="G1407" s="1">
        <f t="shared" si="3053"/>
        <v>-5.8122894903743338</v>
      </c>
      <c r="H1407" s="1">
        <f t="shared" si="2880"/>
        <v>15.68571563460714</v>
      </c>
      <c r="I1407" s="1">
        <f t="shared" si="3036"/>
        <v>-9.300444315949413</v>
      </c>
      <c r="J1407" s="1">
        <f t="shared" si="3037"/>
        <v>0</v>
      </c>
      <c r="K1407" s="1">
        <f t="shared" si="3038"/>
        <v>3.7103759115681396</v>
      </c>
      <c r="L1407" s="1">
        <f t="shared" ref="L1407:N1407" si="3174">E1407/$H1407</f>
        <v>0.92881385380405757</v>
      </c>
      <c r="M1407" s="1">
        <f t="shared" si="3174"/>
        <v>0</v>
      </c>
      <c r="N1407" s="1">
        <f t="shared" si="3174"/>
        <v>-0.3705466569565225</v>
      </c>
      <c r="O1407" s="1">
        <f t="shared" si="2882"/>
        <v>-0.3705466569565225</v>
      </c>
      <c r="P1407" s="1">
        <f t="shared" si="3040"/>
        <v>0.34416886846199773</v>
      </c>
      <c r="Q1407" s="1">
        <f t="shared" si="3041"/>
        <v>0</v>
      </c>
      <c r="R1407" s="1">
        <f t="shared" si="3042"/>
        <v>0.86269517501834525</v>
      </c>
      <c r="S1407" s="1">
        <f t="shared" si="3043"/>
        <v>0.80958182735379325</v>
      </c>
      <c r="T1407" s="1">
        <f t="shared" ref="T1407:V1407" si="3175">$S1407*P1407</f>
        <v>0.2786328614477514</v>
      </c>
      <c r="U1407" s="1">
        <f t="shared" si="3175"/>
        <v>0</v>
      </c>
      <c r="V1407" s="1">
        <f t="shared" si="3175"/>
        <v>0.69842233624065242</v>
      </c>
      <c r="W1407" s="1">
        <f t="shared" si="3045"/>
        <v>-9.0218114545016608</v>
      </c>
      <c r="X1407" s="1">
        <f t="shared" si="3046"/>
        <v>0</v>
      </c>
      <c r="Y1407" s="1">
        <f t="shared" si="3047"/>
        <v>-5.3978517521912073</v>
      </c>
    </row>
    <row r="1408" spans="1:25">
      <c r="A1408" s="1">
        <v>1.4059999999999899</v>
      </c>
      <c r="B1408" s="1">
        <f t="shared" si="3048"/>
        <v>44.535827122209291</v>
      </c>
      <c r="C1408" s="1">
        <f t="shared" si="3049"/>
        <v>0</v>
      </c>
      <c r="D1408" s="1">
        <f t="shared" si="3050"/>
        <v>-2.7819591366938843</v>
      </c>
      <c r="E1408" s="1">
        <f t="shared" si="3051"/>
        <v>14.560088176799514</v>
      </c>
      <c r="F1408" s="1">
        <f t="shared" si="3052"/>
        <v>0</v>
      </c>
      <c r="G1408" s="1">
        <f t="shared" si="3053"/>
        <v>-5.8176873421265247</v>
      </c>
      <c r="H1408" s="1">
        <f t="shared" si="2880"/>
        <v>15.679338433968322</v>
      </c>
      <c r="I1408" s="1">
        <f t="shared" si="3036"/>
        <v>-9.2909062292639479</v>
      </c>
      <c r="J1408" s="1">
        <f t="shared" si="3037"/>
        <v>0</v>
      </c>
      <c r="K1408" s="1">
        <f t="shared" si="3038"/>
        <v>3.7123118287841681</v>
      </c>
      <c r="L1408" s="1">
        <f t="shared" ref="L1408:N1408" si="3176">E1408/$H1408</f>
        <v>0.92861623199968557</v>
      </c>
      <c r="M1408" s="1">
        <f t="shared" si="3176"/>
        <v>0</v>
      </c>
      <c r="N1408" s="1">
        <f t="shared" si="3176"/>
        <v>-0.37104163333338497</v>
      </c>
      <c r="O1408" s="1">
        <f t="shared" si="2882"/>
        <v>-0.37104163333338497</v>
      </c>
      <c r="P1408" s="1">
        <f t="shared" si="3040"/>
        <v>0.3445552834610569</v>
      </c>
      <c r="Q1408" s="1">
        <f t="shared" si="3041"/>
        <v>0</v>
      </c>
      <c r="R1408" s="1">
        <f t="shared" si="3042"/>
        <v>0.86232810633329393</v>
      </c>
      <c r="S1408" s="1">
        <f t="shared" si="3043"/>
        <v>0.80892367233468898</v>
      </c>
      <c r="T1408" s="1">
        <f t="shared" ref="T1408:V1408" si="3177">$S1408*P1408</f>
        <v>0.27871892521963787</v>
      </c>
      <c r="U1408" s="1">
        <f t="shared" si="3177"/>
        <v>0</v>
      </c>
      <c r="V1408" s="1">
        <f t="shared" si="3177"/>
        <v>0.69755761853254628</v>
      </c>
      <c r="W1408" s="1">
        <f t="shared" si="3045"/>
        <v>-9.0121873040443106</v>
      </c>
      <c r="X1408" s="1">
        <f t="shared" si="3046"/>
        <v>0</v>
      </c>
      <c r="Y1408" s="1">
        <f t="shared" si="3047"/>
        <v>-5.3967805526832855</v>
      </c>
    </row>
    <row r="1409" spans="1:25">
      <c r="A1409" s="1">
        <v>1.40699999999999</v>
      </c>
      <c r="B1409" s="1">
        <f t="shared" si="3048"/>
        <v>44.550378198198786</v>
      </c>
      <c r="C1409" s="1">
        <f t="shared" si="3049"/>
        <v>0</v>
      </c>
      <c r="D1409" s="1">
        <f t="shared" si="3050"/>
        <v>-2.7877822208165637</v>
      </c>
      <c r="E1409" s="1">
        <f t="shared" si="3051"/>
        <v>14.55107598949547</v>
      </c>
      <c r="F1409" s="1">
        <f t="shared" si="3052"/>
        <v>0</v>
      </c>
      <c r="G1409" s="1">
        <f t="shared" si="3053"/>
        <v>-5.8230841226792078</v>
      </c>
      <c r="H1409" s="1">
        <f t="shared" si="2880"/>
        <v>15.672974228010146</v>
      </c>
      <c r="I1409" s="1">
        <f t="shared" si="3036"/>
        <v>-9.2813866596099146</v>
      </c>
      <c r="J1409" s="1">
        <f t="shared" si="3037"/>
        <v>0</v>
      </c>
      <c r="K1409" s="1">
        <f t="shared" si="3038"/>
        <v>3.7142473404054464</v>
      </c>
      <c r="L1409" s="1">
        <f t="shared" ref="L1409:N1409" si="3178">E1409/$H1409</f>
        <v>0.92841829366951534</v>
      </c>
      <c r="M1409" s="1">
        <f t="shared" si="3178"/>
        <v>0</v>
      </c>
      <c r="N1409" s="1">
        <f t="shared" si="3178"/>
        <v>-0.37153663612056559</v>
      </c>
      <c r="O1409" s="1">
        <f t="shared" si="2882"/>
        <v>-0.37153663612056559</v>
      </c>
      <c r="P1409" s="1">
        <f t="shared" si="3040"/>
        <v>0.3449414097427671</v>
      </c>
      <c r="Q1409" s="1">
        <f t="shared" si="3041"/>
        <v>0</v>
      </c>
      <c r="R1409" s="1">
        <f t="shared" si="3042"/>
        <v>0.8619605280202145</v>
      </c>
      <c r="S1409" s="1">
        <f t="shared" si="3043"/>
        <v>0.80826712524061561</v>
      </c>
      <c r="T1409" s="1">
        <f t="shared" ref="T1409:V1409" si="3179">$S1409*P1409</f>
        <v>0.27880480162923166</v>
      </c>
      <c r="U1409" s="1">
        <f t="shared" si="3179"/>
        <v>0</v>
      </c>
      <c r="V1409" s="1">
        <f t="shared" si="3179"/>
        <v>0.69669435805378188</v>
      </c>
      <c r="W1409" s="1">
        <f t="shared" si="3045"/>
        <v>-9.0025818579806831</v>
      </c>
      <c r="X1409" s="1">
        <f t="shared" si="3046"/>
        <v>0</v>
      </c>
      <c r="Y1409" s="1">
        <f t="shared" si="3047"/>
        <v>-5.395708301540771</v>
      </c>
    </row>
    <row r="1410" spans="1:25">
      <c r="A1410" s="1">
        <v>1.4079999999999899</v>
      </c>
      <c r="B1410" s="1">
        <f t="shared" si="3048"/>
        <v>44.564920271606425</v>
      </c>
      <c r="C1410" s="1">
        <f t="shared" si="3049"/>
        <v>0</v>
      </c>
      <c r="D1410" s="1">
        <f t="shared" si="3050"/>
        <v>-2.7936107006475446</v>
      </c>
      <c r="E1410" s="1">
        <f t="shared" si="3051"/>
        <v>14.542073407637488</v>
      </c>
      <c r="F1410" s="1">
        <f t="shared" si="3052"/>
        <v>0</v>
      </c>
      <c r="G1410" s="1">
        <f t="shared" si="3053"/>
        <v>-5.8284798309807488</v>
      </c>
      <c r="H1410" s="1">
        <f t="shared" si="2880"/>
        <v>15.666622997100134</v>
      </c>
      <c r="I1410" s="1">
        <f t="shared" ref="I1410:I1473" si="3180">-K_drag*$H1410*E1410</f>
        <v>-9.2718855616661831</v>
      </c>
      <c r="J1410" s="1">
        <f t="shared" ref="J1410:J1473" si="3181">-K_drag*$H1410*F1410</f>
        <v>0</v>
      </c>
      <c r="K1410" s="1">
        <f t="shared" ref="K1410:K1473" si="3182">-K_drag*$H1410*G1410</f>
        <v>3.7161824504991605</v>
      </c>
      <c r="L1410" s="1">
        <f t="shared" ref="L1410:N1410" si="3183">E1410/$H1410</f>
        <v>0.92822003888963189</v>
      </c>
      <c r="M1410" s="1">
        <f t="shared" si="3183"/>
        <v>0</v>
      </c>
      <c r="N1410" s="1">
        <f t="shared" si="3183"/>
        <v>-0.37203166451759201</v>
      </c>
      <c r="O1410" s="1">
        <f t="shared" si="2882"/>
        <v>-0.37203166451759201</v>
      </c>
      <c r="P1410" s="1">
        <f t="shared" ref="P1410:P1473" si="3184">u_axis_f-$O1410*L1410</f>
        <v>0.34532724610669374</v>
      </c>
      <c r="Q1410" s="1">
        <f t="shared" ref="Q1410:Q1473" si="3185">u_axis_r-$O1410*M1410</f>
        <v>0</v>
      </c>
      <c r="R1410" s="1">
        <f t="shared" ref="R1410:R1473" si="3186">u_axis_u-$O1410*N1410</f>
        <v>0.86159244059626983</v>
      </c>
      <c r="S1410" s="1">
        <f t="shared" ref="S1410:S1473" si="3187">K_lift*H1410^2</f>
        <v>0.80761218241474508</v>
      </c>
      <c r="T1410" s="1">
        <f t="shared" ref="T1410:V1410" si="3188">$S1410*P1410</f>
        <v>0.27889049087550072</v>
      </c>
      <c r="U1410" s="1">
        <f t="shared" si="3188"/>
        <v>0</v>
      </c>
      <c r="V1410" s="1">
        <f t="shared" si="3188"/>
        <v>0.69583255130200006</v>
      </c>
      <c r="W1410" s="1">
        <f t="shared" ref="W1410:W1473" si="3189">I1410+T1410+g_f</f>
        <v>-8.9929950707906823</v>
      </c>
      <c r="X1410" s="1">
        <f t="shared" ref="X1410:X1473" si="3190">J1410+U1410+g_r</f>
        <v>0</v>
      </c>
      <c r="Y1410" s="1">
        <f t="shared" ref="Y1410:Y1473" si="3191">K1410+V1410+g_u</f>
        <v>-5.3946349981988391</v>
      </c>
    </row>
    <row r="1411" spans="1:25">
      <c r="A1411" s="1">
        <v>1.40899999999999</v>
      </c>
      <c r="B1411" s="1">
        <f t="shared" ref="B1411:B1474" si="3192">B1410+E1411*dt</f>
        <v>44.579453352018994</v>
      </c>
      <c r="C1411" s="1">
        <f t="shared" ref="C1411:C1474" si="3193">C1410+F1411*dt</f>
        <v>0</v>
      </c>
      <c r="D1411" s="1">
        <f t="shared" ref="D1411:D1474" si="3194">D1410+G1411*dt</f>
        <v>-2.7994445751135237</v>
      </c>
      <c r="E1411" s="1">
        <f t="shared" ref="E1411:E1474" si="3195">E1410+W1410*dt</f>
        <v>14.533080412566697</v>
      </c>
      <c r="F1411" s="1">
        <f t="shared" ref="F1411:F1474" si="3196">F1410+X1410*dt</f>
        <v>0</v>
      </c>
      <c r="G1411" s="1">
        <f t="shared" ref="G1411:G1474" si="3197">G1410+Y1410*dt</f>
        <v>-5.8338744659789477</v>
      </c>
      <c r="H1411" s="1">
        <f t="shared" si="2880"/>
        <v>15.660284721643185</v>
      </c>
      <c r="I1411" s="1">
        <f t="shared" si="3180"/>
        <v>-9.2624028902413151</v>
      </c>
      <c r="J1411" s="1">
        <f t="shared" si="3181"/>
        <v>0</v>
      </c>
      <c r="K1411" s="1">
        <f t="shared" si="3182"/>
        <v>3.7181171631214509</v>
      </c>
      <c r="L1411" s="1">
        <f t="shared" ref="L1411:N1411" si="3198">E1411/$H1411</f>
        <v>0.92802146773751548</v>
      </c>
      <c r="M1411" s="1">
        <f t="shared" si="3198"/>
        <v>0</v>
      </c>
      <c r="N1411" s="1">
        <f t="shared" si="3198"/>
        <v>-0.37252671772412177</v>
      </c>
      <c r="O1411" s="1">
        <f t="shared" si="2882"/>
        <v>-0.37252671772412177</v>
      </c>
      <c r="P1411" s="1">
        <f t="shared" si="3184"/>
        <v>0.34571279135377858</v>
      </c>
      <c r="Q1411" s="1">
        <f t="shared" si="3185"/>
        <v>0</v>
      </c>
      <c r="R1411" s="1">
        <f t="shared" si="3186"/>
        <v>0.86122384458169243</v>
      </c>
      <c r="S1411" s="1">
        <f t="shared" si="3187"/>
        <v>0.80695884021070996</v>
      </c>
      <c r="T1411" s="1">
        <f t="shared" ref="T1411:V1411" si="3199">$S1411*P1411</f>
        <v>0.27897599315685234</v>
      </c>
      <c r="U1411" s="1">
        <f t="shared" si="3199"/>
        <v>0</v>
      </c>
      <c r="V1411" s="1">
        <f t="shared" si="3199"/>
        <v>0.69497219478545125</v>
      </c>
      <c r="W1411" s="1">
        <f t="shared" si="3189"/>
        <v>-8.9834268970844633</v>
      </c>
      <c r="X1411" s="1">
        <f t="shared" si="3190"/>
        <v>0</v>
      </c>
      <c r="Y1411" s="1">
        <f t="shared" si="3191"/>
        <v>-5.3935606420930977</v>
      </c>
    </row>
    <row r="1412" spans="1:25">
      <c r="A1412" s="1">
        <v>1.4099999999999899</v>
      </c>
      <c r="B1412" s="1">
        <f t="shared" si="3192"/>
        <v>44.593977449004662</v>
      </c>
      <c r="C1412" s="1">
        <f t="shared" si="3193"/>
        <v>0</v>
      </c>
      <c r="D1412" s="1">
        <f t="shared" si="3194"/>
        <v>-2.8052838431401446</v>
      </c>
      <c r="E1412" s="1">
        <f t="shared" si="3195"/>
        <v>14.524096985669614</v>
      </c>
      <c r="F1412" s="1">
        <f t="shared" si="3196"/>
        <v>0</v>
      </c>
      <c r="G1412" s="1">
        <f t="shared" si="3197"/>
        <v>-5.8392680266210411</v>
      </c>
      <c r="H1412" s="1">
        <f t="shared" si="2880"/>
        <v>15.653959382081453</v>
      </c>
      <c r="I1412" s="1">
        <f t="shared" si="3180"/>
        <v>-9.2529386002731151</v>
      </c>
      <c r="J1412" s="1">
        <f t="shared" si="3181"/>
        <v>0</v>
      </c>
      <c r="K1412" s="1">
        <f t="shared" si="3182"/>
        <v>3.720051482317436</v>
      </c>
      <c r="L1412" s="1">
        <f t="shared" ref="L1412:N1412" si="3200">E1412/$H1412</f>
        <v>0.92782258029204079</v>
      </c>
      <c r="M1412" s="1">
        <f t="shared" si="3200"/>
        <v>0</v>
      </c>
      <c r="N1412" s="1">
        <f t="shared" si="3200"/>
        <v>-0.37302179493994658</v>
      </c>
      <c r="O1412" s="1">
        <f t="shared" si="2882"/>
        <v>-0.37302179493994658</v>
      </c>
      <c r="P1412" s="1">
        <f t="shared" si="3184"/>
        <v>0.34609804428634977</v>
      </c>
      <c r="Q1412" s="1">
        <f t="shared" si="3185"/>
        <v>0</v>
      </c>
      <c r="R1412" s="1">
        <f t="shared" si="3186"/>
        <v>0.86085474049978039</v>
      </c>
      <c r="S1412" s="1">
        <f t="shared" si="3187"/>
        <v>0.80630709499256759</v>
      </c>
      <c r="T1412" s="1">
        <f t="shared" ref="T1412:V1412" si="3201">$S1412*P1412</f>
        <v>0.27906130867113571</v>
      </c>
      <c r="U1412" s="1">
        <f t="shared" si="3201"/>
        <v>0</v>
      </c>
      <c r="V1412" s="1">
        <f t="shared" si="3201"/>
        <v>0.69411328502295855</v>
      </c>
      <c r="W1412" s="1">
        <f t="shared" si="3189"/>
        <v>-8.9738772916019798</v>
      </c>
      <c r="X1412" s="1">
        <f t="shared" si="3190"/>
        <v>0</v>
      </c>
      <c r="Y1412" s="1">
        <f t="shared" si="3191"/>
        <v>-5.3924852326596051</v>
      </c>
    </row>
    <row r="1413" spans="1:25">
      <c r="A1413" s="1">
        <v>1.41099999999999</v>
      </c>
      <c r="B1413" s="1">
        <f t="shared" si="3192"/>
        <v>44.608492572113043</v>
      </c>
      <c r="C1413" s="1">
        <f t="shared" si="3193"/>
        <v>0</v>
      </c>
      <c r="D1413" s="1">
        <f t="shared" si="3194"/>
        <v>-2.8111285036519984</v>
      </c>
      <c r="E1413" s="1">
        <f t="shared" si="3195"/>
        <v>14.515123108378011</v>
      </c>
      <c r="F1413" s="1">
        <f t="shared" si="3196"/>
        <v>0</v>
      </c>
      <c r="G1413" s="1">
        <f t="shared" si="3197"/>
        <v>-5.8446605118537009</v>
      </c>
      <c r="H1413" s="1">
        <f t="shared" si="2880"/>
        <v>15.647646958894214</v>
      </c>
      <c r="I1413" s="1">
        <f t="shared" si="3180"/>
        <v>-9.2434926468281624</v>
      </c>
      <c r="J1413" s="1">
        <f t="shared" si="3181"/>
        <v>0</v>
      </c>
      <c r="K1413" s="1">
        <f t="shared" si="3182"/>
        <v>3.7219854121212226</v>
      </c>
      <c r="L1413" s="1">
        <f t="shared" ref="L1413:N1413" si="3202">E1413/$H1413</f>
        <v>0.92762337663347716</v>
      </c>
      <c r="M1413" s="1">
        <f t="shared" si="3202"/>
        <v>0</v>
      </c>
      <c r="N1413" s="1">
        <f t="shared" si="3202"/>
        <v>-0.37351689536499683</v>
      </c>
      <c r="O1413" s="1">
        <f t="shared" si="2882"/>
        <v>-0.37351689536499683</v>
      </c>
      <c r="P1413" s="1">
        <f t="shared" si="3184"/>
        <v>0.34648300370813151</v>
      </c>
      <c r="Q1413" s="1">
        <f t="shared" si="3185"/>
        <v>0</v>
      </c>
      <c r="R1413" s="1">
        <f t="shared" si="3186"/>
        <v>0.86048512887689399</v>
      </c>
      <c r="S1413" s="1">
        <f t="shared" si="3187"/>
        <v>0.80565694313476144</v>
      </c>
      <c r="T1413" s="1">
        <f t="shared" ref="T1413:V1413" si="3203">$S1413*P1413</f>
        <v>0.27914643761564345</v>
      </c>
      <c r="U1413" s="1">
        <f t="shared" si="3203"/>
        <v>0</v>
      </c>
      <c r="V1413" s="1">
        <f t="shared" si="3203"/>
        <v>0.69325581854387963</v>
      </c>
      <c r="W1413" s="1">
        <f t="shared" si="3189"/>
        <v>-8.9643462092125183</v>
      </c>
      <c r="X1413" s="1">
        <f t="shared" si="3190"/>
        <v>0</v>
      </c>
      <c r="Y1413" s="1">
        <f t="shared" si="3191"/>
        <v>-5.3914087693348973</v>
      </c>
    </row>
    <row r="1414" spans="1:25">
      <c r="A1414" s="1">
        <v>1.4119999999999899</v>
      </c>
      <c r="B1414" s="1">
        <f t="shared" si="3192"/>
        <v>44.62299873087521</v>
      </c>
      <c r="C1414" s="1">
        <f t="shared" si="3193"/>
        <v>0</v>
      </c>
      <c r="D1414" s="1">
        <f t="shared" si="3194"/>
        <v>-2.8169785555726214</v>
      </c>
      <c r="E1414" s="1">
        <f t="shared" si="3195"/>
        <v>14.506158762168798</v>
      </c>
      <c r="F1414" s="1">
        <f t="shared" si="3196"/>
        <v>0</v>
      </c>
      <c r="G1414" s="1">
        <f t="shared" si="3197"/>
        <v>-5.8500519206230361</v>
      </c>
      <c r="H1414" s="1">
        <f t="shared" si="2880"/>
        <v>15.641347432597739</v>
      </c>
      <c r="I1414" s="1">
        <f t="shared" si="3180"/>
        <v>-9.2340649851013623</v>
      </c>
      <c r="J1414" s="1">
        <f t="shared" si="3181"/>
        <v>0</v>
      </c>
      <c r="K1414" s="1">
        <f t="shared" si="3182"/>
        <v>3.7239189565559201</v>
      </c>
      <c r="L1414" s="1">
        <f t="shared" ref="L1414:N1414" si="3204">E1414/$H1414</f>
        <v>0.92742385684348894</v>
      </c>
      <c r="M1414" s="1">
        <f t="shared" si="3204"/>
        <v>0</v>
      </c>
      <c r="N1414" s="1">
        <f t="shared" si="3204"/>
        <v>-0.37401201819934582</v>
      </c>
      <c r="O1414" s="1">
        <f t="shared" si="2882"/>
        <v>-0.37401201819934582</v>
      </c>
      <c r="P1414" s="1">
        <f t="shared" si="3184"/>
        <v>0.34686766842425448</v>
      </c>
      <c r="Q1414" s="1">
        <f t="shared" si="3185"/>
        <v>0</v>
      </c>
      <c r="R1414" s="1">
        <f t="shared" si="3186"/>
        <v>0.86011501024245218</v>
      </c>
      <c r="S1414" s="1">
        <f t="shared" si="3187"/>
        <v>0.80500838102208339</v>
      </c>
      <c r="T1414" s="1">
        <f t="shared" ref="T1414:V1414" si="3205">$S1414*P1414</f>
        <v>0.27923138018711391</v>
      </c>
      <c r="U1414" s="1">
        <f t="shared" si="3205"/>
        <v>0</v>
      </c>
      <c r="V1414" s="1">
        <f t="shared" si="3205"/>
        <v>0.6923997918880691</v>
      </c>
      <c r="W1414" s="1">
        <f t="shared" si="3189"/>
        <v>-8.9548336049142492</v>
      </c>
      <c r="X1414" s="1">
        <f t="shared" si="3190"/>
        <v>0</v>
      </c>
      <c r="Y1414" s="1">
        <f t="shared" si="3191"/>
        <v>-5.3903312515560105</v>
      </c>
    </row>
    <row r="1415" spans="1:25">
      <c r="A1415" s="1">
        <v>1.41299999999999</v>
      </c>
      <c r="B1415" s="1">
        <f t="shared" si="3192"/>
        <v>44.637495934803773</v>
      </c>
      <c r="C1415" s="1">
        <f t="shared" si="3193"/>
        <v>0</v>
      </c>
      <c r="D1415" s="1">
        <f t="shared" si="3194"/>
        <v>-2.8228339978244961</v>
      </c>
      <c r="E1415" s="1">
        <f t="shared" si="3195"/>
        <v>14.497203928563884</v>
      </c>
      <c r="F1415" s="1">
        <f t="shared" si="3196"/>
        <v>0</v>
      </c>
      <c r="G1415" s="1">
        <f t="shared" si="3197"/>
        <v>-5.8554422518745923</v>
      </c>
      <c r="H1415" s="1">
        <f t="shared" si="2880"/>
        <v>15.635060783745176</v>
      </c>
      <c r="I1415" s="1">
        <f t="shared" si="3180"/>
        <v>-9.2246555704154822</v>
      </c>
      <c r="J1415" s="1">
        <f t="shared" si="3181"/>
        <v>0</v>
      </c>
      <c r="K1415" s="1">
        <f t="shared" si="3182"/>
        <v>3.7258521196336574</v>
      </c>
      <c r="L1415" s="1">
        <f t="shared" ref="L1415:N1415" si="3206">E1415/$H1415</f>
        <v>0.92722402100513401</v>
      </c>
      <c r="M1415" s="1">
        <f t="shared" si="3206"/>
        <v>0</v>
      </c>
      <c r="N1415" s="1">
        <f t="shared" si="3206"/>
        <v>-0.37450716264321404</v>
      </c>
      <c r="O1415" s="1">
        <f t="shared" si="2882"/>
        <v>-0.37450716264321404</v>
      </c>
      <c r="P1415" s="1">
        <f t="shared" si="3184"/>
        <v>0.34725203724126463</v>
      </c>
      <c r="Q1415" s="1">
        <f t="shared" si="3185"/>
        <v>0</v>
      </c>
      <c r="R1415" s="1">
        <f t="shared" si="3186"/>
        <v>0.85974438512892926</v>
      </c>
      <c r="S1415" s="1">
        <f t="shared" si="3187"/>
        <v>0.80436140504963793</v>
      </c>
      <c r="T1415" s="1">
        <f t="shared" ref="T1415:V1415" si="3207">$S1415*P1415</f>
        <v>0.27931613658173282</v>
      </c>
      <c r="U1415" s="1">
        <f t="shared" si="3207"/>
        <v>0</v>
      </c>
      <c r="V1415" s="1">
        <f t="shared" si="3207"/>
        <v>0.69154520160584254</v>
      </c>
      <c r="W1415" s="1">
        <f t="shared" si="3189"/>
        <v>-8.94533943383375</v>
      </c>
      <c r="X1415" s="1">
        <f t="shared" si="3190"/>
        <v>0</v>
      </c>
      <c r="Y1415" s="1">
        <f t="shared" si="3191"/>
        <v>-5.3892526787604993</v>
      </c>
    </row>
    <row r="1416" spans="1:25">
      <c r="A1416" s="1">
        <v>1.4139999999999899</v>
      </c>
      <c r="B1416" s="1">
        <f t="shared" si="3192"/>
        <v>44.651984193392906</v>
      </c>
      <c r="C1416" s="1">
        <f t="shared" si="3193"/>
        <v>0</v>
      </c>
      <c r="D1416" s="1">
        <f t="shared" si="3194"/>
        <v>-2.8286948293290495</v>
      </c>
      <c r="E1416" s="1">
        <f t="shared" si="3195"/>
        <v>14.48825858913005</v>
      </c>
      <c r="F1416" s="1">
        <f t="shared" si="3196"/>
        <v>0</v>
      </c>
      <c r="G1416" s="1">
        <f t="shared" si="3197"/>
        <v>-5.860831504553353</v>
      </c>
      <c r="H1416" s="1">
        <f t="shared" si="2880"/>
        <v>15.628786992926411</v>
      </c>
      <c r="I1416" s="1">
        <f t="shared" si="3180"/>
        <v>-9.2152643582207059</v>
      </c>
      <c r="J1416" s="1">
        <f t="shared" si="3181"/>
        <v>0</v>
      </c>
      <c r="K1416" s="1">
        <f t="shared" si="3182"/>
        <v>3.7277849053555951</v>
      </c>
      <c r="L1416" s="1">
        <f t="shared" ref="L1416:N1416" si="3208">E1416/$H1416</f>
        <v>0.92702386920286495</v>
      </c>
      <c r="M1416" s="1">
        <f t="shared" si="3208"/>
        <v>0</v>
      </c>
      <c r="N1416" s="1">
        <f t="shared" si="3208"/>
        <v>-0.37500232789697402</v>
      </c>
      <c r="O1416" s="1">
        <f t="shared" si="2882"/>
        <v>-0.37500232789697402</v>
      </c>
      <c r="P1416" s="1">
        <f t="shared" si="3184"/>
        <v>0.34763610896713432</v>
      </c>
      <c r="Q1416" s="1">
        <f t="shared" si="3185"/>
        <v>0</v>
      </c>
      <c r="R1416" s="1">
        <f t="shared" si="3186"/>
        <v>0.85937325407185039</v>
      </c>
      <c r="S1416" s="1">
        <f t="shared" si="3187"/>
        <v>0.80371601162280304</v>
      </c>
      <c r="T1416" s="1">
        <f t="shared" ref="T1416:V1416" si="3209">$S1416*P1416</f>
        <v>0.27940070699513536</v>
      </c>
      <c r="U1416" s="1">
        <f t="shared" si="3209"/>
        <v>0</v>
      </c>
      <c r="V1416" s="1">
        <f t="shared" si="3209"/>
        <v>0.6906920442579374</v>
      </c>
      <c r="W1416" s="1">
        <f t="shared" si="3189"/>
        <v>-8.9358636512255707</v>
      </c>
      <c r="X1416" s="1">
        <f t="shared" si="3190"/>
        <v>0</v>
      </c>
      <c r="Y1416" s="1">
        <f t="shared" si="3191"/>
        <v>-5.3881730503864667</v>
      </c>
    </row>
    <row r="1417" spans="1:25">
      <c r="A1417" s="1">
        <v>1.41499999999999</v>
      </c>
      <c r="B1417" s="1">
        <f t="shared" si="3192"/>
        <v>44.666463516118384</v>
      </c>
      <c r="C1417" s="1">
        <f t="shared" si="3193"/>
        <v>0</v>
      </c>
      <c r="D1417" s="1">
        <f t="shared" si="3194"/>
        <v>-2.8345610490066533</v>
      </c>
      <c r="E1417" s="1">
        <f t="shared" si="3195"/>
        <v>14.479322725478823</v>
      </c>
      <c r="F1417" s="1">
        <f t="shared" si="3196"/>
        <v>0</v>
      </c>
      <c r="G1417" s="1">
        <f t="shared" si="3197"/>
        <v>-5.8662196776037394</v>
      </c>
      <c r="H1417" s="1">
        <f t="shared" si="2880"/>
        <v>15.622526040767953</v>
      </c>
      <c r="I1417" s="1">
        <f t="shared" si="3180"/>
        <v>-9.2058913040941786</v>
      </c>
      <c r="J1417" s="1">
        <f t="shared" si="3181"/>
        <v>0</v>
      </c>
      <c r="K1417" s="1">
        <f t="shared" si="3182"/>
        <v>3.7297173177119403</v>
      </c>
      <c r="L1417" s="1">
        <f t="shared" ref="L1417:N1417" si="3210">E1417/$H1417</f>
        <v>0.92682340152252785</v>
      </c>
      <c r="M1417" s="1">
        <f t="shared" si="3210"/>
        <v>0</v>
      </c>
      <c r="N1417" s="1">
        <f t="shared" si="3210"/>
        <v>-0.37549751316115426</v>
      </c>
      <c r="O1417" s="1">
        <f t="shared" si="2882"/>
        <v>-0.37549751316115426</v>
      </c>
      <c r="P1417" s="1">
        <f t="shared" si="3184"/>
        <v>0.34801988241127119</v>
      </c>
      <c r="Q1417" s="1">
        <f t="shared" si="3185"/>
        <v>0</v>
      </c>
      <c r="R1417" s="1">
        <f t="shared" si="3186"/>
        <v>0.85900161760978877</v>
      </c>
      <c r="S1417" s="1">
        <f t="shared" si="3187"/>
        <v>0.80307219715719502</v>
      </c>
      <c r="T1417" s="1">
        <f t="shared" ref="T1417:V1417" si="3211">$S1417*P1417</f>
        <v>0.2794850916224082</v>
      </c>
      <c r="U1417" s="1">
        <f t="shared" si="3211"/>
        <v>0</v>
      </c>
      <c r="V1417" s="1">
        <f t="shared" si="3211"/>
        <v>0.68984031641547772</v>
      </c>
      <c r="W1417" s="1">
        <f t="shared" si="3189"/>
        <v>-8.92640621247177</v>
      </c>
      <c r="X1417" s="1">
        <f t="shared" si="3190"/>
        <v>0</v>
      </c>
      <c r="Y1417" s="1">
        <f t="shared" si="3191"/>
        <v>-5.3870923658725811</v>
      </c>
    </row>
    <row r="1418" spans="1:25">
      <c r="A1418" s="1">
        <v>1.4159999999999899</v>
      </c>
      <c r="B1418" s="1">
        <f t="shared" si="3192"/>
        <v>44.680933912437652</v>
      </c>
      <c r="C1418" s="1">
        <f t="shared" si="3193"/>
        <v>0</v>
      </c>
      <c r="D1418" s="1">
        <f t="shared" si="3194"/>
        <v>-2.8404326557766231</v>
      </c>
      <c r="E1418" s="1">
        <f t="shared" si="3195"/>
        <v>14.470396319266351</v>
      </c>
      <c r="F1418" s="1">
        <f t="shared" si="3196"/>
        <v>0</v>
      </c>
      <c r="G1418" s="1">
        <f t="shared" si="3197"/>
        <v>-5.8716067699696124</v>
      </c>
      <c r="H1418" s="1">
        <f t="shared" si="2880"/>
        <v>15.616277907932803</v>
      </c>
      <c r="I1418" s="1">
        <f t="shared" si="3180"/>
        <v>-9.1965363637395559</v>
      </c>
      <c r="J1418" s="1">
        <f t="shared" si="3181"/>
        <v>0</v>
      </c>
      <c r="K1418" s="1">
        <f t="shared" si="3182"/>
        <v>3.7316493606819621</v>
      </c>
      <c r="L1418" s="1">
        <f t="shared" ref="L1418:N1418" si="3212">E1418/$H1418</f>
        <v>0.9266226180513627</v>
      </c>
      <c r="M1418" s="1">
        <f t="shared" si="3212"/>
        <v>0</v>
      </c>
      <c r="N1418" s="1">
        <f t="shared" si="3212"/>
        <v>-0.37599271763644371</v>
      </c>
      <c r="O1418" s="1">
        <f t="shared" si="2882"/>
        <v>-0.37599271763644371</v>
      </c>
      <c r="P1418" s="1">
        <f t="shared" si="3184"/>
        <v>0.34840335638452824</v>
      </c>
      <c r="Q1418" s="1">
        <f t="shared" si="3185"/>
        <v>0</v>
      </c>
      <c r="R1418" s="1">
        <f t="shared" si="3186"/>
        <v>0.85862947628436148</v>
      </c>
      <c r="S1418" s="1">
        <f t="shared" si="3187"/>
        <v>0.80242995807863082</v>
      </c>
      <c r="T1418" s="1">
        <f t="shared" ref="T1418:V1418" si="3213">$S1418*P1418</f>
        <v>0.27956929065809127</v>
      </c>
      <c r="U1418" s="1">
        <f t="shared" si="3213"/>
        <v>0</v>
      </c>
      <c r="V1418" s="1">
        <f t="shared" si="3213"/>
        <v>0.68899001465993692</v>
      </c>
      <c r="W1418" s="1">
        <f t="shared" si="3189"/>
        <v>-8.9169670730814641</v>
      </c>
      <c r="X1418" s="1">
        <f t="shared" si="3190"/>
        <v>0</v>
      </c>
      <c r="Y1418" s="1">
        <f t="shared" si="3191"/>
        <v>-5.3860106246581001</v>
      </c>
    </row>
    <row r="1419" spans="1:25">
      <c r="A1419" s="1">
        <v>1.41699999999999</v>
      </c>
      <c r="B1419" s="1">
        <f t="shared" si="3192"/>
        <v>44.695395391789845</v>
      </c>
      <c r="C1419" s="1">
        <f t="shared" si="3193"/>
        <v>0</v>
      </c>
      <c r="D1419" s="1">
        <f t="shared" si="3194"/>
        <v>-2.8463096485572175</v>
      </c>
      <c r="E1419" s="1">
        <f t="shared" si="3195"/>
        <v>14.461479352193269</v>
      </c>
      <c r="F1419" s="1">
        <f t="shared" si="3196"/>
        <v>0</v>
      </c>
      <c r="G1419" s="1">
        <f t="shared" si="3197"/>
        <v>-5.8769927805942705</v>
      </c>
      <c r="H1419" s="1">
        <f t="shared" si="2880"/>
        <v>15.610042575120332</v>
      </c>
      <c r="I1419" s="1">
        <f t="shared" si="3180"/>
        <v>-9.1871994929865615</v>
      </c>
      <c r="J1419" s="1">
        <f t="shared" si="3181"/>
        <v>0</v>
      </c>
      <c r="K1419" s="1">
        <f t="shared" si="3182"/>
        <v>3.7335810382340044</v>
      </c>
      <c r="L1419" s="1">
        <f t="shared" ref="L1419:N1419" si="3214">E1419/$H1419</f>
        <v>0.92642151887800284</v>
      </c>
      <c r="M1419" s="1">
        <f t="shared" si="3214"/>
        <v>0</v>
      </c>
      <c r="N1419" s="1">
        <f t="shared" si="3214"/>
        <v>-0.37648794052369633</v>
      </c>
      <c r="O1419" s="1">
        <f t="shared" si="2882"/>
        <v>-0.37648794052369633</v>
      </c>
      <c r="P1419" s="1">
        <f t="shared" si="3184"/>
        <v>0.34878652969921392</v>
      </c>
      <c r="Q1419" s="1">
        <f t="shared" si="3185"/>
        <v>0</v>
      </c>
      <c r="R1419" s="1">
        <f t="shared" si="3186"/>
        <v>0.85825683064022573</v>
      </c>
      <c r="S1419" s="1">
        <f t="shared" si="3187"/>
        <v>0.80178929082309169</v>
      </c>
      <c r="T1419" s="1">
        <f t="shared" ref="T1419:V1419" si="3215">$S1419*P1419</f>
        <v>0.27965330429617996</v>
      </c>
      <c r="U1419" s="1">
        <f t="shared" si="3215"/>
        <v>0</v>
      </c>
      <c r="V1419" s="1">
        <f t="shared" si="3215"/>
        <v>0.68814113558310086</v>
      </c>
      <c r="W1419" s="1">
        <f t="shared" si="3189"/>
        <v>-8.9075461886903824</v>
      </c>
      <c r="X1419" s="1">
        <f t="shared" si="3190"/>
        <v>0</v>
      </c>
      <c r="Y1419" s="1">
        <f t="shared" si="3191"/>
        <v>-5.3849278261828939</v>
      </c>
    </row>
    <row r="1420" spans="1:25">
      <c r="A1420" s="1">
        <v>1.4179999999999899</v>
      </c>
      <c r="B1420" s="1">
        <f t="shared" si="3192"/>
        <v>44.709847963595848</v>
      </c>
      <c r="C1420" s="1">
        <f t="shared" si="3193"/>
        <v>0</v>
      </c>
      <c r="D1420" s="1">
        <f t="shared" si="3194"/>
        <v>-2.8521920262656377</v>
      </c>
      <c r="E1420" s="1">
        <f t="shared" si="3195"/>
        <v>14.452571806004579</v>
      </c>
      <c r="F1420" s="1">
        <f t="shared" si="3196"/>
        <v>0</v>
      </c>
      <c r="G1420" s="1">
        <f t="shared" si="3197"/>
        <v>-5.8823777084204538</v>
      </c>
      <c r="H1420" s="1">
        <f t="shared" si="2880"/>
        <v>15.603820023066158</v>
      </c>
      <c r="I1420" s="1">
        <f t="shared" si="3180"/>
        <v>-9.1778806477905395</v>
      </c>
      <c r="J1420" s="1">
        <f t="shared" si="3181"/>
        <v>0</v>
      </c>
      <c r="K1420" s="1">
        <f t="shared" si="3182"/>
        <v>3.7355123543255022</v>
      </c>
      <c r="L1420" s="1">
        <f t="shared" ref="L1420:N1420" si="3216">E1420/$H1420</f>
        <v>0.92622010409247479</v>
      </c>
      <c r="M1420" s="1">
        <f t="shared" si="3216"/>
        <v>0</v>
      </c>
      <c r="N1420" s="1">
        <f t="shared" si="3216"/>
        <v>-0.37698318102393519</v>
      </c>
      <c r="O1420" s="1">
        <f t="shared" si="2882"/>
        <v>-0.37698318102393519</v>
      </c>
      <c r="P1420" s="1">
        <f t="shared" si="3184"/>
        <v>0.3491694011691015</v>
      </c>
      <c r="Q1420" s="1">
        <f t="shared" si="3185"/>
        <v>0</v>
      </c>
      <c r="R1420" s="1">
        <f t="shared" si="3186"/>
        <v>0.85788368122507497</v>
      </c>
      <c r="S1420" s="1">
        <f t="shared" si="3187"/>
        <v>0.80115019183668645</v>
      </c>
      <c r="T1420" s="1">
        <f t="shared" ref="T1420:V1420" si="3217">$S1420*P1420</f>
        <v>0.27973713273012663</v>
      </c>
      <c r="U1420" s="1">
        <f t="shared" si="3217"/>
        <v>0</v>
      </c>
      <c r="V1420" s="1">
        <f t="shared" si="3217"/>
        <v>0.6872936757870316</v>
      </c>
      <c r="W1420" s="1">
        <f t="shared" si="3189"/>
        <v>-8.8981435150604131</v>
      </c>
      <c r="X1420" s="1">
        <f t="shared" si="3190"/>
        <v>0</v>
      </c>
      <c r="Y1420" s="1">
        <f t="shared" si="3191"/>
        <v>-5.3838439698874652</v>
      </c>
    </row>
    <row r="1421" spans="1:25">
      <c r="A1421" s="1">
        <v>1.41899999999999</v>
      </c>
      <c r="B1421" s="1">
        <f t="shared" si="3192"/>
        <v>44.724291637258339</v>
      </c>
      <c r="C1421" s="1">
        <f t="shared" si="3193"/>
        <v>0</v>
      </c>
      <c r="D1421" s="1">
        <f t="shared" si="3194"/>
        <v>-2.8580797878180282</v>
      </c>
      <c r="E1421" s="1">
        <f t="shared" si="3195"/>
        <v>14.44367366248952</v>
      </c>
      <c r="F1421" s="1">
        <f t="shared" si="3196"/>
        <v>0</v>
      </c>
      <c r="G1421" s="1">
        <f t="shared" si="3197"/>
        <v>-5.8877615523903417</v>
      </c>
      <c r="H1421" s="1">
        <f t="shared" si="2880"/>
        <v>15.597610232542014</v>
      </c>
      <c r="I1421" s="1">
        <f t="shared" si="3180"/>
        <v>-9.1685797842320014</v>
      </c>
      <c r="J1421" s="1">
        <f t="shared" si="3181"/>
        <v>0</v>
      </c>
      <c r="K1421" s="1">
        <f t="shared" si="3182"/>
        <v>3.7374433129029918</v>
      </c>
      <c r="L1421" s="1">
        <f t="shared" ref="L1421:N1421" si="3218">E1421/$H1421</f>
        <v>0.92601837378619811</v>
      </c>
      <c r="M1421" s="1">
        <f t="shared" si="3218"/>
        <v>0</v>
      </c>
      <c r="N1421" s="1">
        <f t="shared" si="3218"/>
        <v>-0.37747843833835731</v>
      </c>
      <c r="O1421" s="1">
        <f t="shared" si="2882"/>
        <v>-0.37747843833835731</v>
      </c>
      <c r="P1421" s="1">
        <f t="shared" si="3184"/>
        <v>0.34955196960943929</v>
      </c>
      <c r="Q1421" s="1">
        <f t="shared" si="3185"/>
        <v>0</v>
      </c>
      <c r="R1421" s="1">
        <f t="shared" si="3186"/>
        <v>0.85751002858963499</v>
      </c>
      <c r="S1421" s="1">
        <f t="shared" si="3187"/>
        <v>0.80051265757561485</v>
      </c>
      <c r="T1421" s="1">
        <f t="shared" ref="T1421:V1421" si="3219">$S1421*P1421</f>
        <v>0.27982077615284279</v>
      </c>
      <c r="U1421" s="1">
        <f t="shared" si="3219"/>
        <v>0</v>
      </c>
      <c r="V1421" s="1">
        <f t="shared" si="3219"/>
        <v>0.68644763188403013</v>
      </c>
      <c r="W1421" s="1">
        <f t="shared" si="3189"/>
        <v>-8.888759008079159</v>
      </c>
      <c r="X1421" s="1">
        <f t="shared" si="3190"/>
        <v>0</v>
      </c>
      <c r="Y1421" s="1">
        <f t="shared" si="3191"/>
        <v>-5.3827590552129774</v>
      </c>
    </row>
    <row r="1422" spans="1:25">
      <c r="A1422" s="1">
        <v>1.4199999999999899</v>
      </c>
      <c r="B1422" s="1">
        <f t="shared" si="3192"/>
        <v>44.738726422161818</v>
      </c>
      <c r="C1422" s="1">
        <f t="shared" si="3193"/>
        <v>0</v>
      </c>
      <c r="D1422" s="1">
        <f t="shared" si="3194"/>
        <v>-2.8639729321294736</v>
      </c>
      <c r="E1422" s="1">
        <f t="shared" si="3195"/>
        <v>14.434784903481441</v>
      </c>
      <c r="F1422" s="1">
        <f t="shared" si="3196"/>
        <v>0</v>
      </c>
      <c r="G1422" s="1">
        <f t="shared" si="3197"/>
        <v>-5.8931443114455551</v>
      </c>
      <c r="H1422" s="1">
        <f t="shared" si="2880"/>
        <v>15.591413184355638</v>
      </c>
      <c r="I1422" s="1">
        <f t="shared" si="3180"/>
        <v>-9.1592968585162051</v>
      </c>
      <c r="J1422" s="1">
        <f t="shared" si="3181"/>
        <v>0</v>
      </c>
      <c r="K1422" s="1">
        <f t="shared" si="3182"/>
        <v>3.7393739179021299</v>
      </c>
      <c r="L1422" s="1">
        <f t="shared" ref="L1422:N1422" si="3220">E1422/$H1422</f>
        <v>0.92581632805198488</v>
      </c>
      <c r="M1422" s="1">
        <f t="shared" si="3220"/>
        <v>0</v>
      </c>
      <c r="N1422" s="1">
        <f t="shared" si="3220"/>
        <v>-0.3779737116683376</v>
      </c>
      <c r="O1422" s="1">
        <f t="shared" si="2882"/>
        <v>-0.3779737116683376</v>
      </c>
      <c r="P1422" s="1">
        <f t="shared" si="3184"/>
        <v>0.34993423383695998</v>
      </c>
      <c r="Q1422" s="1">
        <f t="shared" si="3185"/>
        <v>0</v>
      </c>
      <c r="R1422" s="1">
        <f t="shared" si="3186"/>
        <v>0.85713587328766039</v>
      </c>
      <c r="S1422" s="1">
        <f t="shared" si="3187"/>
        <v>0.79987668450613236</v>
      </c>
      <c r="T1422" s="1">
        <f t="shared" ref="T1422:V1422" si="3221">$S1422*P1422</f>
        <v>0.27990423475670118</v>
      </c>
      <c r="U1422" s="1">
        <f t="shared" si="3221"/>
        <v>0</v>
      </c>
      <c r="V1422" s="1">
        <f t="shared" si="3221"/>
        <v>0.68560300049660217</v>
      </c>
      <c r="W1422" s="1">
        <f t="shared" si="3189"/>
        <v>-8.8793926237595038</v>
      </c>
      <c r="X1422" s="1">
        <f t="shared" si="3190"/>
        <v>0</v>
      </c>
      <c r="Y1422" s="1">
        <f t="shared" si="3191"/>
        <v>-5.3816730816012672</v>
      </c>
    </row>
    <row r="1423" spans="1:25">
      <c r="A1423" s="1">
        <v>1.42099999999999</v>
      </c>
      <c r="B1423" s="1">
        <f t="shared" si="3192"/>
        <v>44.753152327672673</v>
      </c>
      <c r="C1423" s="1">
        <f t="shared" si="3193"/>
        <v>0</v>
      </c>
      <c r="D1423" s="1">
        <f t="shared" si="3194"/>
        <v>-2.8698714581140008</v>
      </c>
      <c r="E1423" s="1">
        <f t="shared" si="3195"/>
        <v>14.425905510857682</v>
      </c>
      <c r="F1423" s="1">
        <f t="shared" si="3196"/>
        <v>0</v>
      </c>
      <c r="G1423" s="1">
        <f t="shared" si="3197"/>
        <v>-5.898525984527156</v>
      </c>
      <c r="H1423" s="1">
        <f t="shared" si="2880"/>
        <v>15.585228859350641</v>
      </c>
      <c r="I1423" s="1">
        <f t="shared" si="3180"/>
        <v>-9.1500318269726897</v>
      </c>
      <c r="J1423" s="1">
        <f t="shared" si="3181"/>
        <v>0</v>
      </c>
      <c r="K1423" s="1">
        <f t="shared" si="3182"/>
        <v>3.7413041732477046</v>
      </c>
      <c r="L1423" s="1">
        <f t="shared" ref="L1423:N1423" si="3222">E1423/$H1423</f>
        <v>0.9256139669840393</v>
      </c>
      <c r="M1423" s="1">
        <f t="shared" si="3222"/>
        <v>0</v>
      </c>
      <c r="N1423" s="1">
        <f t="shared" si="3222"/>
        <v>-0.37846900021543334</v>
      </c>
      <c r="O1423" s="1">
        <f t="shared" si="2882"/>
        <v>-0.37846900021543334</v>
      </c>
      <c r="P1423" s="1">
        <f t="shared" si="3184"/>
        <v>0.3503161926698905</v>
      </c>
      <c r="Q1423" s="1">
        <f t="shared" si="3185"/>
        <v>0</v>
      </c>
      <c r="R1423" s="1">
        <f t="shared" si="3186"/>
        <v>0.85676121587593035</v>
      </c>
      <c r="S1423" s="1">
        <f t="shared" si="3187"/>
        <v>0.79924226910451335</v>
      </c>
      <c r="T1423" s="1">
        <f t="shared" ref="T1423:V1423" si="3223">$S1423*P1423</f>
        <v>0.27998750873353717</v>
      </c>
      <c r="U1423" s="1">
        <f t="shared" si="3223"/>
        <v>0</v>
      </c>
      <c r="V1423" s="1">
        <f t="shared" si="3223"/>
        <v>0.6847597782574204</v>
      </c>
      <c r="W1423" s="1">
        <f t="shared" si="3189"/>
        <v>-8.8700443182391524</v>
      </c>
      <c r="X1423" s="1">
        <f t="shared" si="3190"/>
        <v>0</v>
      </c>
      <c r="Y1423" s="1">
        <f t="shared" si="3191"/>
        <v>-5.3805860484948749</v>
      </c>
    </row>
    <row r="1424" spans="1:25">
      <c r="A1424" s="1">
        <v>1.4219999999999899</v>
      </c>
      <c r="B1424" s="1">
        <f t="shared" si="3192"/>
        <v>44.767569363139209</v>
      </c>
      <c r="C1424" s="1">
        <f t="shared" si="3193"/>
        <v>0</v>
      </c>
      <c r="D1424" s="1">
        <f t="shared" si="3194"/>
        <v>-2.8757753646845763</v>
      </c>
      <c r="E1424" s="1">
        <f t="shared" si="3195"/>
        <v>14.417035466539442</v>
      </c>
      <c r="F1424" s="1">
        <f t="shared" si="3196"/>
        <v>0</v>
      </c>
      <c r="G1424" s="1">
        <f t="shared" si="3197"/>
        <v>-5.9039065705756508</v>
      </c>
      <c r="H1424" s="1">
        <f t="shared" si="2880"/>
        <v>15.579057238406389</v>
      </c>
      <c r="I1424" s="1">
        <f t="shared" si="3180"/>
        <v>-9.1407846460548594</v>
      </c>
      <c r="J1424" s="1">
        <f t="shared" si="3181"/>
        <v>0</v>
      </c>
      <c r="K1424" s="1">
        <f t="shared" si="3182"/>
        <v>3.7432340828536494</v>
      </c>
      <c r="L1424" s="1">
        <f t="shared" ref="L1424:N1424" si="3224">E1424/$H1424</f>
        <v>0.92541129067795813</v>
      </c>
      <c r="M1424" s="1">
        <f t="shared" si="3224"/>
        <v>0</v>
      </c>
      <c r="N1424" s="1">
        <f t="shared" si="3224"/>
        <v>-0.37896430318138896</v>
      </c>
      <c r="O1424" s="1">
        <f t="shared" si="2882"/>
        <v>-0.37896430318138896</v>
      </c>
      <c r="P1424" s="1">
        <f t="shared" si="3184"/>
        <v>0.35069784492796219</v>
      </c>
      <c r="Q1424" s="1">
        <f t="shared" si="3185"/>
        <v>0</v>
      </c>
      <c r="R1424" s="1">
        <f t="shared" si="3186"/>
        <v>0.8563860569142443</v>
      </c>
      <c r="S1424" s="1">
        <f t="shared" si="3187"/>
        <v>0.7986094078570154</v>
      </c>
      <c r="T1424" s="1">
        <f t="shared" ref="T1424:V1424" si="3225">$S1424*P1424</f>
        <v>0.28007059827465131</v>
      </c>
      <c r="U1424" s="1">
        <f t="shared" si="3225"/>
        <v>0</v>
      </c>
      <c r="V1424" s="1">
        <f t="shared" si="3225"/>
        <v>0.68391796180928888</v>
      </c>
      <c r="W1424" s="1">
        <f t="shared" si="3189"/>
        <v>-8.860714047780208</v>
      </c>
      <c r="X1424" s="1">
        <f t="shared" si="3190"/>
        <v>0</v>
      </c>
      <c r="Y1424" s="1">
        <f t="shared" si="3191"/>
        <v>-5.3794979553370608</v>
      </c>
    </row>
    <row r="1425" spans="1:25">
      <c r="A1425" s="1">
        <v>1.4229999999999901</v>
      </c>
      <c r="B1425" s="1">
        <f t="shared" si="3192"/>
        <v>44.781977537891699</v>
      </c>
      <c r="C1425" s="1">
        <f t="shared" si="3193"/>
        <v>0</v>
      </c>
      <c r="D1425" s="1">
        <f t="shared" si="3194"/>
        <v>-2.8816846507531073</v>
      </c>
      <c r="E1425" s="1">
        <f t="shared" si="3195"/>
        <v>14.408174752491663</v>
      </c>
      <c r="F1425" s="1">
        <f t="shared" si="3196"/>
        <v>0</v>
      </c>
      <c r="G1425" s="1">
        <f t="shared" si="3197"/>
        <v>-5.9092860685309878</v>
      </c>
      <c r="H1425" s="1">
        <f t="shared" si="2880"/>
        <v>15.572898302437881</v>
      </c>
      <c r="I1425" s="1">
        <f t="shared" si="3180"/>
        <v>-9.1315552723395346</v>
      </c>
      <c r="J1425" s="1">
        <f t="shared" si="3181"/>
        <v>0</v>
      </c>
      <c r="K1425" s="1">
        <f t="shared" si="3182"/>
        <v>3.7451636506230614</v>
      </c>
      <c r="L1425" s="1">
        <f t="shared" ref="L1425:N1425" si="3226">E1425/$H1425</f>
        <v>0.92520829923072923</v>
      </c>
      <c r="M1425" s="1">
        <f t="shared" si="3226"/>
        <v>0</v>
      </c>
      <c r="N1425" s="1">
        <f t="shared" si="3226"/>
        <v>-0.3794596197681398</v>
      </c>
      <c r="O1425" s="1">
        <f t="shared" si="2882"/>
        <v>-0.3794596197681398</v>
      </c>
      <c r="P1425" s="1">
        <f t="shared" si="3184"/>
        <v>0.35107918943241984</v>
      </c>
      <c r="Q1425" s="1">
        <f t="shared" si="3185"/>
        <v>0</v>
      </c>
      <c r="R1425" s="1">
        <f t="shared" si="3186"/>
        <v>0.85601039696541881</v>
      </c>
      <c r="S1425" s="1">
        <f t="shared" si="3187"/>
        <v>0.79797809725984414</v>
      </c>
      <c r="T1425" s="1">
        <f t="shared" ref="T1425:V1425" si="3227">$S1425*P1425</f>
        <v>0.28015350357081076</v>
      </c>
      <c r="U1425" s="1">
        <f t="shared" si="3227"/>
        <v>0</v>
      </c>
      <c r="V1425" s="1">
        <f t="shared" si="3227"/>
        <v>0.68307754780510876</v>
      </c>
      <c r="W1425" s="1">
        <f t="shared" si="3189"/>
        <v>-8.8514017687687243</v>
      </c>
      <c r="X1425" s="1">
        <f t="shared" si="3190"/>
        <v>0</v>
      </c>
      <c r="Y1425" s="1">
        <f t="shared" si="3191"/>
        <v>-5.3784088015718297</v>
      </c>
    </row>
    <row r="1426" spans="1:25">
      <c r="A1426" s="1">
        <v>1.4239999999999899</v>
      </c>
      <c r="B1426" s="1">
        <f t="shared" si="3192"/>
        <v>44.796376861242422</v>
      </c>
      <c r="C1426" s="1">
        <f t="shared" si="3193"/>
        <v>0</v>
      </c>
      <c r="D1426" s="1">
        <f t="shared" si="3194"/>
        <v>-2.8875993152304398</v>
      </c>
      <c r="E1426" s="1">
        <f t="shared" si="3195"/>
        <v>14.399323350722893</v>
      </c>
      <c r="F1426" s="1">
        <f t="shared" si="3196"/>
        <v>0</v>
      </c>
      <c r="G1426" s="1">
        <f t="shared" si="3197"/>
        <v>-5.9146644773325594</v>
      </c>
      <c r="H1426" s="1">
        <f t="shared" si="2880"/>
        <v>15.566752032395621</v>
      </c>
      <c r="I1426" s="1">
        <f t="shared" si="3180"/>
        <v>-9.1223436625265144</v>
      </c>
      <c r="J1426" s="1">
        <f t="shared" si="3181"/>
        <v>0</v>
      </c>
      <c r="K1426" s="1">
        <f t="shared" si="3182"/>
        <v>3.7470928804482071</v>
      </c>
      <c r="L1426" s="1">
        <f t="shared" ref="L1426:N1426" si="3228">E1426/$H1426</f>
        <v>0.92500499274073245</v>
      </c>
      <c r="M1426" s="1">
        <f t="shared" si="3228"/>
        <v>0</v>
      </c>
      <c r="N1426" s="1">
        <f t="shared" si="3228"/>
        <v>-0.37995494917781708</v>
      </c>
      <c r="O1426" s="1">
        <f t="shared" si="2882"/>
        <v>-0.37995494917781708</v>
      </c>
      <c r="P1426" s="1">
        <f t="shared" si="3184"/>
        <v>0.35146022500603208</v>
      </c>
      <c r="Q1426" s="1">
        <f t="shared" si="3185"/>
        <v>0</v>
      </c>
      <c r="R1426" s="1">
        <f t="shared" si="3186"/>
        <v>0.85563423659528248</v>
      </c>
      <c r="S1426" s="1">
        <f t="shared" si="3187"/>
        <v>0.79734833381911574</v>
      </c>
      <c r="T1426" s="1">
        <f t="shared" ref="T1426:V1426" si="3229">$S1426*P1426</f>
        <v>0.28023622481225119</v>
      </c>
      <c r="U1426" s="1">
        <f t="shared" si="3229"/>
        <v>0</v>
      </c>
      <c r="V1426" s="1">
        <f t="shared" si="3229"/>
        <v>0.68223853290783953</v>
      </c>
      <c r="W1426" s="1">
        <f t="shared" si="3189"/>
        <v>-8.8421074377142634</v>
      </c>
      <c r="X1426" s="1">
        <f t="shared" si="3190"/>
        <v>0</v>
      </c>
      <c r="Y1426" s="1">
        <f t="shared" si="3191"/>
        <v>-5.3773185866439528</v>
      </c>
    </row>
    <row r="1427" spans="1:25">
      <c r="A1427" s="1">
        <v>1.4249999999999901</v>
      </c>
      <c r="B1427" s="1">
        <f t="shared" si="3192"/>
        <v>44.810767342485704</v>
      </c>
      <c r="C1427" s="1">
        <f t="shared" si="3193"/>
        <v>0</v>
      </c>
      <c r="D1427" s="1">
        <f t="shared" si="3194"/>
        <v>-2.8935193570263591</v>
      </c>
      <c r="E1427" s="1">
        <f t="shared" si="3195"/>
        <v>14.39048124328518</v>
      </c>
      <c r="F1427" s="1">
        <f t="shared" si="3196"/>
        <v>0</v>
      </c>
      <c r="G1427" s="1">
        <f t="shared" si="3197"/>
        <v>-5.9200417959192038</v>
      </c>
      <c r="H1427" s="1">
        <f t="shared" si="2880"/>
        <v>15.560618409265514</v>
      </c>
      <c r="I1427" s="1">
        <f t="shared" si="3180"/>
        <v>-9.1131497734381615</v>
      </c>
      <c r="J1427" s="1">
        <f t="shared" si="3181"/>
        <v>0</v>
      </c>
      <c r="K1427" s="1">
        <f t="shared" si="3182"/>
        <v>3.7490217762105451</v>
      </c>
      <c r="L1427" s="1">
        <f t="shared" ref="L1427:N1427" si="3230">E1427/$H1427</f>
        <v>0.92480137130773798</v>
      </c>
      <c r="M1427" s="1">
        <f t="shared" si="3230"/>
        <v>0</v>
      </c>
      <c r="N1427" s="1">
        <f t="shared" si="3230"/>
        <v>-0.38045029061275204</v>
      </c>
      <c r="O1427" s="1">
        <f t="shared" si="2882"/>
        <v>-0.38045029061275204</v>
      </c>
      <c r="P1427" s="1">
        <f t="shared" si="3184"/>
        <v>0.35184095047310054</v>
      </c>
      <c r="Q1427" s="1">
        <f t="shared" si="3185"/>
        <v>0</v>
      </c>
      <c r="R1427" s="1">
        <f t="shared" si="3186"/>
        <v>0.85525757637267252</v>
      </c>
      <c r="S1427" s="1">
        <f t="shared" si="3187"/>
        <v>0.79672011405082444</v>
      </c>
      <c r="T1427" s="1">
        <f t="shared" ref="T1427:V1427" si="3231">$S1427*P1427</f>
        <v>0.28031876218867913</v>
      </c>
      <c r="U1427" s="1">
        <f t="shared" si="3231"/>
        <v>0</v>
      </c>
      <c r="V1427" s="1">
        <f t="shared" si="3231"/>
        <v>0.6814009137904673</v>
      </c>
      <c r="W1427" s="1">
        <f t="shared" si="3189"/>
        <v>-8.8328310112494819</v>
      </c>
      <c r="X1427" s="1">
        <f t="shared" si="3190"/>
        <v>0</v>
      </c>
      <c r="Y1427" s="1">
        <f t="shared" si="3191"/>
        <v>-5.3762273099989866</v>
      </c>
    </row>
    <row r="1428" spans="1:25">
      <c r="A1428" s="1">
        <v>1.4259999999999899</v>
      </c>
      <c r="B1428" s="1">
        <f t="shared" si="3192"/>
        <v>44.825148990897979</v>
      </c>
      <c r="C1428" s="1">
        <f t="shared" si="3193"/>
        <v>0</v>
      </c>
      <c r="D1428" s="1">
        <f t="shared" si="3194"/>
        <v>-2.8994447750495884</v>
      </c>
      <c r="E1428" s="1">
        <f t="shared" si="3195"/>
        <v>14.381648412273931</v>
      </c>
      <c r="F1428" s="1">
        <f t="shared" si="3196"/>
        <v>0</v>
      </c>
      <c r="G1428" s="1">
        <f t="shared" si="3197"/>
        <v>-5.9254180232292031</v>
      </c>
      <c r="H1428" s="1">
        <f t="shared" si="2880"/>
        <v>15.554497414068727</v>
      </c>
      <c r="I1428" s="1">
        <f t="shared" si="3180"/>
        <v>-9.1039735620189539</v>
      </c>
      <c r="J1428" s="1">
        <f t="shared" si="3181"/>
        <v>0</v>
      </c>
      <c r="K1428" s="1">
        <f t="shared" si="3182"/>
        <v>3.7509503417807357</v>
      </c>
      <c r="L1428" s="1">
        <f t="shared" ref="L1428:N1428" si="3232">E1428/$H1428</f>
        <v>0.92459743503290703</v>
      </c>
      <c r="M1428" s="1">
        <f t="shared" si="3232"/>
        <v>0</v>
      </c>
      <c r="N1428" s="1">
        <f t="shared" si="3232"/>
        <v>-0.38094564327548008</v>
      </c>
      <c r="O1428" s="1">
        <f t="shared" si="2882"/>
        <v>-0.38094564327548008</v>
      </c>
      <c r="P1428" s="1">
        <f t="shared" si="3184"/>
        <v>0.35222136465946968</v>
      </c>
      <c r="Q1428" s="1">
        <f t="shared" si="3185"/>
        <v>0</v>
      </c>
      <c r="R1428" s="1">
        <f t="shared" si="3186"/>
        <v>0.85488041686943061</v>
      </c>
      <c r="S1428" s="1">
        <f t="shared" si="3187"/>
        <v>0.79609343448080494</v>
      </c>
      <c r="T1428" s="1">
        <f t="shared" ref="T1428:V1428" si="3233">$S1428*P1428</f>
        <v>0.28040111588927324</v>
      </c>
      <c r="U1428" s="1">
        <f t="shared" si="3233"/>
        <v>0</v>
      </c>
      <c r="V1428" s="1">
        <f t="shared" si="3233"/>
        <v>0.68056468713596729</v>
      </c>
      <c r="W1428" s="1">
        <f t="shared" si="3189"/>
        <v>-8.8235724461296812</v>
      </c>
      <c r="X1428" s="1">
        <f t="shared" si="3190"/>
        <v>0</v>
      </c>
      <c r="Y1428" s="1">
        <f t="shared" si="3191"/>
        <v>-5.3751349710832965</v>
      </c>
    </row>
    <row r="1429" spans="1:25">
      <c r="A1429" s="1">
        <v>1.4269999999999901</v>
      </c>
      <c r="B1429" s="1">
        <f t="shared" si="3192"/>
        <v>44.839521815737804</v>
      </c>
      <c r="C1429" s="1">
        <f t="shared" si="3193"/>
        <v>0</v>
      </c>
      <c r="D1429" s="1">
        <f t="shared" si="3194"/>
        <v>-2.9053755682077886</v>
      </c>
      <c r="E1429" s="1">
        <f t="shared" si="3195"/>
        <v>14.372824839827802</v>
      </c>
      <c r="F1429" s="1">
        <f t="shared" si="3196"/>
        <v>0</v>
      </c>
      <c r="G1429" s="1">
        <f t="shared" si="3197"/>
        <v>-5.9307931582002862</v>
      </c>
      <c r="H1429" s="1">
        <f t="shared" si="2880"/>
        <v>15.548389027861582</v>
      </c>
      <c r="I1429" s="1">
        <f t="shared" si="3180"/>
        <v>-9.0948149853350628</v>
      </c>
      <c r="J1429" s="1">
        <f t="shared" si="3181"/>
        <v>0</v>
      </c>
      <c r="K1429" s="1">
        <f t="shared" si="3182"/>
        <v>3.752878581018654</v>
      </c>
      <c r="L1429" s="1">
        <f t="shared" ref="L1429:N1429" si="3234">E1429/$H1429</f>
        <v>0.924393184018791</v>
      </c>
      <c r="M1429" s="1">
        <f t="shared" si="3234"/>
        <v>0</v>
      </c>
      <c r="N1429" s="1">
        <f t="shared" si="3234"/>
        <v>-0.38144100636874573</v>
      </c>
      <c r="O1429" s="1">
        <f t="shared" si="2882"/>
        <v>-0.38144100636874573</v>
      </c>
      <c r="P1429" s="1">
        <f t="shared" si="3184"/>
        <v>0.35260146639253681</v>
      </c>
      <c r="Q1429" s="1">
        <f t="shared" si="3185"/>
        <v>0</v>
      </c>
      <c r="R1429" s="1">
        <f t="shared" si="3186"/>
        <v>0.85450275866039849</v>
      </c>
      <c r="S1429" s="1">
        <f t="shared" si="3187"/>
        <v>0.7954682916446979</v>
      </c>
      <c r="T1429" s="1">
        <f t="shared" ref="T1429:V1429" si="3235">$S1429*P1429</f>
        <v>0.28048328610268664</v>
      </c>
      <c r="U1429" s="1">
        <f t="shared" si="3235"/>
        <v>0</v>
      </c>
      <c r="V1429" s="1">
        <f t="shared" si="3235"/>
        <v>0.67972984963726879</v>
      </c>
      <c r="W1429" s="1">
        <f t="shared" si="3189"/>
        <v>-8.8143316992323761</v>
      </c>
      <c r="X1429" s="1">
        <f t="shared" si="3190"/>
        <v>0</v>
      </c>
      <c r="Y1429" s="1">
        <f t="shared" si="3191"/>
        <v>-5.3740415693440768</v>
      </c>
    </row>
    <row r="1430" spans="1:25">
      <c r="A1430" s="1">
        <v>1.4279999999999899</v>
      </c>
      <c r="B1430" s="1">
        <f t="shared" si="3192"/>
        <v>44.853885826245936</v>
      </c>
      <c r="C1430" s="1">
        <f t="shared" si="3193"/>
        <v>0</v>
      </c>
      <c r="D1430" s="1">
        <f t="shared" si="3194"/>
        <v>-2.9113117354075584</v>
      </c>
      <c r="E1430" s="1">
        <f t="shared" si="3195"/>
        <v>14.364010508128569</v>
      </c>
      <c r="F1430" s="1">
        <f t="shared" si="3196"/>
        <v>0</v>
      </c>
      <c r="G1430" s="1">
        <f t="shared" si="3197"/>
        <v>-5.9361671997696304</v>
      </c>
      <c r="H1430" s="1">
        <f t="shared" si="2880"/>
        <v>15.542293231735425</v>
      </c>
      <c r="I1430" s="1">
        <f t="shared" si="3180"/>
        <v>-9.0856740005739187</v>
      </c>
      <c r="J1430" s="1">
        <f t="shared" si="3181"/>
        <v>0</v>
      </c>
      <c r="K1430" s="1">
        <f t="shared" si="3182"/>
        <v>3.7548064977734041</v>
      </c>
      <c r="L1430" s="1">
        <f t="shared" ref="L1430:N1430" si="3236">E1430/$H1430</f>
        <v>0.92418861836933119</v>
      </c>
      <c r="M1430" s="1">
        <f t="shared" si="3236"/>
        <v>0</v>
      </c>
      <c r="N1430" s="1">
        <f t="shared" si="3236"/>
        <v>-0.38193637909550676</v>
      </c>
      <c r="O1430" s="1">
        <f t="shared" si="2882"/>
        <v>-0.38193637909550676</v>
      </c>
      <c r="P1430" s="1">
        <f t="shared" si="3184"/>
        <v>0.3529812545012615</v>
      </c>
      <c r="Q1430" s="1">
        <f t="shared" si="3185"/>
        <v>0</v>
      </c>
      <c r="R1430" s="1">
        <f t="shared" si="3186"/>
        <v>0.85412460232341336</v>
      </c>
      <c r="S1430" s="1">
        <f t="shared" si="3187"/>
        <v>0.7948446820879147</v>
      </c>
      <c r="T1430" s="1">
        <f t="shared" ref="T1430:V1430" si="3237">$S1430*P1430</f>
        <v>0.28056527301704853</v>
      </c>
      <c r="U1430" s="1">
        <f t="shared" si="3237"/>
        <v>0</v>
      </c>
      <c r="V1430" s="1">
        <f t="shared" si="3237"/>
        <v>0.67889639799722001</v>
      </c>
      <c r="W1430" s="1">
        <f t="shared" si="3189"/>
        <v>-8.8051087275568705</v>
      </c>
      <c r="X1430" s="1">
        <f t="shared" si="3190"/>
        <v>0</v>
      </c>
      <c r="Y1430" s="1">
        <f t="shared" si="3191"/>
        <v>-5.3729471042293753</v>
      </c>
    </row>
    <row r="1431" spans="1:25">
      <c r="A1431" s="1">
        <v>1.4289999999999901</v>
      </c>
      <c r="B1431" s="1">
        <f t="shared" si="3192"/>
        <v>44.86824103164534</v>
      </c>
      <c r="C1431" s="1">
        <f t="shared" si="3193"/>
        <v>0</v>
      </c>
      <c r="D1431" s="1">
        <f t="shared" si="3194"/>
        <v>-2.9172532755544323</v>
      </c>
      <c r="E1431" s="1">
        <f t="shared" si="3195"/>
        <v>14.355205399401012</v>
      </c>
      <c r="F1431" s="1">
        <f t="shared" si="3196"/>
        <v>0</v>
      </c>
      <c r="G1431" s="1">
        <f t="shared" si="3197"/>
        <v>-5.9415401468738596</v>
      </c>
      <c r="H1431" s="1">
        <f t="shared" si="2880"/>
        <v>15.536210006816521</v>
      </c>
      <c r="I1431" s="1">
        <f t="shared" si="3180"/>
        <v>-9.0765505650438012</v>
      </c>
      <c r="J1431" s="1">
        <f t="shared" si="3181"/>
        <v>0</v>
      </c>
      <c r="K1431" s="1">
        <f t="shared" si="3182"/>
        <v>3.7567340958833371</v>
      </c>
      <c r="L1431" s="1">
        <f t="shared" ref="L1431:N1431" si="3238">E1431/$H1431</f>
        <v>0.92398373818985824</v>
      </c>
      <c r="M1431" s="1">
        <f t="shared" si="3238"/>
        <v>0</v>
      </c>
      <c r="N1431" s="1">
        <f t="shared" si="3238"/>
        <v>-0.38243176065893841</v>
      </c>
      <c r="O1431" s="1">
        <f t="shared" si="2882"/>
        <v>-0.38243176065893841</v>
      </c>
      <c r="P1431" s="1">
        <f t="shared" si="3184"/>
        <v>0.35336072781617506</v>
      </c>
      <c r="Q1431" s="1">
        <f t="shared" si="3185"/>
        <v>0</v>
      </c>
      <c r="R1431" s="1">
        <f t="shared" si="3186"/>
        <v>0.8537459484393044</v>
      </c>
      <c r="S1431" s="1">
        <f t="shared" si="3187"/>
        <v>0.7942226023656036</v>
      </c>
      <c r="T1431" s="1">
        <f t="shared" ref="T1431:V1431" si="3239">$S1431*P1431</f>
        <v>0.28064707681996631</v>
      </c>
      <c r="U1431" s="1">
        <f t="shared" si="3239"/>
        <v>0</v>
      </c>
      <c r="V1431" s="1">
        <f t="shared" si="3239"/>
        <v>0.67806432892855473</v>
      </c>
      <c r="W1431" s="1">
        <f t="shared" si="3189"/>
        <v>-8.7959034882238356</v>
      </c>
      <c r="X1431" s="1">
        <f t="shared" si="3190"/>
        <v>0</v>
      </c>
      <c r="Y1431" s="1">
        <f t="shared" si="3191"/>
        <v>-5.3718515751881073</v>
      </c>
    </row>
    <row r="1432" spans="1:25">
      <c r="A1432" s="1">
        <v>1.4299999999999899</v>
      </c>
      <c r="B1432" s="1">
        <f t="shared" si="3192"/>
        <v>44.882587441141254</v>
      </c>
      <c r="C1432" s="1">
        <f t="shared" si="3193"/>
        <v>0</v>
      </c>
      <c r="D1432" s="1">
        <f t="shared" si="3194"/>
        <v>-2.9232001875528812</v>
      </c>
      <c r="E1432" s="1">
        <f t="shared" si="3195"/>
        <v>14.346409495912788</v>
      </c>
      <c r="F1432" s="1">
        <f t="shared" si="3196"/>
        <v>0</v>
      </c>
      <c r="G1432" s="1">
        <f t="shared" si="3197"/>
        <v>-5.9469119984490479</v>
      </c>
      <c r="H1432" s="1">
        <f t="shared" si="2880"/>
        <v>15.530139334265932</v>
      </c>
      <c r="I1432" s="1">
        <f t="shared" si="3180"/>
        <v>-9.0674446361734038</v>
      </c>
      <c r="J1432" s="1">
        <f t="shared" si="3181"/>
        <v>0</v>
      </c>
      <c r="K1432" s="1">
        <f t="shared" si="3182"/>
        <v>3.7586613791760595</v>
      </c>
      <c r="L1432" s="1">
        <f t="shared" ref="L1432:N1432" si="3240">E1432/$H1432</f>
        <v>0.92377854358709166</v>
      </c>
      <c r="M1432" s="1">
        <f t="shared" si="3240"/>
        <v>0</v>
      </c>
      <c r="N1432" s="1">
        <f t="shared" si="3240"/>
        <v>-0.3829271502624379</v>
      </c>
      <c r="O1432" s="1">
        <f t="shared" si="2882"/>
        <v>-0.3829271502624379</v>
      </c>
      <c r="P1432" s="1">
        <f t="shared" si="3184"/>
        <v>0.35373988516939031</v>
      </c>
      <c r="Q1432" s="1">
        <f t="shared" si="3185"/>
        <v>0</v>
      </c>
      <c r="R1432" s="1">
        <f t="shared" si="3186"/>
        <v>0.85336679759188827</v>
      </c>
      <c r="S1432" s="1">
        <f t="shared" si="3187"/>
        <v>0.79360204904261422</v>
      </c>
      <c r="T1432" s="1">
        <f t="shared" ref="T1432:V1432" si="3241">$S1432*P1432</f>
        <v>0.28072869769852721</v>
      </c>
      <c r="U1432" s="1">
        <f t="shared" si="3241"/>
        <v>0</v>
      </c>
      <c r="V1432" s="1">
        <f t="shared" si="3241"/>
        <v>0.67723363915385637</v>
      </c>
      <c r="W1432" s="1">
        <f t="shared" si="3189"/>
        <v>-8.7867159384748774</v>
      </c>
      <c r="X1432" s="1">
        <f t="shared" si="3190"/>
        <v>0</v>
      </c>
      <c r="Y1432" s="1">
        <f t="shared" si="3191"/>
        <v>-5.3707549816700837</v>
      </c>
    </row>
    <row r="1433" spans="1:25">
      <c r="A1433" s="1">
        <v>1.4309999999999901</v>
      </c>
      <c r="B1433" s="1">
        <f t="shared" si="3192"/>
        <v>44.896925063921231</v>
      </c>
      <c r="C1433" s="1">
        <f t="shared" si="3193"/>
        <v>0</v>
      </c>
      <c r="D1433" s="1">
        <f t="shared" si="3194"/>
        <v>-2.9291524703063119</v>
      </c>
      <c r="E1433" s="1">
        <f t="shared" si="3195"/>
        <v>14.337622779974312</v>
      </c>
      <c r="F1433" s="1">
        <f t="shared" si="3196"/>
        <v>0</v>
      </c>
      <c r="G1433" s="1">
        <f t="shared" si="3197"/>
        <v>-5.9522827534307181</v>
      </c>
      <c r="H1433" s="1">
        <f t="shared" si="2880"/>
        <v>15.524081195279388</v>
      </c>
      <c r="I1433" s="1">
        <f t="shared" si="3180"/>
        <v>-9.0583561715114094</v>
      </c>
      <c r="J1433" s="1">
        <f t="shared" si="3181"/>
        <v>0</v>
      </c>
      <c r="K1433" s="1">
        <f t="shared" si="3182"/>
        <v>3.7605883514684484</v>
      </c>
      <c r="L1433" s="1">
        <f t="shared" ref="L1433:N1433" si="3242">E1433/$H1433</f>
        <v>0.92357303466913987</v>
      </c>
      <c r="M1433" s="1">
        <f t="shared" si="3242"/>
        <v>0</v>
      </c>
      <c r="N1433" s="1">
        <f t="shared" si="3242"/>
        <v>-0.38342254710962909</v>
      </c>
      <c r="O1433" s="1">
        <f t="shared" si="2882"/>
        <v>-0.38342254710962909</v>
      </c>
      <c r="P1433" s="1">
        <f t="shared" si="3184"/>
        <v>0.35411872539461137</v>
      </c>
      <c r="Q1433" s="1">
        <f t="shared" si="3185"/>
        <v>0</v>
      </c>
      <c r="R1433" s="1">
        <f t="shared" si="3186"/>
        <v>0.85298715036796424</v>
      </c>
      <c r="S1433" s="1">
        <f t="shared" si="3187"/>
        <v>0.79298301869346211</v>
      </c>
      <c r="T1433" s="1">
        <f t="shared" ref="T1433:V1433" si="3243">$S1433*P1433</f>
        <v>0.28081013583930009</v>
      </c>
      <c r="U1433" s="1">
        <f t="shared" si="3243"/>
        <v>0</v>
      </c>
      <c r="V1433" s="1">
        <f t="shared" si="3243"/>
        <v>0.67640432540552231</v>
      </c>
      <c r="W1433" s="1">
        <f t="shared" si="3189"/>
        <v>-8.7775460356721098</v>
      </c>
      <c r="X1433" s="1">
        <f t="shared" si="3190"/>
        <v>0</v>
      </c>
      <c r="Y1433" s="1">
        <f t="shared" si="3191"/>
        <v>-5.3696573231260292</v>
      </c>
    </row>
    <row r="1434" spans="1:25">
      <c r="A1434" s="1">
        <v>1.4319999999999899</v>
      </c>
      <c r="B1434" s="1">
        <f t="shared" si="3192"/>
        <v>44.911253909155171</v>
      </c>
      <c r="C1434" s="1">
        <f t="shared" si="3193"/>
        <v>0</v>
      </c>
      <c r="D1434" s="1">
        <f t="shared" si="3194"/>
        <v>-2.9351101227170657</v>
      </c>
      <c r="E1434" s="1">
        <f t="shared" si="3195"/>
        <v>14.32884523393864</v>
      </c>
      <c r="F1434" s="1">
        <f t="shared" si="3196"/>
        <v>0</v>
      </c>
      <c r="G1434" s="1">
        <f t="shared" si="3197"/>
        <v>-5.9576524107538438</v>
      </c>
      <c r="H1434" s="1">
        <f t="shared" si="2880"/>
        <v>15.518035571087186</v>
      </c>
      <c r="I1434" s="1">
        <f t="shared" si="3180"/>
        <v>-9.0492851287260816</v>
      </c>
      <c r="J1434" s="1">
        <f t="shared" si="3181"/>
        <v>0</v>
      </c>
      <c r="K1434" s="1">
        <f t="shared" si="3182"/>
        <v>3.7625150165666668</v>
      </c>
      <c r="L1434" s="1">
        <f t="shared" ref="L1434:N1434" si="3244">E1434/$H1434</f>
        <v>0.92336721154549906</v>
      </c>
      <c r="M1434" s="1">
        <f t="shared" si="3244"/>
        <v>0</v>
      </c>
      <c r="N1434" s="1">
        <f t="shared" si="3244"/>
        <v>-0.38391795040436638</v>
      </c>
      <c r="O1434" s="1">
        <f t="shared" si="2882"/>
        <v>-0.38391795040436638</v>
      </c>
      <c r="P1434" s="1">
        <f t="shared" si="3184"/>
        <v>0.35449724732714299</v>
      </c>
      <c r="Q1434" s="1">
        <f t="shared" si="3185"/>
        <v>0</v>
      </c>
      <c r="R1434" s="1">
        <f t="shared" si="3186"/>
        <v>0.85260700735731043</v>
      </c>
      <c r="S1434" s="1">
        <f t="shared" si="3187"/>
        <v>0.79236550790229665</v>
      </c>
      <c r="T1434" s="1">
        <f t="shared" ref="T1434:V1434" si="3245">$S1434*P1434</f>
        <v>0.28089139142833774</v>
      </c>
      <c r="U1434" s="1">
        <f t="shared" si="3245"/>
        <v>0</v>
      </c>
      <c r="V1434" s="1">
        <f t="shared" si="3245"/>
        <v>0.67557638442573242</v>
      </c>
      <c r="W1434" s="1">
        <f t="shared" si="3189"/>
        <v>-8.7683937372977443</v>
      </c>
      <c r="X1434" s="1">
        <f t="shared" si="3190"/>
        <v>0</v>
      </c>
      <c r="Y1434" s="1">
        <f t="shared" si="3191"/>
        <v>-5.3685585990076001</v>
      </c>
    </row>
    <row r="1435" spans="1:25">
      <c r="A1435" s="1">
        <v>1.4329999999999901</v>
      </c>
      <c r="B1435" s="1">
        <f t="shared" si="3192"/>
        <v>44.925573985995371</v>
      </c>
      <c r="C1435" s="1">
        <f t="shared" si="3193"/>
        <v>0</v>
      </c>
      <c r="D1435" s="1">
        <f t="shared" si="3194"/>
        <v>-2.9410731436864186</v>
      </c>
      <c r="E1435" s="1">
        <f t="shared" si="3195"/>
        <v>14.320076840201343</v>
      </c>
      <c r="F1435" s="1">
        <f t="shared" si="3196"/>
        <v>0</v>
      </c>
      <c r="G1435" s="1">
        <f t="shared" si="3197"/>
        <v>-5.9630209693528515</v>
      </c>
      <c r="H1435" s="1">
        <f t="shared" si="2880"/>
        <v>15.51200244295406</v>
      </c>
      <c r="I1435" s="1">
        <f t="shared" si="3180"/>
        <v>-9.0402314656048333</v>
      </c>
      <c r="J1435" s="1">
        <f t="shared" si="3181"/>
        <v>0</v>
      </c>
      <c r="K1435" s="1">
        <f t="shared" si="3182"/>
        <v>3.7644413782661754</v>
      </c>
      <c r="L1435" s="1">
        <f t="shared" ref="L1435:N1435" si="3246">E1435/$H1435</f>
        <v>0.92316107432705319</v>
      </c>
      <c r="M1435" s="1">
        <f t="shared" si="3246"/>
        <v>0</v>
      </c>
      <c r="N1435" s="1">
        <f t="shared" si="3246"/>
        <v>-0.38441335935073973</v>
      </c>
      <c r="O1435" s="1">
        <f t="shared" si="2882"/>
        <v>-0.38441335935073973</v>
      </c>
      <c r="P1435" s="1">
        <f t="shared" si="3184"/>
        <v>0.35487544980390046</v>
      </c>
      <c r="Q1435" s="1">
        <f t="shared" si="3185"/>
        <v>0</v>
      </c>
      <c r="R1435" s="1">
        <f t="shared" si="3186"/>
        <v>0.85222636915267902</v>
      </c>
      <c r="S1435" s="1">
        <f t="shared" si="3187"/>
        <v>0.79174951326286436</v>
      </c>
      <c r="T1435" s="1">
        <f t="shared" ref="T1435:V1435" si="3247">$S1435*P1435</f>
        <v>0.28097246465117826</v>
      </c>
      <c r="U1435" s="1">
        <f t="shared" si="3247"/>
        <v>0</v>
      </c>
      <c r="V1435" s="1">
        <f t="shared" si="3247"/>
        <v>0.67474981296641179</v>
      </c>
      <c r="W1435" s="1">
        <f t="shared" si="3189"/>
        <v>-8.7592590009536551</v>
      </c>
      <c r="X1435" s="1">
        <f t="shared" si="3190"/>
        <v>0</v>
      </c>
      <c r="Y1435" s="1">
        <f t="shared" si="3191"/>
        <v>-5.3674588087674122</v>
      </c>
    </row>
    <row r="1436" spans="1:25">
      <c r="A1436" s="1">
        <v>1.4339999999999899</v>
      </c>
      <c r="B1436" s="1">
        <f t="shared" si="3192"/>
        <v>44.939885303576574</v>
      </c>
      <c r="C1436" s="1">
        <f t="shared" si="3193"/>
        <v>0</v>
      </c>
      <c r="D1436" s="1">
        <f t="shared" si="3194"/>
        <v>-2.9470415321145804</v>
      </c>
      <c r="E1436" s="1">
        <f t="shared" si="3195"/>
        <v>14.31131758120039</v>
      </c>
      <c r="F1436" s="1">
        <f t="shared" si="3196"/>
        <v>0</v>
      </c>
      <c r="G1436" s="1">
        <f t="shared" si="3197"/>
        <v>-5.9683884281616191</v>
      </c>
      <c r="H1436" s="1">
        <f t="shared" si="2880"/>
        <v>15.505981792179073</v>
      </c>
      <c r="I1436" s="1">
        <f t="shared" si="3180"/>
        <v>-9.0311951400538213</v>
      </c>
      <c r="J1436" s="1">
        <f t="shared" si="3181"/>
        <v>0</v>
      </c>
      <c r="K1436" s="1">
        <f t="shared" si="3182"/>
        <v>3.7663674403517482</v>
      </c>
      <c r="L1436" s="1">
        <f t="shared" ref="L1436:N1436" si="3248">E1436/$H1436</f>
        <v>0.92295462312607324</v>
      </c>
      <c r="M1436" s="1">
        <f t="shared" si="3248"/>
        <v>0</v>
      </c>
      <c r="N1436" s="1">
        <f t="shared" si="3248"/>
        <v>-0.38490877315307842</v>
      </c>
      <c r="O1436" s="1">
        <f t="shared" si="2882"/>
        <v>-0.38490877315307842</v>
      </c>
      <c r="P1436" s="1">
        <f t="shared" si="3184"/>
        <v>0.35525333166341871</v>
      </c>
      <c r="Q1436" s="1">
        <f t="shared" si="3185"/>
        <v>0</v>
      </c>
      <c r="R1436" s="1">
        <f t="shared" si="3186"/>
        <v>0.85184523634979203</v>
      </c>
      <c r="S1436" s="1">
        <f t="shared" si="3187"/>
        <v>0.79113503137847629</v>
      </c>
      <c r="T1436" s="1">
        <f t="shared" ref="T1436:V1436" si="3249">$S1436*P1436</f>
        <v>0.28105335569284701</v>
      </c>
      <c r="U1436" s="1">
        <f t="shared" si="3249"/>
        <v>0</v>
      </c>
      <c r="V1436" s="1">
        <f t="shared" si="3249"/>
        <v>0.67392460778919827</v>
      </c>
      <c r="W1436" s="1">
        <f t="shared" si="3189"/>
        <v>-8.7501417843609737</v>
      </c>
      <c r="X1436" s="1">
        <f t="shared" si="3190"/>
        <v>0</v>
      </c>
      <c r="Y1436" s="1">
        <f t="shared" si="3191"/>
        <v>-5.3663579518590527</v>
      </c>
    </row>
    <row r="1437" spans="1:25">
      <c r="A1437" s="1">
        <v>1.4349999999999901</v>
      </c>
      <c r="B1437" s="1">
        <f t="shared" si="3192"/>
        <v>44.954187871015989</v>
      </c>
      <c r="C1437" s="1">
        <f t="shared" si="3193"/>
        <v>0</v>
      </c>
      <c r="D1437" s="1">
        <f t="shared" si="3194"/>
        <v>-2.953015286900694</v>
      </c>
      <c r="E1437" s="1">
        <f t="shared" si="3195"/>
        <v>14.302567439416029</v>
      </c>
      <c r="F1437" s="1">
        <f t="shared" si="3196"/>
        <v>0</v>
      </c>
      <c r="G1437" s="1">
        <f t="shared" si="3197"/>
        <v>-5.9737547861134779</v>
      </c>
      <c r="H1437" s="1">
        <f t="shared" si="2880"/>
        <v>15.499973600095494</v>
      </c>
      <c r="I1437" s="1">
        <f t="shared" si="3180"/>
        <v>-9.022176110097524</v>
      </c>
      <c r="J1437" s="1">
        <f t="shared" si="3181"/>
        <v>0</v>
      </c>
      <c r="K1437" s="1">
        <f t="shared" si="3182"/>
        <v>3.7682932065974821</v>
      </c>
      <c r="L1437" s="1">
        <f t="shared" ref="L1437:N1437" si="3250">E1437/$H1437</f>
        <v>0.92274785805621706</v>
      </c>
      <c r="M1437" s="1">
        <f t="shared" si="3250"/>
        <v>0</v>
      </c>
      <c r="N1437" s="1">
        <f t="shared" si="3250"/>
        <v>-0.38540419101595591</v>
      </c>
      <c r="O1437" s="1">
        <f t="shared" si="2882"/>
        <v>-0.38540419101595591</v>
      </c>
      <c r="P1437" s="1">
        <f t="shared" si="3184"/>
        <v>0.35563089174586243</v>
      </c>
      <c r="Q1437" s="1">
        <f t="shared" si="3185"/>
        <v>0</v>
      </c>
      <c r="R1437" s="1">
        <f t="shared" si="3186"/>
        <v>0.85146360954733658</v>
      </c>
      <c r="S1437" s="1">
        <f t="shared" si="3187"/>
        <v>0.79052205886197302</v>
      </c>
      <c r="T1437" s="1">
        <f t="shared" ref="T1437:V1437" si="3251">$S1437*P1437</f>
        <v>0.28113406473785862</v>
      </c>
      <c r="U1437" s="1">
        <f t="shared" si="3251"/>
        <v>0</v>
      </c>
      <c r="V1437" s="1">
        <f t="shared" si="3251"/>
        <v>0.67310076566540766</v>
      </c>
      <c r="W1437" s="1">
        <f t="shared" si="3189"/>
        <v>-8.7410420453596647</v>
      </c>
      <c r="X1437" s="1">
        <f t="shared" si="3190"/>
        <v>0</v>
      </c>
      <c r="Y1437" s="1">
        <f t="shared" si="3191"/>
        <v>-5.36525602773711</v>
      </c>
    </row>
    <row r="1438" spans="1:25">
      <c r="A1438" s="1">
        <v>1.43599999999999</v>
      </c>
      <c r="B1438" s="1">
        <f t="shared" si="3192"/>
        <v>44.96848169741336</v>
      </c>
      <c r="C1438" s="1">
        <f t="shared" si="3193"/>
        <v>0</v>
      </c>
      <c r="D1438" s="1">
        <f t="shared" si="3194"/>
        <v>-2.9589944069428351</v>
      </c>
      <c r="E1438" s="1">
        <f t="shared" si="3195"/>
        <v>14.293826397370669</v>
      </c>
      <c r="F1438" s="1">
        <f t="shared" si="3196"/>
        <v>0</v>
      </c>
      <c r="G1438" s="1">
        <f t="shared" si="3197"/>
        <v>-5.979120042141215</v>
      </c>
      <c r="H1438" s="1">
        <f t="shared" si="2880"/>
        <v>15.493977848070692</v>
      </c>
      <c r="I1438" s="1">
        <f t="shared" si="3180"/>
        <v>-9.0131743338783341</v>
      </c>
      <c r="J1438" s="1">
        <f t="shared" si="3181"/>
        <v>0</v>
      </c>
      <c r="K1438" s="1">
        <f t="shared" si="3182"/>
        <v>3.7702186807668165</v>
      </c>
      <c r="L1438" s="1">
        <f t="shared" ref="L1438:N1438" si="3252">E1438/$H1438</f>
        <v>0.92254077923252831</v>
      </c>
      <c r="M1438" s="1">
        <f t="shared" si="3252"/>
        <v>0</v>
      </c>
      <c r="N1438" s="1">
        <f t="shared" si="3252"/>
        <v>-0.3858996121441941</v>
      </c>
      <c r="O1438" s="1">
        <f t="shared" si="2882"/>
        <v>-0.3858996121441941</v>
      </c>
      <c r="P1438" s="1">
        <f t="shared" si="3184"/>
        <v>0.35600812889303529</v>
      </c>
      <c r="Q1438" s="1">
        <f t="shared" si="3185"/>
        <v>0</v>
      </c>
      <c r="R1438" s="1">
        <f t="shared" si="3186"/>
        <v>0.8510814893469606</v>
      </c>
      <c r="S1438" s="1">
        <f t="shared" si="3187"/>
        <v>0.78991059233569183</v>
      </c>
      <c r="T1438" s="1">
        <f t="shared" ref="T1438:V1438" si="3253">$S1438*P1438</f>
        <v>0.28121459197021881</v>
      </c>
      <c r="U1438" s="1">
        <f t="shared" si="3253"/>
        <v>0</v>
      </c>
      <c r="V1438" s="1">
        <f t="shared" si="3253"/>
        <v>0.67227828337600049</v>
      </c>
      <c r="W1438" s="1">
        <f t="shared" si="3189"/>
        <v>-8.7319597419081152</v>
      </c>
      <c r="X1438" s="1">
        <f t="shared" si="3190"/>
        <v>0</v>
      </c>
      <c r="Y1438" s="1">
        <f t="shared" si="3191"/>
        <v>-5.3641530358571821</v>
      </c>
    </row>
    <row r="1439" spans="1:25">
      <c r="A1439" s="1">
        <v>1.4369999999999901</v>
      </c>
      <c r="B1439" s="1">
        <f t="shared" si="3192"/>
        <v>44.982766791850992</v>
      </c>
      <c r="C1439" s="1">
        <f t="shared" si="3193"/>
        <v>0</v>
      </c>
      <c r="D1439" s="1">
        <f t="shared" si="3194"/>
        <v>-2.9649788911380122</v>
      </c>
      <c r="E1439" s="1">
        <f t="shared" si="3195"/>
        <v>14.285094437628761</v>
      </c>
      <c r="F1439" s="1">
        <f t="shared" si="3196"/>
        <v>0</v>
      </c>
      <c r="G1439" s="1">
        <f t="shared" si="3197"/>
        <v>-5.984484195177072</v>
      </c>
      <c r="H1439" s="1">
        <f t="shared" si="2880"/>
        <v>15.487994517506014</v>
      </c>
      <c r="I1439" s="1">
        <f t="shared" si="3180"/>
        <v>-9.0041897696561417</v>
      </c>
      <c r="J1439" s="1">
        <f t="shared" si="3181"/>
        <v>0</v>
      </c>
      <c r="K1439" s="1">
        <f t="shared" si="3182"/>
        <v>3.7721438666125415</v>
      </c>
      <c r="L1439" s="1">
        <f t="shared" ref="L1439:N1439" si="3254">E1439/$H1439</f>
        <v>0.92233338677143639</v>
      </c>
      <c r="M1439" s="1">
        <f t="shared" si="3254"/>
        <v>0</v>
      </c>
      <c r="N1439" s="1">
        <f t="shared" si="3254"/>
        <v>-0.38639503574286749</v>
      </c>
      <c r="O1439" s="1">
        <f t="shared" si="2882"/>
        <v>-0.38639503574286749</v>
      </c>
      <c r="P1439" s="1">
        <f t="shared" si="3184"/>
        <v>0.35638504194838921</v>
      </c>
      <c r="Q1439" s="1">
        <f t="shared" si="3185"/>
        <v>0</v>
      </c>
      <c r="R1439" s="1">
        <f t="shared" si="3186"/>
        <v>0.85069887635326813</v>
      </c>
      <c r="S1439" s="1">
        <f t="shared" si="3187"/>
        <v>0.78930062843143212</v>
      </c>
      <c r="T1439" s="1">
        <f t="shared" ref="T1439:V1439" si="3255">$S1439*P1439</f>
        <v>0.28129493757342589</v>
      </c>
      <c r="U1439" s="1">
        <f t="shared" si="3255"/>
        <v>0</v>
      </c>
      <c r="V1439" s="1">
        <f t="shared" si="3255"/>
        <v>0.67145715771154768</v>
      </c>
      <c r="W1439" s="1">
        <f t="shared" si="3189"/>
        <v>-8.7228948320827158</v>
      </c>
      <c r="X1439" s="1">
        <f t="shared" si="3190"/>
        <v>0</v>
      </c>
      <c r="Y1439" s="1">
        <f t="shared" si="3191"/>
        <v>-5.3630489756759099</v>
      </c>
    </row>
    <row r="1440" spans="1:25">
      <c r="A1440" s="1">
        <v>1.43799999999999</v>
      </c>
      <c r="B1440" s="1">
        <f t="shared" si="3192"/>
        <v>44.997043163393791</v>
      </c>
      <c r="C1440" s="1">
        <f t="shared" si="3193"/>
        <v>0</v>
      </c>
      <c r="D1440" s="1">
        <f t="shared" si="3194"/>
        <v>-2.9709687383821648</v>
      </c>
      <c r="E1440" s="1">
        <f t="shared" si="3195"/>
        <v>14.276371542796678</v>
      </c>
      <c r="F1440" s="1">
        <f t="shared" si="3196"/>
        <v>0</v>
      </c>
      <c r="G1440" s="1">
        <f t="shared" si="3197"/>
        <v>-5.9898472441527479</v>
      </c>
      <c r="H1440" s="1">
        <f t="shared" si="2880"/>
        <v>15.482023589836666</v>
      </c>
      <c r="I1440" s="1">
        <f t="shared" si="3180"/>
        <v>-8.9952223758079271</v>
      </c>
      <c r="J1440" s="1">
        <f t="shared" si="3181"/>
        <v>0</v>
      </c>
      <c r="K1440" s="1">
        <f t="shared" si="3182"/>
        <v>3.7740687678768126</v>
      </c>
      <c r="L1440" s="1">
        <f t="shared" ref="L1440:N1440" si="3256">E1440/$H1440</f>
        <v>0.92212568079075585</v>
      </c>
      <c r="M1440" s="1">
        <f t="shared" si="3256"/>
        <v>0</v>
      </c>
      <c r="N1440" s="1">
        <f t="shared" si="3256"/>
        <v>-0.38689046101730817</v>
      </c>
      <c r="O1440" s="1">
        <f t="shared" si="2882"/>
        <v>-0.38689046101730817</v>
      </c>
      <c r="P1440" s="1">
        <f t="shared" si="3184"/>
        <v>0.35676162975703468</v>
      </c>
      <c r="Q1440" s="1">
        <f t="shared" si="3185"/>
        <v>0</v>
      </c>
      <c r="R1440" s="1">
        <f t="shared" si="3186"/>
        <v>0.85031577117381474</v>
      </c>
      <c r="S1440" s="1">
        <f t="shared" si="3187"/>
        <v>0.78869216379042184</v>
      </c>
      <c r="T1440" s="1">
        <f t="shared" ref="T1440:V1440" si="3257">$S1440*P1440</f>
        <v>0.28137510173047303</v>
      </c>
      <c r="U1440" s="1">
        <f t="shared" si="3257"/>
        <v>0</v>
      </c>
      <c r="V1440" s="1">
        <f t="shared" si="3257"/>
        <v>0.6706373854721972</v>
      </c>
      <c r="W1440" s="1">
        <f t="shared" si="3189"/>
        <v>-8.7138472740774535</v>
      </c>
      <c r="X1440" s="1">
        <f t="shared" si="3190"/>
        <v>0</v>
      </c>
      <c r="Y1440" s="1">
        <f t="shared" si="3191"/>
        <v>-5.3619438466509894</v>
      </c>
    </row>
    <row r="1441" spans="1:25">
      <c r="A1441" s="1">
        <v>1.4389999999999901</v>
      </c>
      <c r="B1441" s="1">
        <f t="shared" si="3192"/>
        <v>45.01131082108931</v>
      </c>
      <c r="C1441" s="1">
        <f t="shared" si="3193"/>
        <v>0</v>
      </c>
      <c r="D1441" s="1">
        <f t="shared" si="3194"/>
        <v>-2.9769639475701641</v>
      </c>
      <c r="E1441" s="1">
        <f t="shared" si="3195"/>
        <v>14.267657695522601</v>
      </c>
      <c r="F1441" s="1">
        <f t="shared" si="3196"/>
        <v>0</v>
      </c>
      <c r="G1441" s="1">
        <f t="shared" si="3197"/>
        <v>-5.9952091879993992</v>
      </c>
      <c r="H1441" s="1">
        <f t="shared" si="2880"/>
        <v>15.47606504653162</v>
      </c>
      <c r="I1441" s="1">
        <f t="shared" si="3180"/>
        <v>-8.9862721108273593</v>
      </c>
      <c r="J1441" s="1">
        <f t="shared" si="3181"/>
        <v>0</v>
      </c>
      <c r="K1441" s="1">
        <f t="shared" si="3182"/>
        <v>3.7759933882911678</v>
      </c>
      <c r="L1441" s="1">
        <f t="shared" ref="L1441:N1441" si="3258">E1441/$H1441</f>
        <v>0.92191766140968512</v>
      </c>
      <c r="M1441" s="1">
        <f t="shared" si="3258"/>
        <v>0</v>
      </c>
      <c r="N1441" s="1">
        <f t="shared" si="3258"/>
        <v>-0.38738588717310934</v>
      </c>
      <c r="O1441" s="1">
        <f t="shared" si="2882"/>
        <v>-0.38738588717310934</v>
      </c>
      <c r="P1441" s="1">
        <f t="shared" si="3184"/>
        <v>0.35713789116574912</v>
      </c>
      <c r="Q1441" s="1">
        <f t="shared" si="3185"/>
        <v>0</v>
      </c>
      <c r="R1441" s="1">
        <f t="shared" si="3186"/>
        <v>0.84993217441910296</v>
      </c>
      <c r="S1441" s="1">
        <f t="shared" si="3187"/>
        <v>0.78808519506328545</v>
      </c>
      <c r="T1441" s="1">
        <f t="shared" ref="T1441:V1441" si="3259">$S1441*P1441</f>
        <v>0.28145508462384983</v>
      </c>
      <c r="U1441" s="1">
        <f t="shared" si="3259"/>
        <v>0</v>
      </c>
      <c r="V1441" s="1">
        <f t="shared" si="3259"/>
        <v>0.66981896346764114</v>
      </c>
      <c r="W1441" s="1">
        <f t="shared" si="3189"/>
        <v>-8.7048170262035089</v>
      </c>
      <c r="X1441" s="1">
        <f t="shared" si="3190"/>
        <v>0</v>
      </c>
      <c r="Y1441" s="1">
        <f t="shared" si="3191"/>
        <v>-5.3608376482411906</v>
      </c>
    </row>
    <row r="1442" spans="1:25">
      <c r="A1442" s="1">
        <v>1.43999999999999</v>
      </c>
      <c r="B1442" s="1">
        <f t="shared" si="3192"/>
        <v>45.02556977396781</v>
      </c>
      <c r="C1442" s="1">
        <f t="shared" si="3193"/>
        <v>0</v>
      </c>
      <c r="D1442" s="1">
        <f t="shared" si="3194"/>
        <v>-2.9829645175958119</v>
      </c>
      <c r="E1442" s="1">
        <f t="shared" si="3195"/>
        <v>14.258952878496398</v>
      </c>
      <c r="F1442" s="1">
        <f t="shared" si="3196"/>
        <v>0</v>
      </c>
      <c r="G1442" s="1">
        <f t="shared" si="3197"/>
        <v>-6.0005700256476402</v>
      </c>
      <c r="H1442" s="1">
        <f t="shared" si="2880"/>
        <v>15.470118869093463</v>
      </c>
      <c r="I1442" s="1">
        <f t="shared" si="3180"/>
        <v>-8.9773389333243721</v>
      </c>
      <c r="J1442" s="1">
        <f t="shared" si="3181"/>
        <v>0</v>
      </c>
      <c r="K1442" s="1">
        <f t="shared" si="3182"/>
        <v>3.7779177315765327</v>
      </c>
      <c r="L1442" s="1">
        <f t="shared" ref="L1442:N1442" si="3260">E1442/$H1442</f>
        <v>0.92170932874880762</v>
      </c>
      <c r="M1442" s="1">
        <f t="shared" si="3260"/>
        <v>0</v>
      </c>
      <c r="N1442" s="1">
        <f t="shared" si="3260"/>
        <v>-0.3878813134161308</v>
      </c>
      <c r="O1442" s="1">
        <f t="shared" si="2882"/>
        <v>-0.3878813134161308</v>
      </c>
      <c r="P1442" s="1">
        <f t="shared" si="3184"/>
        <v>0.35751382502298779</v>
      </c>
      <c r="Q1442" s="1">
        <f t="shared" si="3185"/>
        <v>0</v>
      </c>
      <c r="R1442" s="1">
        <f t="shared" si="3186"/>
        <v>0.84954808670257731</v>
      </c>
      <c r="S1442" s="1">
        <f t="shared" si="3187"/>
        <v>0.78747971891000756</v>
      </c>
      <c r="T1442" s="1">
        <f t="shared" ref="T1442:V1442" si="3261">$S1442*P1442</f>
        <v>0.28153488643554403</v>
      </c>
      <c r="U1442" s="1">
        <f t="shared" si="3261"/>
        <v>0</v>
      </c>
      <c r="V1442" s="1">
        <f t="shared" si="3261"/>
        <v>0.66900188851708031</v>
      </c>
      <c r="W1442" s="1">
        <f t="shared" si="3189"/>
        <v>-8.6958040468888278</v>
      </c>
      <c r="X1442" s="1">
        <f t="shared" si="3190"/>
        <v>0</v>
      </c>
      <c r="Y1442" s="1">
        <f t="shared" si="3191"/>
        <v>-5.3597303799063862</v>
      </c>
    </row>
    <row r="1443" spans="1:25">
      <c r="A1443" s="1">
        <v>1.4409999999999901</v>
      </c>
      <c r="B1443" s="1">
        <f t="shared" si="3192"/>
        <v>45.039820031042261</v>
      </c>
      <c r="C1443" s="1">
        <f t="shared" si="3193"/>
        <v>0</v>
      </c>
      <c r="D1443" s="1">
        <f t="shared" si="3194"/>
        <v>-2.9889704473518397</v>
      </c>
      <c r="E1443" s="1">
        <f t="shared" si="3195"/>
        <v>14.250257074449509</v>
      </c>
      <c r="F1443" s="1">
        <f t="shared" si="3196"/>
        <v>0</v>
      </c>
      <c r="G1443" s="1">
        <f t="shared" si="3197"/>
        <v>-6.0059297560275464</v>
      </c>
      <c r="H1443" s="1">
        <f t="shared" si="2880"/>
        <v>15.464185039058327</v>
      </c>
      <c r="I1443" s="1">
        <f t="shared" si="3180"/>
        <v>-8.9684228020247776</v>
      </c>
      <c r="J1443" s="1">
        <f t="shared" si="3181"/>
        <v>0</v>
      </c>
      <c r="K1443" s="1">
        <f t="shared" si="3182"/>
        <v>3.7798418014432436</v>
      </c>
      <c r="L1443" s="1">
        <f t="shared" ref="L1443:N1443" si="3262">E1443/$H1443</f>
        <v>0.92150068293008869</v>
      </c>
      <c r="M1443" s="1">
        <f t="shared" si="3262"/>
        <v>0</v>
      </c>
      <c r="N1443" s="1">
        <f t="shared" si="3262"/>
        <v>-0.38837673895250224</v>
      </c>
      <c r="O1443" s="1">
        <f t="shared" si="2882"/>
        <v>-0.38837673895250224</v>
      </c>
      <c r="P1443" s="1">
        <f t="shared" si="3184"/>
        <v>0.35788943017889158</v>
      </c>
      <c r="Q1443" s="1">
        <f t="shared" si="3185"/>
        <v>0</v>
      </c>
      <c r="R1443" s="1">
        <f t="shared" si="3186"/>
        <v>0.84916350864061996</v>
      </c>
      <c r="S1443" s="1">
        <f t="shared" si="3187"/>
        <v>0.78687573199990357</v>
      </c>
      <c r="T1443" s="1">
        <f t="shared" ref="T1443:V1443" si="3263">$S1443*P1443</f>
        <v>0.28161450734704369</v>
      </c>
      <c r="U1443" s="1">
        <f t="shared" si="3263"/>
        <v>0</v>
      </c>
      <c r="V1443" s="1">
        <f t="shared" si="3263"/>
        <v>0.6681861574491943</v>
      </c>
      <c r="W1443" s="1">
        <f t="shared" si="3189"/>
        <v>-8.6868082946777339</v>
      </c>
      <c r="X1443" s="1">
        <f t="shared" si="3190"/>
        <v>0</v>
      </c>
      <c r="Y1443" s="1">
        <f t="shared" si="3191"/>
        <v>-5.3586220411075614</v>
      </c>
    </row>
    <row r="1444" spans="1:25">
      <c r="A1444" s="1">
        <v>1.44199999999999</v>
      </c>
      <c r="B1444" s="1">
        <f t="shared" si="3192"/>
        <v>45.054061601308419</v>
      </c>
      <c r="C1444" s="1">
        <f t="shared" si="3193"/>
        <v>0</v>
      </c>
      <c r="D1444" s="1">
        <f t="shared" si="3194"/>
        <v>-2.9949817357299082</v>
      </c>
      <c r="E1444" s="1">
        <f t="shared" si="3195"/>
        <v>14.241570266154831</v>
      </c>
      <c r="F1444" s="1">
        <f t="shared" si="3196"/>
        <v>0</v>
      </c>
      <c r="G1444" s="1">
        <f t="shared" si="3197"/>
        <v>-6.0112883780686541</v>
      </c>
      <c r="H1444" s="1">
        <f t="shared" si="2880"/>
        <v>15.458263537995743</v>
      </c>
      <c r="I1444" s="1">
        <f t="shared" si="3180"/>
        <v>-8.9595236757698586</v>
      </c>
      <c r="J1444" s="1">
        <f t="shared" si="3181"/>
        <v>0</v>
      </c>
      <c r="K1444" s="1">
        <f t="shared" si="3182"/>
        <v>3.7817656015910543</v>
      </c>
      <c r="L1444" s="1">
        <f t="shared" ref="L1444:N1444" si="3264">E1444/$H1444</f>
        <v>0.92129172407687754</v>
      </c>
      <c r="M1444" s="1">
        <f t="shared" si="3264"/>
        <v>0</v>
      </c>
      <c r="N1444" s="1">
        <f t="shared" si="3264"/>
        <v>-0.38887216298862853</v>
      </c>
      <c r="O1444" s="1">
        <f t="shared" si="2882"/>
        <v>-0.38887216298862853</v>
      </c>
      <c r="P1444" s="1">
        <f t="shared" si="3184"/>
        <v>0.3582647054852981</v>
      </c>
      <c r="Q1444" s="1">
        <f t="shared" si="3185"/>
        <v>0</v>
      </c>
      <c r="R1444" s="1">
        <f t="shared" si="3186"/>
        <v>0.8487784408525455</v>
      </c>
      <c r="S1444" s="1">
        <f t="shared" si="3187"/>
        <v>0.78627323101158353</v>
      </c>
      <c r="T1444" s="1">
        <f t="shared" ref="T1444:V1444" si="3265">$S1444*P1444</f>
        <v>0.28169394753933874</v>
      </c>
      <c r="U1444" s="1">
        <f t="shared" si="3265"/>
        <v>0</v>
      </c>
      <c r="V1444" s="1">
        <f t="shared" si="3265"/>
        <v>0.66737176710210522</v>
      </c>
      <c r="W1444" s="1">
        <f t="shared" si="3189"/>
        <v>-8.6778297282305203</v>
      </c>
      <c r="X1444" s="1">
        <f t="shared" si="3190"/>
        <v>0</v>
      </c>
      <c r="Y1444" s="1">
        <f t="shared" si="3191"/>
        <v>-5.3575126313068395</v>
      </c>
    </row>
    <row r="1445" spans="1:25">
      <c r="A1445" s="1">
        <v>1.4429999999999901</v>
      </c>
      <c r="B1445" s="1">
        <f t="shared" si="3192"/>
        <v>45.068294493744844</v>
      </c>
      <c r="C1445" s="1">
        <f t="shared" si="3193"/>
        <v>0</v>
      </c>
      <c r="D1445" s="1">
        <f t="shared" si="3194"/>
        <v>-3.0009983816206081</v>
      </c>
      <c r="E1445" s="1">
        <f t="shared" si="3195"/>
        <v>14.232892436426601</v>
      </c>
      <c r="F1445" s="1">
        <f t="shared" si="3196"/>
        <v>0</v>
      </c>
      <c r="G1445" s="1">
        <f t="shared" si="3197"/>
        <v>-6.0166458906999614</v>
      </c>
      <c r="H1445" s="1">
        <f t="shared" si="2880"/>
        <v>15.452354347508546</v>
      </c>
      <c r="I1445" s="1">
        <f t="shared" si="3180"/>
        <v>-8.9506415135159632</v>
      </c>
      <c r="J1445" s="1">
        <f t="shared" si="3181"/>
        <v>0</v>
      </c>
      <c r="K1445" s="1">
        <f t="shared" si="3182"/>
        <v>3.7836891357091522</v>
      </c>
      <c r="L1445" s="1">
        <f t="shared" ref="L1445:N1445" si="3266">E1445/$H1445</f>
        <v>0.92108245231390484</v>
      </c>
      <c r="M1445" s="1">
        <f t="shared" si="3266"/>
        <v>0</v>
      </c>
      <c r="N1445" s="1">
        <f t="shared" si="3266"/>
        <v>-0.38936758473119359</v>
      </c>
      <c r="O1445" s="1">
        <f t="shared" si="2882"/>
        <v>-0.38936758473119359</v>
      </c>
      <c r="P1445" s="1">
        <f t="shared" si="3184"/>
        <v>0.35863964979574992</v>
      </c>
      <c r="Q1445" s="1">
        <f t="shared" si="3185"/>
        <v>0</v>
      </c>
      <c r="R1445" s="1">
        <f t="shared" si="3186"/>
        <v>0.84839288396059676</v>
      </c>
      <c r="S1445" s="1">
        <f t="shared" si="3187"/>
        <v>0.78567221263292086</v>
      </c>
      <c r="T1445" s="1">
        <f t="shared" ref="T1445:V1445" si="3267">$S1445*P1445</f>
        <v>0.2817732071929227</v>
      </c>
      <c r="U1445" s="1">
        <f t="shared" si="3267"/>
        <v>0</v>
      </c>
      <c r="V1445" s="1">
        <f t="shared" si="3267"/>
        <v>0.6665587143233469</v>
      </c>
      <c r="W1445" s="1">
        <f t="shared" si="3189"/>
        <v>-8.6688683063230396</v>
      </c>
      <c r="X1445" s="1">
        <f t="shared" si="3190"/>
        <v>0</v>
      </c>
      <c r="Y1445" s="1">
        <f t="shared" si="3191"/>
        <v>-5.3564021499675007</v>
      </c>
    </row>
    <row r="1446" spans="1:25">
      <c r="A1446" s="1">
        <v>1.44399999999999</v>
      </c>
      <c r="B1446" s="1">
        <f t="shared" si="3192"/>
        <v>45.082518717312965</v>
      </c>
      <c r="C1446" s="1">
        <f t="shared" si="3193"/>
        <v>0</v>
      </c>
      <c r="D1446" s="1">
        <f t="shared" si="3194"/>
        <v>-3.0070203839134582</v>
      </c>
      <c r="E1446" s="1">
        <f t="shared" si="3195"/>
        <v>14.224223568120278</v>
      </c>
      <c r="F1446" s="1">
        <f t="shared" si="3196"/>
        <v>0</v>
      </c>
      <c r="G1446" s="1">
        <f t="shared" si="3197"/>
        <v>-6.0220022928499288</v>
      </c>
      <c r="H1446" s="1">
        <f t="shared" si="2880"/>
        <v>15.446457449232758</v>
      </c>
      <c r="I1446" s="1">
        <f t="shared" si="3180"/>
        <v>-8.9417762743341029</v>
      </c>
      <c r="J1446" s="1">
        <f t="shared" si="3181"/>
        <v>0</v>
      </c>
      <c r="K1446" s="1">
        <f t="shared" si="3182"/>
        <v>3.7856124074761688</v>
      </c>
      <c r="L1446" s="1">
        <f t="shared" ref="L1446:N1446" si="3268">E1446/$H1446</f>
        <v>0.92087286776728283</v>
      </c>
      <c r="M1446" s="1">
        <f t="shared" si="3268"/>
        <v>0</v>
      </c>
      <c r="N1446" s="1">
        <f t="shared" si="3268"/>
        <v>-0.38986300338716484</v>
      </c>
      <c r="O1446" s="1">
        <f t="shared" si="2882"/>
        <v>-0.38986300338716484</v>
      </c>
      <c r="P1446" s="1">
        <f t="shared" si="3184"/>
        <v>0.3590142619655044</v>
      </c>
      <c r="Q1446" s="1">
        <f t="shared" si="3185"/>
        <v>0</v>
      </c>
      <c r="R1446" s="1">
        <f t="shared" si="3186"/>
        <v>0.84800683858993953</v>
      </c>
      <c r="S1446" s="1">
        <f t="shared" si="3187"/>
        <v>0.78507267356101929</v>
      </c>
      <c r="T1446" s="1">
        <f t="shared" ref="T1446:V1446" si="3269">$S1446*P1446</f>
        <v>0.2818522864877947</v>
      </c>
      <c r="U1446" s="1">
        <f t="shared" si="3269"/>
        <v>0</v>
      </c>
      <c r="V1446" s="1">
        <f t="shared" si="3269"/>
        <v>0.66574699596983156</v>
      </c>
      <c r="W1446" s="1">
        <f t="shared" si="3189"/>
        <v>-8.6599239878463088</v>
      </c>
      <c r="X1446" s="1">
        <f t="shared" si="3190"/>
        <v>0</v>
      </c>
      <c r="Y1446" s="1">
        <f t="shared" si="3191"/>
        <v>-5.3552905965539992</v>
      </c>
    </row>
    <row r="1447" spans="1:25">
      <c r="A1447" s="1">
        <v>1.4449999999999901</v>
      </c>
      <c r="B1447" s="1">
        <f t="shared" si="3192"/>
        <v>45.096734280957101</v>
      </c>
      <c r="C1447" s="1">
        <f t="shared" si="3193"/>
        <v>0</v>
      </c>
      <c r="D1447" s="1">
        <f t="shared" si="3194"/>
        <v>-3.0130477414969046</v>
      </c>
      <c r="E1447" s="1">
        <f t="shared" si="3195"/>
        <v>14.215563644132432</v>
      </c>
      <c r="F1447" s="1">
        <f t="shared" si="3196"/>
        <v>0</v>
      </c>
      <c r="G1447" s="1">
        <f t="shared" si="3197"/>
        <v>-6.0273575834464825</v>
      </c>
      <c r="H1447" s="1">
        <f t="shared" si="2880"/>
        <v>15.440572824837476</v>
      </c>
      <c r="I1447" s="1">
        <f t="shared" si="3180"/>
        <v>-8.9329279174095699</v>
      </c>
      <c r="J1447" s="1">
        <f t="shared" si="3181"/>
        <v>0</v>
      </c>
      <c r="K1447" s="1">
        <f t="shared" si="3182"/>
        <v>3.7875354205601957</v>
      </c>
      <c r="L1447" s="1">
        <f t="shared" ref="L1447:N1447" si="3270">E1447/$H1447</f>
        <v>0.92066297056450441</v>
      </c>
      <c r="M1447" s="1">
        <f t="shared" si="3270"/>
        <v>0</v>
      </c>
      <c r="N1447" s="1">
        <f t="shared" si="3270"/>
        <v>-0.39035841816379796</v>
      </c>
      <c r="O1447" s="1">
        <f t="shared" si="2882"/>
        <v>-0.39035841816379796</v>
      </c>
      <c r="P1447" s="1">
        <f t="shared" si="3184"/>
        <v>0.3593885408515432</v>
      </c>
      <c r="Q1447" s="1">
        <f t="shared" si="3185"/>
        <v>0</v>
      </c>
      <c r="R1447" s="1">
        <f t="shared" si="3186"/>
        <v>0.84762030536865751</v>
      </c>
      <c r="S1447" s="1">
        <f t="shared" si="3187"/>
        <v>0.7844746105021797</v>
      </c>
      <c r="T1447" s="1">
        <f t="shared" ref="T1447:V1447" si="3271">$S1447*P1447</f>
        <v>0.28193118560346103</v>
      </c>
      <c r="U1447" s="1">
        <f t="shared" si="3271"/>
        <v>0</v>
      </c>
      <c r="V1447" s="1">
        <f t="shared" si="3271"/>
        <v>0.66493660890781625</v>
      </c>
      <c r="W1447" s="1">
        <f t="shared" si="3189"/>
        <v>-8.6509967318061083</v>
      </c>
      <c r="X1447" s="1">
        <f t="shared" si="3190"/>
        <v>0</v>
      </c>
      <c r="Y1447" s="1">
        <f t="shared" si="3191"/>
        <v>-5.3541779705319872</v>
      </c>
    </row>
    <row r="1448" spans="1:25">
      <c r="A1448" s="1">
        <v>1.44599999999999</v>
      </c>
      <c r="B1448" s="1">
        <f t="shared" si="3192"/>
        <v>45.110941193604503</v>
      </c>
      <c r="C1448" s="1">
        <f t="shared" si="3193"/>
        <v>0</v>
      </c>
      <c r="D1448" s="1">
        <f t="shared" si="3194"/>
        <v>-3.0190804532583218</v>
      </c>
      <c r="E1448" s="1">
        <f t="shared" si="3195"/>
        <v>14.206912647400626</v>
      </c>
      <c r="F1448" s="1">
        <f t="shared" si="3196"/>
        <v>0</v>
      </c>
      <c r="G1448" s="1">
        <f t="shared" si="3197"/>
        <v>-6.0327117614170147</v>
      </c>
      <c r="H1448" s="1">
        <f t="shared" si="2880"/>
        <v>15.434700456024764</v>
      </c>
      <c r="I1448" s="1">
        <f t="shared" si="3180"/>
        <v>-8.9240964020415188</v>
      </c>
      <c r="J1448" s="1">
        <f t="shared" si="3181"/>
        <v>0</v>
      </c>
      <c r="K1448" s="1">
        <f t="shared" si="3182"/>
        <v>3.7894581786187977</v>
      </c>
      <c r="L1448" s="1">
        <f t="shared" ref="L1448:N1448" si="3272">E1448/$H1448</f>
        <v>0.92045276083444272</v>
      </c>
      <c r="M1448" s="1">
        <f t="shared" si="3272"/>
        <v>0</v>
      </c>
      <c r="N1448" s="1">
        <f t="shared" si="3272"/>
        <v>-0.39085382826864079</v>
      </c>
      <c r="O1448" s="1">
        <f t="shared" si="2882"/>
        <v>-0.39085382826864079</v>
      </c>
      <c r="P1448" s="1">
        <f t="shared" si="3184"/>
        <v>0.35976248531258159</v>
      </c>
      <c r="Q1448" s="1">
        <f t="shared" si="3185"/>
        <v>0</v>
      </c>
      <c r="R1448" s="1">
        <f t="shared" si="3186"/>
        <v>0.84723328492774785</v>
      </c>
      <c r="S1448" s="1">
        <f t="shared" si="3187"/>
        <v>0.78387802017186869</v>
      </c>
      <c r="T1448" s="1">
        <f t="shared" ref="T1448:V1448" si="3273">$S1448*P1448</f>
        <v>0.28200990471893744</v>
      </c>
      <c r="U1448" s="1">
        <f t="shared" si="3273"/>
        <v>0</v>
      </c>
      <c r="V1448" s="1">
        <f t="shared" si="3273"/>
        <v>0.66412755001287171</v>
      </c>
      <c r="W1448" s="1">
        <f t="shared" si="3189"/>
        <v>-8.6420864973225822</v>
      </c>
      <c r="X1448" s="1">
        <f t="shared" si="3190"/>
        <v>0</v>
      </c>
      <c r="Y1448" s="1">
        <f t="shared" si="3191"/>
        <v>-5.3530642713683303</v>
      </c>
    </row>
    <row r="1449" spans="1:25">
      <c r="A1449" s="1">
        <v>1.4469999999999901</v>
      </c>
      <c r="B1449" s="1">
        <f t="shared" si="3192"/>
        <v>45.125139464165407</v>
      </c>
      <c r="C1449" s="1">
        <f t="shared" si="3193"/>
        <v>0</v>
      </c>
      <c r="D1449" s="1">
        <f t="shared" si="3194"/>
        <v>-3.0251185180840103</v>
      </c>
      <c r="E1449" s="1">
        <f t="shared" si="3195"/>
        <v>14.198270560903303</v>
      </c>
      <c r="F1449" s="1">
        <f t="shared" si="3196"/>
        <v>0</v>
      </c>
      <c r="G1449" s="1">
        <f t="shared" si="3197"/>
        <v>-6.0380648256883829</v>
      </c>
      <c r="H1449" s="1">
        <f t="shared" si="2880"/>
        <v>15.428840324529537</v>
      </c>
      <c r="I1449" s="1">
        <f t="shared" si="3180"/>
        <v>-8.915281687642592</v>
      </c>
      <c r="J1449" s="1">
        <f t="shared" si="3181"/>
        <v>0</v>
      </c>
      <c r="K1449" s="1">
        <f t="shared" si="3182"/>
        <v>3.7913806852990222</v>
      </c>
      <c r="L1449" s="1">
        <f t="shared" ref="L1449:N1449" si="3274">E1449/$H1449</f>
        <v>0.92024223870735034</v>
      </c>
      <c r="M1449" s="1">
        <f t="shared" si="3274"/>
        <v>0</v>
      </c>
      <c r="N1449" s="1">
        <f t="shared" si="3274"/>
        <v>-0.3913492329095381</v>
      </c>
      <c r="O1449" s="1">
        <f t="shared" si="2882"/>
        <v>-0.3913492329095381</v>
      </c>
      <c r="P1449" s="1">
        <f t="shared" si="3184"/>
        <v>0.36013609420907761</v>
      </c>
      <c r="Q1449" s="1">
        <f t="shared" si="3185"/>
        <v>0</v>
      </c>
      <c r="R1449" s="1">
        <f t="shared" si="3186"/>
        <v>0.84684577790111604</v>
      </c>
      <c r="S1449" s="1">
        <f t="shared" si="3187"/>
        <v>0.78328289929468442</v>
      </c>
      <c r="T1449" s="1">
        <f t="shared" ref="T1449:V1449" si="3275">$S1449*P1449</f>
        <v>0.28208844401274991</v>
      </c>
      <c r="U1449" s="1">
        <f t="shared" si="3275"/>
        <v>0</v>
      </c>
      <c r="V1449" s="1">
        <f t="shared" si="3275"/>
        <v>0.66331981616984859</v>
      </c>
      <c r="W1449" s="1">
        <f t="shared" si="3189"/>
        <v>-8.633193243629842</v>
      </c>
      <c r="X1449" s="1">
        <f t="shared" si="3190"/>
        <v>0</v>
      </c>
      <c r="Y1449" s="1">
        <f t="shared" si="3191"/>
        <v>-5.3519494985311287</v>
      </c>
    </row>
    <row r="1450" spans="1:25">
      <c r="A1450" s="1">
        <v>1.44799999999999</v>
      </c>
      <c r="B1450" s="1">
        <f t="shared" si="3192"/>
        <v>45.139329101533065</v>
      </c>
      <c r="C1450" s="1">
        <f t="shared" si="3193"/>
        <v>0</v>
      </c>
      <c r="D1450" s="1">
        <f t="shared" si="3194"/>
        <v>-3.0311619348591972</v>
      </c>
      <c r="E1450" s="1">
        <f t="shared" si="3195"/>
        <v>14.189637367659673</v>
      </c>
      <c r="F1450" s="1">
        <f t="shared" si="3196"/>
        <v>0</v>
      </c>
      <c r="G1450" s="1">
        <f t="shared" si="3197"/>
        <v>-6.0434167751869143</v>
      </c>
      <c r="H1450" s="1">
        <f t="shared" si="2880"/>
        <v>15.422992412119456</v>
      </c>
      <c r="I1450" s="1">
        <f t="shared" si="3180"/>
        <v>-8.9064837337385132</v>
      </c>
      <c r="J1450" s="1">
        <f t="shared" si="3181"/>
        <v>0</v>
      </c>
      <c r="K1450" s="1">
        <f t="shared" si="3182"/>
        <v>3.7933029442374178</v>
      </c>
      <c r="L1450" s="1">
        <f t="shared" ref="L1450:N1450" si="3276">E1450/$H1450</f>
        <v>0.92003140431485875</v>
      </c>
      <c r="M1450" s="1">
        <f t="shared" si="3276"/>
        <v>0</v>
      </c>
      <c r="N1450" s="1">
        <f t="shared" si="3276"/>
        <v>-0.39184463129463581</v>
      </c>
      <c r="O1450" s="1">
        <f t="shared" si="2882"/>
        <v>-0.39184463129463581</v>
      </c>
      <c r="P1450" s="1">
        <f t="shared" si="3184"/>
        <v>0.36050936640324183</v>
      </c>
      <c r="Q1450" s="1">
        <f t="shared" si="3185"/>
        <v>0</v>
      </c>
      <c r="R1450" s="1">
        <f t="shared" si="3186"/>
        <v>0.84645778492557089</v>
      </c>
      <c r="S1450" s="1">
        <f t="shared" si="3187"/>
        <v>0.78268924460432643</v>
      </c>
      <c r="T1450" s="1">
        <f t="shared" ref="T1450:V1450" si="3277">$S1450*P1450</f>
        <v>0.28216680366293767</v>
      </c>
      <c r="U1450" s="1">
        <f t="shared" si="3277"/>
        <v>0</v>
      </c>
      <c r="V1450" s="1">
        <f t="shared" si="3277"/>
        <v>0.66251340427284644</v>
      </c>
      <c r="W1450" s="1">
        <f t="shared" si="3189"/>
        <v>-8.624316930075576</v>
      </c>
      <c r="X1450" s="1">
        <f t="shared" si="3190"/>
        <v>0</v>
      </c>
      <c r="Y1450" s="1">
        <f t="shared" si="3191"/>
        <v>-5.3508336514897348</v>
      </c>
    </row>
    <row r="1451" spans="1:25">
      <c r="A1451" s="1">
        <v>1.4489999999999901</v>
      </c>
      <c r="B1451" s="1">
        <f t="shared" si="3192"/>
        <v>45.153510114583796</v>
      </c>
      <c r="C1451" s="1">
        <f t="shared" si="3193"/>
        <v>0</v>
      </c>
      <c r="D1451" s="1">
        <f t="shared" si="3194"/>
        <v>-3.0372107024680357</v>
      </c>
      <c r="E1451" s="1">
        <f t="shared" si="3195"/>
        <v>14.181013050729597</v>
      </c>
      <c r="F1451" s="1">
        <f t="shared" si="3196"/>
        <v>0</v>
      </c>
      <c r="G1451" s="1">
        <f t="shared" si="3197"/>
        <v>-6.0487676088384044</v>
      </c>
      <c r="H1451" s="1">
        <f t="shared" si="2880"/>
        <v>15.417156700594822</v>
      </c>
      <c r="I1451" s="1">
        <f t="shared" si="3180"/>
        <v>-8.8977024999677106</v>
      </c>
      <c r="J1451" s="1">
        <f t="shared" si="3181"/>
        <v>0</v>
      </c>
      <c r="K1451" s="1">
        <f t="shared" si="3182"/>
        <v>3.795224959060044</v>
      </c>
      <c r="L1451" s="1">
        <f t="shared" ref="L1451:N1451" si="3278">E1451/$H1451</f>
        <v>0.91982025778997678</v>
      </c>
      <c r="M1451" s="1">
        <f t="shared" si="3278"/>
        <v>0</v>
      </c>
      <c r="N1451" s="1">
        <f t="shared" si="3278"/>
        <v>-0.39234002263238538</v>
      </c>
      <c r="O1451" s="1">
        <f t="shared" si="2882"/>
        <v>-0.39234002263238538</v>
      </c>
      <c r="P1451" s="1">
        <f t="shared" si="3184"/>
        <v>0.36088230075904604</v>
      </c>
      <c r="Q1451" s="1">
        <f t="shared" si="3185"/>
        <v>0</v>
      </c>
      <c r="R1451" s="1">
        <f t="shared" si="3186"/>
        <v>0.84606930664081936</v>
      </c>
      <c r="S1451" s="1">
        <f t="shared" si="3187"/>
        <v>0.78209705284356246</v>
      </c>
      <c r="T1451" s="1">
        <f t="shared" ref="T1451:V1451" si="3279">$S1451*P1451</f>
        <v>0.28224498384705404</v>
      </c>
      <c r="U1451" s="1">
        <f t="shared" si="3279"/>
        <v>0</v>
      </c>
      <c r="V1451" s="1">
        <f t="shared" si="3279"/>
        <v>0.66170831122518114</v>
      </c>
      <c r="W1451" s="1">
        <f t="shared" si="3189"/>
        <v>-8.6154575161206566</v>
      </c>
      <c r="X1451" s="1">
        <f t="shared" si="3190"/>
        <v>0</v>
      </c>
      <c r="Y1451" s="1">
        <f t="shared" si="3191"/>
        <v>-5.3497167297147747</v>
      </c>
    </row>
    <row r="1452" spans="1:25">
      <c r="A1452" s="1">
        <v>1.44999999999999</v>
      </c>
      <c r="B1452" s="1">
        <f t="shared" si="3192"/>
        <v>45.167682512177009</v>
      </c>
      <c r="C1452" s="1">
        <f t="shared" si="3193"/>
        <v>0</v>
      </c>
      <c r="D1452" s="1">
        <f t="shared" si="3194"/>
        <v>-3.0432648197936039</v>
      </c>
      <c r="E1452" s="1">
        <f t="shared" si="3195"/>
        <v>14.172397593213477</v>
      </c>
      <c r="F1452" s="1">
        <f t="shared" si="3196"/>
        <v>0</v>
      </c>
      <c r="G1452" s="1">
        <f t="shared" si="3197"/>
        <v>-6.0541173255681189</v>
      </c>
      <c r="H1452" s="1">
        <f t="shared" si="2880"/>
        <v>15.411333171788456</v>
      </c>
      <c r="I1452" s="1">
        <f t="shared" si="3180"/>
        <v>-8.8889379460809064</v>
      </c>
      <c r="J1452" s="1">
        <f t="shared" si="3181"/>
        <v>0</v>
      </c>
      <c r="K1452" s="1">
        <f t="shared" si="3182"/>
        <v>3.7971467333824824</v>
      </c>
      <c r="L1452" s="1">
        <f t="shared" ref="L1452:N1452" si="3280">E1452/$H1452</f>
        <v>0.91960879926709138</v>
      </c>
      <c r="M1452" s="1">
        <f t="shared" si="3280"/>
        <v>0</v>
      </c>
      <c r="N1452" s="1">
        <f t="shared" si="3280"/>
        <v>-0.39283540613154816</v>
      </c>
      <c r="O1452" s="1">
        <f t="shared" si="2882"/>
        <v>-0.39283540613154816</v>
      </c>
      <c r="P1452" s="1">
        <f t="shared" si="3184"/>
        <v>0.36125489614223322</v>
      </c>
      <c r="Q1452" s="1">
        <f t="shared" si="3185"/>
        <v>0</v>
      </c>
      <c r="R1452" s="1">
        <f t="shared" si="3186"/>
        <v>0.84568034368946166</v>
      </c>
      <c r="S1452" s="1">
        <f t="shared" si="3187"/>
        <v>0.78150632076419657</v>
      </c>
      <c r="T1452" s="1">
        <f t="shared" ref="T1452:V1452" si="3281">$S1452*P1452</f>
        <v>0.28232298474216866</v>
      </c>
      <c r="U1452" s="1">
        <f t="shared" si="3281"/>
        <v>0</v>
      </c>
      <c r="V1452" s="1">
        <f t="shared" si="3281"/>
        <v>0.66090453393935245</v>
      </c>
      <c r="W1452" s="1">
        <f t="shared" si="3189"/>
        <v>-8.606614961338737</v>
      </c>
      <c r="X1452" s="1">
        <f t="shared" si="3190"/>
        <v>0</v>
      </c>
      <c r="Y1452" s="1">
        <f t="shared" si="3191"/>
        <v>-5.3485987326781643</v>
      </c>
    </row>
    <row r="1453" spans="1:25">
      <c r="A1453" s="1">
        <v>1.4509999999999901</v>
      </c>
      <c r="B1453" s="1">
        <f t="shared" si="3192"/>
        <v>45.181846303155261</v>
      </c>
      <c r="C1453" s="1">
        <f t="shared" si="3193"/>
        <v>0</v>
      </c>
      <c r="D1453" s="1">
        <f t="shared" si="3194"/>
        <v>-3.0493242857179048</v>
      </c>
      <c r="E1453" s="1">
        <f t="shared" si="3195"/>
        <v>14.163790978252138</v>
      </c>
      <c r="F1453" s="1">
        <f t="shared" si="3196"/>
        <v>0</v>
      </c>
      <c r="G1453" s="1">
        <f t="shared" si="3197"/>
        <v>-6.0594659243007971</v>
      </c>
      <c r="H1453" s="1">
        <f t="shared" si="2880"/>
        <v>15.405521807565597</v>
      </c>
      <c r="I1453" s="1">
        <f t="shared" si="3180"/>
        <v>-8.8801900319407459</v>
      </c>
      <c r="J1453" s="1">
        <f t="shared" si="3181"/>
        <v>0</v>
      </c>
      <c r="K1453" s="1">
        <f t="shared" si="3182"/>
        <v>3.7990682708098542</v>
      </c>
      <c r="L1453" s="1">
        <f t="shared" ref="L1453:N1453" si="3282">E1453/$H1453</f>
        <v>0.91939702888196562</v>
      </c>
      <c r="M1453" s="1">
        <f t="shared" si="3282"/>
        <v>0</v>
      </c>
      <c r="N1453" s="1">
        <f t="shared" si="3282"/>
        <v>-0.39333078100120017</v>
      </c>
      <c r="O1453" s="1">
        <f t="shared" si="2882"/>
        <v>-0.39333078100120017</v>
      </c>
      <c r="P1453" s="1">
        <f t="shared" si="3184"/>
        <v>0.36162715142032653</v>
      </c>
      <c r="Q1453" s="1">
        <f t="shared" si="3185"/>
        <v>0</v>
      </c>
      <c r="R1453" s="1">
        <f t="shared" si="3186"/>
        <v>0.84529089671698587</v>
      </c>
      <c r="S1453" s="1">
        <f t="shared" si="3187"/>
        <v>0.78091704512703686</v>
      </c>
      <c r="T1453" s="1">
        <f t="shared" ref="T1453:V1453" si="3283">$S1453*P1453</f>
        <v>0.28240080652486893</v>
      </c>
      <c r="U1453" s="1">
        <f t="shared" si="3283"/>
        <v>0</v>
      </c>
      <c r="V1453" s="1">
        <f t="shared" si="3283"/>
        <v>0.66010206933701188</v>
      </c>
      <c r="W1453" s="1">
        <f t="shared" si="3189"/>
        <v>-8.5977892254158768</v>
      </c>
      <c r="X1453" s="1">
        <f t="shared" si="3190"/>
        <v>0</v>
      </c>
      <c r="Y1453" s="1">
        <f t="shared" si="3191"/>
        <v>-5.3474796598531338</v>
      </c>
    </row>
    <row r="1454" spans="1:25">
      <c r="A1454" s="1">
        <v>1.45199999999999</v>
      </c>
      <c r="B1454" s="1">
        <f t="shared" si="3192"/>
        <v>45.196001496344287</v>
      </c>
      <c r="C1454" s="1">
        <f t="shared" si="3193"/>
        <v>0</v>
      </c>
      <c r="D1454" s="1">
        <f t="shared" si="3194"/>
        <v>-3.0553890991218653</v>
      </c>
      <c r="E1454" s="1">
        <f t="shared" si="3195"/>
        <v>14.155193189026722</v>
      </c>
      <c r="F1454" s="1">
        <f t="shared" si="3196"/>
        <v>0</v>
      </c>
      <c r="G1454" s="1">
        <f t="shared" si="3197"/>
        <v>-6.0648134039606498</v>
      </c>
      <c r="H1454" s="1">
        <f t="shared" si="2880"/>
        <v>15.399722589823794</v>
      </c>
      <c r="I1454" s="1">
        <f t="shared" si="3180"/>
        <v>-8.8714587175214081</v>
      </c>
      <c r="J1454" s="1">
        <f t="shared" si="3181"/>
        <v>0</v>
      </c>
      <c r="K1454" s="1">
        <f t="shared" si="3182"/>
        <v>3.8009895749368297</v>
      </c>
      <c r="L1454" s="1">
        <f t="shared" ref="L1454:N1454" si="3284">E1454/$H1454</f>
        <v>0.91918494677173845</v>
      </c>
      <c r="M1454" s="1">
        <f t="shared" si="3284"/>
        <v>0</v>
      </c>
      <c r="N1454" s="1">
        <f t="shared" si="3284"/>
        <v>-0.39382614645073577</v>
      </c>
      <c r="O1454" s="1">
        <f t="shared" si="2882"/>
        <v>-0.39382614645073577</v>
      </c>
      <c r="P1454" s="1">
        <f t="shared" si="3184"/>
        <v>0.36199906546263844</v>
      </c>
      <c r="Q1454" s="1">
        <f t="shared" si="3185"/>
        <v>0</v>
      </c>
      <c r="R1454" s="1">
        <f t="shared" si="3186"/>
        <v>0.8449009663717636</v>
      </c>
      <c r="S1454" s="1">
        <f t="shared" si="3187"/>
        <v>0.78032922270186478</v>
      </c>
      <c r="T1454" s="1">
        <f t="shared" ref="T1454:V1454" si="3285">$S1454*P1454</f>
        <v>0.2824784493712621</v>
      </c>
      <c r="U1454" s="1">
        <f t="shared" si="3285"/>
        <v>0</v>
      </c>
      <c r="V1454" s="1">
        <f t="shared" si="3285"/>
        <v>0.65930091434893268</v>
      </c>
      <c r="W1454" s="1">
        <f t="shared" si="3189"/>
        <v>-8.5889802681501468</v>
      </c>
      <c r="X1454" s="1">
        <f t="shared" si="3190"/>
        <v>0</v>
      </c>
      <c r="Y1454" s="1">
        <f t="shared" si="3191"/>
        <v>-5.3463595107142368</v>
      </c>
    </row>
    <row r="1455" spans="1:25">
      <c r="A1455" s="1">
        <v>1.4529999999999901</v>
      </c>
      <c r="B1455" s="1">
        <f t="shared" si="3192"/>
        <v>45.210148100553049</v>
      </c>
      <c r="C1455" s="1">
        <f t="shared" si="3193"/>
        <v>0</v>
      </c>
      <c r="D1455" s="1">
        <f t="shared" si="3194"/>
        <v>-3.0614592588853369</v>
      </c>
      <c r="E1455" s="1">
        <f t="shared" si="3195"/>
        <v>14.146604208758571</v>
      </c>
      <c r="F1455" s="1">
        <f t="shared" si="3196"/>
        <v>0</v>
      </c>
      <c r="G1455" s="1">
        <f t="shared" si="3197"/>
        <v>-6.0701597634713638</v>
      </c>
      <c r="H1455" s="1">
        <f t="shared" si="2880"/>
        <v>15.393935500492798</v>
      </c>
      <c r="I1455" s="1">
        <f t="shared" si="3180"/>
        <v>-8.8627439629082119</v>
      </c>
      <c r="J1455" s="1">
        <f t="shared" si="3181"/>
        <v>0</v>
      </c>
      <c r="K1455" s="1">
        <f t="shared" si="3182"/>
        <v>3.8029106493476439</v>
      </c>
      <c r="L1455" s="1">
        <f t="shared" ref="L1455:N1455" si="3286">E1455/$H1455</f>
        <v>0.91897255307492376</v>
      </c>
      <c r="M1455" s="1">
        <f t="shared" si="3286"/>
        <v>0</v>
      </c>
      <c r="N1455" s="1">
        <f t="shared" si="3286"/>
        <v>-0.39432150168987279</v>
      </c>
      <c r="O1455" s="1">
        <f t="shared" si="2882"/>
        <v>-0.39432150168987279</v>
      </c>
      <c r="P1455" s="1">
        <f t="shared" si="3184"/>
        <v>0.36237063714028028</v>
      </c>
      <c r="Q1455" s="1">
        <f t="shared" si="3185"/>
        <v>0</v>
      </c>
      <c r="R1455" s="1">
        <f t="shared" si="3186"/>
        <v>0.84451055330504365</v>
      </c>
      <c r="S1455" s="1">
        <f t="shared" si="3187"/>
        <v>0.77974285026740298</v>
      </c>
      <c r="T1455" s="1">
        <f t="shared" ref="T1455:V1455" si="3287">$S1455*P1455</f>
        <v>0.282555913456977</v>
      </c>
      <c r="U1455" s="1">
        <f t="shared" si="3287"/>
        <v>0</v>
      </c>
      <c r="V1455" s="1">
        <f t="shared" si="3287"/>
        <v>0.65850106591497626</v>
      </c>
      <c r="W1455" s="1">
        <f t="shared" si="3189"/>
        <v>-8.5801880494512357</v>
      </c>
      <c r="X1455" s="1">
        <f t="shared" si="3190"/>
        <v>0</v>
      </c>
      <c r="Y1455" s="1">
        <f t="shared" si="3191"/>
        <v>-5.3452382847373796</v>
      </c>
    </row>
    <row r="1456" spans="1:25">
      <c r="A1456" s="1">
        <v>1.45399999999999</v>
      </c>
      <c r="B1456" s="1">
        <f t="shared" si="3192"/>
        <v>45.224286124573759</v>
      </c>
      <c r="C1456" s="1">
        <f t="shared" si="3193"/>
        <v>0</v>
      </c>
      <c r="D1456" s="1">
        <f t="shared" si="3194"/>
        <v>-3.0675347638870929</v>
      </c>
      <c r="E1456" s="1">
        <f t="shared" si="3195"/>
        <v>14.138024020709119</v>
      </c>
      <c r="F1456" s="1">
        <f t="shared" si="3196"/>
        <v>0</v>
      </c>
      <c r="G1456" s="1">
        <f t="shared" si="3197"/>
        <v>-6.0755050017561008</v>
      </c>
      <c r="H1456" s="1">
        <f t="shared" si="2880"/>
        <v>15.388160521534452</v>
      </c>
      <c r="I1456" s="1">
        <f t="shared" si="3180"/>
        <v>-8.8540457282972476</v>
      </c>
      <c r="J1456" s="1">
        <f t="shared" si="3181"/>
        <v>0</v>
      </c>
      <c r="K1456" s="1">
        <f t="shared" si="3182"/>
        <v>3.8048314976161062</v>
      </c>
      <c r="L1456" s="1">
        <f t="shared" ref="L1456:N1456" si="3288">E1456/$H1456</f>
        <v>0.91875984793140997</v>
      </c>
      <c r="M1456" s="1">
        <f t="shared" si="3288"/>
        <v>0</v>
      </c>
      <c r="N1456" s="1">
        <f t="shared" si="3288"/>
        <v>-0.3948168459286564</v>
      </c>
      <c r="O1456" s="1">
        <f t="shared" si="2882"/>
        <v>-0.3948168459286564</v>
      </c>
      <c r="P1456" s="1">
        <f t="shared" si="3184"/>
        <v>0.36274186532617125</v>
      </c>
      <c r="Q1456" s="1">
        <f t="shared" si="3185"/>
        <v>0</v>
      </c>
      <c r="R1456" s="1">
        <f t="shared" si="3186"/>
        <v>0.84411965817094758</v>
      </c>
      <c r="S1456" s="1">
        <f t="shared" si="3187"/>
        <v>0.77915792461128341</v>
      </c>
      <c r="T1456" s="1">
        <f t="shared" ref="T1456:V1456" si="3289">$S1456*P1456</f>
        <v>0.28263319895716527</v>
      </c>
      <c r="U1456" s="1">
        <f t="shared" si="3289"/>
        <v>0</v>
      </c>
      <c r="V1456" s="1">
        <f t="shared" si="3289"/>
        <v>0.65770252098406146</v>
      </c>
      <c r="W1456" s="1">
        <f t="shared" si="3189"/>
        <v>-8.5714125293400816</v>
      </c>
      <c r="X1456" s="1">
        <f t="shared" si="3190"/>
        <v>0</v>
      </c>
      <c r="Y1456" s="1">
        <f t="shared" si="3191"/>
        <v>-5.344115981399832</v>
      </c>
    </row>
    <row r="1457" spans="1:25">
      <c r="A1457" s="1">
        <v>1.4549999999999901</v>
      </c>
      <c r="B1457" s="1">
        <f t="shared" si="3192"/>
        <v>45.238415577181939</v>
      </c>
      <c r="C1457" s="1">
        <f t="shared" si="3193"/>
        <v>0</v>
      </c>
      <c r="D1457" s="1">
        <f t="shared" si="3194"/>
        <v>-3.0736156130048302</v>
      </c>
      <c r="E1457" s="1">
        <f t="shared" si="3195"/>
        <v>14.129452608179779</v>
      </c>
      <c r="F1457" s="1">
        <f t="shared" si="3196"/>
        <v>0</v>
      </c>
      <c r="G1457" s="1">
        <f t="shared" si="3197"/>
        <v>-6.0808491177375004</v>
      </c>
      <c r="H1457" s="1">
        <f t="shared" si="2880"/>
        <v>15.382397634942587</v>
      </c>
      <c r="I1457" s="1">
        <f t="shared" si="3180"/>
        <v>-8.8453639739949832</v>
      </c>
      <c r="J1457" s="1">
        <f t="shared" si="3181"/>
        <v>0</v>
      </c>
      <c r="K1457" s="1">
        <f t="shared" si="3182"/>
        <v>3.8067521233056167</v>
      </c>
      <c r="L1457" s="1">
        <f t="shared" ref="L1457:N1457" si="3290">E1457/$H1457</f>
        <v>0.91854683148245864</v>
      </c>
      <c r="M1457" s="1">
        <f t="shared" si="3290"/>
        <v>0</v>
      </c>
      <c r="N1457" s="1">
        <f t="shared" si="3290"/>
        <v>-0.39531217837746374</v>
      </c>
      <c r="O1457" s="1">
        <f t="shared" si="2882"/>
        <v>-0.39531217837746374</v>
      </c>
      <c r="P1457" s="1">
        <f t="shared" si="3184"/>
        <v>0.3631127488950478</v>
      </c>
      <c r="Q1457" s="1">
        <f t="shared" si="3185"/>
        <v>0</v>
      </c>
      <c r="R1457" s="1">
        <f t="shared" si="3186"/>
        <v>0.84372828162646429</v>
      </c>
      <c r="S1457" s="1">
        <f t="shared" si="3187"/>
        <v>0.77857444253001695</v>
      </c>
      <c r="T1457" s="1">
        <f t="shared" ref="T1457:V1457" si="3291">$S1457*P1457</f>
        <v>0.28271030604650388</v>
      </c>
      <c r="U1457" s="1">
        <f t="shared" si="3291"/>
        <v>0</v>
      </c>
      <c r="V1457" s="1">
        <f t="shared" si="3291"/>
        <v>0.65690527651413355</v>
      </c>
      <c r="W1457" s="1">
        <f t="shared" si="3189"/>
        <v>-8.5626536679484797</v>
      </c>
      <c r="X1457" s="1">
        <f t="shared" si="3190"/>
        <v>0</v>
      </c>
      <c r="Y1457" s="1">
        <f t="shared" si="3191"/>
        <v>-5.3429926001802492</v>
      </c>
    </row>
    <row r="1458" spans="1:25">
      <c r="A1458" s="1">
        <v>1.45599999999999</v>
      </c>
      <c r="B1458" s="1">
        <f t="shared" si="3192"/>
        <v>45.252536467136451</v>
      </c>
      <c r="C1458" s="1">
        <f t="shared" si="3193"/>
        <v>0</v>
      </c>
      <c r="D1458" s="1">
        <f t="shared" si="3194"/>
        <v>-3.0797018051151679</v>
      </c>
      <c r="E1458" s="1">
        <f t="shared" si="3195"/>
        <v>14.120889954511831</v>
      </c>
      <c r="F1458" s="1">
        <f t="shared" si="3196"/>
        <v>0</v>
      </c>
      <c r="G1458" s="1">
        <f t="shared" si="3197"/>
        <v>-6.0861921103376808</v>
      </c>
      <c r="H1458" s="1">
        <f t="shared" si="2880"/>
        <v>15.376646822742915</v>
      </c>
      <c r="I1458" s="1">
        <f t="shared" si="3180"/>
        <v>-8.8366986604178859</v>
      </c>
      <c r="J1458" s="1">
        <f t="shared" si="3181"/>
        <v>0</v>
      </c>
      <c r="K1458" s="1">
        <f t="shared" si="3182"/>
        <v>3.8086725299691757</v>
      </c>
      <c r="L1458" s="1">
        <f t="shared" ref="L1458:N1458" si="3292">E1458/$H1458</f>
        <v>0.91833350387070412</v>
      </c>
      <c r="M1458" s="1">
        <f t="shared" si="3292"/>
        <v>0</v>
      </c>
      <c r="N1458" s="1">
        <f t="shared" si="3292"/>
        <v>-0.39580749824700823</v>
      </c>
      <c r="O1458" s="1">
        <f t="shared" si="2882"/>
        <v>-0.39580749824700823</v>
      </c>
      <c r="P1458" s="1">
        <f t="shared" si="3184"/>
        <v>0.36348328672347263</v>
      </c>
      <c r="Q1458" s="1">
        <f t="shared" si="3185"/>
        <v>0</v>
      </c>
      <c r="R1458" s="1">
        <f t="shared" si="3186"/>
        <v>0.84333642433144451</v>
      </c>
      <c r="S1458" s="1">
        <f t="shared" si="3187"/>
        <v>0.77799240082896182</v>
      </c>
      <c r="T1458" s="1">
        <f t="shared" ref="T1458:V1458" si="3293">$S1458*P1458</f>
        <v>0.28278723489919638</v>
      </c>
      <c r="U1458" s="1">
        <f t="shared" si="3293"/>
        <v>0</v>
      </c>
      <c r="V1458" s="1">
        <f t="shared" si="3293"/>
        <v>0.65610932947213263</v>
      </c>
      <c r="W1458" s="1">
        <f t="shared" si="3189"/>
        <v>-8.5539114255186899</v>
      </c>
      <c r="X1458" s="1">
        <f t="shared" si="3190"/>
        <v>0</v>
      </c>
      <c r="Y1458" s="1">
        <f t="shared" si="3191"/>
        <v>-5.3418681405586907</v>
      </c>
    </row>
    <row r="1459" spans="1:25">
      <c r="A1459" s="1">
        <v>1.4569999999999901</v>
      </c>
      <c r="B1459" s="1">
        <f t="shared" si="3192"/>
        <v>45.266648803179535</v>
      </c>
      <c r="C1459" s="1">
        <f t="shared" si="3193"/>
        <v>0</v>
      </c>
      <c r="D1459" s="1">
        <f t="shared" si="3194"/>
        <v>-3.0857933390936463</v>
      </c>
      <c r="E1459" s="1">
        <f t="shared" si="3195"/>
        <v>14.112336043086312</v>
      </c>
      <c r="F1459" s="1">
        <f t="shared" si="3196"/>
        <v>0</v>
      </c>
      <c r="G1459" s="1">
        <f t="shared" si="3197"/>
        <v>-6.0915339784782399</v>
      </c>
      <c r="H1459" s="1">
        <f t="shared" si="2880"/>
        <v>15.370908066992918</v>
      </c>
      <c r="I1459" s="1">
        <f t="shared" si="3180"/>
        <v>-8.8280497480920523</v>
      </c>
      <c r="J1459" s="1">
        <f t="shared" si="3181"/>
        <v>0</v>
      </c>
      <c r="K1459" s="1">
        <f t="shared" si="3182"/>
        <v>3.8105927211493982</v>
      </c>
      <c r="L1459" s="1">
        <f t="shared" ref="L1459:N1459" si="3294">E1459/$H1459</f>
        <v>0.91811986524015265</v>
      </c>
      <c r="M1459" s="1">
        <f t="shared" si="3294"/>
        <v>0</v>
      </c>
      <c r="N1459" s="1">
        <f t="shared" si="3294"/>
        <v>-0.39630280474834401</v>
      </c>
      <c r="O1459" s="1">
        <f t="shared" si="2882"/>
        <v>-0.39630280474834401</v>
      </c>
      <c r="P1459" s="1">
        <f t="shared" si="3184"/>
        <v>0.36385347768984411</v>
      </c>
      <c r="Q1459" s="1">
        <f t="shared" si="3185"/>
        <v>0</v>
      </c>
      <c r="R1459" s="1">
        <f t="shared" si="3186"/>
        <v>0.84294408694859591</v>
      </c>
      <c r="S1459" s="1">
        <f t="shared" si="3187"/>
        <v>0.77741179632229185</v>
      </c>
      <c r="T1459" s="1">
        <f t="shared" ref="T1459:V1459" si="3295">$S1459*P1459</f>
        <v>0.28286398568897464</v>
      </c>
      <c r="U1459" s="1">
        <f t="shared" si="3295"/>
        <v>0</v>
      </c>
      <c r="V1459" s="1">
        <f t="shared" si="3295"/>
        <v>0.65531467683396216</v>
      </c>
      <c r="W1459" s="1">
        <f t="shared" si="3189"/>
        <v>-8.5451857624030776</v>
      </c>
      <c r="X1459" s="1">
        <f t="shared" si="3190"/>
        <v>0</v>
      </c>
      <c r="Y1459" s="1">
        <f t="shared" si="3191"/>
        <v>-5.3407426020166389</v>
      </c>
    </row>
    <row r="1460" spans="1:25">
      <c r="A1460" s="1">
        <v>1.45799999999999</v>
      </c>
      <c r="B1460" s="1">
        <f t="shared" si="3192"/>
        <v>45.280752594036862</v>
      </c>
      <c r="C1460" s="1">
        <f t="shared" si="3193"/>
        <v>0</v>
      </c>
      <c r="D1460" s="1">
        <f t="shared" si="3194"/>
        <v>-3.0918902138147266</v>
      </c>
      <c r="E1460" s="1">
        <f t="shared" si="3195"/>
        <v>14.10379085732391</v>
      </c>
      <c r="F1460" s="1">
        <f t="shared" si="3196"/>
        <v>0</v>
      </c>
      <c r="G1460" s="1">
        <f t="shared" si="3197"/>
        <v>-6.0968747210802565</v>
      </c>
      <c r="H1460" s="1">
        <f t="shared" si="2880"/>
        <v>15.365181349781752</v>
      </c>
      <c r="I1460" s="1">
        <f t="shared" si="3180"/>
        <v>-8.81941719765282</v>
      </c>
      <c r="J1460" s="1">
        <f t="shared" si="3181"/>
        <v>0</v>
      </c>
      <c r="K1460" s="1">
        <f t="shared" si="3182"/>
        <v>3.8125127003785266</v>
      </c>
      <c r="L1460" s="1">
        <f t="shared" ref="L1460:N1460" si="3296">E1460/$H1460</f>
        <v>0.91790591573618108</v>
      </c>
      <c r="M1460" s="1">
        <f t="shared" si="3296"/>
        <v>0</v>
      </c>
      <c r="N1460" s="1">
        <f t="shared" si="3296"/>
        <v>-0.39679809709287012</v>
      </c>
      <c r="O1460" s="1">
        <f t="shared" si="2882"/>
        <v>-0.39679809709287012</v>
      </c>
      <c r="P1460" s="1">
        <f t="shared" si="3184"/>
        <v>0.36422332067440505</v>
      </c>
      <c r="Q1460" s="1">
        <f t="shared" si="3185"/>
        <v>0</v>
      </c>
      <c r="R1460" s="1">
        <f t="shared" si="3186"/>
        <v>0.84255127014347719</v>
      </c>
      <c r="S1460" s="1">
        <f t="shared" si="3187"/>
        <v>0.77683262583296664</v>
      </c>
      <c r="T1460" s="1">
        <f t="shared" ref="T1460:V1460" si="3297">$S1460*P1460</f>
        <v>0.28294055858910072</v>
      </c>
      <c r="U1460" s="1">
        <f t="shared" si="3297"/>
        <v>0</v>
      </c>
      <c r="V1460" s="1">
        <f t="shared" si="3297"/>
        <v>0.65452131558445859</v>
      </c>
      <c r="W1460" s="1">
        <f t="shared" si="3189"/>
        <v>-8.5364766390637197</v>
      </c>
      <c r="X1460" s="1">
        <f t="shared" si="3190"/>
        <v>0</v>
      </c>
      <c r="Y1460" s="1">
        <f t="shared" si="3191"/>
        <v>-5.3396159840370139</v>
      </c>
    </row>
    <row r="1461" spans="1:25">
      <c r="A1461" s="1">
        <v>1.4589999999999901</v>
      </c>
      <c r="B1461" s="1">
        <f t="shared" si="3192"/>
        <v>45.294847848417547</v>
      </c>
      <c r="C1461" s="1">
        <f t="shared" si="3193"/>
        <v>0</v>
      </c>
      <c r="D1461" s="1">
        <f t="shared" si="3194"/>
        <v>-3.097992428151791</v>
      </c>
      <c r="E1461" s="1">
        <f t="shared" si="3195"/>
        <v>14.095254380684846</v>
      </c>
      <c r="F1461" s="1">
        <f t="shared" si="3196"/>
        <v>0</v>
      </c>
      <c r="G1461" s="1">
        <f t="shared" si="3197"/>
        <v>-6.1022143370642938</v>
      </c>
      <c r="H1461" s="1">
        <f t="shared" si="2880"/>
        <v>15.359466653230129</v>
      </c>
      <c r="I1461" s="1">
        <f t="shared" si="3180"/>
        <v>-8.8108009698443972</v>
      </c>
      <c r="J1461" s="1">
        <f t="shared" si="3181"/>
        <v>0</v>
      </c>
      <c r="K1461" s="1">
        <f t="shared" si="3182"/>
        <v>3.8144324711784425</v>
      </c>
      <c r="L1461" s="1">
        <f t="shared" ref="L1461:N1461" si="3298">E1461/$H1461</f>
        <v>0.917691655505537</v>
      </c>
      <c r="M1461" s="1">
        <f t="shared" si="3298"/>
        <v>0</v>
      </c>
      <c r="N1461" s="1">
        <f t="shared" si="3298"/>
        <v>-0.39729337449233532</v>
      </c>
      <c r="O1461" s="1">
        <f t="shared" si="2882"/>
        <v>-0.39729337449233532</v>
      </c>
      <c r="P1461" s="1">
        <f t="shared" si="3184"/>
        <v>0.36459281455925246</v>
      </c>
      <c r="Q1461" s="1">
        <f t="shared" si="3185"/>
        <v>0</v>
      </c>
      <c r="R1461" s="1">
        <f t="shared" si="3186"/>
        <v>0.84215797458449304</v>
      </c>
      <c r="S1461" s="1">
        <f t="shared" si="3187"/>
        <v>0.77625488619269956</v>
      </c>
      <c r="T1461" s="1">
        <f t="shared" ref="T1461:V1461" si="3299">$S1461*P1461</f>
        <v>0.28301695377236852</v>
      </c>
      <c r="U1461" s="1">
        <f t="shared" si="3299"/>
        <v>0</v>
      </c>
      <c r="V1461" s="1">
        <f t="shared" si="3299"/>
        <v>0.65372924271735999</v>
      </c>
      <c r="W1461" s="1">
        <f t="shared" si="3189"/>
        <v>-8.5277840160720295</v>
      </c>
      <c r="X1461" s="1">
        <f t="shared" si="3190"/>
        <v>0</v>
      </c>
      <c r="Y1461" s="1">
        <f t="shared" si="3191"/>
        <v>-5.3384882861041971</v>
      </c>
    </row>
    <row r="1462" spans="1:25">
      <c r="A1462" s="1">
        <v>1.45999999999999</v>
      </c>
      <c r="B1462" s="1">
        <f t="shared" si="3192"/>
        <v>45.308934575014213</v>
      </c>
      <c r="C1462" s="1">
        <f t="shared" si="3193"/>
        <v>0</v>
      </c>
      <c r="D1462" s="1">
        <f t="shared" si="3194"/>
        <v>-3.1040999809771415</v>
      </c>
      <c r="E1462" s="1">
        <f t="shared" si="3195"/>
        <v>14.086726596668774</v>
      </c>
      <c r="F1462" s="1">
        <f t="shared" si="3196"/>
        <v>0</v>
      </c>
      <c r="G1462" s="1">
        <f t="shared" si="3197"/>
        <v>-6.1075528253503979</v>
      </c>
      <c r="H1462" s="1">
        <f t="shared" si="2880"/>
        <v>15.353763959490228</v>
      </c>
      <c r="I1462" s="1">
        <f t="shared" si="3180"/>
        <v>-8.8022010255194942</v>
      </c>
      <c r="J1462" s="1">
        <f t="shared" si="3181"/>
        <v>0</v>
      </c>
      <c r="K1462" s="1">
        <f t="shared" si="3182"/>
        <v>3.8163520370606818</v>
      </c>
      <c r="L1462" s="1">
        <f t="shared" ref="L1462:N1462" si="3300">E1462/$H1462</f>
        <v>0.91747708469633638</v>
      </c>
      <c r="M1462" s="1">
        <f t="shared" si="3300"/>
        <v>0</v>
      </c>
      <c r="N1462" s="1">
        <f t="shared" si="3300"/>
        <v>-0.39778863615884186</v>
      </c>
      <c r="O1462" s="1">
        <f t="shared" si="2882"/>
        <v>-0.39778863615884186</v>
      </c>
      <c r="P1462" s="1">
        <f t="shared" si="3184"/>
        <v>0.36496195822834587</v>
      </c>
      <c r="Q1462" s="1">
        <f t="shared" si="3185"/>
        <v>0</v>
      </c>
      <c r="R1462" s="1">
        <f t="shared" si="3186"/>
        <v>0.84176420094288851</v>
      </c>
      <c r="S1462" s="1">
        <f t="shared" si="3187"/>
        <v>0.77567857424192854</v>
      </c>
      <c r="T1462" s="1">
        <f t="shared" ref="T1462:V1462" si="3301">$S1462*P1462</f>
        <v>0.28309317141110563</v>
      </c>
      <c r="U1462" s="1">
        <f t="shared" si="3301"/>
        <v>0</v>
      </c>
      <c r="V1462" s="1">
        <f t="shared" si="3301"/>
        <v>0.65293845523527605</v>
      </c>
      <c r="W1462" s="1">
        <f t="shared" si="3189"/>
        <v>-8.5191078541083893</v>
      </c>
      <c r="X1462" s="1">
        <f t="shared" si="3190"/>
        <v>0</v>
      </c>
      <c r="Y1462" s="1">
        <f t="shared" si="3191"/>
        <v>-5.3373595077040417</v>
      </c>
    </row>
    <row r="1463" spans="1:25">
      <c r="A1463" s="1">
        <v>1.4609999999999901</v>
      </c>
      <c r="B1463" s="1">
        <f t="shared" si="3192"/>
        <v>45.323012782503028</v>
      </c>
      <c r="C1463" s="1">
        <f t="shared" si="3193"/>
        <v>0</v>
      </c>
      <c r="D1463" s="1">
        <f t="shared" si="3194"/>
        <v>-3.1102128711619996</v>
      </c>
      <c r="E1463" s="1">
        <f t="shared" si="3195"/>
        <v>14.078207488814666</v>
      </c>
      <c r="F1463" s="1">
        <f t="shared" si="3196"/>
        <v>0</v>
      </c>
      <c r="G1463" s="1">
        <f t="shared" si="3197"/>
        <v>-6.1128901848581023</v>
      </c>
      <c r="H1463" s="1">
        <f t="shared" si="2880"/>
        <v>15.348073250745577</v>
      </c>
      <c r="I1463" s="1">
        <f t="shared" si="3180"/>
        <v>-8.7936173256389445</v>
      </c>
      <c r="J1463" s="1">
        <f t="shared" si="3181"/>
        <v>0</v>
      </c>
      <c r="K1463" s="1">
        <f t="shared" si="3182"/>
        <v>3.8182714015264443</v>
      </c>
      <c r="L1463" s="1">
        <f t="shared" ref="L1463:N1463" si="3302">E1463/$H1463</f>
        <v>0.91726220345806442</v>
      </c>
      <c r="M1463" s="1">
        <f t="shared" si="3302"/>
        <v>0</v>
      </c>
      <c r="N1463" s="1">
        <f t="shared" si="3302"/>
        <v>-0.39828388130485048</v>
      </c>
      <c r="O1463" s="1">
        <f t="shared" si="2882"/>
        <v>-0.39828388130485048</v>
      </c>
      <c r="P1463" s="1">
        <f t="shared" si="3184"/>
        <v>0.36533075056751735</v>
      </c>
      <c r="Q1463" s="1">
        <f t="shared" si="3185"/>
        <v>0</v>
      </c>
      <c r="R1463" s="1">
        <f t="shared" si="3186"/>
        <v>0.84136994989274383</v>
      </c>
      <c r="S1463" s="1">
        <f t="shared" si="3187"/>
        <v>0.77510368682978392</v>
      </c>
      <c r="T1463" s="1">
        <f t="shared" ref="T1463:V1463" si="3303">$S1463*P1463</f>
        <v>0.28316921167717485</v>
      </c>
      <c r="U1463" s="1">
        <f t="shared" si="3303"/>
        <v>0</v>
      </c>
      <c r="V1463" s="1">
        <f t="shared" si="3303"/>
        <v>0.65214895014965635</v>
      </c>
      <c r="W1463" s="1">
        <f t="shared" si="3189"/>
        <v>-8.51044811396177</v>
      </c>
      <c r="X1463" s="1">
        <f t="shared" si="3190"/>
        <v>0</v>
      </c>
      <c r="Y1463" s="1">
        <f t="shared" si="3191"/>
        <v>-5.3362296483238989</v>
      </c>
    </row>
    <row r="1464" spans="1:25">
      <c r="A1464" s="1">
        <v>1.46199999999999</v>
      </c>
      <c r="B1464" s="1">
        <f t="shared" si="3192"/>
        <v>45.337082479543731</v>
      </c>
      <c r="C1464" s="1">
        <f t="shared" si="3193"/>
        <v>0</v>
      </c>
      <c r="D1464" s="1">
        <f t="shared" si="3194"/>
        <v>-3.1163310975765062</v>
      </c>
      <c r="E1464" s="1">
        <f t="shared" si="3195"/>
        <v>14.069697040700705</v>
      </c>
      <c r="F1464" s="1">
        <f t="shared" si="3196"/>
        <v>0</v>
      </c>
      <c r="G1464" s="1">
        <f t="shared" si="3197"/>
        <v>-6.1182264145064265</v>
      </c>
      <c r="H1464" s="1">
        <f t="shared" si="2880"/>
        <v>15.342394509210951</v>
      </c>
      <c r="I1464" s="1">
        <f t="shared" si="3180"/>
        <v>-8.7850498312713317</v>
      </c>
      <c r="J1464" s="1">
        <f t="shared" si="3181"/>
        <v>0</v>
      </c>
      <c r="K1464" s="1">
        <f t="shared" si="3182"/>
        <v>3.8201905680666073</v>
      </c>
      <c r="L1464" s="1">
        <f t="shared" ref="L1464:N1464" si="3304">E1464/$H1464</f>
        <v>0.91704701194157334</v>
      </c>
      <c r="M1464" s="1">
        <f t="shared" si="3304"/>
        <v>0</v>
      </c>
      <c r="N1464" s="1">
        <f t="shared" si="3304"/>
        <v>-0.39877910914318437</v>
      </c>
      <c r="O1464" s="1">
        <f t="shared" si="2882"/>
        <v>-0.39877910914318437</v>
      </c>
      <c r="P1464" s="1">
        <f t="shared" si="3184"/>
        <v>0.3656991904644798</v>
      </c>
      <c r="Q1464" s="1">
        <f t="shared" si="3185"/>
        <v>0</v>
      </c>
      <c r="R1464" s="1">
        <f t="shared" si="3186"/>
        <v>0.84097522211096831</v>
      </c>
      <c r="S1464" s="1">
        <f t="shared" si="3187"/>
        <v>0.7745302208140592</v>
      </c>
      <c r="T1464" s="1">
        <f t="shared" ref="T1464:V1464" si="3305">$S1464*P1464</f>
        <v>0.28324507474197624</v>
      </c>
      <c r="U1464" s="1">
        <f t="shared" si="3305"/>
        <v>0</v>
      </c>
      <c r="V1464" s="1">
        <f t="shared" si="3305"/>
        <v>0.65136072448076077</v>
      </c>
      <c r="W1464" s="1">
        <f t="shared" si="3189"/>
        <v>-8.5018047565293546</v>
      </c>
      <c r="X1464" s="1">
        <f t="shared" si="3190"/>
        <v>0</v>
      </c>
      <c r="Y1464" s="1">
        <f t="shared" si="3191"/>
        <v>-5.335098707452631</v>
      </c>
    </row>
    <row r="1465" spans="1:25">
      <c r="A1465" s="1">
        <v>1.4629999999999901</v>
      </c>
      <c r="B1465" s="1">
        <f t="shared" si="3192"/>
        <v>45.351143674779678</v>
      </c>
      <c r="C1465" s="1">
        <f t="shared" si="3193"/>
        <v>0</v>
      </c>
      <c r="D1465" s="1">
        <f t="shared" si="3194"/>
        <v>-3.12245465908972</v>
      </c>
      <c r="E1465" s="1">
        <f t="shared" si="3195"/>
        <v>14.061195235944176</v>
      </c>
      <c r="F1465" s="1">
        <f t="shared" si="3196"/>
        <v>0</v>
      </c>
      <c r="G1465" s="1">
        <f t="shared" si="3197"/>
        <v>-6.123561513213879</v>
      </c>
      <c r="H1465" s="1">
        <f t="shared" si="2880"/>
        <v>15.336727717132277</v>
      </c>
      <c r="I1465" s="1">
        <f t="shared" si="3180"/>
        <v>-8.7764985035926291</v>
      </c>
      <c r="J1465" s="1">
        <f t="shared" si="3181"/>
        <v>0</v>
      </c>
      <c r="K1465" s="1">
        <f t="shared" si="3182"/>
        <v>3.8221095401617386</v>
      </c>
      <c r="L1465" s="1">
        <f t="shared" ref="L1465:N1465" si="3306">E1465/$H1465</f>
        <v>0.91683151029908194</v>
      </c>
      <c r="M1465" s="1">
        <f t="shared" si="3306"/>
        <v>0</v>
      </c>
      <c r="N1465" s="1">
        <f t="shared" si="3306"/>
        <v>-0.39927431888703357</v>
      </c>
      <c r="O1465" s="1">
        <f t="shared" si="2882"/>
        <v>-0.39927431888703357</v>
      </c>
      <c r="P1465" s="1">
        <f t="shared" si="3184"/>
        <v>0.36606727680883627</v>
      </c>
      <c r="Q1465" s="1">
        <f t="shared" si="3185"/>
        <v>0</v>
      </c>
      <c r="R1465" s="1">
        <f t="shared" si="3186"/>
        <v>0.84058001827729545</v>
      </c>
      <c r="S1465" s="1">
        <f t="shared" si="3187"/>
        <v>0.77395817306117998</v>
      </c>
      <c r="T1465" s="1">
        <f t="shared" ref="T1465:V1465" si="3307">$S1465*P1465</f>
        <v>0.28332076077644819</v>
      </c>
      <c r="U1465" s="1">
        <f t="shared" si="3307"/>
        <v>0</v>
      </c>
      <c r="V1465" s="1">
        <f t="shared" si="3307"/>
        <v>0.65057377525762883</v>
      </c>
      <c r="W1465" s="1">
        <f t="shared" si="3189"/>
        <v>-8.4931777428161812</v>
      </c>
      <c r="X1465" s="1">
        <f t="shared" si="3190"/>
        <v>0</v>
      </c>
      <c r="Y1465" s="1">
        <f t="shared" si="3191"/>
        <v>-5.3339666845806324</v>
      </c>
    </row>
    <row r="1466" spans="1:25">
      <c r="A1466" s="1">
        <v>1.46399999999999</v>
      </c>
      <c r="B1466" s="1">
        <f t="shared" si="3192"/>
        <v>45.365196376837879</v>
      </c>
      <c r="C1466" s="1">
        <f t="shared" si="3193"/>
        <v>0</v>
      </c>
      <c r="D1466" s="1">
        <f t="shared" si="3194"/>
        <v>-3.1285835545696186</v>
      </c>
      <c r="E1466" s="1">
        <f t="shared" si="3195"/>
        <v>14.05270205820136</v>
      </c>
      <c r="F1466" s="1">
        <f t="shared" si="3196"/>
        <v>0</v>
      </c>
      <c r="G1466" s="1">
        <f t="shared" si="3197"/>
        <v>-6.1288954798984596</v>
      </c>
      <c r="H1466" s="1">
        <f t="shared" si="2880"/>
        <v>15.331072856786523</v>
      </c>
      <c r="I1466" s="1">
        <f t="shared" si="3180"/>
        <v>-8.7679633038858267</v>
      </c>
      <c r="J1466" s="1">
        <f t="shared" si="3181"/>
        <v>0</v>
      </c>
      <c r="K1466" s="1">
        <f t="shared" si="3182"/>
        <v>3.8240283212821109</v>
      </c>
      <c r="L1466" s="1">
        <f t="shared" ref="L1466:N1466" si="3308">E1466/$H1466</f>
        <v>0.91661569868417436</v>
      </c>
      <c r="M1466" s="1">
        <f t="shared" si="3308"/>
        <v>0</v>
      </c>
      <c r="N1466" s="1">
        <f t="shared" si="3308"/>
        <v>-0.39976950974995951</v>
      </c>
      <c r="O1466" s="1">
        <f t="shared" si="2882"/>
        <v>-0.39976950974995951</v>
      </c>
      <c r="P1466" s="1">
        <f t="shared" si="3184"/>
        <v>0.36643500849208899</v>
      </c>
      <c r="Q1466" s="1">
        <f t="shared" si="3185"/>
        <v>0</v>
      </c>
      <c r="R1466" s="1">
        <f t="shared" si="3186"/>
        <v>0.84018433907427703</v>
      </c>
      <c r="S1466" s="1">
        <f t="shared" si="3187"/>
        <v>0.7733875404461743</v>
      </c>
      <c r="T1466" s="1">
        <f t="shared" ref="T1466:V1466" si="3309">$S1466*P1466</f>
        <v>0.2833962699510697</v>
      </c>
      <c r="U1466" s="1">
        <f t="shared" si="3309"/>
        <v>0</v>
      </c>
      <c r="V1466" s="1">
        <f t="shared" si="3309"/>
        <v>0.64978809951804961</v>
      </c>
      <c r="W1466" s="1">
        <f t="shared" si="3189"/>
        <v>-8.4845670339347574</v>
      </c>
      <c r="X1466" s="1">
        <f t="shared" si="3190"/>
        <v>0</v>
      </c>
      <c r="Y1466" s="1">
        <f t="shared" si="3191"/>
        <v>-5.3328335791998391</v>
      </c>
    </row>
    <row r="1467" spans="1:25">
      <c r="A1467" s="1">
        <v>1.4649999999999901</v>
      </c>
      <c r="B1467" s="1">
        <f t="shared" si="3192"/>
        <v>45.379240594329048</v>
      </c>
      <c r="C1467" s="1">
        <f t="shared" si="3193"/>
        <v>0</v>
      </c>
      <c r="D1467" s="1">
        <f t="shared" si="3194"/>
        <v>-3.1347177828830963</v>
      </c>
      <c r="E1467" s="1">
        <f t="shared" si="3195"/>
        <v>14.044217491167425</v>
      </c>
      <c r="F1467" s="1">
        <f t="shared" si="3196"/>
        <v>0</v>
      </c>
      <c r="G1467" s="1">
        <f t="shared" si="3197"/>
        <v>-6.1342283134776592</v>
      </c>
      <c r="H1467" s="1">
        <f t="shared" si="2880"/>
        <v>15.325429910481597</v>
      </c>
      <c r="I1467" s="1">
        <f t="shared" si="3180"/>
        <v>-8.7594441935405651</v>
      </c>
      <c r="J1467" s="1">
        <f t="shared" si="3181"/>
        <v>0</v>
      </c>
      <c r="K1467" s="1">
        <f t="shared" si="3182"/>
        <v>3.8259469148877097</v>
      </c>
      <c r="L1467" s="1">
        <f t="shared" ref="L1467:N1467" si="3310">E1467/$H1467</f>
        <v>0.91639957725179988</v>
      </c>
      <c r="M1467" s="1">
        <f t="shared" si="3310"/>
        <v>0</v>
      </c>
      <c r="N1467" s="1">
        <f t="shared" si="3310"/>
        <v>-0.40026468094589934</v>
      </c>
      <c r="O1467" s="1">
        <f t="shared" si="2882"/>
        <v>-0.40026468094589934</v>
      </c>
      <c r="P1467" s="1">
        <f t="shared" si="3184"/>
        <v>0.36680238440764873</v>
      </c>
      <c r="Q1467" s="1">
        <f t="shared" si="3185"/>
        <v>0</v>
      </c>
      <c r="R1467" s="1">
        <f t="shared" si="3186"/>
        <v>0.83978818518727738</v>
      </c>
      <c r="S1467" s="1">
        <f t="shared" si="3187"/>
        <v>0.77281831985264204</v>
      </c>
      <c r="T1467" s="1">
        <f t="shared" ref="T1467:V1467" si="3311">$S1467*P1467</f>
        <v>0.28347160243586206</v>
      </c>
      <c r="U1467" s="1">
        <f t="shared" si="3311"/>
        <v>0</v>
      </c>
      <c r="V1467" s="1">
        <f t="shared" si="3311"/>
        <v>0.64900369430853111</v>
      </c>
      <c r="W1467" s="1">
        <f t="shared" si="3189"/>
        <v>-8.4759725911047035</v>
      </c>
      <c r="X1467" s="1">
        <f t="shared" si="3190"/>
        <v>0</v>
      </c>
      <c r="Y1467" s="1">
        <f t="shared" si="3191"/>
        <v>-5.3316993908037587</v>
      </c>
    </row>
    <row r="1468" spans="1:25">
      <c r="A1468" s="1">
        <v>1.46599999999999</v>
      </c>
      <c r="B1468" s="1">
        <f t="shared" si="3192"/>
        <v>45.393276335847624</v>
      </c>
      <c r="C1468" s="1">
        <f t="shared" si="3193"/>
        <v>0</v>
      </c>
      <c r="D1468" s="1">
        <f t="shared" si="3194"/>
        <v>-3.140857342895965</v>
      </c>
      <c r="E1468" s="1">
        <f t="shared" si="3195"/>
        <v>14.035741518576319</v>
      </c>
      <c r="F1468" s="1">
        <f t="shared" si="3196"/>
        <v>0</v>
      </c>
      <c r="G1468" s="1">
        <f t="shared" si="3197"/>
        <v>-6.1395600128684631</v>
      </c>
      <c r="H1468" s="1">
        <f t="shared" si="2880"/>
        <v>15.319798860556247</v>
      </c>
      <c r="I1468" s="1">
        <f t="shared" si="3180"/>
        <v>-8.7509411340527716</v>
      </c>
      <c r="J1468" s="1">
        <f t="shared" si="3181"/>
        <v>0</v>
      </c>
      <c r="K1468" s="1">
        <f t="shared" si="3182"/>
        <v>3.8278653244282497</v>
      </c>
      <c r="L1468" s="1">
        <f t="shared" ref="L1468:N1468" si="3312">E1468/$H1468</f>
        <v>0.91618314615827112</v>
      </c>
      <c r="M1468" s="1">
        <f t="shared" si="3312"/>
        <v>0</v>
      </c>
      <c r="N1468" s="1">
        <f t="shared" si="3312"/>
        <v>-0.40075983168917023</v>
      </c>
      <c r="O1468" s="1">
        <f t="shared" si="2882"/>
        <v>-0.40075983168917023</v>
      </c>
      <c r="P1468" s="1">
        <f t="shared" si="3184"/>
        <v>0.3671694034508432</v>
      </c>
      <c r="Q1468" s="1">
        <f t="shared" si="3185"/>
        <v>0</v>
      </c>
      <c r="R1468" s="1">
        <f t="shared" si="3186"/>
        <v>0.83939155730446791</v>
      </c>
      <c r="S1468" s="1">
        <f t="shared" si="3187"/>
        <v>0.77225050817272556</v>
      </c>
      <c r="T1468" s="1">
        <f t="shared" ref="T1468:V1468" si="3313">$S1468*P1468</f>
        <v>0.28354675840039018</v>
      </c>
      <c r="U1468" s="1">
        <f t="shared" si="3313"/>
        <v>0</v>
      </c>
      <c r="V1468" s="1">
        <f t="shared" si="3313"/>
        <v>0.64822055668427081</v>
      </c>
      <c r="W1468" s="1">
        <f t="shared" si="3189"/>
        <v>-8.4673943756523808</v>
      </c>
      <c r="X1468" s="1">
        <f t="shared" si="3190"/>
        <v>0</v>
      </c>
      <c r="Y1468" s="1">
        <f t="shared" si="3191"/>
        <v>-5.3305641188874793</v>
      </c>
    </row>
    <row r="1469" spans="1:25">
      <c r="A1469" s="1">
        <v>1.4669999999999901</v>
      </c>
      <c r="B1469" s="1">
        <f t="shared" si="3192"/>
        <v>45.407303609971827</v>
      </c>
      <c r="C1469" s="1">
        <f t="shared" si="3193"/>
        <v>0</v>
      </c>
      <c r="D1469" s="1">
        <f t="shared" si="3194"/>
        <v>-3.1470022334729522</v>
      </c>
      <c r="E1469" s="1">
        <f t="shared" si="3195"/>
        <v>14.027274124200668</v>
      </c>
      <c r="F1469" s="1">
        <f t="shared" si="3196"/>
        <v>0</v>
      </c>
      <c r="G1469" s="1">
        <f t="shared" si="3197"/>
        <v>-6.1448905769873505</v>
      </c>
      <c r="H1469" s="1">
        <f t="shared" si="2880"/>
        <v>15.314179689379955</v>
      </c>
      <c r="I1469" s="1">
        <f t="shared" si="3180"/>
        <v>-8.7424540870242993</v>
      </c>
      <c r="J1469" s="1">
        <f t="shared" si="3181"/>
        <v>0</v>
      </c>
      <c r="K1469" s="1">
        <f t="shared" si="3182"/>
        <v>3.8297835533431859</v>
      </c>
      <c r="L1469" s="1">
        <f t="shared" ref="L1469:N1469" si="3314">E1469/$H1469</f>
        <v>0.91596640556126374</v>
      </c>
      <c r="M1469" s="1">
        <f t="shared" si="3314"/>
        <v>0</v>
      </c>
      <c r="N1469" s="1">
        <f t="shared" si="3314"/>
        <v>-0.40125496119447368</v>
      </c>
      <c r="O1469" s="1">
        <f t="shared" si="2882"/>
        <v>-0.40125496119447368</v>
      </c>
      <c r="P1469" s="1">
        <f t="shared" si="3184"/>
        <v>0.3675360645189264</v>
      </c>
      <c r="Q1469" s="1">
        <f t="shared" si="3185"/>
        <v>0</v>
      </c>
      <c r="R1469" s="1">
        <f t="shared" si="3186"/>
        <v>0.83899445611682144</v>
      </c>
      <c r="S1469" s="1">
        <f t="shared" si="3187"/>
        <v>0.77168410230707907</v>
      </c>
      <c r="T1469" s="1">
        <f t="shared" ref="T1469:V1469" si="3315">$S1469*P1469</f>
        <v>0.28362173801376439</v>
      </c>
      <c r="U1469" s="1">
        <f t="shared" si="3315"/>
        <v>0</v>
      </c>
      <c r="V1469" s="1">
        <f t="shared" si="3315"/>
        <v>0.64743868370912538</v>
      </c>
      <c r="W1469" s="1">
        <f t="shared" si="3189"/>
        <v>-8.4588323490105353</v>
      </c>
      <c r="X1469" s="1">
        <f t="shared" si="3190"/>
        <v>0</v>
      </c>
      <c r="Y1469" s="1">
        <f t="shared" si="3191"/>
        <v>-5.3294277629476881</v>
      </c>
    </row>
    <row r="1470" spans="1:25">
      <c r="A1470" s="1">
        <v>1.46799999999999</v>
      </c>
      <c r="B1470" s="1">
        <f t="shared" si="3192"/>
        <v>45.421322425263675</v>
      </c>
      <c r="C1470" s="1">
        <f t="shared" si="3193"/>
        <v>0</v>
      </c>
      <c r="D1470" s="1">
        <f t="shared" si="3194"/>
        <v>-3.1531524534777025</v>
      </c>
      <c r="E1470" s="1">
        <f t="shared" si="3195"/>
        <v>14.018815291851658</v>
      </c>
      <c r="F1470" s="1">
        <f t="shared" si="3196"/>
        <v>0</v>
      </c>
      <c r="G1470" s="1">
        <f t="shared" si="3197"/>
        <v>-6.150220004750298</v>
      </c>
      <c r="H1470" s="1">
        <f t="shared" si="2880"/>
        <v>15.308572379352839</v>
      </c>
      <c r="I1470" s="1">
        <f t="shared" si="3180"/>
        <v>-8.7339830141625558</v>
      </c>
      <c r="J1470" s="1">
        <f t="shared" si="3181"/>
        <v>0</v>
      </c>
      <c r="K1470" s="1">
        <f t="shared" si="3182"/>
        <v>3.8317016050617254</v>
      </c>
      <c r="L1470" s="1">
        <f t="shared" ref="L1470:N1470" si="3316">E1470/$H1470</f>
        <v>0.91574935561981485</v>
      </c>
      <c r="M1470" s="1">
        <f t="shared" si="3316"/>
        <v>0</v>
      </c>
      <c r="N1470" s="1">
        <f t="shared" si="3316"/>
        <v>-0.40175006867690005</v>
      </c>
      <c r="O1470" s="1">
        <f t="shared" si="2882"/>
        <v>-0.40175006867690005</v>
      </c>
      <c r="P1470" s="1">
        <f t="shared" si="3184"/>
        <v>0.3679023665110876</v>
      </c>
      <c r="Q1470" s="1">
        <f t="shared" si="3185"/>
        <v>0</v>
      </c>
      <c r="R1470" s="1">
        <f t="shared" si="3186"/>
        <v>0.83859688231810603</v>
      </c>
      <c r="S1470" s="1">
        <f t="shared" si="3187"/>
        <v>0.77111909916484001</v>
      </c>
      <c r="T1470" s="1">
        <f t="shared" ref="T1470:V1470" si="3317">$S1470*P1470</f>
        <v>0.28369654144464268</v>
      </c>
      <c r="U1470" s="1">
        <f t="shared" si="3317"/>
        <v>0</v>
      </c>
      <c r="V1470" s="1">
        <f t="shared" si="3317"/>
        <v>0.64665807245558127</v>
      </c>
      <c r="W1470" s="1">
        <f t="shared" si="3189"/>
        <v>-8.450286472717913</v>
      </c>
      <c r="X1470" s="1">
        <f t="shared" si="3190"/>
        <v>0</v>
      </c>
      <c r="Y1470" s="1">
        <f t="shared" si="3191"/>
        <v>-5.328290322482693</v>
      </c>
    </row>
    <row r="1471" spans="1:25">
      <c r="A1471" s="1">
        <v>1.4689999999999901</v>
      </c>
      <c r="B1471" s="1">
        <f t="shared" si="3192"/>
        <v>45.435332790269051</v>
      </c>
      <c r="C1471" s="1">
        <f t="shared" si="3193"/>
        <v>0</v>
      </c>
      <c r="D1471" s="1">
        <f t="shared" si="3194"/>
        <v>-3.159308001772775</v>
      </c>
      <c r="E1471" s="1">
        <f t="shared" si="3195"/>
        <v>14.01036500537894</v>
      </c>
      <c r="F1471" s="1">
        <f t="shared" si="3196"/>
        <v>0</v>
      </c>
      <c r="G1471" s="1">
        <f t="shared" si="3197"/>
        <v>-6.1555482950727809</v>
      </c>
      <c r="H1471" s="1">
        <f t="shared" si="2880"/>
        <v>15.30297691290555</v>
      </c>
      <c r="I1471" s="1">
        <f t="shared" si="3180"/>
        <v>-8.725527877280161</v>
      </c>
      <c r="J1471" s="1">
        <f t="shared" si="3181"/>
        <v>0</v>
      </c>
      <c r="K1471" s="1">
        <f t="shared" si="3182"/>
        <v>3.8336194830028418</v>
      </c>
      <c r="L1471" s="1">
        <f t="shared" ref="L1471:N1471" si="3318">E1471/$H1471</f>
        <v>0.91553199649432238</v>
      </c>
      <c r="M1471" s="1">
        <f t="shared" si="3318"/>
        <v>0</v>
      </c>
      <c r="N1471" s="1">
        <f t="shared" si="3318"/>
        <v>-0.40224515335193284</v>
      </c>
      <c r="O1471" s="1">
        <f t="shared" si="2882"/>
        <v>-0.40224515335193284</v>
      </c>
      <c r="P1471" s="1">
        <f t="shared" si="3184"/>
        <v>0.36826830832845991</v>
      </c>
      <c r="Q1471" s="1">
        <f t="shared" si="3185"/>
        <v>0</v>
      </c>
      <c r="R1471" s="1">
        <f t="shared" si="3186"/>
        <v>0.83819883660488004</v>
      </c>
      <c r="S1471" s="1">
        <f t="shared" si="3187"/>
        <v>0.77055549566359816</v>
      </c>
      <c r="T1471" s="1">
        <f t="shared" ref="T1471:V1471" si="3319">$S1471*P1471</f>
        <v>0.28377116886123122</v>
      </c>
      <c r="U1471" s="1">
        <f t="shared" si="3319"/>
        <v>0</v>
      </c>
      <c r="V1471" s="1">
        <f t="shared" si="3319"/>
        <v>0.64587872000472468</v>
      </c>
      <c r="W1471" s="1">
        <f t="shared" si="3189"/>
        <v>-8.4417567084189304</v>
      </c>
      <c r="X1471" s="1">
        <f t="shared" si="3190"/>
        <v>0</v>
      </c>
      <c r="Y1471" s="1">
        <f t="shared" si="3191"/>
        <v>-5.3271517969924327</v>
      </c>
    </row>
    <row r="1472" spans="1:25">
      <c r="A1472" s="1">
        <v>1.46999999999999</v>
      </c>
      <c r="B1472" s="1">
        <f t="shared" si="3192"/>
        <v>45.449334713517722</v>
      </c>
      <c r="C1472" s="1">
        <f t="shared" si="3193"/>
        <v>0</v>
      </c>
      <c r="D1472" s="1">
        <f t="shared" si="3194"/>
        <v>-3.1654688772196447</v>
      </c>
      <c r="E1472" s="1">
        <f t="shared" si="3195"/>
        <v>14.001923248670522</v>
      </c>
      <c r="F1472" s="1">
        <f t="shared" si="3196"/>
        <v>0</v>
      </c>
      <c r="G1472" s="1">
        <f t="shared" si="3197"/>
        <v>-6.1608754468697731</v>
      </c>
      <c r="H1472" s="1">
        <f t="shared" si="2880"/>
        <v>15.297393272499171</v>
      </c>
      <c r="I1472" s="1">
        <f t="shared" si="3180"/>
        <v>-8.7170886382945714</v>
      </c>
      <c r="J1472" s="1">
        <f t="shared" si="3181"/>
        <v>0</v>
      </c>
      <c r="K1472" s="1">
        <f t="shared" si="3182"/>
        <v>3.8355371905752844</v>
      </c>
      <c r="L1472" s="1">
        <f t="shared" ref="L1472:N1472" si="3320">E1472/$H1472</f>
        <v>0.91531432834654414</v>
      </c>
      <c r="M1472" s="1">
        <f t="shared" si="3320"/>
        <v>0</v>
      </c>
      <c r="N1472" s="1">
        <f t="shared" si="3320"/>
        <v>-0.40274021443545305</v>
      </c>
      <c r="O1472" s="1">
        <f t="shared" si="2882"/>
        <v>-0.40274021443545305</v>
      </c>
      <c r="P1472" s="1">
        <f t="shared" si="3184"/>
        <v>0.36863388887412984</v>
      </c>
      <c r="Q1472" s="1">
        <f t="shared" si="3185"/>
        <v>0</v>
      </c>
      <c r="R1472" s="1">
        <f t="shared" si="3186"/>
        <v>0.83780031967648527</v>
      </c>
      <c r="S1472" s="1">
        <f t="shared" si="3187"/>
        <v>0.76999328872936734</v>
      </c>
      <c r="T1472" s="1">
        <f t="shared" ref="T1472:V1472" si="3321">$S1472*P1472</f>
        <v>0.28384562043128736</v>
      </c>
      <c r="U1472" s="1">
        <f t="shared" si="3321"/>
        <v>0</v>
      </c>
      <c r="V1472" s="1">
        <f t="shared" si="3321"/>
        <v>0.64510062344621222</v>
      </c>
      <c r="W1472" s="1">
        <f t="shared" si="3189"/>
        <v>-8.4332430178632833</v>
      </c>
      <c r="X1472" s="1">
        <f t="shared" si="3190"/>
        <v>0</v>
      </c>
      <c r="Y1472" s="1">
        <f t="shared" si="3191"/>
        <v>-5.3260121859785023</v>
      </c>
    </row>
    <row r="1473" spans="1:25">
      <c r="A1473" s="1">
        <v>1.4709999999999901</v>
      </c>
      <c r="B1473" s="1">
        <f t="shared" si="3192"/>
        <v>45.463328203523375</v>
      </c>
      <c r="C1473" s="1">
        <f t="shared" si="3193"/>
        <v>0</v>
      </c>
      <c r="D1473" s="1">
        <f t="shared" si="3194"/>
        <v>-3.1716350786787002</v>
      </c>
      <c r="E1473" s="1">
        <f t="shared" si="3195"/>
        <v>13.993490005652658</v>
      </c>
      <c r="F1473" s="1">
        <f t="shared" si="3196"/>
        <v>0</v>
      </c>
      <c r="G1473" s="1">
        <f t="shared" si="3197"/>
        <v>-6.1662014590557517</v>
      </c>
      <c r="H1473" s="1">
        <f t="shared" si="2880"/>
        <v>15.291821440625119</v>
      </c>
      <c r="I1473" s="1">
        <f t="shared" si="3180"/>
        <v>-8.7086652592277289</v>
      </c>
      <c r="J1473" s="1">
        <f t="shared" si="3181"/>
        <v>0</v>
      </c>
      <c r="K1473" s="1">
        <f t="shared" si="3182"/>
        <v>3.8374547311775933</v>
      </c>
      <c r="L1473" s="1">
        <f t="shared" ref="L1473:N1473" si="3322">E1473/$H1473</f>
        <v>0.91509635133959644</v>
      </c>
      <c r="M1473" s="1">
        <f t="shared" si="3322"/>
        <v>0</v>
      </c>
      <c r="N1473" s="1">
        <f t="shared" si="3322"/>
        <v>-0.40323525114374353</v>
      </c>
      <c r="O1473" s="1">
        <f t="shared" si="2882"/>
        <v>-0.40323525114374353</v>
      </c>
      <c r="P1473" s="1">
        <f t="shared" si="3184"/>
        <v>0.36899910705314554</v>
      </c>
      <c r="Q1473" s="1">
        <f t="shared" si="3185"/>
        <v>0</v>
      </c>
      <c r="R1473" s="1">
        <f t="shared" si="3186"/>
        <v>0.8374013322350421</v>
      </c>
      <c r="S1473" s="1">
        <f t="shared" si="3187"/>
        <v>0.76943247529655512</v>
      </c>
      <c r="T1473" s="1">
        <f t="shared" ref="T1473:V1473" si="3323">$S1473*P1473</f>
        <v>0.28391989632212028</v>
      </c>
      <c r="U1473" s="1">
        <f t="shared" si="3323"/>
        <v>0</v>
      </c>
      <c r="V1473" s="1">
        <f t="shared" si="3323"/>
        <v>0.64432377987824141</v>
      </c>
      <c r="W1473" s="1">
        <f t="shared" si="3189"/>
        <v>-8.4247453629056093</v>
      </c>
      <c r="X1473" s="1">
        <f t="shared" si="3190"/>
        <v>0</v>
      </c>
      <c r="Y1473" s="1">
        <f t="shared" si="3191"/>
        <v>-5.3248714889441651</v>
      </c>
    </row>
    <row r="1474" spans="1:25">
      <c r="A1474" s="1">
        <v>1.47199999999999</v>
      </c>
      <c r="B1474" s="1">
        <f t="shared" si="3192"/>
        <v>45.477313268783668</v>
      </c>
      <c r="C1474" s="1">
        <f t="shared" si="3193"/>
        <v>0</v>
      </c>
      <c r="D1474" s="1">
        <f t="shared" si="3194"/>
        <v>-3.1778066050092448</v>
      </c>
      <c r="E1474" s="1">
        <f t="shared" si="3195"/>
        <v>13.985065260289753</v>
      </c>
      <c r="F1474" s="1">
        <f t="shared" si="3196"/>
        <v>0</v>
      </c>
      <c r="G1474" s="1">
        <f t="shared" si="3197"/>
        <v>-6.1715263305446957</v>
      </c>
      <c r="H1474" s="1">
        <f t="shared" si="2880"/>
        <v>15.286261399805047</v>
      </c>
      <c r="I1474" s="1">
        <f t="shared" ref="I1474:I1537" si="3324">-K_drag*$H1474*E1474</f>
        <v>-8.7002577022057128</v>
      </c>
      <c r="J1474" s="1">
        <f t="shared" ref="J1474:J1537" si="3325">-K_drag*$H1474*F1474</f>
        <v>0</v>
      </c>
      <c r="K1474" s="1">
        <f t="shared" ref="K1474:K1537" si="3326">-K_drag*$H1474*G1474</f>
        <v>3.8393721081981123</v>
      </c>
      <c r="L1474" s="1">
        <f t="shared" ref="L1474:N1474" si="3327">E1474/$H1474</f>
        <v>0.91487806563795326</v>
      </c>
      <c r="M1474" s="1">
        <f t="shared" si="3327"/>
        <v>0</v>
      </c>
      <c r="N1474" s="1">
        <f t="shared" si="3327"/>
        <v>-0.4037302626934931</v>
      </c>
      <c r="O1474" s="1">
        <f t="shared" si="2882"/>
        <v>-0.4037302626934931</v>
      </c>
      <c r="P1474" s="1">
        <f t="shared" ref="P1474:P1537" si="3328">u_axis_f-$O1474*L1474</f>
        <v>0.36936396177252567</v>
      </c>
      <c r="Q1474" s="1">
        <f t="shared" ref="Q1474:Q1537" si="3329">u_axis_r-$O1474*M1474</f>
        <v>0</v>
      </c>
      <c r="R1474" s="1">
        <f t="shared" ref="R1474:R1537" si="3330">u_axis_u-$O1474*N1474</f>
        <v>0.8370018749854431</v>
      </c>
      <c r="S1474" s="1">
        <f t="shared" ref="S1474:S1537" si="3331">K_lift*H1474^2</f>
        <v>0.76887305230793468</v>
      </c>
      <c r="T1474" s="1">
        <f t="shared" ref="T1474:V1474" si="3332">$S1474*P1474</f>
        <v>0.28399399670059311</v>
      </c>
      <c r="U1474" s="1">
        <f t="shared" si="3332"/>
        <v>0</v>
      </c>
      <c r="V1474" s="1">
        <f t="shared" si="3332"/>
        <v>0.64354818640752198</v>
      </c>
      <c r="W1474" s="1">
        <f t="shared" ref="W1474:W1537" si="3333">I1474+T1474+g_f</f>
        <v>-8.4162637055051199</v>
      </c>
      <c r="X1474" s="1">
        <f t="shared" ref="X1474:X1537" si="3334">J1474+U1474+g_r</f>
        <v>0</v>
      </c>
      <c r="Y1474" s="1">
        <f t="shared" ref="Y1474:Y1537" si="3335">K1474+V1474+g_u</f>
        <v>-5.3237297053943653</v>
      </c>
    </row>
    <row r="1475" spans="1:25">
      <c r="A1475" s="1">
        <v>1.4729999999999901</v>
      </c>
      <c r="B1475" s="1">
        <f t="shared" ref="B1475:B1538" si="3336">B1474+E1475*dt</f>
        <v>45.49128991778025</v>
      </c>
      <c r="C1475" s="1">
        <f t="shared" ref="C1475:C1538" si="3337">C1474+F1475*dt</f>
        <v>0</v>
      </c>
      <c r="D1475" s="1">
        <f t="shared" ref="D1475:D1538" si="3338">D1474+G1475*dt</f>
        <v>-3.183983455069495</v>
      </c>
      <c r="E1475" s="1">
        <f t="shared" ref="E1475:E1538" si="3339">E1474+W1474*dt</f>
        <v>13.976648996584247</v>
      </c>
      <c r="F1475" s="1">
        <f t="shared" ref="F1475:F1538" si="3340">F1474+X1474*dt</f>
        <v>0</v>
      </c>
      <c r="G1475" s="1">
        <f t="shared" ref="G1475:G1538" si="3341">G1474+Y1474*dt</f>
        <v>-6.1768500602500902</v>
      </c>
      <c r="H1475" s="1">
        <f t="shared" si="2880"/>
        <v>15.280713132590735</v>
      </c>
      <c r="I1475" s="1">
        <f t="shared" si="3324"/>
        <v>-8.691865929458368</v>
      </c>
      <c r="J1475" s="1">
        <f t="shared" si="3325"/>
        <v>0</v>
      </c>
      <c r="K1475" s="1">
        <f t="shared" si="3326"/>
        <v>3.8412893250149964</v>
      </c>
      <c r="L1475" s="1">
        <f t="shared" ref="L1475:N1475" si="3342">E1475/$H1475</f>
        <v>0.91465947140744519</v>
      </c>
      <c r="M1475" s="1">
        <f t="shared" si="3342"/>
        <v>0</v>
      </c>
      <c r="N1475" s="1">
        <f t="shared" si="3342"/>
        <v>-0.40422524830180157</v>
      </c>
      <c r="O1475" s="1">
        <f t="shared" si="2882"/>
        <v>-0.40422524830180157</v>
      </c>
      <c r="P1475" s="1">
        <f t="shared" si="3328"/>
        <v>0.36972845194126908</v>
      </c>
      <c r="Q1475" s="1">
        <f t="shared" si="3329"/>
        <v>0</v>
      </c>
      <c r="R1475" s="1">
        <f t="shared" si="3330"/>
        <v>0.83660194863534687</v>
      </c>
      <c r="S1475" s="1">
        <f t="shared" si="3331"/>
        <v>0.76831501671461422</v>
      </c>
      <c r="T1475" s="1">
        <f t="shared" ref="T1475:V1475" si="3343">$S1475*P1475</f>
        <v>0.28406792173312462</v>
      </c>
      <c r="U1475" s="1">
        <f t="shared" si="3343"/>
        <v>0</v>
      </c>
      <c r="V1475" s="1">
        <f t="shared" si="3343"/>
        <v>0.64277384014924532</v>
      </c>
      <c r="W1475" s="1">
        <f t="shared" si="3333"/>
        <v>-8.4077980077252441</v>
      </c>
      <c r="X1475" s="1">
        <f t="shared" si="3334"/>
        <v>0</v>
      </c>
      <c r="Y1475" s="1">
        <f t="shared" si="3335"/>
        <v>-5.3225868348357572</v>
      </c>
    </row>
    <row r="1476" spans="1:25">
      <c r="A1476" s="1">
        <v>1.47399999999999</v>
      </c>
      <c r="B1476" s="1">
        <f t="shared" si="3336"/>
        <v>45.505258158978826</v>
      </c>
      <c r="C1476" s="1">
        <f t="shared" si="3337"/>
        <v>0</v>
      </c>
      <c r="D1476" s="1">
        <f t="shared" si="3338"/>
        <v>-3.19016562771658</v>
      </c>
      <c r="E1476" s="1">
        <f t="shared" si="3339"/>
        <v>13.968241198576521</v>
      </c>
      <c r="F1476" s="1">
        <f t="shared" si="3340"/>
        <v>0</v>
      </c>
      <c r="G1476" s="1">
        <f t="shared" si="3341"/>
        <v>-6.1821726470849256</v>
      </c>
      <c r="H1476" s="1">
        <f t="shared" si="2880"/>
        <v>15.275176621564004</v>
      </c>
      <c r="I1476" s="1">
        <f t="shared" si="3324"/>
        <v>-8.6834899033189732</v>
      </c>
      <c r="J1476" s="1">
        <f t="shared" si="3325"/>
        <v>0</v>
      </c>
      <c r="K1476" s="1">
        <f t="shared" si="3326"/>
        <v>3.8432063849962299</v>
      </c>
      <c r="L1476" s="1">
        <f t="shared" ref="L1476:N1476" si="3344">E1476/$H1476</f>
        <v>0.91444056881525815</v>
      </c>
      <c r="M1476" s="1">
        <f t="shared" si="3344"/>
        <v>0</v>
      </c>
      <c r="N1476" s="1">
        <f t="shared" si="3344"/>
        <v>-0.40472020718618318</v>
      </c>
      <c r="O1476" s="1">
        <f t="shared" si="2882"/>
        <v>-0.40472020718618318</v>
      </c>
      <c r="P1476" s="1">
        <f t="shared" si="3328"/>
        <v>0.37009257647036248</v>
      </c>
      <c r="Q1476" s="1">
        <f t="shared" si="3329"/>
        <v>0</v>
      </c>
      <c r="R1476" s="1">
        <f t="shared" si="3330"/>
        <v>0.83620155389517292</v>
      </c>
      <c r="S1476" s="1">
        <f t="shared" si="3331"/>
        <v>0.76775836547600973</v>
      </c>
      <c r="T1476" s="1">
        <f t="shared" ref="T1476:V1476" si="3345">$S1476*P1476</f>
        <v>0.28414167158569065</v>
      </c>
      <c r="U1476" s="1">
        <f t="shared" si="3345"/>
        <v>0</v>
      </c>
      <c r="V1476" s="1">
        <f t="shared" si="3345"/>
        <v>0.64200073822705739</v>
      </c>
      <c r="W1476" s="1">
        <f t="shared" si="3333"/>
        <v>-8.399348231733283</v>
      </c>
      <c r="X1476" s="1">
        <f t="shared" si="3334"/>
        <v>0</v>
      </c>
      <c r="Y1476" s="1">
        <f t="shared" si="3335"/>
        <v>-5.3214428767767119</v>
      </c>
    </row>
    <row r="1477" spans="1:25">
      <c r="A1477" s="1">
        <v>1.4749999999999901</v>
      </c>
      <c r="B1477" s="1">
        <f t="shared" si="3336"/>
        <v>45.51921800082917</v>
      </c>
      <c r="C1477" s="1">
        <f t="shared" si="3337"/>
        <v>0</v>
      </c>
      <c r="D1477" s="1">
        <f t="shared" si="3338"/>
        <v>-3.1963531218065415</v>
      </c>
      <c r="E1477" s="1">
        <f t="shared" si="3339"/>
        <v>13.959841850344787</v>
      </c>
      <c r="F1477" s="1">
        <f t="shared" si="3340"/>
        <v>0</v>
      </c>
      <c r="G1477" s="1">
        <f t="shared" si="3341"/>
        <v>-6.1874940899617021</v>
      </c>
      <c r="H1477" s="1">
        <f t="shared" si="2880"/>
        <v>15.269651849336604</v>
      </c>
      <c r="I1477" s="1">
        <f t="shared" si="3324"/>
        <v>-8.6751295862238695</v>
      </c>
      <c r="J1477" s="1">
        <f t="shared" si="3325"/>
        <v>0</v>
      </c>
      <c r="K1477" s="1">
        <f t="shared" si="3326"/>
        <v>3.8451232914996347</v>
      </c>
      <c r="L1477" s="1">
        <f t="shared" ref="L1477:N1477" si="3346">E1477/$H1477</f>
        <v>0.91422135802993298</v>
      </c>
      <c r="M1477" s="1">
        <f t="shared" si="3346"/>
        <v>0</v>
      </c>
      <c r="N1477" s="1">
        <f t="shared" si="3346"/>
        <v>-0.40521513856457181</v>
      </c>
      <c r="O1477" s="1">
        <f t="shared" si="2882"/>
        <v>-0.40521513856457181</v>
      </c>
      <c r="P1477" s="1">
        <f t="shared" si="3328"/>
        <v>0.37045633427279029</v>
      </c>
      <c r="Q1477" s="1">
        <f t="shared" si="3329"/>
        <v>0</v>
      </c>
      <c r="R1477" s="1">
        <f t="shared" si="3330"/>
        <v>0.83580069147809488</v>
      </c>
      <c r="S1477" s="1">
        <f t="shared" si="3331"/>
        <v>0.76720309555981425</v>
      </c>
      <c r="T1477" s="1">
        <f t="shared" ref="T1477:V1477" si="3347">$S1477*P1477</f>
        <v>0.28421524642382601</v>
      </c>
      <c r="U1477" s="1">
        <f t="shared" si="3347"/>
        <v>0</v>
      </c>
      <c r="V1477" s="1">
        <f t="shared" si="3347"/>
        <v>0.64122887777302762</v>
      </c>
      <c r="W1477" s="1">
        <f t="shared" si="3333"/>
        <v>-8.3909143398000428</v>
      </c>
      <c r="X1477" s="1">
        <f t="shared" si="3334"/>
        <v>0</v>
      </c>
      <c r="Y1477" s="1">
        <f t="shared" si="3335"/>
        <v>-5.3202978307273368</v>
      </c>
    </row>
    <row r="1478" spans="1:25">
      <c r="A1478" s="1">
        <v>1.47599999999999</v>
      </c>
      <c r="B1478" s="1">
        <f t="shared" si="3336"/>
        <v>45.533169451765175</v>
      </c>
      <c r="C1478" s="1">
        <f t="shared" si="3337"/>
        <v>0</v>
      </c>
      <c r="D1478" s="1">
        <f t="shared" si="3338"/>
        <v>-3.2025459361943338</v>
      </c>
      <c r="E1478" s="1">
        <f t="shared" si="3339"/>
        <v>13.951450936004987</v>
      </c>
      <c r="F1478" s="1">
        <f t="shared" si="3340"/>
        <v>0</v>
      </c>
      <c r="G1478" s="1">
        <f t="shared" si="3341"/>
        <v>-6.1928143877924295</v>
      </c>
      <c r="H1478" s="1">
        <f t="shared" si="2880"/>
        <v>15.264138798550128</v>
      </c>
      <c r="I1478" s="1">
        <f t="shared" si="3324"/>
        <v>-8.6667849407121267</v>
      </c>
      <c r="J1478" s="1">
        <f t="shared" si="3325"/>
        <v>0</v>
      </c>
      <c r="K1478" s="1">
        <f t="shared" si="3326"/>
        <v>3.8470400478728841</v>
      </c>
      <c r="L1478" s="1">
        <f t="shared" ref="L1478:N1478" si="3348">E1478/$H1478</f>
        <v>0.91400183922136324</v>
      </c>
      <c r="M1478" s="1">
        <f t="shared" si="3348"/>
        <v>0</v>
      </c>
      <c r="N1478" s="1">
        <f t="shared" si="3348"/>
        <v>-0.40571004165532465</v>
      </c>
      <c r="O1478" s="1">
        <f t="shared" si="2882"/>
        <v>-0.40571004165532465</v>
      </c>
      <c r="P1478" s="1">
        <f t="shared" si="3328"/>
        <v>0.37081972426354265</v>
      </c>
      <c r="Q1478" s="1">
        <f t="shared" si="3329"/>
        <v>0</v>
      </c>
      <c r="R1478" s="1">
        <f t="shared" si="3330"/>
        <v>0.83539936210003474</v>
      </c>
      <c r="S1478" s="1">
        <f t="shared" si="3331"/>
        <v>0.76664920394197045</v>
      </c>
      <c r="T1478" s="1">
        <f t="shared" ref="T1478:V1478" si="3349">$S1478*P1478</f>
        <v>0.28428864641262597</v>
      </c>
      <c r="U1478" s="1">
        <f t="shared" si="3349"/>
        <v>0</v>
      </c>
      <c r="V1478" s="1">
        <f t="shared" si="3349"/>
        <v>0.64045825592762151</v>
      </c>
      <c r="W1478" s="1">
        <f t="shared" si="3333"/>
        <v>-8.3824962942995001</v>
      </c>
      <c r="X1478" s="1">
        <f t="shared" si="3334"/>
        <v>0</v>
      </c>
      <c r="Y1478" s="1">
        <f t="shared" si="3335"/>
        <v>-5.3191516961994942</v>
      </c>
    </row>
    <row r="1479" spans="1:25">
      <c r="A1479" s="1">
        <v>1.4769999999999901</v>
      </c>
      <c r="B1479" s="1">
        <f t="shared" si="3336"/>
        <v>45.547112520204884</v>
      </c>
      <c r="C1479" s="1">
        <f t="shared" si="3337"/>
        <v>0</v>
      </c>
      <c r="D1479" s="1">
        <f t="shared" si="3338"/>
        <v>-3.2087440697338225</v>
      </c>
      <c r="E1479" s="1">
        <f t="shared" si="3339"/>
        <v>13.943068439710688</v>
      </c>
      <c r="F1479" s="1">
        <f t="shared" si="3340"/>
        <v>0</v>
      </c>
      <c r="G1479" s="1">
        <f t="shared" si="3341"/>
        <v>-6.1981335394886292</v>
      </c>
      <c r="H1479" s="1">
        <f t="shared" si="2880"/>
        <v>15.258637451875908</v>
      </c>
      <c r="I1479" s="1">
        <f t="shared" si="3324"/>
        <v>-8.6584559294251875</v>
      </c>
      <c r="J1479" s="1">
        <f t="shared" si="3325"/>
        <v>0</v>
      </c>
      <c r="K1479" s="1">
        <f t="shared" si="3326"/>
        <v>3.848956657453515</v>
      </c>
      <c r="L1479" s="1">
        <f t="shared" ref="L1479:N1479" si="3350">E1479/$H1479</f>
        <v>0.91378201256079505</v>
      </c>
      <c r="M1479" s="1">
        <f t="shared" si="3350"/>
        <v>0</v>
      </c>
      <c r="N1479" s="1">
        <f t="shared" si="3350"/>
        <v>-0.40620491567722689</v>
      </c>
      <c r="O1479" s="1">
        <f t="shared" si="2882"/>
        <v>-0.40620491567722689</v>
      </c>
      <c r="P1479" s="1">
        <f t="shared" si="3328"/>
        <v>0.37118274535962442</v>
      </c>
      <c r="Q1479" s="1">
        <f t="shared" si="3329"/>
        <v>0</v>
      </c>
      <c r="R1479" s="1">
        <f t="shared" si="3330"/>
        <v>0.83499756647965695</v>
      </c>
      <c r="S1479" s="1">
        <f t="shared" si="3331"/>
        <v>0.76609668760664162</v>
      </c>
      <c r="T1479" s="1">
        <f t="shared" ref="T1479:V1479" si="3351">$S1479*P1479</f>
        <v>0.28436187171674782</v>
      </c>
      <c r="U1479" s="1">
        <f t="shared" si="3351"/>
        <v>0</v>
      </c>
      <c r="V1479" s="1">
        <f t="shared" si="3351"/>
        <v>0.63968886983967177</v>
      </c>
      <c r="W1479" s="1">
        <f t="shared" si="3333"/>
        <v>-8.3740940577084402</v>
      </c>
      <c r="X1479" s="1">
        <f t="shared" si="3334"/>
        <v>0</v>
      </c>
      <c r="Y1479" s="1">
        <f t="shared" si="3335"/>
        <v>-5.3180044727068125</v>
      </c>
    </row>
    <row r="1480" spans="1:25">
      <c r="A1480" s="1">
        <v>1.47799999999999</v>
      </c>
      <c r="B1480" s="1">
        <f t="shared" si="3336"/>
        <v>45.561047214550534</v>
      </c>
      <c r="C1480" s="1">
        <f t="shared" si="3337"/>
        <v>0</v>
      </c>
      <c r="D1480" s="1">
        <f t="shared" si="3338"/>
        <v>-3.214947521277784</v>
      </c>
      <c r="E1480" s="1">
        <f t="shared" si="3339"/>
        <v>13.934694345652979</v>
      </c>
      <c r="F1480" s="1">
        <f t="shared" si="3340"/>
        <v>0</v>
      </c>
      <c r="G1480" s="1">
        <f t="shared" si="3341"/>
        <v>-6.2034515439613358</v>
      </c>
      <c r="H1480" s="1">
        <f t="shared" si="2880"/>
        <v>15.253147792014911</v>
      </c>
      <c r="I1480" s="1">
        <f t="shared" si="3324"/>
        <v>-8.6501425151065163</v>
      </c>
      <c r="J1480" s="1">
        <f t="shared" si="3325"/>
        <v>0</v>
      </c>
      <c r="K1480" s="1">
        <f t="shared" si="3326"/>
        <v>3.8508731235689386</v>
      </c>
      <c r="L1480" s="1">
        <f t="shared" ref="L1480:N1480" si="3352">E1480/$H1480</f>
        <v>0.91356187822082546</v>
      </c>
      <c r="M1480" s="1">
        <f t="shared" si="3352"/>
        <v>0</v>
      </c>
      <c r="N1480" s="1">
        <f t="shared" si="3352"/>
        <v>-0.40669975984949608</v>
      </c>
      <c r="O1480" s="1">
        <f t="shared" si="2882"/>
        <v>-0.40669975984949608</v>
      </c>
      <c r="P1480" s="1">
        <f t="shared" si="3328"/>
        <v>0.37154539648006429</v>
      </c>
      <c r="Q1480" s="1">
        <f t="shared" si="3329"/>
        <v>0</v>
      </c>
      <c r="R1480" s="1">
        <f t="shared" si="3330"/>
        <v>0.83459530533836224</v>
      </c>
      <c r="S1480" s="1">
        <f t="shared" si="3331"/>
        <v>0.76554554354618265</v>
      </c>
      <c r="T1480" s="1">
        <f t="shared" ref="T1480:V1480" si="3353">$S1480*P1480</f>
        <v>0.28443492250041275</v>
      </c>
      <c r="U1480" s="1">
        <f t="shared" si="3353"/>
        <v>0</v>
      </c>
      <c r="V1480" s="1">
        <f t="shared" si="3353"/>
        <v>0.63892071666634875</v>
      </c>
      <c r="W1480" s="1">
        <f t="shared" si="3333"/>
        <v>-8.3657075926061033</v>
      </c>
      <c r="X1480" s="1">
        <f t="shared" si="3334"/>
        <v>0</v>
      </c>
      <c r="Y1480" s="1">
        <f t="shared" si="3335"/>
        <v>-5.3168561597647122</v>
      </c>
    </row>
    <row r="1481" spans="1:25">
      <c r="A1481" s="1">
        <v>1.4789999999999901</v>
      </c>
      <c r="B1481" s="1">
        <f t="shared" si="3336"/>
        <v>45.574973543188591</v>
      </c>
      <c r="C1481" s="1">
        <f t="shared" si="3337"/>
        <v>0</v>
      </c>
      <c r="D1481" s="1">
        <f t="shared" si="3338"/>
        <v>-3.2211562896779053</v>
      </c>
      <c r="E1481" s="1">
        <f t="shared" si="3339"/>
        <v>13.926328638060372</v>
      </c>
      <c r="F1481" s="1">
        <f t="shared" si="3340"/>
        <v>0</v>
      </c>
      <c r="G1481" s="1">
        <f t="shared" si="3341"/>
        <v>-6.2087684001211008</v>
      </c>
      <c r="H1481" s="1">
        <f t="shared" si="2880"/>
        <v>15.247669801697661</v>
      </c>
      <c r="I1481" s="1">
        <f t="shared" si="3324"/>
        <v>-8.6418446606012669</v>
      </c>
      <c r="J1481" s="1">
        <f t="shared" si="3325"/>
        <v>0</v>
      </c>
      <c r="K1481" s="1">
        <f t="shared" si="3326"/>
        <v>3.8527894495364561</v>
      </c>
      <c r="L1481" s="1">
        <f t="shared" ref="L1481:N1481" si="3354">E1481/$H1481</f>
        <v>0.91334143637540133</v>
      </c>
      <c r="M1481" s="1">
        <f t="shared" si="3354"/>
        <v>0</v>
      </c>
      <c r="N1481" s="1">
        <f t="shared" si="3354"/>
        <v>-0.40719457339178622</v>
      </c>
      <c r="O1481" s="1">
        <f t="shared" si="2882"/>
        <v>-0.40719457339178622</v>
      </c>
      <c r="P1481" s="1">
        <f t="shared" si="3328"/>
        <v>0.37190767654592277</v>
      </c>
      <c r="Q1481" s="1">
        <f t="shared" si="3329"/>
        <v>0</v>
      </c>
      <c r="R1481" s="1">
        <f t="shared" si="3330"/>
        <v>0.83419257940028124</v>
      </c>
      <c r="S1481" s="1">
        <f t="shared" si="3331"/>
        <v>0.76499576876111264</v>
      </c>
      <c r="T1481" s="1">
        <f t="shared" ref="T1481:V1481" si="3355">$S1481*P1481</f>
        <v>0.28450779892740741</v>
      </c>
      <c r="U1481" s="1">
        <f t="shared" si="3355"/>
        <v>0</v>
      </c>
      <c r="V1481" s="1">
        <f t="shared" si="3355"/>
        <v>0.63815379357313362</v>
      </c>
      <c r="W1481" s="1">
        <f t="shared" si="3333"/>
        <v>-8.3573368616738595</v>
      </c>
      <c r="X1481" s="1">
        <f t="shared" si="3334"/>
        <v>0</v>
      </c>
      <c r="Y1481" s="1">
        <f t="shared" si="3335"/>
        <v>-5.3157067568904095</v>
      </c>
    </row>
    <row r="1482" spans="1:25">
      <c r="A1482" s="1">
        <v>1.47999999999999</v>
      </c>
      <c r="B1482" s="1">
        <f t="shared" si="3336"/>
        <v>45.588891514489788</v>
      </c>
      <c r="C1482" s="1">
        <f t="shared" si="3337"/>
        <v>0</v>
      </c>
      <c r="D1482" s="1">
        <f t="shared" si="3338"/>
        <v>-3.2273703737847832</v>
      </c>
      <c r="E1482" s="1">
        <f t="shared" si="3339"/>
        <v>13.917971301198698</v>
      </c>
      <c r="F1482" s="1">
        <f t="shared" si="3340"/>
        <v>0</v>
      </c>
      <c r="G1482" s="1">
        <f t="shared" si="3341"/>
        <v>-6.2140841068779915</v>
      </c>
      <c r="H1482" s="1">
        <f t="shared" si="2880"/>
        <v>15.24220346368412</v>
      </c>
      <c r="I1482" s="1">
        <f t="shared" si="3324"/>
        <v>-8.633562328855918</v>
      </c>
      <c r="J1482" s="1">
        <f t="shared" si="3325"/>
        <v>0</v>
      </c>
      <c r="K1482" s="1">
        <f t="shared" si="3326"/>
        <v>3.8547056386632632</v>
      </c>
      <c r="L1482" s="1">
        <f t="shared" ref="L1482:N1482" si="3356">E1482/$H1482</f>
        <v>0.91312068719981854</v>
      </c>
      <c r="M1482" s="1">
        <f t="shared" si="3356"/>
        <v>0</v>
      </c>
      <c r="N1482" s="1">
        <f t="shared" si="3356"/>
        <v>-0.40768935552419233</v>
      </c>
      <c r="O1482" s="1">
        <f t="shared" si="2882"/>
        <v>-0.40768935552419233</v>
      </c>
      <c r="P1482" s="1">
        <f t="shared" si="3328"/>
        <v>0.37226958448030162</v>
      </c>
      <c r="Q1482" s="1">
        <f t="shared" si="3329"/>
        <v>0</v>
      </c>
      <c r="R1482" s="1">
        <f t="shared" si="3330"/>
        <v>0.83378938939226876</v>
      </c>
      <c r="S1482" s="1">
        <f t="shared" si="3331"/>
        <v>0.76444736026008531</v>
      </c>
      <c r="T1482" s="1">
        <f t="shared" ref="T1482:V1482" si="3357">$S1482*P1482</f>
        <v>0.28458050116108541</v>
      </c>
      <c r="U1482" s="1">
        <f t="shared" si="3357"/>
        <v>0</v>
      </c>
      <c r="V1482" s="1">
        <f t="shared" si="3357"/>
        <v>0.63738809773378824</v>
      </c>
      <c r="W1482" s="1">
        <f t="shared" si="3333"/>
        <v>-8.348981827694832</v>
      </c>
      <c r="X1482" s="1">
        <f t="shared" si="3334"/>
        <v>0</v>
      </c>
      <c r="Y1482" s="1">
        <f t="shared" si="3335"/>
        <v>-5.314556263602948</v>
      </c>
    </row>
    <row r="1483" spans="1:25">
      <c r="A1483" s="1">
        <v>1.4809999999999901</v>
      </c>
      <c r="B1483" s="1">
        <f t="shared" si="3336"/>
        <v>45.602801136809155</v>
      </c>
      <c r="C1483" s="1">
        <f t="shared" si="3337"/>
        <v>0</v>
      </c>
      <c r="D1483" s="1">
        <f t="shared" si="3338"/>
        <v>-3.233589772447925</v>
      </c>
      <c r="E1483" s="1">
        <f t="shared" si="3339"/>
        <v>13.909622319371003</v>
      </c>
      <c r="F1483" s="1">
        <f t="shared" si="3340"/>
        <v>0</v>
      </c>
      <c r="G1483" s="1">
        <f t="shared" si="3341"/>
        <v>-6.2193986631415941</v>
      </c>
      <c r="H1483" s="1">
        <f t="shared" si="2880"/>
        <v>15.236748760763611</v>
      </c>
      <c r="I1483" s="1">
        <f t="shared" si="3324"/>
        <v>-8.625295482917954</v>
      </c>
      <c r="J1483" s="1">
        <f t="shared" si="3325"/>
        <v>0</v>
      </c>
      <c r="K1483" s="1">
        <f t="shared" si="3326"/>
        <v>3.8566216942464733</v>
      </c>
      <c r="L1483" s="1">
        <f t="shared" ref="L1483:N1483" si="3358">E1483/$H1483</f>
        <v>0.91289963087072012</v>
      </c>
      <c r="M1483" s="1">
        <f t="shared" si="3358"/>
        <v>0</v>
      </c>
      <c r="N1483" s="1">
        <f t="shared" si="3358"/>
        <v>-0.40818410546725459</v>
      </c>
      <c r="O1483" s="1">
        <f t="shared" si="2882"/>
        <v>-0.40818410546725459</v>
      </c>
      <c r="P1483" s="1">
        <f t="shared" si="3328"/>
        <v>0.37263111920835179</v>
      </c>
      <c r="Q1483" s="1">
        <f t="shared" si="3329"/>
        <v>0</v>
      </c>
      <c r="R1483" s="1">
        <f t="shared" si="3330"/>
        <v>0.83338573604389721</v>
      </c>
      <c r="S1483" s="1">
        <f t="shared" si="3331"/>
        <v>0.76390031505986222</v>
      </c>
      <c r="T1483" s="1">
        <f t="shared" ref="T1483:V1483" si="3359">$S1483*P1483</f>
        <v>0.28465302936436904</v>
      </c>
      <c r="U1483" s="1">
        <f t="shared" si="3359"/>
        <v>0</v>
      </c>
      <c r="V1483" s="1">
        <f t="shared" si="3359"/>
        <v>0.63662362633032821</v>
      </c>
      <c r="W1483" s="1">
        <f t="shared" si="3333"/>
        <v>-8.3406424535535848</v>
      </c>
      <c r="X1483" s="1">
        <f t="shared" si="3334"/>
        <v>0</v>
      </c>
      <c r="Y1483" s="1">
        <f t="shared" si="3335"/>
        <v>-5.3134046794231979</v>
      </c>
    </row>
    <row r="1484" spans="1:25">
      <c r="A1484" s="1">
        <v>1.48199999999999</v>
      </c>
      <c r="B1484" s="1">
        <f t="shared" si="3336"/>
        <v>45.616702418486071</v>
      </c>
      <c r="C1484" s="1">
        <f t="shared" si="3337"/>
        <v>0</v>
      </c>
      <c r="D1484" s="1">
        <f t="shared" si="3338"/>
        <v>-3.2398144845157462</v>
      </c>
      <c r="E1484" s="1">
        <f t="shared" si="3339"/>
        <v>13.901281676917449</v>
      </c>
      <c r="F1484" s="1">
        <f t="shared" si="3340"/>
        <v>0</v>
      </c>
      <c r="G1484" s="1">
        <f t="shared" si="3341"/>
        <v>-6.2247120678210175</v>
      </c>
      <c r="H1484" s="1">
        <f t="shared" si="2880"/>
        <v>15.231305675754703</v>
      </c>
      <c r="I1484" s="1">
        <f t="shared" si="3324"/>
        <v>-8.617044085935504</v>
      </c>
      <c r="J1484" s="1">
        <f t="shared" si="3325"/>
        <v>0</v>
      </c>
      <c r="K1484" s="1">
        <f t="shared" si="3326"/>
        <v>3.8585376195731182</v>
      </c>
      <c r="L1484" s="1">
        <f t="shared" ref="L1484:N1484" si="3360">E1484/$H1484</f>
        <v>0.91267826756609616</v>
      </c>
      <c r="M1484" s="1">
        <f t="shared" si="3360"/>
        <v>0</v>
      </c>
      <c r="N1484" s="1">
        <f t="shared" si="3360"/>
        <v>-0.40867882244196285</v>
      </c>
      <c r="O1484" s="1">
        <f t="shared" si="2882"/>
        <v>-0.40867882244196285</v>
      </c>
      <c r="P1484" s="1">
        <f t="shared" si="3328"/>
        <v>0.37299227965728288</v>
      </c>
      <c r="Q1484" s="1">
        <f t="shared" si="3329"/>
        <v>0</v>
      </c>
      <c r="R1484" s="1">
        <f t="shared" si="3330"/>
        <v>0.83298162008745058</v>
      </c>
      <c r="S1484" s="1">
        <f t="shared" si="3331"/>
        <v>0.76335463018528305</v>
      </c>
      <c r="T1484" s="1">
        <f t="shared" ref="T1484:V1484" si="3361">$S1484*P1484</f>
        <v>0.28472538369975087</v>
      </c>
      <c r="U1484" s="1">
        <f t="shared" si="3361"/>
        <v>0</v>
      </c>
      <c r="V1484" s="1">
        <f t="shared" si="3361"/>
        <v>0.63586037655299377</v>
      </c>
      <c r="W1484" s="1">
        <f t="shared" si="3333"/>
        <v>-8.332318702235753</v>
      </c>
      <c r="X1484" s="1">
        <f t="shared" si="3334"/>
        <v>0</v>
      </c>
      <c r="Y1484" s="1">
        <f t="shared" si="3335"/>
        <v>-5.312252003873887</v>
      </c>
    </row>
    <row r="1485" spans="1:25">
      <c r="A1485" s="1">
        <v>1.4829999999999901</v>
      </c>
      <c r="B1485" s="1">
        <f t="shared" si="3336"/>
        <v>45.630595367844286</v>
      </c>
      <c r="C1485" s="1">
        <f t="shared" si="3337"/>
        <v>0</v>
      </c>
      <c r="D1485" s="1">
        <f t="shared" si="3338"/>
        <v>-3.2460445088355709</v>
      </c>
      <c r="E1485" s="1">
        <f t="shared" si="3339"/>
        <v>13.892949358215214</v>
      </c>
      <c r="F1485" s="1">
        <f t="shared" si="3340"/>
        <v>0</v>
      </c>
      <c r="G1485" s="1">
        <f t="shared" si="3341"/>
        <v>-6.2300243198248912</v>
      </c>
      <c r="H1485" s="1">
        <f t="shared" si="2880"/>
        <v>15.225874191505135</v>
      </c>
      <c r="I1485" s="1">
        <f t="shared" si="3324"/>
        <v>-8.608808101157015</v>
      </c>
      <c r="J1485" s="1">
        <f t="shared" si="3325"/>
        <v>0</v>
      </c>
      <c r="K1485" s="1">
        <f t="shared" si="3326"/>
        <v>3.8604534179201693</v>
      </c>
      <c r="L1485" s="1">
        <f t="shared" ref="L1485:N1485" si="3362">E1485/$H1485</f>
        <v>0.91245659746528118</v>
      </c>
      <c r="M1485" s="1">
        <f t="shared" si="3362"/>
        <v>0</v>
      </c>
      <c r="N1485" s="1">
        <f t="shared" si="3362"/>
        <v>-0.40917350566976085</v>
      </c>
      <c r="O1485" s="1">
        <f t="shared" si="2882"/>
        <v>-0.40917350566976085</v>
      </c>
      <c r="P1485" s="1">
        <f t="shared" si="3328"/>
        <v>0.37335306475637092</v>
      </c>
      <c r="Q1485" s="1">
        <f t="shared" si="3329"/>
        <v>0</v>
      </c>
      <c r="R1485" s="1">
        <f t="shared" si="3330"/>
        <v>0.83257704225791818</v>
      </c>
      <c r="S1485" s="1">
        <f t="shared" si="3331"/>
        <v>0.7628103026692391</v>
      </c>
      <c r="T1485" s="1">
        <f t="shared" ref="T1485:V1485" si="3363">$S1485*P1485</f>
        <v>0.28479756432929532</v>
      </c>
      <c r="U1485" s="1">
        <f t="shared" si="3363"/>
        <v>0</v>
      </c>
      <c r="V1485" s="1">
        <f t="shared" si="3363"/>
        <v>0.63509834560022249</v>
      </c>
      <c r="W1485" s="1">
        <f t="shared" si="3333"/>
        <v>-8.3240105368277195</v>
      </c>
      <c r="X1485" s="1">
        <f t="shared" si="3334"/>
        <v>0</v>
      </c>
      <c r="Y1485" s="1">
        <f t="shared" si="3335"/>
        <v>-5.3110982364796078</v>
      </c>
    </row>
    <row r="1486" spans="1:25">
      <c r="A1486" s="1">
        <v>1.48399999999999</v>
      </c>
      <c r="B1486" s="1">
        <f t="shared" si="3336"/>
        <v>45.644479993191965</v>
      </c>
      <c r="C1486" s="1">
        <f t="shared" si="3337"/>
        <v>0</v>
      </c>
      <c r="D1486" s="1">
        <f t="shared" si="3338"/>
        <v>-3.2522798442536325</v>
      </c>
      <c r="E1486" s="1">
        <f t="shared" si="3339"/>
        <v>13.884625347678385</v>
      </c>
      <c r="F1486" s="1">
        <f t="shared" si="3340"/>
        <v>0</v>
      </c>
      <c r="G1486" s="1">
        <f t="shared" si="3341"/>
        <v>-6.2353354180613705</v>
      </c>
      <c r="H1486" s="1">
        <f t="shared" si="2880"/>
        <v>15.220454290891704</v>
      </c>
      <c r="I1486" s="1">
        <f t="shared" si="3324"/>
        <v>-8.6005874919309004</v>
      </c>
      <c r="J1486" s="1">
        <f t="shared" si="3325"/>
        <v>0</v>
      </c>
      <c r="K1486" s="1">
        <f t="shared" si="3326"/>
        <v>3.8623690925545415</v>
      </c>
      <c r="L1486" s="1">
        <f t="shared" ref="L1486:N1486" si="3364">E1486/$H1486</f>
        <v>0.91223462074895412</v>
      </c>
      <c r="M1486" s="1">
        <f t="shared" si="3364"/>
        <v>0</v>
      </c>
      <c r="N1486" s="1">
        <f t="shared" si="3364"/>
        <v>-0.40966815437255044</v>
      </c>
      <c r="O1486" s="1">
        <f t="shared" si="2882"/>
        <v>-0.40966815437255044</v>
      </c>
      <c r="P1486" s="1">
        <f t="shared" si="3328"/>
        <v>0.37371347343696754</v>
      </c>
      <c r="Q1486" s="1">
        <f t="shared" si="3329"/>
        <v>0</v>
      </c>
      <c r="R1486" s="1">
        <f t="shared" si="3330"/>
        <v>0.83217200329298824</v>
      </c>
      <c r="S1486" s="1">
        <f t="shared" si="3331"/>
        <v>0.76226732955264476</v>
      </c>
      <c r="T1486" s="1">
        <f t="shared" ref="T1486:V1486" si="3365">$S1486*P1486</f>
        <v>0.28486957141464048</v>
      </c>
      <c r="U1486" s="1">
        <f t="shared" si="3365"/>
        <v>0</v>
      </c>
      <c r="V1486" s="1">
        <f t="shared" si="3365"/>
        <v>0.63433753067862086</v>
      </c>
      <c r="W1486" s="1">
        <f t="shared" si="3333"/>
        <v>-8.3157179205162599</v>
      </c>
      <c r="X1486" s="1">
        <f t="shared" si="3334"/>
        <v>0</v>
      </c>
      <c r="Y1486" s="1">
        <f t="shared" si="3335"/>
        <v>-5.3099433767668369</v>
      </c>
    </row>
    <row r="1487" spans="1:25">
      <c r="A1487" s="1">
        <v>1.4849999999999901</v>
      </c>
      <c r="B1487" s="1">
        <f t="shared" si="3336"/>
        <v>45.658356302821723</v>
      </c>
      <c r="C1487" s="1">
        <f t="shared" si="3337"/>
        <v>0</v>
      </c>
      <c r="D1487" s="1">
        <f t="shared" si="3338"/>
        <v>-3.2585204896150706</v>
      </c>
      <c r="E1487" s="1">
        <f t="shared" si="3339"/>
        <v>13.87630962975787</v>
      </c>
      <c r="F1487" s="1">
        <f t="shared" si="3340"/>
        <v>0</v>
      </c>
      <c r="G1487" s="1">
        <f t="shared" si="3341"/>
        <v>-6.240645361438137</v>
      </c>
      <c r="H1487" s="1">
        <f t="shared" si="2880"/>
        <v>15.215045956820187</v>
      </c>
      <c r="I1487" s="1">
        <f t="shared" si="3324"/>
        <v>-8.5923822217052201</v>
      </c>
      <c r="J1487" s="1">
        <f t="shared" si="3325"/>
        <v>0</v>
      </c>
      <c r="K1487" s="1">
        <f t="shared" si="3326"/>
        <v>3.8642846467331142</v>
      </c>
      <c r="L1487" s="1">
        <f t="shared" ref="L1487:N1487" si="3366">E1487/$H1487</f>
        <v>0.91201233759913647</v>
      </c>
      <c r="M1487" s="1">
        <f t="shared" si="3366"/>
        <v>0</v>
      </c>
      <c r="N1487" s="1">
        <f t="shared" si="3366"/>
        <v>-0.41016276777269606</v>
      </c>
      <c r="O1487" s="1">
        <f t="shared" si="2882"/>
        <v>-0.41016276777269606</v>
      </c>
      <c r="P1487" s="1">
        <f t="shared" si="3328"/>
        <v>0.37407350463250827</v>
      </c>
      <c r="Q1487" s="1">
        <f t="shared" si="3329"/>
        <v>0</v>
      </c>
      <c r="R1487" s="1">
        <f t="shared" si="3330"/>
        <v>0.83176650393304141</v>
      </c>
      <c r="S1487" s="1">
        <f t="shared" si="3331"/>
        <v>0.76172570788440996</v>
      </c>
      <c r="T1487" s="1">
        <f t="shared" ref="T1487:V1487" si="3367">$S1487*P1487</f>
        <v>0.28494140511699945</v>
      </c>
      <c r="U1487" s="1">
        <f t="shared" si="3367"/>
        <v>0</v>
      </c>
      <c r="V1487" s="1">
        <f t="shared" si="3367"/>
        <v>0.63357792900293686</v>
      </c>
      <c r="W1487" s="1">
        <f t="shared" si="3333"/>
        <v>-8.3074408165882208</v>
      </c>
      <c r="X1487" s="1">
        <f t="shared" si="3334"/>
        <v>0</v>
      </c>
      <c r="Y1487" s="1">
        <f t="shared" si="3335"/>
        <v>-5.3087874242639481</v>
      </c>
    </row>
    <row r="1488" spans="1:25">
      <c r="A1488" s="1">
        <v>1.48599999999999</v>
      </c>
      <c r="B1488" s="1">
        <f t="shared" si="3336"/>
        <v>45.672224305010666</v>
      </c>
      <c r="C1488" s="1">
        <f t="shared" si="3337"/>
        <v>0</v>
      </c>
      <c r="D1488" s="1">
        <f t="shared" si="3338"/>
        <v>-3.264766443763933</v>
      </c>
      <c r="E1488" s="1">
        <f t="shared" si="3339"/>
        <v>13.868002188941281</v>
      </c>
      <c r="F1488" s="1">
        <f t="shared" si="3340"/>
        <v>0</v>
      </c>
      <c r="G1488" s="1">
        <f t="shared" si="3341"/>
        <v>-6.2459541488624009</v>
      </c>
      <c r="H1488" s="1">
        <f t="shared" si="2880"/>
        <v>15.209649172225228</v>
      </c>
      <c r="I1488" s="1">
        <f t="shared" si="3324"/>
        <v>-8.5841922540273252</v>
      </c>
      <c r="J1488" s="1">
        <f t="shared" si="3325"/>
        <v>0</v>
      </c>
      <c r="K1488" s="1">
        <f t="shared" si="3326"/>
        <v>3.8662000837027328</v>
      </c>
      <c r="L1488" s="1">
        <f t="shared" ref="L1488:N1488" si="3368">E1488/$H1488</f>
        <v>0.91178974819919145</v>
      </c>
      <c r="M1488" s="1">
        <f t="shared" si="3368"/>
        <v>0</v>
      </c>
      <c r="N1488" s="1">
        <f t="shared" si="3368"/>
        <v>-0.41065734509302915</v>
      </c>
      <c r="O1488" s="1">
        <f t="shared" si="2882"/>
        <v>-0.41065734509302915</v>
      </c>
      <c r="P1488" s="1">
        <f t="shared" si="3328"/>
        <v>0.3744331572785215</v>
      </c>
      <c r="Q1488" s="1">
        <f t="shared" si="3329"/>
        <v>0</v>
      </c>
      <c r="R1488" s="1">
        <f t="shared" si="3330"/>
        <v>0.83136054492114475</v>
      </c>
      <c r="S1488" s="1">
        <f t="shared" si="3331"/>
        <v>0.7611854347214122</v>
      </c>
      <c r="T1488" s="1">
        <f t="shared" ref="T1488:V1488" si="3369">$S1488*P1488</f>
        <v>0.28501306559716227</v>
      </c>
      <c r="U1488" s="1">
        <f t="shared" si="3369"/>
        <v>0</v>
      </c>
      <c r="V1488" s="1">
        <f t="shared" si="3369"/>
        <v>0.63281953779603173</v>
      </c>
      <c r="W1488" s="1">
        <f t="shared" si="3333"/>
        <v>-8.2991791884301627</v>
      </c>
      <c r="X1488" s="1">
        <f t="shared" si="3334"/>
        <v>0</v>
      </c>
      <c r="Y1488" s="1">
        <f t="shared" si="3335"/>
        <v>-5.3076303785012353</v>
      </c>
    </row>
    <row r="1489" spans="1:25">
      <c r="A1489" s="1">
        <v>1.4869999999999901</v>
      </c>
      <c r="B1489" s="1">
        <f t="shared" si="3336"/>
        <v>45.686084008020416</v>
      </c>
      <c r="C1489" s="1">
        <f t="shared" si="3337"/>
        <v>0</v>
      </c>
      <c r="D1489" s="1">
        <f t="shared" si="3338"/>
        <v>-3.2710177055431737</v>
      </c>
      <c r="E1489" s="1">
        <f t="shared" si="3339"/>
        <v>13.859703009752851</v>
      </c>
      <c r="F1489" s="1">
        <f t="shared" si="3340"/>
        <v>0</v>
      </c>
      <c r="G1489" s="1">
        <f t="shared" si="3341"/>
        <v>-6.2512617792409024</v>
      </c>
      <c r="H1489" s="1">
        <f t="shared" si="2880"/>
        <v>15.204263920070263</v>
      </c>
      <c r="I1489" s="1">
        <f t="shared" si="3324"/>
        <v>-8.5760175525435436</v>
      </c>
      <c r="J1489" s="1">
        <f t="shared" si="3325"/>
        <v>0</v>
      </c>
      <c r="K1489" s="1">
        <f t="shared" si="3326"/>
        <v>3.8681154067002308</v>
      </c>
      <c r="L1489" s="1">
        <f t="shared" ref="L1489:N1489" si="3370">E1489/$H1489</f>
        <v>0.91156685273382188</v>
      </c>
      <c r="M1489" s="1">
        <f t="shared" si="3370"/>
        <v>0</v>
      </c>
      <c r="N1489" s="1">
        <f t="shared" si="3370"/>
        <v>-0.411151885556852</v>
      </c>
      <c r="O1489" s="1">
        <f t="shared" si="2882"/>
        <v>-0.411151885556852</v>
      </c>
      <c r="P1489" s="1">
        <f t="shared" si="3328"/>
        <v>0.37479243031263609</v>
      </c>
      <c r="Q1489" s="1">
        <f t="shared" si="3329"/>
        <v>0</v>
      </c>
      <c r="R1489" s="1">
        <f t="shared" si="3330"/>
        <v>0.83095412700304527</v>
      </c>
      <c r="S1489" s="1">
        <f t="shared" si="3331"/>
        <v>0.7606465071284696</v>
      </c>
      <c r="T1489" s="1">
        <f t="shared" ref="T1489:V1489" si="3371">$S1489*P1489</f>
        <v>0.28508455301549701</v>
      </c>
      <c r="U1489" s="1">
        <f t="shared" si="3371"/>
        <v>0</v>
      </c>
      <c r="V1489" s="1">
        <f t="shared" si="3371"/>
        <v>0.63206235428885316</v>
      </c>
      <c r="W1489" s="1">
        <f t="shared" si="3333"/>
        <v>-8.2909329995280459</v>
      </c>
      <c r="X1489" s="1">
        <f t="shared" si="3334"/>
        <v>0</v>
      </c>
      <c r="Y1489" s="1">
        <f t="shared" si="3335"/>
        <v>-5.3064722390109154</v>
      </c>
    </row>
    <row r="1490" spans="1:25">
      <c r="A1490" s="1">
        <v>1.48799999999999</v>
      </c>
      <c r="B1490" s="1">
        <f t="shared" si="3336"/>
        <v>45.699935420097169</v>
      </c>
      <c r="C1490" s="1">
        <f t="shared" si="3337"/>
        <v>0</v>
      </c>
      <c r="D1490" s="1">
        <f t="shared" si="3338"/>
        <v>-3.2772742737946539</v>
      </c>
      <c r="E1490" s="1">
        <f t="shared" si="3339"/>
        <v>13.851412076753322</v>
      </c>
      <c r="F1490" s="1">
        <f t="shared" si="3340"/>
        <v>0</v>
      </c>
      <c r="G1490" s="1">
        <f t="shared" si="3341"/>
        <v>-6.256568251479913</v>
      </c>
      <c r="H1490" s="1">
        <f t="shared" si="2880"/>
        <v>15.198890183347407</v>
      </c>
      <c r="I1490" s="1">
        <f t="shared" si="3324"/>
        <v>-8.5678580809988247</v>
      </c>
      <c r="J1490" s="1">
        <f t="shared" si="3325"/>
        <v>0</v>
      </c>
      <c r="K1490" s="1">
        <f t="shared" si="3326"/>
        <v>3.8700306189524323</v>
      </c>
      <c r="L1490" s="1">
        <f t="shared" ref="L1490:N1490" si="3372">E1490/$H1490</f>
        <v>0.91134365138907025</v>
      </c>
      <c r="M1490" s="1">
        <f t="shared" si="3372"/>
        <v>0</v>
      </c>
      <c r="N1490" s="1">
        <f t="shared" si="3372"/>
        <v>-0.41164638838794249</v>
      </c>
      <c r="O1490" s="1">
        <f t="shared" si="2882"/>
        <v>-0.41164638838794249</v>
      </c>
      <c r="P1490" s="1">
        <f t="shared" si="3328"/>
        <v>0.37515132267459089</v>
      </c>
      <c r="Q1490" s="1">
        <f t="shared" si="3329"/>
        <v>0</v>
      </c>
      <c r="R1490" s="1">
        <f t="shared" si="3330"/>
        <v>0.83054725092716319</v>
      </c>
      <c r="S1490" s="1">
        <f t="shared" si="3331"/>
        <v>0.76010892217831283</v>
      </c>
      <c r="T1490" s="1">
        <f t="shared" ref="T1490:V1490" si="3373">$S1490*P1490</f>
        <v>0.28515586753195171</v>
      </c>
      <c r="U1490" s="1">
        <f t="shared" si="3373"/>
        <v>0</v>
      </c>
      <c r="V1490" s="1">
        <f t="shared" si="3373"/>
        <v>0.63130637572040671</v>
      </c>
      <c r="W1490" s="1">
        <f t="shared" si="3333"/>
        <v>-8.2827022134668731</v>
      </c>
      <c r="X1490" s="1">
        <f t="shared" si="3334"/>
        <v>0</v>
      </c>
      <c r="Y1490" s="1">
        <f t="shared" si="3335"/>
        <v>-5.3053130053271609</v>
      </c>
    </row>
    <row r="1491" spans="1:25">
      <c r="A1491" s="1">
        <v>1.4889999999999901</v>
      </c>
      <c r="B1491" s="1">
        <f t="shared" si="3336"/>
        <v>45.713778549471712</v>
      </c>
      <c r="C1491" s="1">
        <f t="shared" si="3337"/>
        <v>0</v>
      </c>
      <c r="D1491" s="1">
        <f t="shared" si="3338"/>
        <v>-3.2835361473591389</v>
      </c>
      <c r="E1491" s="1">
        <f t="shared" si="3339"/>
        <v>13.843129374539854</v>
      </c>
      <c r="F1491" s="1">
        <f t="shared" si="3340"/>
        <v>0</v>
      </c>
      <c r="G1491" s="1">
        <f t="shared" si="3341"/>
        <v>-6.2618735644852404</v>
      </c>
      <c r="H1491" s="1">
        <f t="shared" si="2880"/>
        <v>15.193527945077379</v>
      </c>
      <c r="I1491" s="1">
        <f t="shared" si="3324"/>
        <v>-8.5597138032364271</v>
      </c>
      <c r="J1491" s="1">
        <f t="shared" si="3325"/>
        <v>0</v>
      </c>
      <c r="K1491" s="1">
        <f t="shared" si="3326"/>
        <v>3.8719457236761725</v>
      </c>
      <c r="L1491" s="1">
        <f t="shared" ref="L1491:N1491" si="3374">E1491/$H1491</f>
        <v>0.91112014435231636</v>
      </c>
      <c r="M1491" s="1">
        <f t="shared" si="3374"/>
        <v>0</v>
      </c>
      <c r="N1491" s="1">
        <f t="shared" si="3374"/>
        <v>-0.41214085281055829</v>
      </c>
      <c r="O1491" s="1">
        <f t="shared" si="2882"/>
        <v>-0.41214085281055829</v>
      </c>
      <c r="P1491" s="1">
        <f t="shared" si="3328"/>
        <v>0.37550983330624266</v>
      </c>
      <c r="Q1491" s="1">
        <f t="shared" si="3329"/>
        <v>0</v>
      </c>
      <c r="R1491" s="1">
        <f t="shared" si="3330"/>
        <v>0.83013991744458571</v>
      </c>
      <c r="S1491" s="1">
        <f t="shared" si="3331"/>
        <v>0.75957267695155839</v>
      </c>
      <c r="T1491" s="1">
        <f t="shared" ref="T1491:V1491" si="3375">$S1491*P1491</f>
        <v>0.28522700930605621</v>
      </c>
      <c r="U1491" s="1">
        <f t="shared" si="3375"/>
        <v>0</v>
      </c>
      <c r="V1491" s="1">
        <f t="shared" si="3375"/>
        <v>0.63055159933772964</v>
      </c>
      <c r="W1491" s="1">
        <f t="shared" si="3333"/>
        <v>-8.2744867939303717</v>
      </c>
      <c r="X1491" s="1">
        <f t="shared" si="3334"/>
        <v>0</v>
      </c>
      <c r="Y1491" s="1">
        <f t="shared" si="3335"/>
        <v>-5.3041526769860976</v>
      </c>
    </row>
    <row r="1492" spans="1:25">
      <c r="A1492" s="1">
        <v>1.48999999999999</v>
      </c>
      <c r="B1492" s="1">
        <f t="shared" si="3336"/>
        <v>45.72761340435946</v>
      </c>
      <c r="C1492" s="1">
        <f t="shared" si="3337"/>
        <v>0</v>
      </c>
      <c r="D1492" s="1">
        <f t="shared" si="3338"/>
        <v>-3.289803325076301</v>
      </c>
      <c r="E1492" s="1">
        <f t="shared" si="3339"/>
        <v>13.834854887745925</v>
      </c>
      <c r="F1492" s="1">
        <f t="shared" si="3340"/>
        <v>0</v>
      </c>
      <c r="G1492" s="1">
        <f t="shared" si="3341"/>
        <v>-6.2671777171622267</v>
      </c>
      <c r="H1492" s="1">
        <f t="shared" si="2880"/>
        <v>15.188177188309401</v>
      </c>
      <c r="I1492" s="1">
        <f t="shared" si="3324"/>
        <v>-8.5515846831975839</v>
      </c>
      <c r="J1492" s="1">
        <f t="shared" si="3325"/>
        <v>0</v>
      </c>
      <c r="K1492" s="1">
        <f t="shared" si="3326"/>
        <v>3.8738607240783045</v>
      </c>
      <c r="L1492" s="1">
        <f t="shared" ref="L1492:N1492" si="3376">E1492/$H1492</f>
        <v>0.91089633181227625</v>
      </c>
      <c r="M1492" s="1">
        <f t="shared" si="3376"/>
        <v>0</v>
      </c>
      <c r="N1492" s="1">
        <f t="shared" si="3376"/>
        <v>-0.412635278049441</v>
      </c>
      <c r="O1492" s="1">
        <f t="shared" si="2882"/>
        <v>-0.412635278049441</v>
      </c>
      <c r="P1492" s="1">
        <f t="shared" si="3328"/>
        <v>0.3758679611515745</v>
      </c>
      <c r="Q1492" s="1">
        <f t="shared" si="3329"/>
        <v>0</v>
      </c>
      <c r="R1492" s="1">
        <f t="shared" si="3330"/>
        <v>0.82973212730906054</v>
      </c>
      <c r="S1492" s="1">
        <f t="shared" si="3331"/>
        <v>0.75903776853668148</v>
      </c>
      <c r="T1492" s="1">
        <f t="shared" ref="T1492:V1492" si="3377">$S1492*P1492</f>
        <v>0.28529797849692318</v>
      </c>
      <c r="U1492" s="1">
        <f t="shared" si="3377"/>
        <v>0</v>
      </c>
      <c r="V1492" s="1">
        <f t="shared" si="3377"/>
        <v>0.62979802239586302</v>
      </c>
      <c r="W1492" s="1">
        <f t="shared" si="3333"/>
        <v>-8.2662867047006614</v>
      </c>
      <c r="X1492" s="1">
        <f t="shared" si="3334"/>
        <v>0</v>
      </c>
      <c r="Y1492" s="1">
        <f t="shared" si="3335"/>
        <v>-5.3029912535258319</v>
      </c>
    </row>
    <row r="1493" spans="1:25">
      <c r="A1493" s="1">
        <v>1.4909999999999901</v>
      </c>
      <c r="B1493" s="1">
        <f t="shared" si="3336"/>
        <v>45.741439992960501</v>
      </c>
      <c r="C1493" s="1">
        <f t="shared" si="3337"/>
        <v>0</v>
      </c>
      <c r="D1493" s="1">
        <f t="shared" si="3338"/>
        <v>-3.2960758057847168</v>
      </c>
      <c r="E1493" s="1">
        <f t="shared" si="3339"/>
        <v>13.826588601041225</v>
      </c>
      <c r="F1493" s="1">
        <f t="shared" si="3340"/>
        <v>0</v>
      </c>
      <c r="G1493" s="1">
        <f t="shared" si="3341"/>
        <v>-6.2724807084157526</v>
      </c>
      <c r="H1493" s="1">
        <f t="shared" si="2880"/>
        <v>15.182837896121098</v>
      </c>
      <c r="I1493" s="1">
        <f t="shared" si="3324"/>
        <v>-8.5434706849211608</v>
      </c>
      <c r="J1493" s="1">
        <f t="shared" si="3325"/>
        <v>0</v>
      </c>
      <c r="K1493" s="1">
        <f t="shared" si="3326"/>
        <v>3.8757756233557088</v>
      </c>
      <c r="L1493" s="1">
        <f t="shared" ref="L1493:N1493" si="3378">E1493/$H1493</f>
        <v>0.91067221395900122</v>
      </c>
      <c r="M1493" s="1">
        <f t="shared" si="3378"/>
        <v>0</v>
      </c>
      <c r="N1493" s="1">
        <f t="shared" si="3378"/>
        <v>-0.41312966332982071</v>
      </c>
      <c r="O1493" s="1">
        <f t="shared" si="2882"/>
        <v>-0.41312966332982071</v>
      </c>
      <c r="P1493" s="1">
        <f t="shared" si="3328"/>
        <v>0.37622570515670462</v>
      </c>
      <c r="Q1493" s="1">
        <f t="shared" si="3329"/>
        <v>0</v>
      </c>
      <c r="R1493" s="1">
        <f t="shared" si="3330"/>
        <v>0.82932388127698897</v>
      </c>
      <c r="S1493" s="1">
        <f t="shared" si="3331"/>
        <v>0.7585041940299877</v>
      </c>
      <c r="T1493" s="1">
        <f t="shared" ref="T1493:V1493" si="3379">$S1493*P1493</f>
        <v>0.28536877526325</v>
      </c>
      <c r="U1493" s="1">
        <f t="shared" si="3379"/>
        <v>0</v>
      </c>
      <c r="V1493" s="1">
        <f t="shared" si="3379"/>
        <v>0.62904564215782377</v>
      </c>
      <c r="W1493" s="1">
        <f t="shared" si="3333"/>
        <v>-8.2581019096579116</v>
      </c>
      <c r="X1493" s="1">
        <f t="shared" si="3334"/>
        <v>0</v>
      </c>
      <c r="Y1493" s="1">
        <f t="shared" si="3335"/>
        <v>-5.3018287344864667</v>
      </c>
    </row>
    <row r="1494" spans="1:25">
      <c r="A1494" s="1">
        <v>1.49199999999999</v>
      </c>
      <c r="B1494" s="1">
        <f t="shared" si="3336"/>
        <v>45.755258323459636</v>
      </c>
      <c r="C1494" s="1">
        <f t="shared" si="3337"/>
        <v>0</v>
      </c>
      <c r="D1494" s="1">
        <f t="shared" si="3338"/>
        <v>-3.3023535883218669</v>
      </c>
      <c r="E1494" s="1">
        <f t="shared" si="3339"/>
        <v>13.818330499131568</v>
      </c>
      <c r="F1494" s="1">
        <f t="shared" si="3340"/>
        <v>0</v>
      </c>
      <c r="G1494" s="1">
        <f t="shared" si="3341"/>
        <v>-6.2777825371502392</v>
      </c>
      <c r="H1494" s="1">
        <f t="shared" si="2880"/>
        <v>15.17751005161842</v>
      </c>
      <c r="I1494" s="1">
        <f t="shared" si="3324"/>
        <v>-8.5353717725433391</v>
      </c>
      <c r="J1494" s="1">
        <f t="shared" si="3325"/>
        <v>0</v>
      </c>
      <c r="K1494" s="1">
        <f t="shared" si="3326"/>
        <v>3.8776904246953112</v>
      </c>
      <c r="L1494" s="1">
        <f t="shared" ref="L1494:N1494" si="3380">E1494/$H1494</f>
        <v>0.91044779098387629</v>
      </c>
      <c r="M1494" s="1">
        <f t="shared" si="3380"/>
        <v>0</v>
      </c>
      <c r="N1494" s="1">
        <f t="shared" si="3380"/>
        <v>-0.41362400787742004</v>
      </c>
      <c r="O1494" s="1">
        <f t="shared" si="2882"/>
        <v>-0.41362400787742004</v>
      </c>
      <c r="P1494" s="1">
        <f t="shared" si="3328"/>
        <v>0.37658306426989452</v>
      </c>
      <c r="Q1494" s="1">
        <f t="shared" si="3329"/>
        <v>0</v>
      </c>
      <c r="R1494" s="1">
        <f t="shared" si="3330"/>
        <v>0.82891518010741994</v>
      </c>
      <c r="S1494" s="1">
        <f t="shared" si="3331"/>
        <v>0.75797195053558764</v>
      </c>
      <c r="T1494" s="1">
        <f t="shared" ref="T1494:V1494" si="3381">$S1494*P1494</f>
        <v>0.2854393997633205</v>
      </c>
      <c r="U1494" s="1">
        <f t="shared" si="3381"/>
        <v>0</v>
      </c>
      <c r="V1494" s="1">
        <f t="shared" si="3381"/>
        <v>0.628294455894579</v>
      </c>
      <c r="W1494" s="1">
        <f t="shared" si="3333"/>
        <v>-8.2499323727800178</v>
      </c>
      <c r="X1494" s="1">
        <f t="shared" si="3334"/>
        <v>0</v>
      </c>
      <c r="Y1494" s="1">
        <f t="shared" si="3335"/>
        <v>-5.3006651194101089</v>
      </c>
    </row>
    <row r="1495" spans="1:25">
      <c r="A1495" s="1">
        <v>1.4929999999999899</v>
      </c>
      <c r="B1495" s="1">
        <f t="shared" si="3336"/>
        <v>45.769068404026392</v>
      </c>
      <c r="C1495" s="1">
        <f t="shared" si="3337"/>
        <v>0</v>
      </c>
      <c r="D1495" s="1">
        <f t="shared" si="3338"/>
        <v>-3.3086366715241367</v>
      </c>
      <c r="E1495" s="1">
        <f t="shared" si="3339"/>
        <v>13.810080566758788</v>
      </c>
      <c r="F1495" s="1">
        <f t="shared" si="3340"/>
        <v>0</v>
      </c>
      <c r="G1495" s="1">
        <f t="shared" si="3341"/>
        <v>-6.2830832022696494</v>
      </c>
      <c r="H1495" s="1">
        <f t="shared" si="2880"/>
        <v>15.172193637935543</v>
      </c>
      <c r="I1495" s="1">
        <f t="shared" si="3324"/>
        <v>-8.5272879102972965</v>
      </c>
      <c r="J1495" s="1">
        <f t="shared" si="3325"/>
        <v>0</v>
      </c>
      <c r="K1495" s="1">
        <f t="shared" si="3326"/>
        <v>3.8796051312740913</v>
      </c>
      <c r="L1495" s="1">
        <f t="shared" ref="L1495:N1495" si="3382">E1495/$H1495</f>
        <v>0.91022306307961842</v>
      </c>
      <c r="M1495" s="1">
        <f t="shared" si="3382"/>
        <v>0</v>
      </c>
      <c r="N1495" s="1">
        <f t="shared" si="3382"/>
        <v>-0.41411831091845852</v>
      </c>
      <c r="O1495" s="1">
        <f t="shared" si="2882"/>
        <v>-0.41411831091845852</v>
      </c>
      <c r="P1495" s="1">
        <f t="shared" si="3328"/>
        <v>0.37694003744155713</v>
      </c>
      <c r="Q1495" s="1">
        <f t="shared" si="3329"/>
        <v>0</v>
      </c>
      <c r="R1495" s="1">
        <f t="shared" si="3330"/>
        <v>0.82850602456204292</v>
      </c>
      <c r="S1495" s="1">
        <f t="shared" si="3331"/>
        <v>0.75744103516536965</v>
      </c>
      <c r="T1495" s="1">
        <f t="shared" ref="T1495:V1495" si="3383">$S1495*P1495</f>
        <v>0.28550985215500624</v>
      </c>
      <c r="U1495" s="1">
        <f t="shared" si="3383"/>
        <v>0</v>
      </c>
      <c r="V1495" s="1">
        <f t="shared" si="3383"/>
        <v>0.62754446088501892</v>
      </c>
      <c r="W1495" s="1">
        <f t="shared" si="3333"/>
        <v>-8.241778058142291</v>
      </c>
      <c r="X1495" s="1">
        <f t="shared" si="3334"/>
        <v>0</v>
      </c>
      <c r="Y1495" s="1">
        <f t="shared" si="3335"/>
        <v>-5.2995004078408892</v>
      </c>
    </row>
    <row r="1496" spans="1:25">
      <c r="A1496" s="1">
        <v>1.49399999999999</v>
      </c>
      <c r="B1496" s="1">
        <f t="shared" si="3336"/>
        <v>45.782870242815093</v>
      </c>
      <c r="C1496" s="1">
        <f t="shared" si="3337"/>
        <v>0</v>
      </c>
      <c r="D1496" s="1">
        <f t="shared" si="3338"/>
        <v>-3.3149250542268143</v>
      </c>
      <c r="E1496" s="1">
        <f t="shared" si="3339"/>
        <v>13.801838788700646</v>
      </c>
      <c r="F1496" s="1">
        <f t="shared" si="3340"/>
        <v>0</v>
      </c>
      <c r="G1496" s="1">
        <f t="shared" si="3341"/>
        <v>-6.2883827026774908</v>
      </c>
      <c r="H1496" s="1">
        <f t="shared" si="2880"/>
        <v>15.166888638234777</v>
      </c>
      <c r="I1496" s="1">
        <f t="shared" si="3324"/>
        <v>-8.5192190625128674</v>
      </c>
      <c r="J1496" s="1">
        <f t="shared" si="3325"/>
        <v>0</v>
      </c>
      <c r="K1496" s="1">
        <f t="shared" si="3326"/>
        <v>3.8815197462590949</v>
      </c>
      <c r="L1496" s="1">
        <f t="shared" ref="L1496:N1496" si="3384">E1496/$H1496</f>
        <v>0.90999803044027594</v>
      </c>
      <c r="M1496" s="1">
        <f t="shared" si="3384"/>
        <v>0</v>
      </c>
      <c r="N1496" s="1">
        <f t="shared" si="3384"/>
        <v>-0.41461257167965693</v>
      </c>
      <c r="O1496" s="1">
        <f t="shared" si="2882"/>
        <v>-0.41461257167965693</v>
      </c>
      <c r="P1496" s="1">
        <f t="shared" si="3328"/>
        <v>0.37729662362426553</v>
      </c>
      <c r="Q1496" s="1">
        <f t="shared" si="3329"/>
        <v>0</v>
      </c>
      <c r="R1496" s="1">
        <f t="shared" si="3330"/>
        <v>0.82809641540518131</v>
      </c>
      <c r="S1496" s="1">
        <f t="shared" si="3331"/>
        <v>0.75691144503897234</v>
      </c>
      <c r="T1496" s="1">
        <f t="shared" ref="T1496:V1496" si="3385">$S1496*P1496</f>
        <v>0.28558013259576809</v>
      </c>
      <c r="U1496" s="1">
        <f t="shared" si="3385"/>
        <v>0</v>
      </c>
      <c r="V1496" s="1">
        <f t="shared" si="3385"/>
        <v>0.62679565441592888</v>
      </c>
      <c r="W1496" s="1">
        <f t="shared" si="3333"/>
        <v>-8.2336389299170989</v>
      </c>
      <c r="X1496" s="1">
        <f t="shared" si="3334"/>
        <v>0</v>
      </c>
      <c r="Y1496" s="1">
        <f t="shared" si="3335"/>
        <v>-5.298334599324976</v>
      </c>
    </row>
    <row r="1497" spans="1:25">
      <c r="A1497" s="1">
        <v>1.4949999999999899</v>
      </c>
      <c r="B1497" s="1">
        <f t="shared" si="3336"/>
        <v>45.796663847964865</v>
      </c>
      <c r="C1497" s="1">
        <f t="shared" si="3337"/>
        <v>0</v>
      </c>
      <c r="D1497" s="1">
        <f t="shared" si="3338"/>
        <v>-3.3212187352640909</v>
      </c>
      <c r="E1497" s="1">
        <f t="shared" si="3339"/>
        <v>13.793605149770729</v>
      </c>
      <c r="F1497" s="1">
        <f t="shared" si="3340"/>
        <v>0</v>
      </c>
      <c r="G1497" s="1">
        <f t="shared" si="3341"/>
        <v>-6.2936810372768157</v>
      </c>
      <c r="H1497" s="1">
        <f t="shared" si="2880"/>
        <v>15.161595035706478</v>
      </c>
      <c r="I1497" s="1">
        <f t="shared" si="3324"/>
        <v>-8.5111651936162218</v>
      </c>
      <c r="J1497" s="1">
        <f t="shared" si="3325"/>
        <v>0</v>
      </c>
      <c r="K1497" s="1">
        <f t="shared" si="3326"/>
        <v>3.8834342728074418</v>
      </c>
      <c r="L1497" s="1">
        <f t="shared" ref="L1497:N1497" si="3386">E1497/$H1497</f>
        <v>0.90977269326122678</v>
      </c>
      <c r="M1497" s="1">
        <f t="shared" si="3386"/>
        <v>0</v>
      </c>
      <c r="N1497" s="1">
        <f t="shared" si="3386"/>
        <v>-0.41510678938824142</v>
      </c>
      <c r="O1497" s="1">
        <f t="shared" si="2882"/>
        <v>-0.41510678938824142</v>
      </c>
      <c r="P1497" s="1">
        <f t="shared" si="3328"/>
        <v>0.37765282177276122</v>
      </c>
      <c r="Q1497" s="1">
        <f t="shared" si="3329"/>
        <v>0</v>
      </c>
      <c r="R1497" s="1">
        <f t="shared" si="3330"/>
        <v>0.82768635340378616</v>
      </c>
      <c r="S1497" s="1">
        <f t="shared" si="3331"/>
        <v>0.75638317728375815</v>
      </c>
      <c r="T1497" s="1">
        <f t="shared" ref="T1497:V1497" si="3387">$S1497*P1497</f>
        <v>0.28565024124265798</v>
      </c>
      <c r="U1497" s="1">
        <f t="shared" si="3387"/>
        <v>0</v>
      </c>
      <c r="V1497" s="1">
        <f t="shared" si="3387"/>
        <v>0.62604803378196328</v>
      </c>
      <c r="W1497" s="1">
        <f t="shared" si="3333"/>
        <v>-8.2255149523735636</v>
      </c>
      <c r="X1497" s="1">
        <f t="shared" si="3334"/>
        <v>0</v>
      </c>
      <c r="Y1497" s="1">
        <f t="shared" si="3335"/>
        <v>-5.2971676934105947</v>
      </c>
    </row>
    <row r="1498" spans="1:25">
      <c r="A1498" s="1">
        <v>1.49599999999999</v>
      </c>
      <c r="B1498" s="1">
        <f t="shared" si="3336"/>
        <v>45.810449227599683</v>
      </c>
      <c r="C1498" s="1">
        <f t="shared" si="3337"/>
        <v>0</v>
      </c>
      <c r="D1498" s="1">
        <f t="shared" si="3338"/>
        <v>-3.327517713469061</v>
      </c>
      <c r="E1498" s="1">
        <f t="shared" si="3339"/>
        <v>13.785379634818355</v>
      </c>
      <c r="F1498" s="1">
        <f t="shared" si="3340"/>
        <v>0</v>
      </c>
      <c r="G1498" s="1">
        <f t="shared" si="3341"/>
        <v>-6.2989782049702265</v>
      </c>
      <c r="H1498" s="1">
        <f t="shared" si="2880"/>
        <v>15.156312813568958</v>
      </c>
      <c r="I1498" s="1">
        <f t="shared" si="3324"/>
        <v>-8.5031262681295576</v>
      </c>
      <c r="J1498" s="1">
        <f t="shared" si="3325"/>
        <v>0</v>
      </c>
      <c r="K1498" s="1">
        <f t="shared" si="3326"/>
        <v>3.885348714066347</v>
      </c>
      <c r="L1498" s="1">
        <f t="shared" ref="L1498:N1498" si="3388">E1498/$H1498</f>
        <v>0.90954705173917694</v>
      </c>
      <c r="M1498" s="1">
        <f t="shared" si="3388"/>
        <v>0</v>
      </c>
      <c r="N1498" s="1">
        <f t="shared" si="3388"/>
        <v>-0.41560096327194795</v>
      </c>
      <c r="O1498" s="1">
        <f t="shared" si="2882"/>
        <v>-0.41560096327194795</v>
      </c>
      <c r="P1498" s="1">
        <f t="shared" si="3328"/>
        <v>0.37800863084396225</v>
      </c>
      <c r="Q1498" s="1">
        <f t="shared" si="3329"/>
        <v>0</v>
      </c>
      <c r="R1498" s="1">
        <f t="shared" si="3330"/>
        <v>0.82727583932742899</v>
      </c>
      <c r="S1498" s="1">
        <f t="shared" si="3331"/>
        <v>0.75585622903478789</v>
      </c>
      <c r="T1498" s="1">
        <f t="shared" ref="T1498:V1498" si="3389">$S1498*P1498</f>
        <v>0.28572017825232049</v>
      </c>
      <c r="U1498" s="1">
        <f t="shared" si="3389"/>
        <v>0</v>
      </c>
      <c r="V1498" s="1">
        <f t="shared" si="3389"/>
        <v>0.62530159628561954</v>
      </c>
      <c r="W1498" s="1">
        <f t="shared" si="3333"/>
        <v>-8.2174060898772368</v>
      </c>
      <c r="X1498" s="1">
        <f t="shared" si="3334"/>
        <v>0</v>
      </c>
      <c r="Y1498" s="1">
        <f t="shared" si="3335"/>
        <v>-5.295999689648033</v>
      </c>
    </row>
    <row r="1499" spans="1:25">
      <c r="A1499" s="1">
        <v>1.4969999999999899</v>
      </c>
      <c r="B1499" s="1">
        <f t="shared" si="3336"/>
        <v>45.824226389828411</v>
      </c>
      <c r="C1499" s="1">
        <f t="shared" si="3337"/>
        <v>0</v>
      </c>
      <c r="D1499" s="1">
        <f t="shared" si="3338"/>
        <v>-3.333821987673721</v>
      </c>
      <c r="E1499" s="1">
        <f t="shared" si="3339"/>
        <v>13.777162228728479</v>
      </c>
      <c r="F1499" s="1">
        <f t="shared" si="3340"/>
        <v>0</v>
      </c>
      <c r="G1499" s="1">
        <f t="shared" si="3341"/>
        <v>-6.3042742046598743</v>
      </c>
      <c r="H1499" s="1">
        <f t="shared" si="2880"/>
        <v>15.151041955068388</v>
      </c>
      <c r="I1499" s="1">
        <f t="shared" si="3324"/>
        <v>-8.4951022506707581</v>
      </c>
      <c r="J1499" s="1">
        <f t="shared" si="3325"/>
        <v>0</v>
      </c>
      <c r="K1499" s="1">
        <f t="shared" si="3326"/>
        <v>3.8872630731731208</v>
      </c>
      <c r="L1499" s="1">
        <f t="shared" ref="L1499:N1499" si="3390">E1499/$H1499</f>
        <v>0.90932110607215932</v>
      </c>
      <c r="M1499" s="1">
        <f t="shared" si="3390"/>
        <v>0</v>
      </c>
      <c r="N1499" s="1">
        <f t="shared" si="3390"/>
        <v>-0.41609509255902649</v>
      </c>
      <c r="O1499" s="1">
        <f t="shared" si="2882"/>
        <v>-0.41609509255902649</v>
      </c>
      <c r="P1499" s="1">
        <f t="shared" si="3328"/>
        <v>0.37836404979697147</v>
      </c>
      <c r="Q1499" s="1">
        <f t="shared" si="3329"/>
        <v>0</v>
      </c>
      <c r="R1499" s="1">
        <f t="shared" si="3330"/>
        <v>0.82686487394829511</v>
      </c>
      <c r="S1499" s="1">
        <f t="shared" si="3331"/>
        <v>0.75533059743479281</v>
      </c>
      <c r="T1499" s="1">
        <f t="shared" ref="T1499:V1499" si="3391">$S1499*P1499</f>
        <v>0.28578994378099415</v>
      </c>
      <c r="U1499" s="1">
        <f t="shared" si="3391"/>
        <v>0</v>
      </c>
      <c r="V1499" s="1">
        <f t="shared" si="3391"/>
        <v>0.62455633923721043</v>
      </c>
      <c r="W1499" s="1">
        <f t="shared" si="3333"/>
        <v>-8.209312306889764</v>
      </c>
      <c r="X1499" s="1">
        <f t="shared" si="3334"/>
        <v>0</v>
      </c>
      <c r="Y1499" s="1">
        <f t="shared" si="3335"/>
        <v>-5.2948305875896686</v>
      </c>
    </row>
    <row r="1500" spans="1:25">
      <c r="A1500" s="1">
        <v>1.49799999999999</v>
      </c>
      <c r="B1500" s="1">
        <f t="shared" si="3336"/>
        <v>45.837995342744833</v>
      </c>
      <c r="C1500" s="1">
        <f t="shared" si="3337"/>
        <v>0</v>
      </c>
      <c r="D1500" s="1">
        <f t="shared" si="3338"/>
        <v>-3.3401315567089682</v>
      </c>
      <c r="E1500" s="1">
        <f t="shared" si="3339"/>
        <v>13.768952916421588</v>
      </c>
      <c r="F1500" s="1">
        <f t="shared" si="3340"/>
        <v>0</v>
      </c>
      <c r="G1500" s="1">
        <f t="shared" si="3341"/>
        <v>-6.3095690352474643</v>
      </c>
      <c r="H1500" s="1">
        <f t="shared" si="2880"/>
        <v>15.145782443478719</v>
      </c>
      <c r="I1500" s="1">
        <f t="shared" si="3324"/>
        <v>-8.4870931059530879</v>
      </c>
      <c r="J1500" s="1">
        <f t="shared" si="3325"/>
        <v>0</v>
      </c>
      <c r="K1500" s="1">
        <f t="shared" si="3326"/>
        <v>3.8891773532551892</v>
      </c>
      <c r="L1500" s="1">
        <f t="shared" ref="L1500:N1500" si="3392">E1500/$H1500</f>
        <v>0.90909485645953214</v>
      </c>
      <c r="M1500" s="1">
        <f t="shared" si="3392"/>
        <v>0</v>
      </c>
      <c r="N1500" s="1">
        <f t="shared" si="3392"/>
        <v>-0.41658917647824523</v>
      </c>
      <c r="O1500" s="1">
        <f t="shared" si="2882"/>
        <v>-0.41658917647824523</v>
      </c>
      <c r="P1500" s="1">
        <f t="shared" si="3328"/>
        <v>0.37871907759308504</v>
      </c>
      <c r="Q1500" s="1">
        <f t="shared" si="3329"/>
        <v>0</v>
      </c>
      <c r="R1500" s="1">
        <f t="shared" si="3330"/>
        <v>0.82645345804117742</v>
      </c>
      <c r="S1500" s="1">
        <f t="shared" si="3331"/>
        <v>0.75480627963414915</v>
      </c>
      <c r="T1500" s="1">
        <f t="shared" ref="T1500:V1500" si="3393">$S1500*P1500</f>
        <v>0.28585953798451319</v>
      </c>
      <c r="U1500" s="1">
        <f t="shared" si="3393"/>
        <v>0</v>
      </c>
      <c r="V1500" s="1">
        <f t="shared" si="3393"/>
        <v>0.62381225995483847</v>
      </c>
      <c r="W1500" s="1">
        <f t="shared" si="3333"/>
        <v>-8.2012335679685755</v>
      </c>
      <c r="X1500" s="1">
        <f t="shared" si="3334"/>
        <v>0</v>
      </c>
      <c r="Y1500" s="1">
        <f t="shared" si="3335"/>
        <v>-5.2936603867899716</v>
      </c>
    </row>
    <row r="1501" spans="1:25">
      <c r="A1501" s="1">
        <v>1.4989999999999899</v>
      </c>
      <c r="B1501" s="1">
        <f t="shared" si="3336"/>
        <v>45.851756094427685</v>
      </c>
      <c r="C1501" s="1">
        <f t="shared" si="3337"/>
        <v>0</v>
      </c>
      <c r="D1501" s="1">
        <f t="shared" si="3338"/>
        <v>-3.3464464194046024</v>
      </c>
      <c r="E1501" s="1">
        <f t="shared" si="3339"/>
        <v>13.76075168285362</v>
      </c>
      <c r="F1501" s="1">
        <f t="shared" si="3340"/>
        <v>0</v>
      </c>
      <c r="G1501" s="1">
        <f t="shared" si="3341"/>
        <v>-6.314862695634254</v>
      </c>
      <c r="H1501" s="1">
        <f t="shared" si="2880"/>
        <v>15.14053426210158</v>
      </c>
      <c r="I1501" s="1">
        <f t="shared" si="3324"/>
        <v>-8.4790987987848645</v>
      </c>
      <c r="J1501" s="1">
        <f t="shared" si="3325"/>
        <v>0</v>
      </c>
      <c r="K1501" s="1">
        <f t="shared" si="3326"/>
        <v>3.8910915574300993</v>
      </c>
      <c r="L1501" s="1">
        <f t="shared" ref="L1501:N1501" si="3394">E1501/$H1501</f>
        <v>0.90886830310197786</v>
      </c>
      <c r="M1501" s="1">
        <f t="shared" si="3394"/>
        <v>0</v>
      </c>
      <c r="N1501" s="1">
        <f t="shared" si="3394"/>
        <v>-0.417083214258895</v>
      </c>
      <c r="O1501" s="1">
        <f t="shared" si="2882"/>
        <v>-0.417083214258895</v>
      </c>
      <c r="P1501" s="1">
        <f t="shared" si="3328"/>
        <v>0.37907371319580058</v>
      </c>
      <c r="Q1501" s="1">
        <f t="shared" si="3329"/>
        <v>0</v>
      </c>
      <c r="R1501" s="1">
        <f t="shared" si="3330"/>
        <v>0.82604159238346875</v>
      </c>
      <c r="S1501" s="1">
        <f t="shared" si="3331"/>
        <v>0.75428327279085128</v>
      </c>
      <c r="T1501" s="1">
        <f t="shared" ref="T1501:V1501" si="3395">$S1501*P1501</f>
        <v>0.28592896101830895</v>
      </c>
      <c r="U1501" s="1">
        <f t="shared" si="3395"/>
        <v>0</v>
      </c>
      <c r="V1501" s="1">
        <f t="shared" si="3395"/>
        <v>0.62306935576436917</v>
      </c>
      <c r="W1501" s="1">
        <f t="shared" si="3333"/>
        <v>-8.1931698377665558</v>
      </c>
      <c r="X1501" s="1">
        <f t="shared" si="3334"/>
        <v>0</v>
      </c>
      <c r="Y1501" s="1">
        <f t="shared" si="3335"/>
        <v>-5.2924890868055314</v>
      </c>
    </row>
    <row r="1502" spans="1:25">
      <c r="A1502" s="1">
        <v>1.49999999999999</v>
      </c>
      <c r="B1502" s="1">
        <f t="shared" si="3336"/>
        <v>45.865508652940704</v>
      </c>
      <c r="C1502" s="1">
        <f t="shared" si="3337"/>
        <v>0</v>
      </c>
      <c r="D1502" s="1">
        <f t="shared" si="3338"/>
        <v>-3.3527665745893236</v>
      </c>
      <c r="E1502" s="1">
        <f t="shared" si="3339"/>
        <v>13.752558513015853</v>
      </c>
      <c r="F1502" s="1">
        <f t="shared" si="3340"/>
        <v>0</v>
      </c>
      <c r="G1502" s="1">
        <f t="shared" si="3341"/>
        <v>-6.3201551847210595</v>
      </c>
      <c r="H1502" s="1">
        <f t="shared" si="2880"/>
        <v>15.135297394266201</v>
      </c>
      <c r="I1502" s="1">
        <f t="shared" si="3324"/>
        <v>-8.4711192940691475</v>
      </c>
      <c r="J1502" s="1">
        <f t="shared" si="3325"/>
        <v>0</v>
      </c>
      <c r="K1502" s="1">
        <f t="shared" si="3326"/>
        <v>3.8930056888055367</v>
      </c>
      <c r="L1502" s="1">
        <f t="shared" ref="L1502:N1502" si="3396">E1502/$H1502</f>
        <v>0.90864144620150111</v>
      </c>
      <c r="M1502" s="1">
        <f t="shared" si="3396"/>
        <v>0</v>
      </c>
      <c r="N1502" s="1">
        <f t="shared" si="3396"/>
        <v>-0.41757720513079333</v>
      </c>
      <c r="O1502" s="1">
        <f t="shared" si="2882"/>
        <v>-0.41757720513079333</v>
      </c>
      <c r="P1502" s="1">
        <f t="shared" si="3328"/>
        <v>0.37942795557082493</v>
      </c>
      <c r="Q1502" s="1">
        <f t="shared" si="3329"/>
        <v>0</v>
      </c>
      <c r="R1502" s="1">
        <f t="shared" si="3330"/>
        <v>0.82562927775515538</v>
      </c>
      <c r="S1502" s="1">
        <f t="shared" si="3331"/>
        <v>0.75376157407048661</v>
      </c>
      <c r="T1502" s="1">
        <f t="shared" ref="T1502:V1502" si="3397">$S1502*P1502</f>
        <v>0.28599821303741163</v>
      </c>
      <c r="U1502" s="1">
        <f t="shared" si="3397"/>
        <v>0</v>
      </c>
      <c r="V1502" s="1">
        <f t="shared" si="3397"/>
        <v>0.62232762399940489</v>
      </c>
      <c r="W1502" s="1">
        <f t="shared" si="3333"/>
        <v>-8.1851210810317365</v>
      </c>
      <c r="X1502" s="1">
        <f t="shared" si="3334"/>
        <v>0</v>
      </c>
      <c r="Y1502" s="1">
        <f t="shared" si="3335"/>
        <v>-5.2913166871950583</v>
      </c>
    </row>
    <row r="1503" spans="1:25">
      <c r="A1503" s="1">
        <v>1.5009999999999899</v>
      </c>
      <c r="B1503" s="1">
        <f t="shared" si="3336"/>
        <v>45.879253026332641</v>
      </c>
      <c r="C1503" s="1">
        <f t="shared" si="3337"/>
        <v>0</v>
      </c>
      <c r="D1503" s="1">
        <f t="shared" si="3338"/>
        <v>-3.3590920210907318</v>
      </c>
      <c r="E1503" s="1">
        <f t="shared" si="3339"/>
        <v>13.74437339193482</v>
      </c>
      <c r="F1503" s="1">
        <f t="shared" si="3340"/>
        <v>0</v>
      </c>
      <c r="G1503" s="1">
        <f t="shared" si="3341"/>
        <v>-6.3254465014082548</v>
      </c>
      <c r="H1503" s="1">
        <f t="shared" si="2880"/>
        <v>15.130071823329319</v>
      </c>
      <c r="I1503" s="1">
        <f t="shared" si="3324"/>
        <v>-8.4631545568034259</v>
      </c>
      <c r="J1503" s="1">
        <f t="shared" si="3325"/>
        <v>0</v>
      </c>
      <c r="K1503" s="1">
        <f t="shared" si="3326"/>
        <v>3.8949197504793336</v>
      </c>
      <c r="L1503" s="1">
        <f t="shared" ref="L1503:N1503" si="3398">E1503/$H1503</f>
        <v>0.9084142859614277</v>
      </c>
      <c r="M1503" s="1">
        <f t="shared" si="3398"/>
        <v>0</v>
      </c>
      <c r="N1503" s="1">
        <f t="shared" si="3398"/>
        <v>-0.41807114832428882</v>
      </c>
      <c r="O1503" s="1">
        <f t="shared" si="2882"/>
        <v>-0.41807114832428882</v>
      </c>
      <c r="P1503" s="1">
        <f t="shared" si="3328"/>
        <v>0.37978180368608294</v>
      </c>
      <c r="Q1503" s="1">
        <f t="shared" si="3329"/>
        <v>0</v>
      </c>
      <c r="R1503" s="1">
        <f t="shared" si="3330"/>
        <v>0.82521651493881043</v>
      </c>
      <c r="S1503" s="1">
        <f t="shared" si="3331"/>
        <v>0.75324118064620871</v>
      </c>
      <c r="T1503" s="1">
        <f t="shared" ref="T1503:V1503" si="3399">$S1503*P1503</f>
        <v>0.28606729419645177</v>
      </c>
      <c r="U1503" s="1">
        <f t="shared" si="3399"/>
        <v>0</v>
      </c>
      <c r="V1503" s="1">
        <f t="shared" si="3399"/>
        <v>0.62158706200125935</v>
      </c>
      <c r="W1503" s="1">
        <f t="shared" si="3333"/>
        <v>-8.1770872626069746</v>
      </c>
      <c r="X1503" s="1">
        <f t="shared" si="3334"/>
        <v>0</v>
      </c>
      <c r="Y1503" s="1">
        <f t="shared" si="3335"/>
        <v>-5.2901431875194067</v>
      </c>
    </row>
    <row r="1504" spans="1:25">
      <c r="A1504" s="1">
        <v>1.50199999999999</v>
      </c>
      <c r="B1504" s="1">
        <f t="shared" si="3336"/>
        <v>45.892989222637311</v>
      </c>
      <c r="C1504" s="1">
        <f t="shared" si="3337"/>
        <v>0</v>
      </c>
      <c r="D1504" s="1">
        <f t="shared" si="3338"/>
        <v>-3.3654227577353275</v>
      </c>
      <c r="E1504" s="1">
        <f t="shared" si="3339"/>
        <v>13.736196304672212</v>
      </c>
      <c r="F1504" s="1">
        <f t="shared" si="3340"/>
        <v>0</v>
      </c>
      <c r="G1504" s="1">
        <f t="shared" si="3341"/>
        <v>-6.330736644595774</v>
      </c>
      <c r="H1504" s="1">
        <f t="shared" si="2880"/>
        <v>15.124857532675087</v>
      </c>
      <c r="I1504" s="1">
        <f t="shared" si="3324"/>
        <v>-8.4552045520792909</v>
      </c>
      <c r="J1504" s="1">
        <f t="shared" si="3325"/>
        <v>0</v>
      </c>
      <c r="K1504" s="1">
        <f t="shared" si="3326"/>
        <v>3.896833745539479</v>
      </c>
      <c r="L1504" s="1">
        <f t="shared" ref="L1504:N1504" si="3400">E1504/$H1504</f>
        <v>0.90818682258640315</v>
      </c>
      <c r="M1504" s="1">
        <f t="shared" si="3400"/>
        <v>0</v>
      </c>
      <c r="N1504" s="1">
        <f t="shared" si="3400"/>
        <v>-0.41856504307026526</v>
      </c>
      <c r="O1504" s="1">
        <f t="shared" si="2882"/>
        <v>-0.41856504307026526</v>
      </c>
      <c r="P1504" s="1">
        <f t="shared" si="3328"/>
        <v>0.38013525651172519</v>
      </c>
      <c r="Q1504" s="1">
        <f t="shared" si="3329"/>
        <v>0</v>
      </c>
      <c r="R1504" s="1">
        <f t="shared" si="3330"/>
        <v>0.82480330471958696</v>
      </c>
      <c r="S1504" s="1">
        <f t="shared" si="3331"/>
        <v>0.75272208969871157</v>
      </c>
      <c r="T1504" s="1">
        <f t="shared" ref="T1504:V1504" si="3401">$S1504*P1504</f>
        <v>0.28613620464966155</v>
      </c>
      <c r="U1504" s="1">
        <f t="shared" si="3401"/>
        <v>0</v>
      </c>
      <c r="V1504" s="1">
        <f t="shared" si="3401"/>
        <v>0.62084766711893069</v>
      </c>
      <c r="W1504" s="1">
        <f t="shared" si="3333"/>
        <v>-8.1690683474296293</v>
      </c>
      <c r="X1504" s="1">
        <f t="shared" si="3334"/>
        <v>0</v>
      </c>
      <c r="Y1504" s="1">
        <f t="shared" si="3335"/>
        <v>-5.2889685873415893</v>
      </c>
    </row>
    <row r="1505" spans="1:25">
      <c r="A1505" s="1">
        <v>1.5029999999999899</v>
      </c>
      <c r="B1505" s="1">
        <f t="shared" si="3336"/>
        <v>45.906717249873637</v>
      </c>
      <c r="C1505" s="1">
        <f t="shared" si="3337"/>
        <v>0</v>
      </c>
      <c r="D1505" s="1">
        <f t="shared" si="3338"/>
        <v>-3.3717587833485108</v>
      </c>
      <c r="E1505" s="1">
        <f t="shared" si="3339"/>
        <v>13.728027236324783</v>
      </c>
      <c r="F1505" s="1">
        <f t="shared" si="3340"/>
        <v>0</v>
      </c>
      <c r="G1505" s="1">
        <f t="shared" si="3341"/>
        <v>-6.3360256131831152</v>
      </c>
      <c r="H1505" s="1">
        <f t="shared" si="2880"/>
        <v>15.119654505714989</v>
      </c>
      <c r="I1505" s="1">
        <f t="shared" si="3324"/>
        <v>-8.4472692450821363</v>
      </c>
      <c r="J1505" s="1">
        <f t="shared" si="3325"/>
        <v>0</v>
      </c>
      <c r="K1505" s="1">
        <f t="shared" si="3326"/>
        <v>3.8987476770641347</v>
      </c>
      <c r="L1505" s="1">
        <f t="shared" ref="L1505:N1505" si="3402">E1505/$H1505</f>
        <v>0.90795905628239104</v>
      </c>
      <c r="M1505" s="1">
        <f t="shared" si="3402"/>
        <v>0</v>
      </c>
      <c r="N1505" s="1">
        <f t="shared" si="3402"/>
        <v>-0.41905888860014617</v>
      </c>
      <c r="O1505" s="1">
        <f t="shared" si="2882"/>
        <v>-0.41905888860014617</v>
      </c>
      <c r="P1505" s="1">
        <f t="shared" si="3328"/>
        <v>0.38048831302013636</v>
      </c>
      <c r="Q1505" s="1">
        <f t="shared" si="3329"/>
        <v>0</v>
      </c>
      <c r="R1505" s="1">
        <f t="shared" si="3330"/>
        <v>0.8243896478852103</v>
      </c>
      <c r="S1505" s="1">
        <f t="shared" si="3331"/>
        <v>0.75220429841620373</v>
      </c>
      <c r="T1505" s="1">
        <f t="shared" ref="T1505:V1505" si="3403">$S1505*P1505</f>
        <v>0.28620494455087658</v>
      </c>
      <c r="U1505" s="1">
        <f t="shared" si="3403"/>
        <v>0</v>
      </c>
      <c r="V1505" s="1">
        <f t="shared" si="3403"/>
        <v>0.62010943670907581</v>
      </c>
      <c r="W1505" s="1">
        <f t="shared" si="3333"/>
        <v>-8.16106430053126</v>
      </c>
      <c r="X1505" s="1">
        <f t="shared" si="3334"/>
        <v>0</v>
      </c>
      <c r="Y1505" s="1">
        <f t="shared" si="3335"/>
        <v>-5.2877928862267893</v>
      </c>
    </row>
    <row r="1506" spans="1:25">
      <c r="A1506" s="1">
        <v>1.50399999999999</v>
      </c>
      <c r="B1506" s="1">
        <f t="shared" si="3336"/>
        <v>45.920437116045662</v>
      </c>
      <c r="C1506" s="1">
        <f t="shared" si="3337"/>
        <v>0</v>
      </c>
      <c r="D1506" s="1">
        <f t="shared" si="3338"/>
        <v>-3.3781000967545802</v>
      </c>
      <c r="E1506" s="1">
        <f t="shared" si="3339"/>
        <v>13.719866172024252</v>
      </c>
      <c r="F1506" s="1">
        <f t="shared" si="3340"/>
        <v>0</v>
      </c>
      <c r="G1506" s="1">
        <f t="shared" si="3341"/>
        <v>-6.3413134060693421</v>
      </c>
      <c r="H1506" s="1">
        <f t="shared" si="2880"/>
        <v>15.114462725887751</v>
      </c>
      <c r="I1506" s="1">
        <f t="shared" si="3324"/>
        <v>-8.439348601090833</v>
      </c>
      <c r="J1506" s="1">
        <f t="shared" si="3325"/>
        <v>0</v>
      </c>
      <c r="K1506" s="1">
        <f t="shared" si="3326"/>
        <v>3.9006615481216405</v>
      </c>
      <c r="L1506" s="1">
        <f t="shared" ref="L1506:N1506" si="3404">E1506/$H1506</f>
        <v>0.90773098725667156</v>
      </c>
      <c r="M1506" s="1">
        <f t="shared" si="3404"/>
        <v>0</v>
      </c>
      <c r="N1506" s="1">
        <f t="shared" si="3404"/>
        <v>-0.41955268414589864</v>
      </c>
      <c r="O1506" s="1">
        <f t="shared" si="2882"/>
        <v>-0.41955268414589864</v>
      </c>
      <c r="P1506" s="1">
        <f t="shared" si="3328"/>
        <v>0.38084097218594304</v>
      </c>
      <c r="Q1506" s="1">
        <f t="shared" si="3329"/>
        <v>0</v>
      </c>
      <c r="R1506" s="1">
        <f t="shared" si="3330"/>
        <v>0.82397554522597183</v>
      </c>
      <c r="S1506" s="1">
        <f t="shared" si="3331"/>
        <v>0.75168780399438273</v>
      </c>
      <c r="T1506" s="1">
        <f t="shared" ref="T1506:V1506" si="3405">$S1506*P1506</f>
        <v>0.28627351405353729</v>
      </c>
      <c r="U1506" s="1">
        <f t="shared" si="3405"/>
        <v>0</v>
      </c>
      <c r="V1506" s="1">
        <f t="shared" si="3405"/>
        <v>0.61937236813598495</v>
      </c>
      <c r="W1506" s="1">
        <f t="shared" si="3333"/>
        <v>-8.1530750870372959</v>
      </c>
      <c r="X1506" s="1">
        <f t="shared" si="3334"/>
        <v>0</v>
      </c>
      <c r="Y1506" s="1">
        <f t="shared" si="3335"/>
        <v>-5.2866160837423744</v>
      </c>
    </row>
    <row r="1507" spans="1:25">
      <c r="A1507" s="1">
        <v>1.5049999999999899</v>
      </c>
      <c r="B1507" s="1">
        <f t="shared" si="3336"/>
        <v>45.9341488291426</v>
      </c>
      <c r="C1507" s="1">
        <f t="shared" si="3337"/>
        <v>0</v>
      </c>
      <c r="D1507" s="1">
        <f t="shared" si="3338"/>
        <v>-3.3844466967767333</v>
      </c>
      <c r="E1507" s="1">
        <f t="shared" si="3339"/>
        <v>13.711713096937215</v>
      </c>
      <c r="F1507" s="1">
        <f t="shared" si="3340"/>
        <v>0</v>
      </c>
      <c r="G1507" s="1">
        <f t="shared" si="3341"/>
        <v>-6.3466000221530843</v>
      </c>
      <c r="H1507" s="1">
        <f t="shared" si="2880"/>
        <v>15.109282176659256</v>
      </c>
      <c r="I1507" s="1">
        <f t="shared" si="3324"/>
        <v>-8.4314425854774289</v>
      </c>
      <c r="J1507" s="1">
        <f t="shared" si="3325"/>
        <v>0</v>
      </c>
      <c r="K1507" s="1">
        <f t="shared" si="3326"/>
        <v>3.9025753617705332</v>
      </c>
      <c r="L1507" s="1">
        <f t="shared" ref="L1507:N1507" si="3406">E1507/$H1507</f>
        <v>0.90750261571784008</v>
      </c>
      <c r="M1507" s="1">
        <f t="shared" si="3406"/>
        <v>0</v>
      </c>
      <c r="N1507" s="1">
        <f t="shared" si="3406"/>
        <v>-0.42004642894003796</v>
      </c>
      <c r="O1507" s="1">
        <f t="shared" si="2882"/>
        <v>-0.42004642894003796</v>
      </c>
      <c r="P1507" s="1">
        <f t="shared" si="3328"/>
        <v>0.38119323298602231</v>
      </c>
      <c r="Q1507" s="1">
        <f t="shared" si="3329"/>
        <v>0</v>
      </c>
      <c r="R1507" s="1">
        <f t="shared" si="3330"/>
        <v>0.82356099753472167</v>
      </c>
      <c r="S1507" s="1">
        <f t="shared" si="3331"/>
        <v>0.75117260363640947</v>
      </c>
      <c r="T1507" s="1">
        <f t="shared" ref="T1507:V1507" si="3407">$S1507*P1507</f>
        <v>0.28634191331069081</v>
      </c>
      <c r="U1507" s="1">
        <f t="shared" si="3407"/>
        <v>0</v>
      </c>
      <c r="V1507" s="1">
        <f t="shared" si="3407"/>
        <v>0.61863645877155549</v>
      </c>
      <c r="W1507" s="1">
        <f t="shared" si="3333"/>
        <v>-8.1451006721667376</v>
      </c>
      <c r="X1507" s="1">
        <f t="shared" si="3334"/>
        <v>0</v>
      </c>
      <c r="Y1507" s="1">
        <f t="shared" si="3335"/>
        <v>-5.2854381794579108</v>
      </c>
    </row>
    <row r="1508" spans="1:25">
      <c r="A1508" s="1">
        <v>1.50599999999999</v>
      </c>
      <c r="B1508" s="1">
        <f t="shared" si="3336"/>
        <v>45.947852397138867</v>
      </c>
      <c r="C1508" s="1">
        <f t="shared" si="3337"/>
        <v>0</v>
      </c>
      <c r="D1508" s="1">
        <f t="shared" si="3338"/>
        <v>-3.3907985822370659</v>
      </c>
      <c r="E1508" s="1">
        <f t="shared" si="3339"/>
        <v>13.703567996265049</v>
      </c>
      <c r="F1508" s="1">
        <f t="shared" si="3340"/>
        <v>0</v>
      </c>
      <c r="G1508" s="1">
        <f t="shared" si="3341"/>
        <v>-6.3518854603325421</v>
      </c>
      <c r="H1508" s="1">
        <f t="shared" si="2880"/>
        <v>15.104112841522458</v>
      </c>
      <c r="I1508" s="1">
        <f t="shared" si="3324"/>
        <v>-8.4235511637068345</v>
      </c>
      <c r="J1508" s="1">
        <f t="shared" si="3325"/>
        <v>0</v>
      </c>
      <c r="K1508" s="1">
        <f t="shared" si="3326"/>
        <v>3.9044891210595511</v>
      </c>
      <c r="L1508" s="1">
        <f t="shared" ref="L1508:N1508" si="3408">E1508/$H1508</f>
        <v>0.90727394187580512</v>
      </c>
      <c r="M1508" s="1">
        <f t="shared" si="3408"/>
        <v>0</v>
      </c>
      <c r="N1508" s="1">
        <f t="shared" si="3408"/>
        <v>-0.42054012221563142</v>
      </c>
      <c r="O1508" s="1">
        <f t="shared" si="2882"/>
        <v>-0.42054012221563142</v>
      </c>
      <c r="P1508" s="1">
        <f t="shared" si="3328"/>
        <v>0.38154509439950879</v>
      </c>
      <c r="Q1508" s="1">
        <f t="shared" si="3329"/>
        <v>0</v>
      </c>
      <c r="R1508" s="1">
        <f t="shared" si="3330"/>
        <v>0.8231460056068618</v>
      </c>
      <c r="S1508" s="1">
        <f t="shared" si="3331"/>
        <v>0.7506586945528827</v>
      </c>
      <c r="T1508" s="1">
        <f t="shared" ref="T1508:V1508" si="3409">$S1508*P1508</f>
        <v>0.28641014247499164</v>
      </c>
      <c r="U1508" s="1">
        <f t="shared" si="3409"/>
        <v>0</v>
      </c>
      <c r="V1508" s="1">
        <f t="shared" si="3409"/>
        <v>0.61790170599526673</v>
      </c>
      <c r="W1508" s="1">
        <f t="shared" si="3333"/>
        <v>-8.1371410212318427</v>
      </c>
      <c r="X1508" s="1">
        <f t="shared" si="3334"/>
        <v>0</v>
      </c>
      <c r="Y1508" s="1">
        <f t="shared" si="3335"/>
        <v>-5.2842591729451813</v>
      </c>
    </row>
    <row r="1509" spans="1:25">
      <c r="A1509" s="1">
        <v>1.5069999999999899</v>
      </c>
      <c r="B1509" s="1">
        <f t="shared" si="3336"/>
        <v>45.96154782799411</v>
      </c>
      <c r="C1509" s="1">
        <f t="shared" si="3337"/>
        <v>0</v>
      </c>
      <c r="D1509" s="1">
        <f t="shared" si="3338"/>
        <v>-3.3971557519565714</v>
      </c>
      <c r="E1509" s="1">
        <f t="shared" si="3339"/>
        <v>13.695430855243817</v>
      </c>
      <c r="F1509" s="1">
        <f t="shared" si="3340"/>
        <v>0</v>
      </c>
      <c r="G1509" s="1">
        <f t="shared" si="3341"/>
        <v>-6.357169719505487</v>
      </c>
      <c r="H1509" s="1">
        <f t="shared" si="2880"/>
        <v>15.09895470399729</v>
      </c>
      <c r="I1509" s="1">
        <f t="shared" si="3324"/>
        <v>-8.4156743013365212</v>
      </c>
      <c r="J1509" s="1">
        <f t="shared" si="3325"/>
        <v>0</v>
      </c>
      <c r="K1509" s="1">
        <f t="shared" si="3326"/>
        <v>3.9064028290276513</v>
      </c>
      <c r="L1509" s="1">
        <f t="shared" ref="L1509:N1509" si="3410">E1509/$H1509</f>
        <v>0.90704496594178774</v>
      </c>
      <c r="M1509" s="1">
        <f t="shared" si="3410"/>
        <v>0</v>
      </c>
      <c r="N1509" s="1">
        <f t="shared" si="3410"/>
        <v>-0.42103376320630281</v>
      </c>
      <c r="O1509" s="1">
        <f t="shared" si="2882"/>
        <v>-0.42103376320630281</v>
      </c>
      <c r="P1509" s="1">
        <f t="shared" si="3328"/>
        <v>0.38189655540780365</v>
      </c>
      <c r="Q1509" s="1">
        <f t="shared" si="3329"/>
        <v>0</v>
      </c>
      <c r="R1509" s="1">
        <f t="shared" si="3330"/>
        <v>0.82273057024033891</v>
      </c>
      <c r="S1509" s="1">
        <f t="shared" si="3331"/>
        <v>0.75014607396181388</v>
      </c>
      <c r="T1509" s="1">
        <f t="shared" ref="T1509:V1509" si="3411">$S1509*P1509</f>
        <v>0.28647820169870425</v>
      </c>
      <c r="U1509" s="1">
        <f t="shared" si="3411"/>
        <v>0</v>
      </c>
      <c r="V1509" s="1">
        <f t="shared" si="3411"/>
        <v>0.6171681071941546</v>
      </c>
      <c r="W1509" s="1">
        <f t="shared" si="3333"/>
        <v>-8.1291960996378165</v>
      </c>
      <c r="X1509" s="1">
        <f t="shared" si="3334"/>
        <v>0</v>
      </c>
      <c r="Y1509" s="1">
        <f t="shared" si="3335"/>
        <v>-5.2830790637781933</v>
      </c>
    </row>
    <row r="1510" spans="1:25">
      <c r="A1510" s="1">
        <v>1.50799999999999</v>
      </c>
      <c r="B1510" s="1">
        <f t="shared" si="3336"/>
        <v>45.975235129653257</v>
      </c>
      <c r="C1510" s="1">
        <f t="shared" si="3337"/>
        <v>0</v>
      </c>
      <c r="D1510" s="1">
        <f t="shared" si="3338"/>
        <v>-3.4035182047551404</v>
      </c>
      <c r="E1510" s="1">
        <f t="shared" si="3339"/>
        <v>13.687301659144179</v>
      </c>
      <c r="F1510" s="1">
        <f t="shared" si="3340"/>
        <v>0</v>
      </c>
      <c r="G1510" s="1">
        <f t="shared" si="3341"/>
        <v>-6.3624527985692652</v>
      </c>
      <c r="H1510" s="1">
        <f t="shared" si="2880"/>
        <v>15.093807747630578</v>
      </c>
      <c r="I1510" s="1">
        <f t="shared" si="3324"/>
        <v>-8.407811964016199</v>
      </c>
      <c r="J1510" s="1">
        <f t="shared" si="3325"/>
        <v>0</v>
      </c>
      <c r="K1510" s="1">
        <f t="shared" si="3326"/>
        <v>3.9083164887040152</v>
      </c>
      <c r="L1510" s="1">
        <f t="shared" ref="L1510:N1510" si="3412">E1510/$H1510</f>
        <v>0.90681568812831925</v>
      </c>
      <c r="M1510" s="1">
        <f t="shared" si="3412"/>
        <v>0</v>
      </c>
      <c r="N1510" s="1">
        <f t="shared" si="3412"/>
        <v>-0.42152735114623685</v>
      </c>
      <c r="O1510" s="1">
        <f t="shared" si="2882"/>
        <v>-0.42152735114623685</v>
      </c>
      <c r="P1510" s="1">
        <f t="shared" si="3328"/>
        <v>0.38224761499458243</v>
      </c>
      <c r="Q1510" s="1">
        <f t="shared" si="3329"/>
        <v>0</v>
      </c>
      <c r="R1510" s="1">
        <f t="shared" si="3330"/>
        <v>0.82231469223563713</v>
      </c>
      <c r="S1510" s="1">
        <f t="shared" si="3331"/>
        <v>0.74963473908860068</v>
      </c>
      <c r="T1510" s="1">
        <f t="shared" ref="T1510:V1510" si="3413">$S1510*P1510</f>
        <v>0.28654609113370366</v>
      </c>
      <c r="U1510" s="1">
        <f t="shared" si="3413"/>
        <v>0</v>
      </c>
      <c r="V1510" s="1">
        <f t="shared" si="3413"/>
        <v>0.6164356597627848</v>
      </c>
      <c r="W1510" s="1">
        <f t="shared" si="3333"/>
        <v>-8.1212658728824962</v>
      </c>
      <c r="X1510" s="1">
        <f t="shared" si="3334"/>
        <v>0</v>
      </c>
      <c r="Y1510" s="1">
        <f t="shared" si="3335"/>
        <v>-5.2818978515331994</v>
      </c>
    </row>
    <row r="1511" spans="1:25">
      <c r="A1511" s="1">
        <v>1.5089999999999899</v>
      </c>
      <c r="B1511" s="1">
        <f t="shared" si="3336"/>
        <v>45.988914310046525</v>
      </c>
      <c r="C1511" s="1">
        <f t="shared" si="3337"/>
        <v>0</v>
      </c>
      <c r="D1511" s="1">
        <f t="shared" si="3338"/>
        <v>-3.409885939451561</v>
      </c>
      <c r="E1511" s="1">
        <f t="shared" si="3339"/>
        <v>13.679180393271297</v>
      </c>
      <c r="F1511" s="1">
        <f t="shared" si="3340"/>
        <v>0</v>
      </c>
      <c r="G1511" s="1">
        <f t="shared" si="3341"/>
        <v>-6.3677346964207979</v>
      </c>
      <c r="H1511" s="1">
        <f t="shared" si="2880"/>
        <v>15.088671955995967</v>
      </c>
      <c r="I1511" s="1">
        <f t="shared" si="3324"/>
        <v>-8.3999641174875279</v>
      </c>
      <c r="J1511" s="1">
        <f t="shared" si="3325"/>
        <v>0</v>
      </c>
      <c r="K1511" s="1">
        <f t="shared" si="3326"/>
        <v>3.9102301031080646</v>
      </c>
      <c r="L1511" s="1">
        <f t="shared" ref="L1511:N1511" si="3414">E1511/$H1511</f>
        <v>0.90658610864923983</v>
      </c>
      <c r="M1511" s="1">
        <f t="shared" si="3414"/>
        <v>0</v>
      </c>
      <c r="N1511" s="1">
        <f t="shared" si="3414"/>
        <v>-0.42202088527018278</v>
      </c>
      <c r="O1511" s="1">
        <f t="shared" si="2882"/>
        <v>-0.42202088527018278</v>
      </c>
      <c r="P1511" s="1">
        <f t="shared" si="3328"/>
        <v>0.38259827214580228</v>
      </c>
      <c r="Q1511" s="1">
        <f t="shared" si="3329"/>
        <v>0</v>
      </c>
      <c r="R1511" s="1">
        <f t="shared" si="3330"/>
        <v>0.82189837239577124</v>
      </c>
      <c r="S1511" s="1">
        <f t="shared" si="3331"/>
        <v>0.74912468716600389</v>
      </c>
      <c r="T1511" s="1">
        <f t="shared" ref="T1511:V1511" si="3415">$S1511*P1511</f>
        <v>0.28661381093147775</v>
      </c>
      <c r="U1511" s="1">
        <f t="shared" si="3415"/>
        <v>0</v>
      </c>
      <c r="V1511" s="1">
        <f t="shared" si="3415"/>
        <v>0.6157043611032299</v>
      </c>
      <c r="W1511" s="1">
        <f t="shared" si="3333"/>
        <v>-8.1133503065560504</v>
      </c>
      <c r="X1511" s="1">
        <f t="shared" si="3334"/>
        <v>0</v>
      </c>
      <c r="Y1511" s="1">
        <f t="shared" si="3335"/>
        <v>-5.2807155357887048</v>
      </c>
    </row>
    <row r="1512" spans="1:25">
      <c r="A1512" s="1">
        <v>1.50999999999999</v>
      </c>
      <c r="B1512" s="1">
        <f t="shared" si="3336"/>
        <v>46.002585377089488</v>
      </c>
      <c r="C1512" s="1">
        <f t="shared" si="3337"/>
        <v>0</v>
      </c>
      <c r="D1512" s="1">
        <f t="shared" si="3338"/>
        <v>-3.4162589548635176</v>
      </c>
      <c r="E1512" s="1">
        <f t="shared" si="3339"/>
        <v>13.67106704296474</v>
      </c>
      <c r="F1512" s="1">
        <f t="shared" si="3340"/>
        <v>0</v>
      </c>
      <c r="G1512" s="1">
        <f t="shared" si="3341"/>
        <v>-6.3730154119565867</v>
      </c>
      <c r="H1512" s="1">
        <f t="shared" si="2880"/>
        <v>15.083547312693817</v>
      </c>
      <c r="I1512" s="1">
        <f t="shared" si="3324"/>
        <v>-8.3921307275838029</v>
      </c>
      <c r="J1512" s="1">
        <f t="shared" si="3325"/>
        <v>0</v>
      </c>
      <c r="K1512" s="1">
        <f t="shared" si="3326"/>
        <v>3.9121436752494723</v>
      </c>
      <c r="L1512" s="1">
        <f t="shared" ref="L1512:N1512" si="3416">E1512/$H1512</f>
        <v>0.90635622771969693</v>
      </c>
      <c r="M1512" s="1">
        <f t="shared" si="3416"/>
        <v>0</v>
      </c>
      <c r="N1512" s="1">
        <f t="shared" si="3416"/>
        <v>-0.42251436481345916</v>
      </c>
      <c r="O1512" s="1">
        <f t="shared" si="2882"/>
        <v>-0.42251436481345916</v>
      </c>
      <c r="P1512" s="1">
        <f t="shared" si="3328"/>
        <v>0.38294852584971067</v>
      </c>
      <c r="Q1512" s="1">
        <f t="shared" si="3329"/>
        <v>0</v>
      </c>
      <c r="R1512" s="1">
        <f t="shared" si="3330"/>
        <v>0.82148161152627908</v>
      </c>
      <c r="S1512" s="1">
        <f t="shared" si="3331"/>
        <v>0.74861591543412009</v>
      </c>
      <c r="T1512" s="1">
        <f t="shared" ref="T1512:V1512" si="3417">$S1512*P1512</f>
        <v>0.28668136124312799</v>
      </c>
      <c r="U1512" s="1">
        <f t="shared" si="3417"/>
        <v>0</v>
      </c>
      <c r="V1512" s="1">
        <f t="shared" si="3417"/>
        <v>0.6149742086250416</v>
      </c>
      <c r="W1512" s="1">
        <f t="shared" si="3333"/>
        <v>-8.1054493663406753</v>
      </c>
      <c r="X1512" s="1">
        <f t="shared" si="3334"/>
        <v>0</v>
      </c>
      <c r="Y1512" s="1">
        <f t="shared" si="3335"/>
        <v>-5.2795321161254858</v>
      </c>
    </row>
    <row r="1513" spans="1:25">
      <c r="A1513" s="1">
        <v>1.5109999999999899</v>
      </c>
      <c r="B1513" s="1">
        <f t="shared" si="3336"/>
        <v>46.016248338683084</v>
      </c>
      <c r="C1513" s="1">
        <f t="shared" si="3337"/>
        <v>0</v>
      </c>
      <c r="D1513" s="1">
        <f t="shared" si="3338"/>
        <v>-3.4226372498075901</v>
      </c>
      <c r="E1513" s="1">
        <f t="shared" si="3339"/>
        <v>13.6629615935984</v>
      </c>
      <c r="F1513" s="1">
        <f t="shared" si="3340"/>
        <v>0</v>
      </c>
      <c r="G1513" s="1">
        <f t="shared" si="3341"/>
        <v>-6.3782949440727119</v>
      </c>
      <c r="H1513" s="1">
        <f t="shared" si="2880"/>
        <v>15.078433801351135</v>
      </c>
      <c r="I1513" s="1">
        <f t="shared" si="3324"/>
        <v>-8.384311760229652</v>
      </c>
      <c r="J1513" s="1">
        <f t="shared" si="3325"/>
        <v>0</v>
      </c>
      <c r="K1513" s="1">
        <f t="shared" si="3326"/>
        <v>3.9140572081281704</v>
      </c>
      <c r="L1513" s="1">
        <f t="shared" ref="L1513:N1513" si="3418">E1513/$H1513</f>
        <v>0.90612604555614396</v>
      </c>
      <c r="M1513" s="1">
        <f t="shared" si="3418"/>
        <v>0</v>
      </c>
      <c r="N1513" s="1">
        <f t="shared" si="3418"/>
        <v>-0.42300778901195768</v>
      </c>
      <c r="O1513" s="1">
        <f t="shared" si="2882"/>
        <v>-0.42300778901195768</v>
      </c>
      <c r="P1513" s="1">
        <f t="shared" si="3328"/>
        <v>0.38329837509685288</v>
      </c>
      <c r="Q1513" s="1">
        <f t="shared" si="3329"/>
        <v>0</v>
      </c>
      <c r="R1513" s="1">
        <f t="shared" si="3330"/>
        <v>0.82106441043521516</v>
      </c>
      <c r="S1513" s="1">
        <f t="shared" si="3331"/>
        <v>0.74810842114035836</v>
      </c>
      <c r="T1513" s="1">
        <f t="shared" ref="T1513:V1513" si="3419">$S1513*P1513</f>
        <v>0.28674874221937147</v>
      </c>
      <c r="U1513" s="1">
        <f t="shared" si="3419"/>
        <v>0</v>
      </c>
      <c r="V1513" s="1">
        <f t="shared" si="3419"/>
        <v>0.61424519974522795</v>
      </c>
      <c r="W1513" s="1">
        <f t="shared" si="3333"/>
        <v>-8.0975630180102804</v>
      </c>
      <c r="X1513" s="1">
        <f t="shared" si="3334"/>
        <v>0</v>
      </c>
      <c r="Y1513" s="1">
        <f t="shared" si="3335"/>
        <v>-5.2783475921266012</v>
      </c>
    </row>
    <row r="1514" spans="1:25">
      <c r="A1514" s="1">
        <v>1.51199999999999</v>
      </c>
      <c r="B1514" s="1">
        <f t="shared" si="3336"/>
        <v>46.029903202713662</v>
      </c>
      <c r="C1514" s="1">
        <f t="shared" si="3337"/>
        <v>0</v>
      </c>
      <c r="D1514" s="1">
        <f t="shared" si="3338"/>
        <v>-3.4290208230992549</v>
      </c>
      <c r="E1514" s="1">
        <f t="shared" si="3339"/>
        <v>13.65486403058039</v>
      </c>
      <c r="F1514" s="1">
        <f t="shared" si="3340"/>
        <v>0</v>
      </c>
      <c r="G1514" s="1">
        <f t="shared" si="3341"/>
        <v>-6.3835732916648382</v>
      </c>
      <c r="H1514" s="1">
        <f t="shared" si="2880"/>
        <v>15.073331405621479</v>
      </c>
      <c r="I1514" s="1">
        <f t="shared" si="3324"/>
        <v>-8.3765071814407381</v>
      </c>
      <c r="J1514" s="1">
        <f t="shared" si="3325"/>
        <v>0</v>
      </c>
      <c r="K1514" s="1">
        <f t="shared" si="3326"/>
        <v>3.9159707047343639</v>
      </c>
      <c r="L1514" s="1">
        <f t="shared" ref="L1514:N1514" si="3420">E1514/$H1514</f>
        <v>0.90589556237633817</v>
      </c>
      <c r="M1514" s="1">
        <f t="shared" si="3420"/>
        <v>0</v>
      </c>
      <c r="N1514" s="1">
        <f t="shared" si="3420"/>
        <v>-0.42350115710214764</v>
      </c>
      <c r="O1514" s="1">
        <f t="shared" si="2882"/>
        <v>-0.42350115710214764</v>
      </c>
      <c r="P1514" s="1">
        <f t="shared" si="3328"/>
        <v>0.38364781888007998</v>
      </c>
      <c r="Q1514" s="1">
        <f t="shared" si="3329"/>
        <v>0</v>
      </c>
      <c r="R1514" s="1">
        <f t="shared" si="3330"/>
        <v>0.82064676993314212</v>
      </c>
      <c r="S1514" s="1">
        <f t="shared" si="3331"/>
        <v>0.74760220153941437</v>
      </c>
      <c r="T1514" s="1">
        <f t="shared" ref="T1514:V1514" si="3421">$S1514*P1514</f>
        <v>0.28681595401054227</v>
      </c>
      <c r="U1514" s="1">
        <f t="shared" si="3421"/>
        <v>0</v>
      </c>
      <c r="V1514" s="1">
        <f t="shared" si="3421"/>
        <v>0.61351733188822632</v>
      </c>
      <c r="W1514" s="1">
        <f t="shared" si="3333"/>
        <v>-8.0896912274301958</v>
      </c>
      <c r="X1514" s="1">
        <f t="shared" si="3334"/>
        <v>0</v>
      </c>
      <c r="Y1514" s="1">
        <f t="shared" si="3335"/>
        <v>-5.2771619633774094</v>
      </c>
    </row>
    <row r="1515" spans="1:25">
      <c r="A1515" s="1">
        <v>1.5129999999999899</v>
      </c>
      <c r="B1515" s="1">
        <f t="shared" si="3336"/>
        <v>46.043549977053011</v>
      </c>
      <c r="C1515" s="1">
        <f t="shared" si="3337"/>
        <v>0</v>
      </c>
      <c r="D1515" s="1">
        <f t="shared" si="3338"/>
        <v>-3.4354096735528832</v>
      </c>
      <c r="E1515" s="1">
        <f t="shared" si="3339"/>
        <v>13.646774339352959</v>
      </c>
      <c r="F1515" s="1">
        <f t="shared" si="3340"/>
        <v>0</v>
      </c>
      <c r="G1515" s="1">
        <f t="shared" si="3341"/>
        <v>-6.3888504536282156</v>
      </c>
      <c r="H1515" s="1">
        <f t="shared" si="2880"/>
        <v>15.068240109184876</v>
      </c>
      <c r="I1515" s="1">
        <f t="shared" si="3324"/>
        <v>-8.3687169573234534</v>
      </c>
      <c r="J1515" s="1">
        <f t="shared" si="3325"/>
        <v>0</v>
      </c>
      <c r="K1515" s="1">
        <f t="shared" si="3326"/>
        <v>3.9178841680485443</v>
      </c>
      <c r="L1515" s="1">
        <f t="shared" ref="L1515:N1515" si="3422">E1515/$H1515</f>
        <v>0.90566477839933945</v>
      </c>
      <c r="M1515" s="1">
        <f t="shared" si="3422"/>
        <v>0</v>
      </c>
      <c r="N1515" s="1">
        <f t="shared" si="3422"/>
        <v>-0.42399446832108012</v>
      </c>
      <c r="O1515" s="1">
        <f t="shared" si="2882"/>
        <v>-0.42399446832108012</v>
      </c>
      <c r="P1515" s="1">
        <f t="shared" si="3328"/>
        <v>0.38399685619455676</v>
      </c>
      <c r="Q1515" s="1">
        <f t="shared" si="3329"/>
        <v>0</v>
      </c>
      <c r="R1515" s="1">
        <f t="shared" si="3330"/>
        <v>0.82022869083312455</v>
      </c>
      <c r="S1515" s="1">
        <f t="shared" si="3331"/>
        <v>0.74709725389324566</v>
      </c>
      <c r="T1515" s="1">
        <f t="shared" ref="T1515:V1515" si="3423">$S1515*P1515</f>
        <v>0.2868829967665929</v>
      </c>
      <c r="U1515" s="1">
        <f t="shared" si="3423"/>
        <v>0</v>
      </c>
      <c r="V1515" s="1">
        <f t="shared" si="3423"/>
        <v>0.61279060248587935</v>
      </c>
      <c r="W1515" s="1">
        <f t="shared" si="3333"/>
        <v>-8.0818339605568603</v>
      </c>
      <c r="X1515" s="1">
        <f t="shared" si="3334"/>
        <v>0</v>
      </c>
      <c r="Y1515" s="1">
        <f t="shared" si="3335"/>
        <v>-5.2759752294655762</v>
      </c>
    </row>
    <row r="1516" spans="1:25">
      <c r="A1516" s="1">
        <v>1.51399999999999</v>
      </c>
      <c r="B1516" s="1">
        <f t="shared" si="3336"/>
        <v>46.057188669558407</v>
      </c>
      <c r="C1516" s="1">
        <f t="shared" si="3337"/>
        <v>0</v>
      </c>
      <c r="D1516" s="1">
        <f t="shared" si="3338"/>
        <v>-3.441803799981741</v>
      </c>
      <c r="E1516" s="1">
        <f t="shared" si="3339"/>
        <v>13.638692505392402</v>
      </c>
      <c r="F1516" s="1">
        <f t="shared" si="3340"/>
        <v>0</v>
      </c>
      <c r="G1516" s="1">
        <f t="shared" si="3341"/>
        <v>-6.3941264288576809</v>
      </c>
      <c r="H1516" s="1">
        <f t="shared" si="2880"/>
        <v>15.063159895747743</v>
      </c>
      <c r="I1516" s="1">
        <f t="shared" si="3324"/>
        <v>-8.3609410540746261</v>
      </c>
      <c r="J1516" s="1">
        <f t="shared" si="3325"/>
        <v>0</v>
      </c>
      <c r="K1516" s="1">
        <f t="shared" si="3326"/>
        <v>3.9197976010414957</v>
      </c>
      <c r="L1516" s="1">
        <f t="shared" ref="L1516:N1516" si="3424">E1516/$H1516</f>
        <v>0.90543369384550842</v>
      </c>
      <c r="M1516" s="1">
        <f t="shared" si="3424"/>
        <v>0</v>
      </c>
      <c r="N1516" s="1">
        <f t="shared" si="3424"/>
        <v>-0.42448772190639172</v>
      </c>
      <c r="O1516" s="1">
        <f t="shared" si="2882"/>
        <v>-0.42448772190639172</v>
      </c>
      <c r="P1516" s="1">
        <f t="shared" si="3328"/>
        <v>0.38434548603776919</v>
      </c>
      <c r="Q1516" s="1">
        <f t="shared" si="3329"/>
        <v>0</v>
      </c>
      <c r="R1516" s="1">
        <f t="shared" si="3330"/>
        <v>0.81981017395072187</v>
      </c>
      <c r="S1516" s="1">
        <f t="shared" si="3331"/>
        <v>0.74659357547104777</v>
      </c>
      <c r="T1516" s="1">
        <f t="shared" ref="T1516:V1516" si="3425">$S1516*P1516</f>
        <v>0.28694987063709576</v>
      </c>
      <c r="U1516" s="1">
        <f t="shared" si="3425"/>
        <v>0</v>
      </c>
      <c r="V1516" s="1">
        <f t="shared" si="3425"/>
        <v>0.61206500897741101</v>
      </c>
      <c r="W1516" s="1">
        <f t="shared" si="3333"/>
        <v>-8.0739911834375295</v>
      </c>
      <c r="X1516" s="1">
        <f t="shared" si="3334"/>
        <v>0</v>
      </c>
      <c r="Y1516" s="1">
        <f t="shared" si="3335"/>
        <v>-5.2747873899810926</v>
      </c>
    </row>
    <row r="1517" spans="1:25">
      <c r="A1517" s="1">
        <v>1.5149999999999899</v>
      </c>
      <c r="B1517" s="1">
        <f t="shared" si="3336"/>
        <v>46.070819288072613</v>
      </c>
      <c r="C1517" s="1">
        <f t="shared" si="3337"/>
        <v>0</v>
      </c>
      <c r="D1517" s="1">
        <f t="shared" si="3338"/>
        <v>-3.4482032011979888</v>
      </c>
      <c r="E1517" s="1">
        <f t="shared" si="3339"/>
        <v>13.630618514208965</v>
      </c>
      <c r="F1517" s="1">
        <f t="shared" si="3340"/>
        <v>0</v>
      </c>
      <c r="G1517" s="1">
        <f t="shared" si="3341"/>
        <v>-6.3994012162476617</v>
      </c>
      <c r="H1517" s="1">
        <f t="shared" si="2880"/>
        <v>15.058090749042798</v>
      </c>
      <c r="I1517" s="1">
        <f t="shared" si="3324"/>
        <v>-8.3531794379812094</v>
      </c>
      <c r="J1517" s="1">
        <f t="shared" si="3325"/>
        <v>0</v>
      </c>
      <c r="K1517" s="1">
        <f t="shared" si="3326"/>
        <v>3.9217110066743093</v>
      </c>
      <c r="L1517" s="1">
        <f t="shared" ref="L1517:N1517" si="3426">E1517/$H1517</f>
        <v>0.90520230893650488</v>
      </c>
      <c r="M1517" s="1">
        <f t="shared" si="3426"/>
        <v>0</v>
      </c>
      <c r="N1517" s="1">
        <f t="shared" si="3426"/>
        <v>-0.42498091709630947</v>
      </c>
      <c r="O1517" s="1">
        <f t="shared" si="2882"/>
        <v>-0.42498091709630947</v>
      </c>
      <c r="P1517" s="1">
        <f t="shared" si="3328"/>
        <v>0.38469370740953268</v>
      </c>
      <c r="Q1517" s="1">
        <f t="shared" si="3329"/>
        <v>0</v>
      </c>
      <c r="R1517" s="1">
        <f t="shared" si="3330"/>
        <v>0.81939122010397969</v>
      </c>
      <c r="S1517" s="1">
        <f t="shared" si="3331"/>
        <v>0.74609116354922844</v>
      </c>
      <c r="T1517" s="1">
        <f t="shared" ref="T1517:V1517" si="3427">$S1517*P1517</f>
        <v>0.28701657577124468</v>
      </c>
      <c r="U1517" s="1">
        <f t="shared" si="3427"/>
        <v>0</v>
      </c>
      <c r="V1517" s="1">
        <f t="shared" si="3427"/>
        <v>0.61134054880940014</v>
      </c>
      <c r="W1517" s="1">
        <f t="shared" si="3333"/>
        <v>-8.0661628622099641</v>
      </c>
      <c r="X1517" s="1">
        <f t="shared" si="3334"/>
        <v>0</v>
      </c>
      <c r="Y1517" s="1">
        <f t="shared" si="3335"/>
        <v>-5.2735984445162902</v>
      </c>
    </row>
    <row r="1518" spans="1:25">
      <c r="A1518" s="1">
        <v>1.51599999999999</v>
      </c>
      <c r="B1518" s="1">
        <f t="shared" si="3336"/>
        <v>46.084441840423963</v>
      </c>
      <c r="C1518" s="1">
        <f t="shared" si="3337"/>
        <v>0</v>
      </c>
      <c r="D1518" s="1">
        <f t="shared" si="3338"/>
        <v>-3.4546078760126808</v>
      </c>
      <c r="E1518" s="1">
        <f t="shared" si="3339"/>
        <v>13.622552351346755</v>
      </c>
      <c r="F1518" s="1">
        <f t="shared" si="3340"/>
        <v>0</v>
      </c>
      <c r="G1518" s="1">
        <f t="shared" si="3341"/>
        <v>-6.4046748146921777</v>
      </c>
      <c r="H1518" s="1">
        <f t="shared" si="2880"/>
        <v>15.053032652828975</v>
      </c>
      <c r="I1518" s="1">
        <f t="shared" si="3324"/>
        <v>-8.3454320754200015</v>
      </c>
      <c r="J1518" s="1">
        <f t="shared" si="3325"/>
        <v>0</v>
      </c>
      <c r="K1518" s="1">
        <f t="shared" si="3326"/>
        <v>3.923624387898395</v>
      </c>
      <c r="L1518" s="1">
        <f t="shared" ref="L1518:N1518" si="3428">E1518/$H1518</f>
        <v>0.90497062389528637</v>
      </c>
      <c r="M1518" s="1">
        <f t="shared" si="3428"/>
        <v>0</v>
      </c>
      <c r="N1518" s="1">
        <f t="shared" si="3428"/>
        <v>-0.42547405312965442</v>
      </c>
      <c r="O1518" s="1">
        <f t="shared" si="2882"/>
        <v>-0.42547405312965442</v>
      </c>
      <c r="P1518" s="1">
        <f t="shared" si="3328"/>
        <v>0.38504151931199959</v>
      </c>
      <c r="Q1518" s="1">
        <f t="shared" si="3329"/>
        <v>0</v>
      </c>
      <c r="R1518" s="1">
        <f t="shared" si="3330"/>
        <v>0.818971830113424</v>
      </c>
      <c r="S1518" s="1">
        <f t="shared" si="3331"/>
        <v>0.74559001541138392</v>
      </c>
      <c r="T1518" s="1">
        <f t="shared" ref="T1518:V1518" si="3429">$S1518*P1518</f>
        <v>0.28708311231785644</v>
      </c>
      <c r="U1518" s="1">
        <f t="shared" si="3429"/>
        <v>0</v>
      </c>
      <c r="V1518" s="1">
        <f t="shared" si="3429"/>
        <v>0.61061721943575709</v>
      </c>
      <c r="W1518" s="1">
        <f t="shared" si="3333"/>
        <v>-8.0583489631021443</v>
      </c>
      <c r="X1518" s="1">
        <f t="shared" si="3334"/>
        <v>0</v>
      </c>
      <c r="Y1518" s="1">
        <f t="shared" si="3335"/>
        <v>-5.2724083926658469</v>
      </c>
    </row>
    <row r="1519" spans="1:25">
      <c r="A1519" s="1">
        <v>1.5169999999999899</v>
      </c>
      <c r="B1519" s="1">
        <f t="shared" si="3336"/>
        <v>46.098056334426346</v>
      </c>
      <c r="C1519" s="1">
        <f t="shared" si="3337"/>
        <v>0</v>
      </c>
      <c r="D1519" s="1">
        <f t="shared" si="3338"/>
        <v>-3.4610178232357658</v>
      </c>
      <c r="E1519" s="1">
        <f t="shared" si="3339"/>
        <v>13.614494002383653</v>
      </c>
      <c r="F1519" s="1">
        <f t="shared" si="3340"/>
        <v>0</v>
      </c>
      <c r="G1519" s="1">
        <f t="shared" si="3341"/>
        <v>-6.4099472230848438</v>
      </c>
      <c r="H1519" s="1">
        <f t="shared" si="2880"/>
        <v>15.047985590891345</v>
      </c>
      <c r="I1519" s="1">
        <f t="shared" si="3324"/>
        <v>-8.3376989328573305</v>
      </c>
      <c r="J1519" s="1">
        <f t="shared" si="3325"/>
        <v>0</v>
      </c>
      <c r="K1519" s="1">
        <f t="shared" si="3326"/>
        <v>3.9255377476554907</v>
      </c>
      <c r="L1519" s="1">
        <f t="shared" ref="L1519:N1519" si="3430">E1519/$H1519</f>
        <v>0.90473863894610618</v>
      </c>
      <c r="M1519" s="1">
        <f t="shared" si="3430"/>
        <v>0</v>
      </c>
      <c r="N1519" s="1">
        <f t="shared" si="3430"/>
        <v>-0.42596712924584612</v>
      </c>
      <c r="O1519" s="1">
        <f t="shared" si="2882"/>
        <v>-0.42596712924584612</v>
      </c>
      <c r="P1519" s="1">
        <f t="shared" si="3328"/>
        <v>0.38538892074966691</v>
      </c>
      <c r="Q1519" s="1">
        <f t="shared" si="3329"/>
        <v>0</v>
      </c>
      <c r="R1519" s="1">
        <f t="shared" si="3330"/>
        <v>0.81855200480205259</v>
      </c>
      <c r="S1519" s="1">
        <f t="shared" si="3331"/>
        <v>0.74509012834827393</v>
      </c>
      <c r="T1519" s="1">
        <f t="shared" ref="T1519:V1519" si="3431">$S1519*P1519</f>
        <v>0.28714948042537208</v>
      </c>
      <c r="U1519" s="1">
        <f t="shared" si="3431"/>
        <v>0</v>
      </c>
      <c r="V1519" s="1">
        <f t="shared" si="3431"/>
        <v>0.60989501831769832</v>
      </c>
      <c r="W1519" s="1">
        <f t="shared" si="3333"/>
        <v>-8.0505494524319587</v>
      </c>
      <c r="X1519" s="1">
        <f t="shared" si="3334"/>
        <v>0</v>
      </c>
      <c r="Y1519" s="1">
        <f t="shared" si="3335"/>
        <v>-5.2712172340268104</v>
      </c>
    </row>
    <row r="1520" spans="1:25">
      <c r="A1520" s="1">
        <v>1.51799999999999</v>
      </c>
      <c r="B1520" s="1">
        <f t="shared" si="3336"/>
        <v>46.111662777879275</v>
      </c>
      <c r="C1520" s="1">
        <f t="shared" si="3337"/>
        <v>0</v>
      </c>
      <c r="D1520" s="1">
        <f t="shared" si="3338"/>
        <v>-3.4674330416760846</v>
      </c>
      <c r="E1520" s="1">
        <f t="shared" si="3339"/>
        <v>13.60644345293122</v>
      </c>
      <c r="F1520" s="1">
        <f t="shared" si="3340"/>
        <v>0</v>
      </c>
      <c r="G1520" s="1">
        <f t="shared" si="3341"/>
        <v>-6.4152184403188706</v>
      </c>
      <c r="H1520" s="1">
        <f t="shared" si="2880"/>
        <v>15.042949547041037</v>
      </c>
      <c r="I1520" s="1">
        <f t="shared" si="3324"/>
        <v>-8.3299799768487759</v>
      </c>
      <c r="J1520" s="1">
        <f t="shared" si="3325"/>
        <v>0</v>
      </c>
      <c r="K1520" s="1">
        <f t="shared" si="3326"/>
        <v>3.927451088877675</v>
      </c>
      <c r="L1520" s="1">
        <f t="shared" ref="L1520:N1520" si="3432">E1520/$H1520</f>
        <v>0.90450635431451154</v>
      </c>
      <c r="M1520" s="1">
        <f t="shared" si="3432"/>
        <v>0</v>
      </c>
      <c r="N1520" s="1">
        <f t="shared" si="3432"/>
        <v>-0.42646014468490662</v>
      </c>
      <c r="O1520" s="1">
        <f t="shared" si="2882"/>
        <v>-0.42646014468490662</v>
      </c>
      <c r="P1520" s="1">
        <f t="shared" si="3328"/>
        <v>0.38573591072938401</v>
      </c>
      <c r="Q1520" s="1">
        <f t="shared" si="3329"/>
        <v>0</v>
      </c>
      <c r="R1520" s="1">
        <f t="shared" si="3330"/>
        <v>0.81813174499532848</v>
      </c>
      <c r="S1520" s="1">
        <f t="shared" si="3331"/>
        <v>0.74459149965779836</v>
      </c>
      <c r="T1520" s="1">
        <f t="shared" ref="T1520:V1520" si="3433">$S1520*P1520</f>
        <v>0.28721568024185867</v>
      </c>
      <c r="U1520" s="1">
        <f t="shared" si="3433"/>
        <v>0</v>
      </c>
      <c r="V1520" s="1">
        <f t="shared" si="3433"/>
        <v>0.60917394292372307</v>
      </c>
      <c r="W1520" s="1">
        <f t="shared" si="3333"/>
        <v>-8.0427642966069168</v>
      </c>
      <c r="X1520" s="1">
        <f t="shared" si="3334"/>
        <v>0</v>
      </c>
      <c r="Y1520" s="1">
        <f t="shared" si="3335"/>
        <v>-5.2700249681986016</v>
      </c>
    </row>
    <row r="1521" spans="1:25">
      <c r="A1521" s="1">
        <v>1.5189999999999899</v>
      </c>
      <c r="B1521" s="1">
        <f t="shared" si="3336"/>
        <v>46.125261178567911</v>
      </c>
      <c r="C1521" s="1">
        <f t="shared" si="3337"/>
        <v>0</v>
      </c>
      <c r="D1521" s="1">
        <f t="shared" si="3338"/>
        <v>-3.4738535301413718</v>
      </c>
      <c r="E1521" s="1">
        <f t="shared" si="3339"/>
        <v>13.598400688634614</v>
      </c>
      <c r="F1521" s="1">
        <f t="shared" si="3340"/>
        <v>0</v>
      </c>
      <c r="G1521" s="1">
        <f t="shared" si="3341"/>
        <v>-6.4204884652870691</v>
      </c>
      <c r="H1521" s="1">
        <f t="shared" si="2880"/>
        <v>15.037924505115146</v>
      </c>
      <c r="I1521" s="1">
        <f t="shared" si="3324"/>
        <v>-8.3222751740388716</v>
      </c>
      <c r="J1521" s="1">
        <f t="shared" si="3325"/>
        <v>0</v>
      </c>
      <c r="K1521" s="1">
        <f t="shared" si="3326"/>
        <v>3.9293644144873783</v>
      </c>
      <c r="L1521" s="1">
        <f t="shared" ref="L1521:N1521" si="3434">E1521/$H1521</f>
        <v>0.90427377022734234</v>
      </c>
      <c r="M1521" s="1">
        <f t="shared" si="3434"/>
        <v>0</v>
      </c>
      <c r="N1521" s="1">
        <f t="shared" si="3434"/>
        <v>-0.42695309868746456</v>
      </c>
      <c r="O1521" s="1">
        <f t="shared" si="2882"/>
        <v>-0.42695309868746456</v>
      </c>
      <c r="P1521" s="1">
        <f t="shared" si="3328"/>
        <v>0.38608248826036012</v>
      </c>
      <c r="Q1521" s="1">
        <f t="shared" si="3329"/>
        <v>0</v>
      </c>
      <c r="R1521" s="1">
        <f t="shared" si="3330"/>
        <v>0.81771105152117218</v>
      </c>
      <c r="S1521" s="1">
        <f t="shared" si="3331"/>
        <v>0.7440941266449721</v>
      </c>
      <c r="T1521" s="1">
        <f t="shared" ref="T1521:V1521" si="3435">$S1521*P1521</f>
        <v>0.28728171191501034</v>
      </c>
      <c r="U1521" s="1">
        <f t="shared" si="3435"/>
        <v>0</v>
      </c>
      <c r="V1521" s="1">
        <f t="shared" si="3435"/>
        <v>0.60845399072958839</v>
      </c>
      <c r="W1521" s="1">
        <f t="shared" si="3333"/>
        <v>-8.034993462123861</v>
      </c>
      <c r="X1521" s="1">
        <f t="shared" si="3334"/>
        <v>0</v>
      </c>
      <c r="Y1521" s="1">
        <f t="shared" si="3335"/>
        <v>-5.2688315947830331</v>
      </c>
    </row>
    <row r="1522" spans="1:25">
      <c r="A1522" s="1">
        <v>1.51999999999999</v>
      </c>
      <c r="B1522" s="1">
        <f t="shared" si="3336"/>
        <v>46.138851544263083</v>
      </c>
      <c r="C1522" s="1">
        <f t="shared" si="3337"/>
        <v>0</v>
      </c>
      <c r="D1522" s="1">
        <f t="shared" si="3338"/>
        <v>-3.4802792874382535</v>
      </c>
      <c r="E1522" s="1">
        <f t="shared" si="3339"/>
        <v>13.59036569517249</v>
      </c>
      <c r="F1522" s="1">
        <f t="shared" si="3340"/>
        <v>0</v>
      </c>
      <c r="G1522" s="1">
        <f t="shared" si="3341"/>
        <v>-6.4257572968818524</v>
      </c>
      <c r="H1522" s="1">
        <f t="shared" si="2880"/>
        <v>15.03291044897666</v>
      </c>
      <c r="I1522" s="1">
        <f t="shared" si="3324"/>
        <v>-8.3145844911607991</v>
      </c>
      <c r="J1522" s="1">
        <f t="shared" si="3325"/>
        <v>0</v>
      </c>
      <c r="K1522" s="1">
        <f t="shared" si="3326"/>
        <v>3.9312777273973927</v>
      </c>
      <c r="L1522" s="1">
        <f t="shared" ref="L1522:N1522" si="3436">E1522/$H1522</f>
        <v>0.90404088691272899</v>
      </c>
      <c r="M1522" s="1">
        <f t="shared" si="3436"/>
        <v>0</v>
      </c>
      <c r="N1522" s="1">
        <f t="shared" si="3436"/>
        <v>-0.42744599049475979</v>
      </c>
      <c r="O1522" s="1">
        <f t="shared" si="2882"/>
        <v>-0.42744599049475979</v>
      </c>
      <c r="P1522" s="1">
        <f t="shared" si="3328"/>
        <v>0.38642865235417256</v>
      </c>
      <c r="Q1522" s="1">
        <f t="shared" si="3329"/>
        <v>0</v>
      </c>
      <c r="R1522" s="1">
        <f t="shared" si="3330"/>
        <v>0.81728992520995369</v>
      </c>
      <c r="S1522" s="1">
        <f t="shared" si="3331"/>
        <v>0.74359800662190101</v>
      </c>
      <c r="T1522" s="1">
        <f t="shared" ref="T1522:V1522" si="3437">$S1522*P1522</f>
        <v>0.28734757559215029</v>
      </c>
      <c r="U1522" s="1">
        <f t="shared" si="3437"/>
        <v>0</v>
      </c>
      <c r="V1522" s="1">
        <f t="shared" si="3437"/>
        <v>0.60773515921828414</v>
      </c>
      <c r="W1522" s="1">
        <f t="shared" si="3333"/>
        <v>-8.0272369155686487</v>
      </c>
      <c r="X1522" s="1">
        <f t="shared" si="3334"/>
        <v>0</v>
      </c>
      <c r="Y1522" s="1">
        <f t="shared" si="3335"/>
        <v>-5.2676371133843229</v>
      </c>
    </row>
    <row r="1523" spans="1:25">
      <c r="A1523" s="1">
        <v>1.5209999999999899</v>
      </c>
      <c r="B1523" s="1">
        <f t="shared" si="3336"/>
        <v>46.15243388272134</v>
      </c>
      <c r="C1523" s="1">
        <f t="shared" si="3337"/>
        <v>0</v>
      </c>
      <c r="D1523" s="1">
        <f t="shared" si="3338"/>
        <v>-3.4867103123722489</v>
      </c>
      <c r="E1523" s="1">
        <f t="shared" si="3339"/>
        <v>13.582338458256922</v>
      </c>
      <c r="F1523" s="1">
        <f t="shared" si="3340"/>
        <v>0</v>
      </c>
      <c r="G1523" s="1">
        <f t="shared" si="3341"/>
        <v>-6.4310249339952366</v>
      </c>
      <c r="H1523" s="1">
        <f t="shared" si="2880"/>
        <v>15.027907362514366</v>
      </c>
      <c r="I1523" s="1">
        <f t="shared" si="3324"/>
        <v>-8.3069078950361135</v>
      </c>
      <c r="J1523" s="1">
        <f t="shared" si="3325"/>
        <v>0</v>
      </c>
      <c r="K1523" s="1">
        <f t="shared" si="3326"/>
        <v>3.9331910305108826</v>
      </c>
      <c r="L1523" s="1">
        <f t="shared" ref="L1523:N1523" si="3438">E1523/$H1523</f>
        <v>0.90380770460009141</v>
      </c>
      <c r="M1523" s="1">
        <f t="shared" si="3438"/>
        <v>0</v>
      </c>
      <c r="N1523" s="1">
        <f t="shared" si="3438"/>
        <v>-0.42793881934864691</v>
      </c>
      <c r="O1523" s="1">
        <f t="shared" si="2882"/>
        <v>-0.42793881934864691</v>
      </c>
      <c r="P1523" s="1">
        <f t="shared" si="3328"/>
        <v>0.38677440202477376</v>
      </c>
      <c r="Q1523" s="1">
        <f t="shared" si="3329"/>
        <v>0</v>
      </c>
      <c r="R1523" s="1">
        <f t="shared" si="3330"/>
        <v>0.81686836689448616</v>
      </c>
      <c r="S1523" s="1">
        <f t="shared" si="3331"/>
        <v>0.7431031369077582</v>
      </c>
      <c r="T1523" s="1">
        <f t="shared" ref="T1523:V1523" si="3439">$S1523*P1523</f>
        <v>0.28741327142023176</v>
      </c>
      <c r="U1523" s="1">
        <f t="shared" si="3439"/>
        <v>0</v>
      </c>
      <c r="V1523" s="1">
        <f t="shared" si="3439"/>
        <v>0.60701744588001016</v>
      </c>
      <c r="W1523" s="1">
        <f t="shared" si="3333"/>
        <v>-8.0194946236158824</v>
      </c>
      <c r="X1523" s="1">
        <f t="shared" si="3334"/>
        <v>0</v>
      </c>
      <c r="Y1523" s="1">
        <f t="shared" si="3335"/>
        <v>-5.2664415236091067</v>
      </c>
    </row>
    <row r="1524" spans="1:25">
      <c r="A1524" s="1">
        <v>1.52199999999999</v>
      </c>
      <c r="B1524" s="1">
        <f t="shared" si="3336"/>
        <v>46.166008201684974</v>
      </c>
      <c r="C1524" s="1">
        <f t="shared" si="3337"/>
        <v>0</v>
      </c>
      <c r="D1524" s="1">
        <f t="shared" si="3338"/>
        <v>-3.4931466037477676</v>
      </c>
      <c r="E1524" s="1">
        <f t="shared" si="3339"/>
        <v>13.574318963633306</v>
      </c>
      <c r="F1524" s="1">
        <f t="shared" si="3340"/>
        <v>0</v>
      </c>
      <c r="G1524" s="1">
        <f t="shared" si="3341"/>
        <v>-6.436291375518846</v>
      </c>
      <c r="H1524" s="1">
        <f t="shared" si="2880"/>
        <v>15.022915229642784</v>
      </c>
      <c r="I1524" s="1">
        <f t="shared" si="3324"/>
        <v>-8.299245352574447</v>
      </c>
      <c r="J1524" s="1">
        <f t="shared" si="3325"/>
        <v>0</v>
      </c>
      <c r="K1524" s="1">
        <f t="shared" si="3326"/>
        <v>3.9351043267213996</v>
      </c>
      <c r="L1524" s="1">
        <f t="shared" ref="L1524:N1524" si="3440">E1524/$H1524</f>
        <v>0.90357422352013617</v>
      </c>
      <c r="M1524" s="1">
        <f t="shared" si="3440"/>
        <v>0</v>
      </c>
      <c r="N1524" s="1">
        <f t="shared" si="3440"/>
        <v>-0.42843158449159996</v>
      </c>
      <c r="O1524" s="1">
        <f t="shared" si="2882"/>
        <v>-0.42843158449159996</v>
      </c>
      <c r="P1524" s="1">
        <f t="shared" si="3328"/>
        <v>0.38711973628849905</v>
      </c>
      <c r="Q1524" s="1">
        <f t="shared" si="3329"/>
        <v>0</v>
      </c>
      <c r="R1524" s="1">
        <f t="shared" si="3330"/>
        <v>0.81644637741001702</v>
      </c>
      <c r="S1524" s="1">
        <f t="shared" si="3331"/>
        <v>0.74260951482875981</v>
      </c>
      <c r="T1524" s="1">
        <f t="shared" ref="T1524:V1524" si="3441">$S1524*P1524</f>
        <v>0.28747879954583971</v>
      </c>
      <c r="U1524" s="1">
        <f t="shared" si="3441"/>
        <v>0</v>
      </c>
      <c r="V1524" s="1">
        <f t="shared" si="3441"/>
        <v>0.60630084821215124</v>
      </c>
      <c r="W1524" s="1">
        <f t="shared" si="3333"/>
        <v>-8.0117665530286075</v>
      </c>
      <c r="X1524" s="1">
        <f t="shared" si="3334"/>
        <v>0</v>
      </c>
      <c r="Y1524" s="1">
        <f t="shared" si="3335"/>
        <v>-5.2652448250664481</v>
      </c>
    </row>
    <row r="1525" spans="1:25">
      <c r="A1525" s="1">
        <v>1.5229999999999899</v>
      </c>
      <c r="B1525" s="1">
        <f t="shared" si="3336"/>
        <v>46.179574508882055</v>
      </c>
      <c r="C1525" s="1">
        <f t="shared" si="3337"/>
        <v>0</v>
      </c>
      <c r="D1525" s="1">
        <f t="shared" si="3338"/>
        <v>-3.4995881603681114</v>
      </c>
      <c r="E1525" s="1">
        <f t="shared" si="3339"/>
        <v>13.566307197080278</v>
      </c>
      <c r="F1525" s="1">
        <f t="shared" si="3340"/>
        <v>0</v>
      </c>
      <c r="G1525" s="1">
        <f t="shared" si="3341"/>
        <v>-6.4415566203439125</v>
      </c>
      <c r="H1525" s="1">
        <f t="shared" si="2880"/>
        <v>15.017934034302076</v>
      </c>
      <c r="I1525" s="1">
        <f t="shared" si="3324"/>
        <v>-8.2915968307732157</v>
      </c>
      <c r="J1525" s="1">
        <f t="shared" si="3325"/>
        <v>0</v>
      </c>
      <c r="K1525" s="1">
        <f t="shared" si="3326"/>
        <v>3.9370176189128911</v>
      </c>
      <c r="L1525" s="1">
        <f t="shared" ref="L1525:N1525" si="3442">E1525/$H1525</f>
        <v>0.90334044390485568</v>
      </c>
      <c r="M1525" s="1">
        <f t="shared" si="3442"/>
        <v>0</v>
      </c>
      <c r="N1525" s="1">
        <f t="shared" si="3442"/>
        <v>-0.42892428516671594</v>
      </c>
      <c r="O1525" s="1">
        <f t="shared" si="2882"/>
        <v>-0.42892428516671594</v>
      </c>
      <c r="P1525" s="1">
        <f t="shared" si="3328"/>
        <v>0.38746465416407405</v>
      </c>
      <c r="Q1525" s="1">
        <f t="shared" si="3329"/>
        <v>0</v>
      </c>
      <c r="R1525" s="1">
        <f t="shared" si="3330"/>
        <v>0.81602395759422175</v>
      </c>
      <c r="S1525" s="1">
        <f t="shared" si="3331"/>
        <v>0.74211713771814147</v>
      </c>
      <c r="T1525" s="1">
        <f t="shared" ref="T1525:V1525" si="3443">$S1525*P1525</f>
        <v>0.28754416011519218</v>
      </c>
      <c r="U1525" s="1">
        <f t="shared" si="3443"/>
        <v>0</v>
      </c>
      <c r="V1525" s="1">
        <f t="shared" si="3443"/>
        <v>0.60558536371925387</v>
      </c>
      <c r="W1525" s="1">
        <f t="shared" si="3333"/>
        <v>-8.0040526706580231</v>
      </c>
      <c r="X1525" s="1">
        <f t="shared" si="3334"/>
        <v>0</v>
      </c>
      <c r="Y1525" s="1">
        <f t="shared" si="3335"/>
        <v>-5.2640470173678544</v>
      </c>
    </row>
    <row r="1526" spans="1:25">
      <c r="A1526" s="1">
        <v>1.52399999999999</v>
      </c>
      <c r="B1526" s="1">
        <f t="shared" si="3336"/>
        <v>46.193132812026462</v>
      </c>
      <c r="C1526" s="1">
        <f t="shared" si="3337"/>
        <v>0</v>
      </c>
      <c r="D1526" s="1">
        <f t="shared" si="3338"/>
        <v>-3.5060349810354725</v>
      </c>
      <c r="E1526" s="1">
        <f t="shared" si="3339"/>
        <v>13.558303144409619</v>
      </c>
      <c r="F1526" s="1">
        <f t="shared" si="3340"/>
        <v>0</v>
      </c>
      <c r="G1526" s="1">
        <f t="shared" si="3341"/>
        <v>-6.4468206673612807</v>
      </c>
      <c r="H1526" s="1">
        <f t="shared" si="2880"/>
        <v>15.01296376045797</v>
      </c>
      <c r="I1526" s="1">
        <f t="shared" si="3324"/>
        <v>-8.2839622967173394</v>
      </c>
      <c r="J1526" s="1">
        <f t="shared" si="3325"/>
        <v>0</v>
      </c>
      <c r="K1526" s="1">
        <f t="shared" si="3326"/>
        <v>3.938930909959709</v>
      </c>
      <c r="L1526" s="1">
        <f t="shared" ref="L1526:N1526" si="3444">E1526/$H1526</f>
        <v>0.90310636598752592</v>
      </c>
      <c r="M1526" s="1">
        <f t="shared" si="3444"/>
        <v>0</v>
      </c>
      <c r="N1526" s="1">
        <f t="shared" si="3444"/>
        <v>-0.42941692061771958</v>
      </c>
      <c r="O1526" s="1">
        <f t="shared" si="2882"/>
        <v>-0.42941692061771958</v>
      </c>
      <c r="P1526" s="1">
        <f t="shared" si="3328"/>
        <v>0.38780915467262261</v>
      </c>
      <c r="Q1526" s="1">
        <f t="shared" si="3329"/>
        <v>0</v>
      </c>
      <c r="R1526" s="1">
        <f t="shared" si="3330"/>
        <v>0.81560110828719512</v>
      </c>
      <c r="S1526" s="1">
        <f t="shared" si="3331"/>
        <v>0.74162600291613434</v>
      </c>
      <c r="T1526" s="1">
        <f t="shared" ref="T1526:V1526" si="3445">$S1526*P1526</f>
        <v>0.287609353274142</v>
      </c>
      <c r="U1526" s="1">
        <f t="shared" si="3445"/>
        <v>0</v>
      </c>
      <c r="V1526" s="1">
        <f t="shared" si="3445"/>
        <v>0.60487098991300181</v>
      </c>
      <c r="W1526" s="1">
        <f t="shared" si="3333"/>
        <v>-7.9963529434431972</v>
      </c>
      <c r="X1526" s="1">
        <f t="shared" si="3334"/>
        <v>0</v>
      </c>
      <c r="Y1526" s="1">
        <f t="shared" si="3335"/>
        <v>-5.2628481001272887</v>
      </c>
    </row>
    <row r="1527" spans="1:25">
      <c r="A1527" s="1">
        <v>1.5249999999999899</v>
      </c>
      <c r="B1527" s="1">
        <f t="shared" si="3336"/>
        <v>46.206683118817928</v>
      </c>
      <c r="C1527" s="1">
        <f t="shared" si="3337"/>
        <v>0</v>
      </c>
      <c r="D1527" s="1">
        <f t="shared" si="3338"/>
        <v>-3.5124870645509341</v>
      </c>
      <c r="E1527" s="1">
        <f t="shared" si="3339"/>
        <v>13.550306791466175</v>
      </c>
      <c r="F1527" s="1">
        <f t="shared" si="3340"/>
        <v>0</v>
      </c>
      <c r="G1527" s="1">
        <f t="shared" si="3341"/>
        <v>-6.4520835154614078</v>
      </c>
      <c r="H1527" s="1">
        <f t="shared" si="2880"/>
        <v>15.008004392101675</v>
      </c>
      <c r="I1527" s="1">
        <f t="shared" si="3324"/>
        <v>-8.2763417175789495</v>
      </c>
      <c r="J1527" s="1">
        <f t="shared" si="3325"/>
        <v>0</v>
      </c>
      <c r="K1527" s="1">
        <f t="shared" si="3326"/>
        <v>3.9408442027266246</v>
      </c>
      <c r="L1527" s="1">
        <f t="shared" ref="L1527:N1527" si="3446">E1527/$H1527</f>
        <v>0.90287199000270491</v>
      </c>
      <c r="M1527" s="1">
        <f t="shared" si="3446"/>
        <v>0</v>
      </c>
      <c r="N1527" s="1">
        <f t="shared" si="3446"/>
        <v>-0.42990949008896695</v>
      </c>
      <c r="O1527" s="1">
        <f t="shared" si="2882"/>
        <v>-0.42990949008896695</v>
      </c>
      <c r="P1527" s="1">
        <f t="shared" si="3328"/>
        <v>0.38815323683767372</v>
      </c>
      <c r="Q1527" s="1">
        <f t="shared" si="3329"/>
        <v>0</v>
      </c>
      <c r="R1527" s="1">
        <f t="shared" si="3330"/>
        <v>0.81517783033144442</v>
      </c>
      <c r="S1527" s="1">
        <f t="shared" si="3331"/>
        <v>0.74113610776994177</v>
      </c>
      <c r="T1527" s="1">
        <f t="shared" ref="T1527:V1527" si="3447">$S1527*P1527</f>
        <v>0.2876743791681779</v>
      </c>
      <c r="U1527" s="1">
        <f t="shared" si="3447"/>
        <v>0</v>
      </c>
      <c r="V1527" s="1">
        <f t="shared" si="3447"/>
        <v>0.60415772431219272</v>
      </c>
      <c r="W1527" s="1">
        <f t="shared" si="3333"/>
        <v>-7.9886673384107718</v>
      </c>
      <c r="X1527" s="1">
        <f t="shared" si="3334"/>
        <v>0</v>
      </c>
      <c r="Y1527" s="1">
        <f t="shared" si="3335"/>
        <v>-5.2616480729611821</v>
      </c>
    </row>
    <row r="1528" spans="1:25">
      <c r="A1528" s="1">
        <v>1.52599999999999</v>
      </c>
      <c r="B1528" s="1">
        <f t="shared" si="3336"/>
        <v>46.220225436942059</v>
      </c>
      <c r="C1528" s="1">
        <f t="shared" si="3337"/>
        <v>0</v>
      </c>
      <c r="D1528" s="1">
        <f t="shared" si="3338"/>
        <v>-3.5189444097144684</v>
      </c>
      <c r="E1528" s="1">
        <f t="shared" si="3339"/>
        <v>13.542318124127764</v>
      </c>
      <c r="F1528" s="1">
        <f t="shared" si="3340"/>
        <v>0</v>
      </c>
      <c r="G1528" s="1">
        <f t="shared" si="3341"/>
        <v>-6.4573451635343693</v>
      </c>
      <c r="H1528" s="1">
        <f t="shared" si="2880"/>
        <v>15.003055913249808</v>
      </c>
      <c r="I1528" s="1">
        <f t="shared" si="3324"/>
        <v>-8.2687350606171055</v>
      </c>
      <c r="J1528" s="1">
        <f t="shared" si="3325"/>
        <v>0</v>
      </c>
      <c r="K1528" s="1">
        <f t="shared" si="3326"/>
        <v>3.9427575000688408</v>
      </c>
      <c r="L1528" s="1">
        <f t="shared" ref="L1528:N1528" si="3448">E1528/$H1528</f>
        <v>0.90263731618623066</v>
      </c>
      <c r="M1528" s="1">
        <f t="shared" si="3448"/>
        <v>0</v>
      </c>
      <c r="N1528" s="1">
        <f t="shared" si="3448"/>
        <v>-0.43040199282545</v>
      </c>
      <c r="O1528" s="1">
        <f t="shared" si="2882"/>
        <v>-0.43040199282545</v>
      </c>
      <c r="P1528" s="1">
        <f t="shared" si="3328"/>
        <v>0.38849689968516948</v>
      </c>
      <c r="Q1528" s="1">
        <f t="shared" si="3329"/>
        <v>0</v>
      </c>
      <c r="R1528" s="1">
        <f t="shared" si="3330"/>
        <v>0.81475412457188123</v>
      </c>
      <c r="S1528" s="1">
        <f t="shared" si="3331"/>
        <v>0.74064744963371532</v>
      </c>
      <c r="T1528" s="1">
        <f t="shared" ref="T1528:V1528" si="3449">$S1528*P1528</f>
        <v>0.28773923794242612</v>
      </c>
      <c r="U1528" s="1">
        <f t="shared" si="3449"/>
        <v>0</v>
      </c>
      <c r="V1528" s="1">
        <f t="shared" si="3449"/>
        <v>0.60344556444271424</v>
      </c>
      <c r="W1528" s="1">
        <f t="shared" si="3333"/>
        <v>-7.9809958226746796</v>
      </c>
      <c r="X1528" s="1">
        <f t="shared" si="3334"/>
        <v>0</v>
      </c>
      <c r="Y1528" s="1">
        <f t="shared" si="3335"/>
        <v>-5.260446935488444</v>
      </c>
    </row>
    <row r="1529" spans="1:25">
      <c r="A1529" s="1">
        <v>1.5269999999999899</v>
      </c>
      <c r="B1529" s="1">
        <f t="shared" si="3336"/>
        <v>46.233759774070364</v>
      </c>
      <c r="C1529" s="1">
        <f t="shared" si="3337"/>
        <v>0</v>
      </c>
      <c r="D1529" s="1">
        <f t="shared" si="3338"/>
        <v>-3.5254070153249382</v>
      </c>
      <c r="E1529" s="1">
        <f t="shared" si="3339"/>
        <v>13.53433712830509</v>
      </c>
      <c r="F1529" s="1">
        <f t="shared" si="3340"/>
        <v>0</v>
      </c>
      <c r="G1529" s="1">
        <f t="shared" si="3341"/>
        <v>-6.4626056104698577</v>
      </c>
      <c r="H1529" s="1">
        <f t="shared" si="2880"/>
        <v>14.998118307944305</v>
      </c>
      <c r="I1529" s="1">
        <f t="shared" si="3324"/>
        <v>-8.2611422931775103</v>
      </c>
      <c r="J1529" s="1">
        <f t="shared" si="3325"/>
        <v>0</v>
      </c>
      <c r="K1529" s="1">
        <f t="shared" si="3326"/>
        <v>3.9446708048319956</v>
      </c>
      <c r="L1529" s="1">
        <f t="shared" ref="L1529:N1529" si="3450">E1529/$H1529</f>
        <v>0.90240234477521963</v>
      </c>
      <c r="M1529" s="1">
        <f t="shared" si="3450"/>
        <v>0</v>
      </c>
      <c r="N1529" s="1">
        <f t="shared" si="3450"/>
        <v>-0.43089442807280037</v>
      </c>
      <c r="O1529" s="1">
        <f t="shared" si="2882"/>
        <v>-0.43089442807280037</v>
      </c>
      <c r="P1529" s="1">
        <f t="shared" si="3328"/>
        <v>0.3888401422434723</v>
      </c>
      <c r="Q1529" s="1">
        <f t="shared" si="3329"/>
        <v>0</v>
      </c>
      <c r="R1529" s="1">
        <f t="shared" si="3330"/>
        <v>0.81432999185581423</v>
      </c>
      <c r="S1529" s="1">
        <f t="shared" si="3331"/>
        <v>0.74016002586853102</v>
      </c>
      <c r="T1529" s="1">
        <f t="shared" ref="T1529:V1529" si="3451">$S1529*P1529</f>
        <v>0.28780392974165175</v>
      </c>
      <c r="U1529" s="1">
        <f t="shared" si="3451"/>
        <v>0</v>
      </c>
      <c r="V1529" s="1">
        <f t="shared" si="3451"/>
        <v>0.60273450783752014</v>
      </c>
      <c r="W1529" s="1">
        <f t="shared" si="3333"/>
        <v>-7.9733383634358583</v>
      </c>
      <c r="X1529" s="1">
        <f t="shared" si="3334"/>
        <v>0</v>
      </c>
      <c r="Y1529" s="1">
        <f t="shared" si="3335"/>
        <v>-5.2592446873304839</v>
      </c>
    </row>
    <row r="1530" spans="1:25">
      <c r="A1530" s="1">
        <v>1.52799999999999</v>
      </c>
      <c r="B1530" s="1">
        <f t="shared" si="3336"/>
        <v>46.247286137860307</v>
      </c>
      <c r="C1530" s="1">
        <f t="shared" si="3337"/>
        <v>0</v>
      </c>
      <c r="D1530" s="1">
        <f t="shared" si="3338"/>
        <v>-3.5318748801800952</v>
      </c>
      <c r="E1530" s="1">
        <f t="shared" si="3339"/>
        <v>13.526363789941653</v>
      </c>
      <c r="F1530" s="1">
        <f t="shared" si="3340"/>
        <v>0</v>
      </c>
      <c r="G1530" s="1">
        <f t="shared" si="3341"/>
        <v>-6.4678648551571882</v>
      </c>
      <c r="H1530" s="1">
        <f t="shared" si="2880"/>
        <v>14.993191560252349</v>
      </c>
      <c r="I1530" s="1">
        <f t="shared" si="3324"/>
        <v>-8.2535633826922208</v>
      </c>
      <c r="J1530" s="1">
        <f t="shared" si="3325"/>
        <v>0</v>
      </c>
      <c r="K1530" s="1">
        <f t="shared" si="3326"/>
        <v>3.9465841198521812</v>
      </c>
      <c r="L1530" s="1">
        <f t="shared" ref="L1530:N1530" si="3452">E1530/$H1530</f>
        <v>0.90216707600806456</v>
      </c>
      <c r="M1530" s="1">
        <f t="shared" si="3452"/>
        <v>0</v>
      </c>
      <c r="N1530" s="1">
        <f t="shared" si="3452"/>
        <v>-0.43138679507729361</v>
      </c>
      <c r="O1530" s="1">
        <f t="shared" si="2882"/>
        <v>-0.43138679507729361</v>
      </c>
      <c r="P1530" s="1">
        <f t="shared" si="3328"/>
        <v>0.38918296354337212</v>
      </c>
      <c r="Q1530" s="1">
        <f t="shared" si="3329"/>
        <v>0</v>
      </c>
      <c r="R1530" s="1">
        <f t="shared" si="3330"/>
        <v>0.81390543303294116</v>
      </c>
      <c r="S1530" s="1">
        <f t="shared" si="3331"/>
        <v>0.73967383384236718</v>
      </c>
      <c r="T1530" s="1">
        <f t="shared" ref="T1530:V1530" si="3453">$S1530*P1530</f>
        <v>0.28786845471026029</v>
      </c>
      <c r="U1530" s="1">
        <f t="shared" si="3453"/>
        <v>0</v>
      </c>
      <c r="V1530" s="1">
        <f t="shared" si="3453"/>
        <v>0.60202455203660765</v>
      </c>
      <c r="W1530" s="1">
        <f t="shared" si="3333"/>
        <v>-7.9656949279819607</v>
      </c>
      <c r="X1530" s="1">
        <f t="shared" si="3334"/>
        <v>0</v>
      </c>
      <c r="Y1530" s="1">
        <f t="shared" si="3335"/>
        <v>-5.2580413281112106</v>
      </c>
    </row>
    <row r="1531" spans="1:25">
      <c r="A1531" s="1">
        <v>1.5289999999999899</v>
      </c>
      <c r="B1531" s="1">
        <f t="shared" si="3336"/>
        <v>46.260804535955323</v>
      </c>
      <c r="C1531" s="1">
        <f t="shared" si="3337"/>
        <v>0</v>
      </c>
      <c r="D1531" s="1">
        <f t="shared" si="3338"/>
        <v>-3.5383480030765804</v>
      </c>
      <c r="E1531" s="1">
        <f t="shared" si="3339"/>
        <v>13.518398095013671</v>
      </c>
      <c r="F1531" s="1">
        <f t="shared" si="3340"/>
        <v>0</v>
      </c>
      <c r="G1531" s="1">
        <f t="shared" si="3341"/>
        <v>-6.4731228964852994</v>
      </c>
      <c r="H1531" s="1">
        <f t="shared" si="2880"/>
        <v>14.988275654266287</v>
      </c>
      <c r="I1531" s="1">
        <f t="shared" si="3324"/>
        <v>-8.2459982966793817</v>
      </c>
      <c r="J1531" s="1">
        <f t="shared" si="3325"/>
        <v>0</v>
      </c>
      <c r="K1531" s="1">
        <f t="shared" si="3326"/>
        <v>3.948497447955952</v>
      </c>
      <c r="L1531" s="1">
        <f t="shared" ref="L1531:N1531" si="3454">E1531/$H1531</f>
        <v>0.90193151012443329</v>
      </c>
      <c r="M1531" s="1">
        <f t="shared" si="3454"/>
        <v>0</v>
      </c>
      <c r="N1531" s="1">
        <f t="shared" si="3454"/>
        <v>-0.43187909308585337</v>
      </c>
      <c r="O1531" s="1">
        <f t="shared" si="2882"/>
        <v>-0.43187909308585337</v>
      </c>
      <c r="P1531" s="1">
        <f t="shared" si="3328"/>
        <v>0.38952536261809445</v>
      </c>
      <c r="Q1531" s="1">
        <f t="shared" si="3329"/>
        <v>0</v>
      </c>
      <c r="R1531" s="1">
        <f t="shared" si="3330"/>
        <v>0.81348044895534077</v>
      </c>
      <c r="S1531" s="1">
        <f t="shared" si="3331"/>
        <v>0.73918887093007957</v>
      </c>
      <c r="T1531" s="1">
        <f t="shared" ref="T1531:V1531" si="3455">$S1531*P1531</f>
        <v>0.28793281299229906</v>
      </c>
      <c r="U1531" s="1">
        <f t="shared" si="3455"/>
        <v>0</v>
      </c>
      <c r="V1531" s="1">
        <f t="shared" si="3455"/>
        <v>0.60131569458699252</v>
      </c>
      <c r="W1531" s="1">
        <f t="shared" si="3333"/>
        <v>-7.9580654836870828</v>
      </c>
      <c r="X1531" s="1">
        <f t="shared" si="3334"/>
        <v>0</v>
      </c>
      <c r="Y1531" s="1">
        <f t="shared" si="3335"/>
        <v>-5.2568368574570545</v>
      </c>
    </row>
    <row r="1532" spans="1:25">
      <c r="A1532" s="1">
        <v>1.52999999999999</v>
      </c>
      <c r="B1532" s="1">
        <f t="shared" si="3336"/>
        <v>46.274314975984851</v>
      </c>
      <c r="C1532" s="1">
        <f t="shared" si="3337"/>
        <v>0</v>
      </c>
      <c r="D1532" s="1">
        <f t="shared" si="3338"/>
        <v>-3.5448263828099233</v>
      </c>
      <c r="E1532" s="1">
        <f t="shared" si="3339"/>
        <v>13.510440029529985</v>
      </c>
      <c r="F1532" s="1">
        <f t="shared" si="3340"/>
        <v>0</v>
      </c>
      <c r="G1532" s="1">
        <f t="shared" si="3341"/>
        <v>-6.4783797333427566</v>
      </c>
      <c r="H1532" s="1">
        <f t="shared" ref="H1532:H1786" si="3456">SQRT(E1532^2+F1532^2+G1532^2)</f>
        <v>14.983370574103557</v>
      </c>
      <c r="I1532" s="1">
        <f t="shared" si="3324"/>
        <v>-8.2384470027429249</v>
      </c>
      <c r="J1532" s="1">
        <f t="shared" si="3325"/>
        <v>0</v>
      </c>
      <c r="K1532" s="1">
        <f t="shared" si="3326"/>
        <v>3.9504107919603335</v>
      </c>
      <c r="L1532" s="1">
        <f t="shared" ref="L1532:N1532" si="3457">E1532/$H1532</f>
        <v>0.90169564736526608</v>
      </c>
      <c r="M1532" s="1">
        <f t="shared" si="3457"/>
        <v>0</v>
      </c>
      <c r="N1532" s="1">
        <f t="shared" si="3457"/>
        <v>-0.43237132134605522</v>
      </c>
      <c r="O1532" s="1">
        <f t="shared" ref="O1532:O1786" si="3458">N1532</f>
        <v>-0.43237132134605522</v>
      </c>
      <c r="P1532" s="1">
        <f t="shared" si="3328"/>
        <v>0.38986733850330674</v>
      </c>
      <c r="Q1532" s="1">
        <f t="shared" si="3329"/>
        <v>0</v>
      </c>
      <c r="R1532" s="1">
        <f t="shared" si="3330"/>
        <v>0.81305504047746624</v>
      </c>
      <c r="S1532" s="1">
        <f t="shared" si="3331"/>
        <v>0.73870513451337938</v>
      </c>
      <c r="T1532" s="1">
        <f t="shared" ref="T1532:V1532" si="3459">$S1532*P1532</f>
        <v>0.28799700473145839</v>
      </c>
      <c r="U1532" s="1">
        <f t="shared" si="3459"/>
        <v>0</v>
      </c>
      <c r="V1532" s="1">
        <f t="shared" si="3459"/>
        <v>0.60060793304268778</v>
      </c>
      <c r="W1532" s="1">
        <f t="shared" si="3333"/>
        <v>-7.9504499980114662</v>
      </c>
      <c r="X1532" s="1">
        <f t="shared" si="3334"/>
        <v>0</v>
      </c>
      <c r="Y1532" s="1">
        <f t="shared" si="3335"/>
        <v>-5.2556312749969782</v>
      </c>
    </row>
    <row r="1533" spans="1:25">
      <c r="A1533" s="1">
        <v>1.5309999999999899</v>
      </c>
      <c r="B1533" s="1">
        <f t="shared" si="3336"/>
        <v>46.28781746556438</v>
      </c>
      <c r="C1533" s="1">
        <f t="shared" si="3337"/>
        <v>0</v>
      </c>
      <c r="D1533" s="1">
        <f t="shared" si="3338"/>
        <v>-3.551310018174541</v>
      </c>
      <c r="E1533" s="1">
        <f t="shared" si="3339"/>
        <v>13.502489579531973</v>
      </c>
      <c r="F1533" s="1">
        <f t="shared" si="3340"/>
        <v>0</v>
      </c>
      <c r="G1533" s="1">
        <f t="shared" si="3341"/>
        <v>-6.4836353646177534</v>
      </c>
      <c r="H1533" s="1">
        <f t="shared" si="3456"/>
        <v>14.9784763039066</v>
      </c>
      <c r="I1533" s="1">
        <f t="shared" si="3324"/>
        <v>-8.2309094685723032</v>
      </c>
      <c r="J1533" s="1">
        <f t="shared" si="3325"/>
        <v>0</v>
      </c>
      <c r="K1533" s="1">
        <f t="shared" si="3326"/>
        <v>3.9523241546728372</v>
      </c>
      <c r="L1533" s="1">
        <f t="shared" ref="L1533:N1533" si="3460">E1533/$H1533</f>
        <v>0.90145948797277409</v>
      </c>
      <c r="M1533" s="1">
        <f t="shared" si="3460"/>
        <v>0</v>
      </c>
      <c r="N1533" s="1">
        <f t="shared" si="3460"/>
        <v>-0.43286347910613104</v>
      </c>
      <c r="O1533" s="1">
        <f t="shared" si="3458"/>
        <v>-0.43286347910613104</v>
      </c>
      <c r="P1533" s="1">
        <f t="shared" si="3328"/>
        <v>0.39020889023712646</v>
      </c>
      <c r="Q1533" s="1">
        <f t="shared" si="3329"/>
        <v>0</v>
      </c>
      <c r="R1533" s="1">
        <f t="shared" si="3330"/>
        <v>0.81262920845613607</v>
      </c>
      <c r="S1533" s="1">
        <f t="shared" si="3331"/>
        <v>0.73822262198080957</v>
      </c>
      <c r="T1533" s="1">
        <f t="shared" ref="T1533:V1533" si="3461">$S1533*P1533</f>
        <v>0.28806103007107342</v>
      </c>
      <c r="U1533" s="1">
        <f t="shared" si="3461"/>
        <v>0</v>
      </c>
      <c r="V1533" s="1">
        <f t="shared" si="3461"/>
        <v>0.59990126496467866</v>
      </c>
      <c r="W1533" s="1">
        <f t="shared" si="3333"/>
        <v>-7.9428484385012297</v>
      </c>
      <c r="X1533" s="1">
        <f t="shared" si="3334"/>
        <v>0</v>
      </c>
      <c r="Y1533" s="1">
        <f t="shared" si="3335"/>
        <v>-5.2544245803624836</v>
      </c>
    </row>
    <row r="1534" spans="1:25">
      <c r="A1534" s="1">
        <v>1.53199999999999</v>
      </c>
      <c r="B1534" s="1">
        <f t="shared" si="3336"/>
        <v>46.301312012295476</v>
      </c>
      <c r="C1534" s="1">
        <f t="shared" si="3337"/>
        <v>0</v>
      </c>
      <c r="D1534" s="1">
        <f t="shared" si="3338"/>
        <v>-3.5577989079637389</v>
      </c>
      <c r="E1534" s="1">
        <f t="shared" si="3339"/>
        <v>13.494546731093472</v>
      </c>
      <c r="F1534" s="1">
        <f t="shared" si="3340"/>
        <v>0</v>
      </c>
      <c r="G1534" s="1">
        <f t="shared" si="3341"/>
        <v>-6.4888897891981161</v>
      </c>
      <c r="H1534" s="1">
        <f t="shared" si="3456"/>
        <v>14.973592827842792</v>
      </c>
      <c r="I1534" s="1">
        <f t="shared" si="3324"/>
        <v>-8.2233856619422045</v>
      </c>
      <c r="J1534" s="1">
        <f t="shared" si="3325"/>
        <v>0</v>
      </c>
      <c r="K1534" s="1">
        <f t="shared" si="3326"/>
        <v>3.9542375388914688</v>
      </c>
      <c r="L1534" s="1">
        <f t="shared" ref="L1534:N1534" si="3462">E1534/$H1534</f>
        <v>0.90122303219043776</v>
      </c>
      <c r="M1534" s="1">
        <f t="shared" si="3462"/>
        <v>0</v>
      </c>
      <c r="N1534" s="1">
        <f t="shared" si="3462"/>
        <v>-0.43335556561497302</v>
      </c>
      <c r="O1534" s="1">
        <f t="shared" si="3458"/>
        <v>-0.43335556561497302</v>
      </c>
      <c r="P1534" s="1">
        <f t="shared" si="3328"/>
        <v>0.39055001686012819</v>
      </c>
      <c r="Q1534" s="1">
        <f t="shared" si="3329"/>
        <v>0</v>
      </c>
      <c r="R1534" s="1">
        <f t="shared" si="3330"/>
        <v>0.81220295375052687</v>
      </c>
      <c r="S1534" s="1">
        <f t="shared" si="3331"/>
        <v>0.73774133072772208</v>
      </c>
      <c r="T1534" s="1">
        <f t="shared" ref="T1534:V1534" si="3463">$S1534*P1534</f>
        <v>0.28812488915412526</v>
      </c>
      <c r="U1534" s="1">
        <f t="shared" si="3463"/>
        <v>0</v>
      </c>
      <c r="V1534" s="1">
        <f t="shared" si="3463"/>
        <v>0.59919568792090017</v>
      </c>
      <c r="W1534" s="1">
        <f t="shared" si="3333"/>
        <v>-7.9352607727880793</v>
      </c>
      <c r="X1534" s="1">
        <f t="shared" si="3334"/>
        <v>0</v>
      </c>
      <c r="Y1534" s="1">
        <f t="shared" si="3335"/>
        <v>-5.2532167731876305</v>
      </c>
    </row>
    <row r="1535" spans="1:25">
      <c r="A1535" s="1">
        <v>1.5329999999999899</v>
      </c>
      <c r="B1535" s="1">
        <f t="shared" si="3336"/>
        <v>46.314798623765796</v>
      </c>
      <c r="C1535" s="1">
        <f t="shared" si="3337"/>
        <v>0</v>
      </c>
      <c r="D1535" s="1">
        <f t="shared" si="3338"/>
        <v>-3.5642930509697104</v>
      </c>
      <c r="E1535" s="1">
        <f t="shared" si="3339"/>
        <v>13.486611470320684</v>
      </c>
      <c r="F1535" s="1">
        <f t="shared" si="3340"/>
        <v>0</v>
      </c>
      <c r="G1535" s="1">
        <f t="shared" si="3341"/>
        <v>-6.4941430059713037</v>
      </c>
      <c r="H1535" s="1">
        <f t="shared" si="3456"/>
        <v>14.968720130104359</v>
      </c>
      <c r="I1535" s="1">
        <f t="shared" si="3324"/>
        <v>-8.2158755507122816</v>
      </c>
      <c r="J1535" s="1">
        <f t="shared" si="3325"/>
        <v>0</v>
      </c>
      <c r="K1535" s="1">
        <f t="shared" si="3326"/>
        <v>3.9561509474047392</v>
      </c>
      <c r="L1535" s="1">
        <f t="shared" ref="L1535:N1535" si="3464">E1535/$H1535</f>
        <v>0.90098628026300454</v>
      </c>
      <c r="M1535" s="1">
        <f t="shared" si="3464"/>
        <v>0</v>
      </c>
      <c r="N1535" s="1">
        <f t="shared" si="3464"/>
        <v>-0.43384758012213753</v>
      </c>
      <c r="O1535" s="1">
        <f t="shared" si="3458"/>
        <v>-0.43384758012213753</v>
      </c>
      <c r="P1535" s="1">
        <f t="shared" si="3328"/>
        <v>0.39089071741535053</v>
      </c>
      <c r="Q1535" s="1">
        <f t="shared" si="3329"/>
        <v>0</v>
      </c>
      <c r="R1535" s="1">
        <f t="shared" si="3330"/>
        <v>0.8117762772221655</v>
      </c>
      <c r="S1535" s="1">
        <f t="shared" si="3331"/>
        <v>0.73726125815625498</v>
      </c>
      <c r="T1535" s="1">
        <f t="shared" ref="T1535:V1535" si="3465">$S1535*P1535</f>
        <v>0.28818858212324244</v>
      </c>
      <c r="U1535" s="1">
        <f t="shared" si="3465"/>
        <v>0</v>
      </c>
      <c r="V1535" s="1">
        <f t="shared" si="3465"/>
        <v>0.59849119948621454</v>
      </c>
      <c r="W1535" s="1">
        <f t="shared" si="3333"/>
        <v>-7.9276869685890388</v>
      </c>
      <c r="X1535" s="1">
        <f t="shared" si="3334"/>
        <v>0</v>
      </c>
      <c r="Y1535" s="1">
        <f t="shared" si="3335"/>
        <v>-5.2520078531090455</v>
      </c>
    </row>
    <row r="1536" spans="1:25">
      <c r="A1536" s="1">
        <v>1.53399999999999</v>
      </c>
      <c r="B1536" s="1">
        <f t="shared" si="3336"/>
        <v>46.328277307549151</v>
      </c>
      <c r="C1536" s="1">
        <f t="shared" si="3337"/>
        <v>0</v>
      </c>
      <c r="D1536" s="1">
        <f t="shared" si="3338"/>
        <v>-3.570792445983535</v>
      </c>
      <c r="E1536" s="1">
        <f t="shared" si="3339"/>
        <v>13.478683783352094</v>
      </c>
      <c r="F1536" s="1">
        <f t="shared" si="3340"/>
        <v>0</v>
      </c>
      <c r="G1536" s="1">
        <f t="shared" si="3341"/>
        <v>-6.4993950138244125</v>
      </c>
      <c r="H1536" s="1">
        <f t="shared" si="3456"/>
        <v>14.963858194908303</v>
      </c>
      <c r="I1536" s="1">
        <f t="shared" si="3324"/>
        <v>-8.2083791028268625</v>
      </c>
      <c r="J1536" s="1">
        <f t="shared" si="3325"/>
        <v>0</v>
      </c>
      <c r="K1536" s="1">
        <f t="shared" si="3326"/>
        <v>3.9580643829916764</v>
      </c>
      <c r="L1536" s="1">
        <f t="shared" ref="L1536:N1536" si="3466">E1536/$H1536</f>
        <v>0.9007492324364873</v>
      </c>
      <c r="M1536" s="1">
        <f t="shared" si="3466"/>
        <v>0</v>
      </c>
      <c r="N1536" s="1">
        <f t="shared" si="3466"/>
        <v>-0.43433952187784952</v>
      </c>
      <c r="O1536" s="1">
        <f t="shared" si="3458"/>
        <v>-0.43433952187784952</v>
      </c>
      <c r="P1536" s="1">
        <f t="shared" si="3328"/>
        <v>0.39123099094830383</v>
      </c>
      <c r="Q1536" s="1">
        <f t="shared" si="3329"/>
        <v>0</v>
      </c>
      <c r="R1536" s="1">
        <f t="shared" si="3330"/>
        <v>0.81134917973492104</v>
      </c>
      <c r="S1536" s="1">
        <f t="shared" si="3331"/>
        <v>0.73678240167530917</v>
      </c>
      <c r="T1536" s="1">
        <f t="shared" ref="T1536:V1536" si="3467">$S1536*P1536</f>
        <v>0.28825210912070243</v>
      </c>
      <c r="U1536" s="1">
        <f t="shared" si="3467"/>
        <v>0</v>
      </c>
      <c r="V1536" s="1">
        <f t="shared" si="3467"/>
        <v>0.59778779724238718</v>
      </c>
      <c r="W1536" s="1">
        <f t="shared" si="3333"/>
        <v>-7.9201269937061598</v>
      </c>
      <c r="X1536" s="1">
        <f t="shared" si="3334"/>
        <v>0</v>
      </c>
      <c r="Y1536" s="1">
        <f t="shared" si="3335"/>
        <v>-5.2507978197659355</v>
      </c>
    </row>
    <row r="1537" spans="1:25">
      <c r="A1537" s="1">
        <v>1.5349999999999899</v>
      </c>
      <c r="B1537" s="1">
        <f t="shared" si="3336"/>
        <v>46.341748071205508</v>
      </c>
      <c r="C1537" s="1">
        <f t="shared" si="3337"/>
        <v>0</v>
      </c>
      <c r="D1537" s="1">
        <f t="shared" si="3338"/>
        <v>-3.5772970917951792</v>
      </c>
      <c r="E1537" s="1">
        <f t="shared" si="3339"/>
        <v>13.470763656358388</v>
      </c>
      <c r="F1537" s="1">
        <f t="shared" si="3340"/>
        <v>0</v>
      </c>
      <c r="G1537" s="1">
        <f t="shared" si="3341"/>
        <v>-6.5046458116441785</v>
      </c>
      <c r="H1537" s="1">
        <f t="shared" si="3456"/>
        <v>14.959007006496325</v>
      </c>
      <c r="I1537" s="1">
        <f t="shared" si="3324"/>
        <v>-8.2008962863146948</v>
      </c>
      <c r="J1537" s="1">
        <f t="shared" si="3325"/>
        <v>0</v>
      </c>
      <c r="K1537" s="1">
        <f t="shared" si="3326"/>
        <v>3.9599778484218375</v>
      </c>
      <c r="L1537" s="1">
        <f t="shared" ref="L1537:N1537" si="3468">E1537/$H1537</f>
        <v>0.90051188895816214</v>
      </c>
      <c r="M1537" s="1">
        <f t="shared" si="3468"/>
        <v>0</v>
      </c>
      <c r="N1537" s="1">
        <f t="shared" si="3468"/>
        <v>-0.43483139013300631</v>
      </c>
      <c r="O1537" s="1">
        <f t="shared" si="3458"/>
        <v>-0.43483139013300631</v>
      </c>
      <c r="P1537" s="1">
        <f t="shared" si="3328"/>
        <v>0.39157083650697705</v>
      </c>
      <c r="Q1537" s="1">
        <f t="shared" si="3329"/>
        <v>0</v>
      </c>
      <c r="R1537" s="1">
        <f t="shared" si="3330"/>
        <v>0.81092166215499728</v>
      </c>
      <c r="S1537" s="1">
        <f t="shared" si="3331"/>
        <v>0.73630475870052592</v>
      </c>
      <c r="T1537" s="1">
        <f t="shared" ref="T1537:V1537" si="3469">$S1537*P1537</f>
        <v>0.2883154702884328</v>
      </c>
      <c r="U1537" s="1">
        <f t="shared" si="3469"/>
        <v>0</v>
      </c>
      <c r="V1537" s="1">
        <f t="shared" si="3469"/>
        <v>0.59708547877806473</v>
      </c>
      <c r="W1537" s="1">
        <f t="shared" si="3333"/>
        <v>-7.9125808160262618</v>
      </c>
      <c r="X1537" s="1">
        <f t="shared" si="3334"/>
        <v>0</v>
      </c>
      <c r="Y1537" s="1">
        <f t="shared" si="3335"/>
        <v>-5.2495866728000973</v>
      </c>
    </row>
    <row r="1538" spans="1:25">
      <c r="A1538" s="1">
        <v>1.53599999999999</v>
      </c>
      <c r="B1538" s="1">
        <f t="shared" si="3336"/>
        <v>46.355210922281053</v>
      </c>
      <c r="C1538" s="1">
        <f t="shared" si="3337"/>
        <v>0</v>
      </c>
      <c r="D1538" s="1">
        <f t="shared" si="3338"/>
        <v>-3.5838069871934963</v>
      </c>
      <c r="E1538" s="1">
        <f t="shared" si="3339"/>
        <v>13.462851075542362</v>
      </c>
      <c r="F1538" s="1">
        <f t="shared" si="3340"/>
        <v>0</v>
      </c>
      <c r="G1538" s="1">
        <f t="shared" si="3341"/>
        <v>-6.5098953983169787</v>
      </c>
      <c r="H1538" s="1">
        <f t="shared" si="3456"/>
        <v>14.954166549134749</v>
      </c>
      <c r="I1538" s="1">
        <f t="shared" ref="I1538:I1601" si="3470">-K_drag*$H1538*E1538</f>
        <v>-8.1934270692886475</v>
      </c>
      <c r="J1538" s="1">
        <f t="shared" ref="J1538:J1601" si="3471">-K_drag*$H1538*F1538</f>
        <v>0</v>
      </c>
      <c r="K1538" s="1">
        <f t="shared" ref="K1538:K1601" si="3472">-K_drag*$H1538*G1538</f>
        <v>3.9618913464553165</v>
      </c>
      <c r="L1538" s="1">
        <f t="shared" ref="L1538:N1538" si="3473">E1538/$H1538</f>
        <v>0.90027425007656647</v>
      </c>
      <c r="M1538" s="1">
        <f t="shared" si="3473"/>
        <v>0</v>
      </c>
      <c r="N1538" s="1">
        <f t="shared" si="3473"/>
        <v>-0.43532318413918175</v>
      </c>
      <c r="O1538" s="1">
        <f t="shared" si="3458"/>
        <v>-0.43532318413918175</v>
      </c>
      <c r="P1538" s="1">
        <f t="shared" ref="P1538:P1601" si="3474">u_axis_f-$O1538*L1538</f>
        <v>0.39191025314184491</v>
      </c>
      <c r="Q1538" s="1">
        <f t="shared" ref="Q1538:Q1601" si="3475">u_axis_r-$O1538*M1538</f>
        <v>0</v>
      </c>
      <c r="R1538" s="1">
        <f t="shared" ref="R1538:R1601" si="3476">u_axis_u-$O1538*N1538</f>
        <v>0.81049372535092412</v>
      </c>
      <c r="S1538" s="1">
        <f t="shared" ref="S1538:S1601" si="3477">K_lift*H1538^2</f>
        <v>0.73582832665426467</v>
      </c>
      <c r="T1538" s="1">
        <f t="shared" ref="T1538:V1538" si="3478">$S1538*P1538</f>
        <v>0.28837866576801302</v>
      </c>
      <c r="U1538" s="1">
        <f t="shared" si="3478"/>
        <v>0</v>
      </c>
      <c r="V1538" s="1">
        <f t="shared" si="3478"/>
        <v>0.5963842416887517</v>
      </c>
      <c r="W1538" s="1">
        <f t="shared" ref="W1538:W1601" si="3479">I1538+T1538+g_f</f>
        <v>-7.9050484035206345</v>
      </c>
      <c r="X1538" s="1">
        <f t="shared" ref="X1538:X1601" si="3480">J1538+U1538+g_r</f>
        <v>0</v>
      </c>
      <c r="Y1538" s="1">
        <f t="shared" ref="Y1538:Y1601" si="3481">K1538+V1538+g_u</f>
        <v>-5.2483744118559308</v>
      </c>
    </row>
    <row r="1539" spans="1:25">
      <c r="A1539" s="1">
        <v>1.5369999999999899</v>
      </c>
      <c r="B1539" s="1">
        <f t="shared" ref="B1539:B1602" si="3482">B1538+E1539*dt</f>
        <v>46.368665868308192</v>
      </c>
      <c r="C1539" s="1">
        <f t="shared" ref="C1539:C1602" si="3483">C1538+F1539*dt</f>
        <v>0</v>
      </c>
      <c r="D1539" s="1">
        <f t="shared" ref="D1539:D1602" si="3484">D1538+G1539*dt</f>
        <v>-3.590322130966225</v>
      </c>
      <c r="E1539" s="1">
        <f t="shared" ref="E1539:E1602" si="3485">E1538+W1538*dt</f>
        <v>13.454946027138842</v>
      </c>
      <c r="F1539" s="1">
        <f t="shared" ref="F1539:F1602" si="3486">F1538+X1538*dt</f>
        <v>0</v>
      </c>
      <c r="G1539" s="1">
        <f t="shared" ref="G1539:G1602" si="3487">G1538+Y1538*dt</f>
        <v>-6.5151437727288348</v>
      </c>
      <c r="H1539" s="1">
        <f t="shared" si="3456"/>
        <v>14.949336807114442</v>
      </c>
      <c r="I1539" s="1">
        <f t="shared" si="3470"/>
        <v>-8.1859714199454583</v>
      </c>
      <c r="J1539" s="1">
        <f t="shared" si="3471"/>
        <v>0</v>
      </c>
      <c r="K1539" s="1">
        <f t="shared" si="3472"/>
        <v>3.9638048798427574</v>
      </c>
      <c r="L1539" s="1">
        <f t="shared" ref="L1539:N1539" si="3488">E1539/$H1539</f>
        <v>0.90003631604149725</v>
      </c>
      <c r="M1539" s="1">
        <f t="shared" si="3488"/>
        <v>0</v>
      </c>
      <c r="N1539" s="1">
        <f t="shared" si="3488"/>
        <v>-0.43581490314863031</v>
      </c>
      <c r="O1539" s="1">
        <f t="shared" si="3458"/>
        <v>-0.43581490314863031</v>
      </c>
      <c r="P1539" s="1">
        <f t="shared" si="3474"/>
        <v>0.39224923990587512</v>
      </c>
      <c r="Q1539" s="1">
        <f t="shared" si="3475"/>
        <v>0</v>
      </c>
      <c r="R1539" s="1">
        <f t="shared" si="3476"/>
        <v>0.81006537019354996</v>
      </c>
      <c r="S1539" s="1">
        <f t="shared" si="3477"/>
        <v>0.73535310296557965</v>
      </c>
      <c r="T1539" s="1">
        <f t="shared" ref="T1539:V1539" si="3489">$S1539*P1539</f>
        <v>0.28844169570067535</v>
      </c>
      <c r="U1539" s="1">
        <f t="shared" si="3489"/>
        <v>0</v>
      </c>
      <c r="V1539" s="1">
        <f t="shared" si="3489"/>
        <v>0.59568408357678793</v>
      </c>
      <c r="W1539" s="1">
        <f t="shared" si="3479"/>
        <v>-7.8975297242447828</v>
      </c>
      <c r="X1539" s="1">
        <f t="shared" si="3480"/>
        <v>0</v>
      </c>
      <c r="Y1539" s="1">
        <f t="shared" si="3481"/>
        <v>-5.2471610365804544</v>
      </c>
    </row>
    <row r="1540" spans="1:25">
      <c r="A1540" s="1">
        <v>1.53799999999999</v>
      </c>
      <c r="B1540" s="1">
        <f t="shared" si="3482"/>
        <v>46.382112916805603</v>
      </c>
      <c r="C1540" s="1">
        <f t="shared" si="3483"/>
        <v>0</v>
      </c>
      <c r="D1540" s="1">
        <f t="shared" si="3484"/>
        <v>-3.5968425218999904</v>
      </c>
      <c r="E1540" s="1">
        <f t="shared" si="3485"/>
        <v>13.447048497414597</v>
      </c>
      <c r="F1540" s="1">
        <f t="shared" si="3486"/>
        <v>0</v>
      </c>
      <c r="G1540" s="1">
        <f t="shared" si="3487"/>
        <v>-6.5203909337654151</v>
      </c>
      <c r="H1540" s="1">
        <f t="shared" si="3456"/>
        <v>14.944517764750737</v>
      </c>
      <c r="I1540" s="1">
        <f t="shared" si="3470"/>
        <v>-8.1785293065654461</v>
      </c>
      <c r="J1540" s="1">
        <f t="shared" si="3471"/>
        <v>0</v>
      </c>
      <c r="K1540" s="1">
        <f t="shared" si="3472"/>
        <v>3.9657184513253645</v>
      </c>
      <c r="L1540" s="1">
        <f t="shared" ref="L1540:N1540" si="3490">E1540/$H1540</f>
        <v>0.89979808710400921</v>
      </c>
      <c r="M1540" s="1">
        <f t="shared" si="3490"/>
        <v>0</v>
      </c>
      <c r="N1540" s="1">
        <f t="shared" si="3490"/>
        <v>-0.43630654641429112</v>
      </c>
      <c r="O1540" s="1">
        <f t="shared" si="3458"/>
        <v>-0.43630654641429112</v>
      </c>
      <c r="P1540" s="1">
        <f t="shared" si="3474"/>
        <v>0.39258779585453574</v>
      </c>
      <c r="Q1540" s="1">
        <f t="shared" si="3475"/>
        <v>0</v>
      </c>
      <c r="R1540" s="1">
        <f t="shared" si="3476"/>
        <v>0.80963659755603401</v>
      </c>
      <c r="S1540" s="1">
        <f t="shared" si="3477"/>
        <v>0.73487908507019772</v>
      </c>
      <c r="T1540" s="1">
        <f t="shared" ref="T1540:V1540" si="3491">$S1540*P1540</f>
        <v>0.28850456022730681</v>
      </c>
      <c r="U1540" s="1">
        <f t="shared" si="3491"/>
        <v>0</v>
      </c>
      <c r="V1540" s="1">
        <f t="shared" si="3491"/>
        <v>0.59498500205132621</v>
      </c>
      <c r="W1540" s="1">
        <f t="shared" si="3479"/>
        <v>-7.8900247463381392</v>
      </c>
      <c r="X1540" s="1">
        <f t="shared" si="3480"/>
        <v>0</v>
      </c>
      <c r="Y1540" s="1">
        <f t="shared" si="3481"/>
        <v>-5.2459465466233084</v>
      </c>
    </row>
    <row r="1541" spans="1:25">
      <c r="A1541" s="1">
        <v>1.5389999999999899</v>
      </c>
      <c r="B1541" s="1">
        <f t="shared" si="3482"/>
        <v>46.395552075278275</v>
      </c>
      <c r="C1541" s="1">
        <f t="shared" si="3483"/>
        <v>0</v>
      </c>
      <c r="D1541" s="1">
        <f t="shared" si="3484"/>
        <v>-3.6033681587803024</v>
      </c>
      <c r="E1541" s="1">
        <f t="shared" si="3485"/>
        <v>13.439158472668259</v>
      </c>
      <c r="F1541" s="1">
        <f t="shared" si="3486"/>
        <v>0</v>
      </c>
      <c r="G1541" s="1">
        <f t="shared" si="3487"/>
        <v>-6.5256368803120388</v>
      </c>
      <c r="H1541" s="1">
        <f t="shared" si="3456"/>
        <v>14.939709406383368</v>
      </c>
      <c r="I1541" s="1">
        <f t="shared" si="3470"/>
        <v>-8.1711006975122551</v>
      </c>
      <c r="J1541" s="1">
        <f t="shared" si="3471"/>
        <v>0</v>
      </c>
      <c r="K1541" s="1">
        <f t="shared" si="3472"/>
        <v>3.9676320636349134</v>
      </c>
      <c r="L1541" s="1">
        <f t="shared" ref="L1541:N1541" si="3492">E1541/$H1541</f>
        <v>0.89955956351641209</v>
      </c>
      <c r="M1541" s="1">
        <f t="shared" si="3492"/>
        <v>0</v>
      </c>
      <c r="N1541" s="1">
        <f t="shared" si="3492"/>
        <v>-0.43679811318979173</v>
      </c>
      <c r="O1541" s="1">
        <f t="shared" si="3458"/>
        <v>-0.43679811318979173</v>
      </c>
      <c r="P1541" s="1">
        <f t="shared" si="3474"/>
        <v>0.3929259200458014</v>
      </c>
      <c r="Q1541" s="1">
        <f t="shared" si="3475"/>
        <v>0</v>
      </c>
      <c r="R1541" s="1">
        <f t="shared" si="3476"/>
        <v>0.80920740831383786</v>
      </c>
      <c r="S1541" s="1">
        <f t="shared" si="3477"/>
        <v>0.73440627041049644</v>
      </c>
      <c r="T1541" s="1">
        <f t="shared" ref="T1541:V1541" si="3493">$S1541*P1541</f>
        <v>0.28856725948844991</v>
      </c>
      <c r="U1541" s="1">
        <f t="shared" si="3493"/>
        <v>0</v>
      </c>
      <c r="V1541" s="1">
        <f t="shared" si="3493"/>
        <v>0.59428699472830937</v>
      </c>
      <c r="W1541" s="1">
        <f t="shared" si="3479"/>
        <v>-7.8825334380238052</v>
      </c>
      <c r="X1541" s="1">
        <f t="shared" si="3480"/>
        <v>0</v>
      </c>
      <c r="Y1541" s="1">
        <f t="shared" si="3481"/>
        <v>-5.2447309416367762</v>
      </c>
    </row>
    <row r="1542" spans="1:25">
      <c r="A1542" s="1">
        <v>1.53999999999999</v>
      </c>
      <c r="B1542" s="1">
        <f t="shared" si="3482"/>
        <v>46.408983351217508</v>
      </c>
      <c r="C1542" s="1">
        <f t="shared" si="3483"/>
        <v>0</v>
      </c>
      <c r="D1542" s="1">
        <f t="shared" si="3484"/>
        <v>-3.6098990403915558</v>
      </c>
      <c r="E1542" s="1">
        <f t="shared" si="3485"/>
        <v>13.431275939230236</v>
      </c>
      <c r="F1542" s="1">
        <f t="shared" si="3486"/>
        <v>0</v>
      </c>
      <c r="G1542" s="1">
        <f t="shared" si="3487"/>
        <v>-6.5308816112536752</v>
      </c>
      <c r="H1542" s="1">
        <f t="shared" si="3456"/>
        <v>14.93491171637638</v>
      </c>
      <c r="I1542" s="1">
        <f t="shared" si="3470"/>
        <v>-8.1636855612325689</v>
      </c>
      <c r="J1542" s="1">
        <f t="shared" si="3471"/>
        <v>0</v>
      </c>
      <c r="K1542" s="1">
        <f t="shared" si="3472"/>
        <v>3.9695457194937607</v>
      </c>
      <c r="L1542" s="1">
        <f t="shared" ref="L1542:N1542" si="3494">E1542/$H1542</f>
        <v>0.89932074553226971</v>
      </c>
      <c r="M1542" s="1">
        <f t="shared" si="3494"/>
        <v>0</v>
      </c>
      <c r="N1542" s="1">
        <f t="shared" si="3494"/>
        <v>-0.43728960272945266</v>
      </c>
      <c r="O1542" s="1">
        <f t="shared" si="3458"/>
        <v>-0.43728960272945266</v>
      </c>
      <c r="P1542" s="1">
        <f t="shared" si="3474"/>
        <v>0.39326361154016143</v>
      </c>
      <c r="Q1542" s="1">
        <f t="shared" si="3475"/>
        <v>0</v>
      </c>
      <c r="R1542" s="1">
        <f t="shared" si="3476"/>
        <v>0.80877780334471749</v>
      </c>
      <c r="S1542" s="1">
        <f t="shared" si="3477"/>
        <v>0.73393465643548073</v>
      </c>
      <c r="T1542" s="1">
        <f t="shared" ref="T1542:V1542" si="3495">$S1542*P1542</f>
        <v>0.28862979362430474</v>
      </c>
      <c r="U1542" s="1">
        <f t="shared" si="3495"/>
        <v>0</v>
      </c>
      <c r="V1542" s="1">
        <f t="shared" si="3495"/>
        <v>0.59359005923044805</v>
      </c>
      <c r="W1542" s="1">
        <f t="shared" si="3479"/>
        <v>-7.8750557676082646</v>
      </c>
      <c r="X1542" s="1">
        <f t="shared" si="3480"/>
        <v>0</v>
      </c>
      <c r="Y1542" s="1">
        <f t="shared" si="3481"/>
        <v>-5.2435142212757908</v>
      </c>
    </row>
    <row r="1543" spans="1:25">
      <c r="A1543" s="1">
        <v>1.5409999999999899</v>
      </c>
      <c r="B1543" s="1">
        <f t="shared" si="3482"/>
        <v>46.422406752100969</v>
      </c>
      <c r="C1543" s="1">
        <f t="shared" si="3483"/>
        <v>0</v>
      </c>
      <c r="D1543" s="1">
        <f t="shared" si="3484"/>
        <v>-3.6164351655170308</v>
      </c>
      <c r="E1543" s="1">
        <f t="shared" si="3485"/>
        <v>13.423400883462628</v>
      </c>
      <c r="F1543" s="1">
        <f t="shared" si="3486"/>
        <v>0</v>
      </c>
      <c r="G1543" s="1">
        <f t="shared" si="3487"/>
        <v>-6.5361251254749506</v>
      </c>
      <c r="H1543" s="1">
        <f t="shared" si="3456"/>
        <v>14.930124679118062</v>
      </c>
      <c r="I1543" s="1">
        <f t="shared" si="3470"/>
        <v>-8.1562838662558494</v>
      </c>
      <c r="J1543" s="1">
        <f t="shared" si="3471"/>
        <v>0</v>
      </c>
      <c r="K1543" s="1">
        <f t="shared" si="3472"/>
        <v>3.9714594216148558</v>
      </c>
      <c r="L1543" s="1">
        <f t="shared" ref="L1543:N1543" si="3496">E1543/$H1543</f>
        <v>0.89908163340639713</v>
      </c>
      <c r="M1543" s="1">
        <f t="shared" si="3496"/>
        <v>0</v>
      </c>
      <c r="N1543" s="1">
        <f t="shared" si="3496"/>
        <v>-0.43778101428829103</v>
      </c>
      <c r="O1543" s="1">
        <f t="shared" si="3458"/>
        <v>-0.43778101428829103</v>
      </c>
      <c r="P1543" s="1">
        <f t="shared" si="3474"/>
        <v>0.393600869400626</v>
      </c>
      <c r="Q1543" s="1">
        <f t="shared" si="3475"/>
        <v>0</v>
      </c>
      <c r="R1543" s="1">
        <f t="shared" si="3476"/>
        <v>0.80834778352871517</v>
      </c>
      <c r="S1543" s="1">
        <f t="shared" si="3477"/>
        <v>0.73346424060076176</v>
      </c>
      <c r="T1543" s="1">
        <f t="shared" ref="T1543:V1543" si="3497">$S1543*P1543</f>
        <v>0.28869216277472975</v>
      </c>
      <c r="U1543" s="1">
        <f t="shared" si="3497"/>
        <v>0</v>
      </c>
      <c r="V1543" s="1">
        <f t="shared" si="3497"/>
        <v>0.59289419318719805</v>
      </c>
      <c r="W1543" s="1">
        <f t="shared" si="3479"/>
        <v>-7.8675917034811196</v>
      </c>
      <c r="X1543" s="1">
        <f t="shared" si="3480"/>
        <v>0</v>
      </c>
      <c r="Y1543" s="1">
        <f t="shared" si="3481"/>
        <v>-5.2422963851979461</v>
      </c>
    </row>
    <row r="1544" spans="1:25">
      <c r="A1544" s="1">
        <v>1.54199999999999</v>
      </c>
      <c r="B1544" s="1">
        <f t="shared" si="3482"/>
        <v>46.435822285392724</v>
      </c>
      <c r="C1544" s="1">
        <f t="shared" si="3483"/>
        <v>0</v>
      </c>
      <c r="D1544" s="1">
        <f t="shared" si="3484"/>
        <v>-3.6229765329388908</v>
      </c>
      <c r="E1544" s="1">
        <f t="shared" si="3485"/>
        <v>13.415533291759147</v>
      </c>
      <c r="F1544" s="1">
        <f t="shared" si="3486"/>
        <v>0</v>
      </c>
      <c r="G1544" s="1">
        <f t="shared" si="3487"/>
        <v>-6.5413674218601487</v>
      </c>
      <c r="H1544" s="1">
        <f t="shared" si="3456"/>
        <v>14.925348279020872</v>
      </c>
      <c r="I1544" s="1">
        <f t="shared" si="3470"/>
        <v>-8.1488955811940738</v>
      </c>
      <c r="J1544" s="1">
        <f t="shared" si="3471"/>
        <v>0</v>
      </c>
      <c r="K1544" s="1">
        <f t="shared" si="3472"/>
        <v>3.9733731727017538</v>
      </c>
      <c r="L1544" s="1">
        <f t="shared" ref="L1544:N1544" si="3498">E1544/$H1544</f>
        <v>0.89884222739485908</v>
      </c>
      <c r="M1544" s="1">
        <f t="shared" si="3498"/>
        <v>0</v>
      </c>
      <c r="N1544" s="1">
        <f t="shared" si="3498"/>
        <v>-0.43827234712202467</v>
      </c>
      <c r="O1544" s="1">
        <f t="shared" si="3458"/>
        <v>-0.43827234712202467</v>
      </c>
      <c r="P1544" s="1">
        <f t="shared" si="3474"/>
        <v>0.39393769269273354</v>
      </c>
      <c r="Q1544" s="1">
        <f t="shared" si="3475"/>
        <v>0</v>
      </c>
      <c r="R1544" s="1">
        <f t="shared" si="3476"/>
        <v>0.80791734974815155</v>
      </c>
      <c r="S1544" s="1">
        <f t="shared" si="3477"/>
        <v>0.73299502036853414</v>
      </c>
      <c r="T1544" s="1">
        <f t="shared" ref="T1544:V1544" si="3499">$S1544*P1544</f>
        <v>0.28875436707924357</v>
      </c>
      <c r="U1544" s="1">
        <f t="shared" si="3499"/>
        <v>0</v>
      </c>
      <c r="V1544" s="1">
        <f t="shared" si="3499"/>
        <v>0.59219939423473844</v>
      </c>
      <c r="W1544" s="1">
        <f t="shared" si="3479"/>
        <v>-7.8601412141148304</v>
      </c>
      <c r="X1544" s="1">
        <f t="shared" si="3480"/>
        <v>0</v>
      </c>
      <c r="Y1544" s="1">
        <f t="shared" si="3481"/>
        <v>-5.2410774330635075</v>
      </c>
    </row>
    <row r="1545" spans="1:25">
      <c r="A1545" s="1">
        <v>1.5429999999999899</v>
      </c>
      <c r="B1545" s="1">
        <f t="shared" si="3482"/>
        <v>46.44922995854327</v>
      </c>
      <c r="C1545" s="1">
        <f t="shared" si="3483"/>
        <v>0</v>
      </c>
      <c r="D1545" s="1">
        <f t="shared" si="3484"/>
        <v>-3.6295231414381841</v>
      </c>
      <c r="E1545" s="1">
        <f t="shared" si="3485"/>
        <v>13.407673150545032</v>
      </c>
      <c r="F1545" s="1">
        <f t="shared" si="3486"/>
        <v>0</v>
      </c>
      <c r="G1545" s="1">
        <f t="shared" si="3487"/>
        <v>-6.5466084992932121</v>
      </c>
      <c r="H1545" s="1">
        <f t="shared" si="3456"/>
        <v>14.920582500521361</v>
      </c>
      <c r="I1545" s="1">
        <f t="shared" si="3470"/>
        <v>-8.141520674741459</v>
      </c>
      <c r="J1545" s="1">
        <f t="shared" si="3471"/>
        <v>0</v>
      </c>
      <c r="K1545" s="1">
        <f t="shared" si="3472"/>
        <v>3.9752869754486211</v>
      </c>
      <c r="L1545" s="1">
        <f t="shared" ref="L1545:N1545" si="3500">E1545/$H1545</f>
        <v>0.89860252775496774</v>
      </c>
      <c r="M1545" s="1">
        <f t="shared" si="3500"/>
        <v>0</v>
      </c>
      <c r="N1545" s="1">
        <f t="shared" si="3500"/>
        <v>-0.43876360048707602</v>
      </c>
      <c r="O1545" s="1">
        <f t="shared" si="3458"/>
        <v>-0.43876360048707602</v>
      </c>
      <c r="P1545" s="1">
        <f t="shared" si="3474"/>
        <v>0.39427408048455731</v>
      </c>
      <c r="Q1545" s="1">
        <f t="shared" si="3475"/>
        <v>0</v>
      </c>
      <c r="R1545" s="1">
        <f t="shared" si="3476"/>
        <v>0.80748650288761747</v>
      </c>
      <c r="S1545" s="1">
        <f t="shared" si="3477"/>
        <v>0.7325269932075541</v>
      </c>
      <c r="T1545" s="1">
        <f t="shared" ref="T1545:V1545" si="3501">$S1545*P1545</f>
        <v>0.28881640667702596</v>
      </c>
      <c r="U1545" s="1">
        <f t="shared" si="3501"/>
        <v>0</v>
      </c>
      <c r="V1545" s="1">
        <f t="shared" si="3501"/>
        <v>0.5915056600159494</v>
      </c>
      <c r="W1545" s="1">
        <f t="shared" si="3479"/>
        <v>-7.852704268064433</v>
      </c>
      <c r="X1545" s="1">
        <f t="shared" si="3480"/>
        <v>0</v>
      </c>
      <c r="Y1545" s="1">
        <f t="shared" si="3481"/>
        <v>-5.2398573645354292</v>
      </c>
    </row>
    <row r="1546" spans="1:25">
      <c r="A1546" s="1">
        <v>1.54399999999999</v>
      </c>
      <c r="B1546" s="1">
        <f t="shared" si="3482"/>
        <v>46.462629778989545</v>
      </c>
      <c r="C1546" s="1">
        <f t="shared" si="3483"/>
        <v>0</v>
      </c>
      <c r="D1546" s="1">
        <f t="shared" si="3484"/>
        <v>-3.6360749897948419</v>
      </c>
      <c r="E1546" s="1">
        <f t="shared" si="3485"/>
        <v>13.399820446276967</v>
      </c>
      <c r="F1546" s="1">
        <f t="shared" si="3486"/>
        <v>0</v>
      </c>
      <c r="G1546" s="1">
        <f t="shared" si="3487"/>
        <v>-6.5518483566577475</v>
      </c>
      <c r="H1546" s="1">
        <f t="shared" si="3456"/>
        <v>14.915827328080098</v>
      </c>
      <c r="I1546" s="1">
        <f t="shared" si="3470"/>
        <v>-8.1341591156741995</v>
      </c>
      <c r="J1546" s="1">
        <f t="shared" si="3471"/>
        <v>0</v>
      </c>
      <c r="K1546" s="1">
        <f t="shared" si="3472"/>
        <v>3.9772008325402517</v>
      </c>
      <c r="L1546" s="1">
        <f t="shared" ref="L1546:N1546" si="3502">E1546/$H1546</f>
        <v>0.89836253474528083</v>
      </c>
      <c r="M1546" s="1">
        <f t="shared" si="3502"/>
        <v>0</v>
      </c>
      <c r="N1546" s="1">
        <f t="shared" si="3502"/>
        <v>-0.43925477364057641</v>
      </c>
      <c r="O1546" s="1">
        <f t="shared" si="3458"/>
        <v>-0.43925477364057641</v>
      </c>
      <c r="P1546" s="1">
        <f t="shared" si="3474"/>
        <v>0.39461003184671278</v>
      </c>
      <c r="Q1546" s="1">
        <f t="shared" si="3475"/>
        <v>0</v>
      </c>
      <c r="R1546" s="1">
        <f t="shared" si="3476"/>
        <v>0.80705524383396599</v>
      </c>
      <c r="S1546" s="1">
        <f t="shared" si="3477"/>
        <v>0.73206015659311763</v>
      </c>
      <c r="T1546" s="1">
        <f t="shared" ref="T1546:V1546" si="3503">$S1546*P1546</f>
        <v>0.2888782817069197</v>
      </c>
      <c r="U1546" s="1">
        <f t="shared" si="3503"/>
        <v>0</v>
      </c>
      <c r="V1546" s="1">
        <f t="shared" si="3503"/>
        <v>0.59081298818038985</v>
      </c>
      <c r="W1546" s="1">
        <f t="shared" si="3479"/>
        <v>-7.8452808339672799</v>
      </c>
      <c r="X1546" s="1">
        <f t="shared" si="3480"/>
        <v>0</v>
      </c>
      <c r="Y1546" s="1">
        <f t="shared" si="3481"/>
        <v>-5.2386361792793581</v>
      </c>
    </row>
    <row r="1547" spans="1:25">
      <c r="A1547" s="1">
        <v>1.5449999999999899</v>
      </c>
      <c r="B1547" s="1">
        <f t="shared" si="3482"/>
        <v>46.476021754154985</v>
      </c>
      <c r="C1547" s="1">
        <f t="shared" si="3483"/>
        <v>0</v>
      </c>
      <c r="D1547" s="1">
        <f t="shared" si="3484"/>
        <v>-3.6426320767876788</v>
      </c>
      <c r="E1547" s="1">
        <f t="shared" si="3485"/>
        <v>13.391975165443</v>
      </c>
      <c r="F1547" s="1">
        <f t="shared" si="3486"/>
        <v>0</v>
      </c>
      <c r="G1547" s="1">
        <f t="shared" si="3487"/>
        <v>-6.5570869928370268</v>
      </c>
      <c r="H1547" s="1">
        <f t="shared" si="3456"/>
        <v>14.911082746181599</v>
      </c>
      <c r="I1547" s="1">
        <f t="shared" si="3470"/>
        <v>-8.1268108728502</v>
      </c>
      <c r="J1547" s="1">
        <f t="shared" si="3471"/>
        <v>0</v>
      </c>
      <c r="K1547" s="1">
        <f t="shared" si="3472"/>
        <v>3.9791147466520727</v>
      </c>
      <c r="L1547" s="1">
        <f t="shared" ref="L1547:N1547" si="3504">E1547/$H1547</f>
        <v>0.89812224862559975</v>
      </c>
      <c r="M1547" s="1">
        <f t="shared" si="3504"/>
        <v>0</v>
      </c>
      <c r="N1547" s="1">
        <f t="shared" si="3504"/>
        <v>-0.43974586584036984</v>
      </c>
      <c r="O1547" s="1">
        <f t="shared" si="3458"/>
        <v>-0.43974586584036984</v>
      </c>
      <c r="P1547" s="1">
        <f t="shared" si="3474"/>
        <v>0.3949455458523643</v>
      </c>
      <c r="Q1547" s="1">
        <f t="shared" si="3475"/>
        <v>0</v>
      </c>
      <c r="R1547" s="1">
        <f t="shared" si="3476"/>
        <v>0.80662357347630342</v>
      </c>
      <c r="S1547" s="1">
        <f t="shared" si="3477"/>
        <v>0.73159450800703818</v>
      </c>
      <c r="T1547" s="1">
        <f t="shared" ref="T1547:V1547" si="3505">$S1547*P1547</f>
        <v>0.28893999230743161</v>
      </c>
      <c r="U1547" s="1">
        <f t="shared" si="3505"/>
        <v>0</v>
      </c>
      <c r="V1547" s="1">
        <f t="shared" si="3505"/>
        <v>0.5901213763842752</v>
      </c>
      <c r="W1547" s="1">
        <f t="shared" si="3479"/>
        <v>-7.8378708805427681</v>
      </c>
      <c r="X1547" s="1">
        <f t="shared" si="3480"/>
        <v>0</v>
      </c>
      <c r="Y1547" s="1">
        <f t="shared" si="3481"/>
        <v>-5.237413876963652</v>
      </c>
    </row>
    <row r="1548" spans="1:25">
      <c r="A1548" s="1">
        <v>1.54599999999999</v>
      </c>
      <c r="B1548" s="1">
        <f t="shared" si="3482"/>
        <v>46.48940589144955</v>
      </c>
      <c r="C1548" s="1">
        <f t="shared" si="3483"/>
        <v>0</v>
      </c>
      <c r="D1548" s="1">
        <f t="shared" si="3484"/>
        <v>-3.6491944011943929</v>
      </c>
      <c r="E1548" s="1">
        <f t="shared" si="3485"/>
        <v>13.384137294562457</v>
      </c>
      <c r="F1548" s="1">
        <f t="shared" si="3486"/>
        <v>0</v>
      </c>
      <c r="G1548" s="1">
        <f t="shared" si="3487"/>
        <v>-6.5623244067139908</v>
      </c>
      <c r="H1548" s="1">
        <f t="shared" si="3456"/>
        <v>14.90634873933425</v>
      </c>
      <c r="I1548" s="1">
        <f t="shared" si="3470"/>
        <v>-8.1194759152088203</v>
      </c>
      <c r="J1548" s="1">
        <f t="shared" si="3471"/>
        <v>0</v>
      </c>
      <c r="K1548" s="1">
        <f t="shared" si="3472"/>
        <v>3.9810287204501615</v>
      </c>
      <c r="L1548" s="1">
        <f t="shared" ref="L1548:N1548" si="3506">E1548/$H1548</f>
        <v>0.8978816696569667</v>
      </c>
      <c r="M1548" s="1">
        <f t="shared" si="3506"/>
        <v>0</v>
      </c>
      <c r="N1548" s="1">
        <f t="shared" si="3506"/>
        <v>-0.4402368763450169</v>
      </c>
      <c r="O1548" s="1">
        <f t="shared" si="3458"/>
        <v>-0.4402368763450169</v>
      </c>
      <c r="P1548" s="1">
        <f t="shared" si="3474"/>
        <v>0.39528062157723137</v>
      </c>
      <c r="Q1548" s="1">
        <f t="shared" si="3475"/>
        <v>0</v>
      </c>
      <c r="R1548" s="1">
        <f t="shared" si="3476"/>
        <v>0.80619149270598234</v>
      </c>
      <c r="S1548" s="1">
        <f t="shared" si="3477"/>
        <v>0.73113004493762579</v>
      </c>
      <c r="T1548" s="1">
        <f t="shared" ref="T1548:V1548" si="3507">$S1548*P1548</f>
        <v>0.28900153861673383</v>
      </c>
      <c r="U1548" s="1">
        <f t="shared" si="3507"/>
        <v>0</v>
      </c>
      <c r="V1548" s="1">
        <f t="shared" si="3507"/>
        <v>0.58943082229045651</v>
      </c>
      <c r="W1548" s="1">
        <f t="shared" si="3479"/>
        <v>-7.8304743765920861</v>
      </c>
      <c r="X1548" s="1">
        <f t="shared" si="3480"/>
        <v>0</v>
      </c>
      <c r="Y1548" s="1">
        <f t="shared" si="3481"/>
        <v>-5.2361904572593811</v>
      </c>
    </row>
    <row r="1549" spans="1:25">
      <c r="A1549" s="1">
        <v>1.5469999999999899</v>
      </c>
      <c r="B1549" s="1">
        <f t="shared" si="3482"/>
        <v>46.502782198269735</v>
      </c>
      <c r="C1549" s="1">
        <f t="shared" si="3483"/>
        <v>0</v>
      </c>
      <c r="D1549" s="1">
        <f t="shared" si="3484"/>
        <v>-3.6557619617915642</v>
      </c>
      <c r="E1549" s="1">
        <f t="shared" si="3485"/>
        <v>13.376306820185865</v>
      </c>
      <c r="F1549" s="1">
        <f t="shared" si="3486"/>
        <v>0</v>
      </c>
      <c r="G1549" s="1">
        <f t="shared" si="3487"/>
        <v>-6.5675605971712505</v>
      </c>
      <c r="H1549" s="1">
        <f t="shared" si="3456"/>
        <v>14.901625292070234</v>
      </c>
      <c r="I1549" s="1">
        <f t="shared" si="3470"/>
        <v>-8.1121542117705996</v>
      </c>
      <c r="J1549" s="1">
        <f t="shared" si="3471"/>
        <v>0</v>
      </c>
      <c r="K1549" s="1">
        <f t="shared" si="3472"/>
        <v>3.9829427565912479</v>
      </c>
      <c r="L1549" s="1">
        <f t="shared" ref="L1549:N1549" si="3508">E1549/$H1549</f>
        <v>0.89764079810166397</v>
      </c>
      <c r="M1549" s="1">
        <f t="shared" si="3508"/>
        <v>0</v>
      </c>
      <c r="N1549" s="1">
        <f t="shared" si="3508"/>
        <v>-0.440727804413799</v>
      </c>
      <c r="O1549" s="1">
        <f t="shared" si="3458"/>
        <v>-0.440727804413799</v>
      </c>
      <c r="P1549" s="1">
        <f t="shared" si="3474"/>
        <v>0.39561525809959658</v>
      </c>
      <c r="Q1549" s="1">
        <f t="shared" si="3475"/>
        <v>0</v>
      </c>
      <c r="R1549" s="1">
        <f t="shared" si="3476"/>
        <v>0.80575900241659215</v>
      </c>
      <c r="S1549" s="1">
        <f t="shared" si="3477"/>
        <v>0.73066676487966375</v>
      </c>
      <c r="T1549" s="1">
        <f t="shared" ref="T1549:V1549" si="3509">$S1549*P1549</f>
        <v>0.28906292077266543</v>
      </c>
      <c r="U1549" s="1">
        <f t="shared" si="3509"/>
        <v>0</v>
      </c>
      <c r="V1549" s="1">
        <f t="shared" si="3509"/>
        <v>0.58874132356839659</v>
      </c>
      <c r="W1549" s="1">
        <f t="shared" si="3479"/>
        <v>-7.823091290997934</v>
      </c>
      <c r="X1549" s="1">
        <f t="shared" si="3480"/>
        <v>0</v>
      </c>
      <c r="Y1549" s="1">
        <f t="shared" si="3481"/>
        <v>-5.2349659198403549</v>
      </c>
    </row>
    <row r="1550" spans="1:25">
      <c r="A1550" s="1">
        <v>1.5479999999999901</v>
      </c>
      <c r="B1550" s="1">
        <f t="shared" si="3482"/>
        <v>46.516150681998631</v>
      </c>
      <c r="C1550" s="1">
        <f t="shared" si="3483"/>
        <v>0</v>
      </c>
      <c r="D1550" s="1">
        <f t="shared" si="3484"/>
        <v>-3.6623347573546554</v>
      </c>
      <c r="E1550" s="1">
        <f t="shared" si="3485"/>
        <v>13.368483728894867</v>
      </c>
      <c r="F1550" s="1">
        <f t="shared" si="3486"/>
        <v>0</v>
      </c>
      <c r="G1550" s="1">
        <f t="shared" si="3487"/>
        <v>-6.5727955630910913</v>
      </c>
      <c r="H1550" s="1">
        <f t="shared" si="3456"/>
        <v>14.896912388945461</v>
      </c>
      <c r="I1550" s="1">
        <f t="shared" si="3470"/>
        <v>-8.1048457316370079</v>
      </c>
      <c r="J1550" s="1">
        <f t="shared" si="3471"/>
        <v>0</v>
      </c>
      <c r="K1550" s="1">
        <f t="shared" si="3472"/>
        <v>3.9848568577227339</v>
      </c>
      <c r="L1550" s="1">
        <f t="shared" ref="L1550:N1550" si="3510">E1550/$H1550</f>
        <v>0.89739963422321034</v>
      </c>
      <c r="M1550" s="1">
        <f t="shared" si="3510"/>
        <v>0</v>
      </c>
      <c r="N1550" s="1">
        <f t="shared" si="3510"/>
        <v>-0.44121864930672211</v>
      </c>
      <c r="O1550" s="1">
        <f t="shared" si="3458"/>
        <v>-0.44121864930672211</v>
      </c>
      <c r="P1550" s="1">
        <f t="shared" si="3474"/>
        <v>0.39594945450031133</v>
      </c>
      <c r="Q1550" s="1">
        <f t="shared" si="3475"/>
        <v>0</v>
      </c>
      <c r="R1550" s="1">
        <f t="shared" si="3476"/>
        <v>0.80532610350395173</v>
      </c>
      <c r="S1550" s="1">
        <f t="shared" si="3477"/>
        <v>0.73020466533438888</v>
      </c>
      <c r="T1550" s="1">
        <f t="shared" ref="T1550:V1550" si="3511">$S1550*P1550</f>
        <v>0.2891241389127337</v>
      </c>
      <c r="U1550" s="1">
        <f t="shared" si="3511"/>
        <v>0</v>
      </c>
      <c r="V1550" s="1">
        <f t="shared" si="3511"/>
        <v>0.58805287789415051</v>
      </c>
      <c r="W1550" s="1">
        <f t="shared" si="3479"/>
        <v>-7.815721592724274</v>
      </c>
      <c r="X1550" s="1">
        <f t="shared" si="3480"/>
        <v>0</v>
      </c>
      <c r="Y1550" s="1">
        <f t="shared" si="3481"/>
        <v>-5.2337402643831155</v>
      </c>
    </row>
    <row r="1551" spans="1:25">
      <c r="A1551" s="1">
        <v>1.5489999999999899</v>
      </c>
      <c r="B1551" s="1">
        <f t="shared" si="3482"/>
        <v>46.529511350005933</v>
      </c>
      <c r="C1551" s="1">
        <f t="shared" si="3483"/>
        <v>0</v>
      </c>
      <c r="D1551" s="1">
        <f t="shared" si="3484"/>
        <v>-3.6689127866580109</v>
      </c>
      <c r="E1551" s="1">
        <f t="shared" si="3485"/>
        <v>13.360668007302143</v>
      </c>
      <c r="F1551" s="1">
        <f t="shared" si="3486"/>
        <v>0</v>
      </c>
      <c r="G1551" s="1">
        <f t="shared" si="3487"/>
        <v>-6.578029303355474</v>
      </c>
      <c r="H1551" s="1">
        <f t="shared" si="3456"/>
        <v>14.892210014539492</v>
      </c>
      <c r="I1551" s="1">
        <f t="shared" si="3470"/>
        <v>-8.0975504439901744</v>
      </c>
      <c r="J1551" s="1">
        <f t="shared" si="3471"/>
        <v>0</v>
      </c>
      <c r="K1551" s="1">
        <f t="shared" si="3472"/>
        <v>3.986771026482697</v>
      </c>
      <c r="L1551" s="1">
        <f t="shared" ref="L1551:N1551" si="3512">E1551/$H1551</f>
        <v>0.89715817828636046</v>
      </c>
      <c r="M1551" s="1">
        <f t="shared" si="3512"/>
        <v>0</v>
      </c>
      <c r="N1551" s="1">
        <f t="shared" si="3512"/>
        <v>-0.44170941028452082</v>
      </c>
      <c r="O1551" s="1">
        <f t="shared" si="3458"/>
        <v>-0.44170941028452082</v>
      </c>
      <c r="P1551" s="1">
        <f t="shared" si="3474"/>
        <v>0.3962832098628033</v>
      </c>
      <c r="Q1551" s="1">
        <f t="shared" si="3475"/>
        <v>0</v>
      </c>
      <c r="R1551" s="1">
        <f t="shared" si="3476"/>
        <v>0.80489279686610082</v>
      </c>
      <c r="S1551" s="1">
        <f t="shared" si="3477"/>
        <v>0.72974374380946883</v>
      </c>
      <c r="T1551" s="1">
        <f t="shared" ref="T1551:V1551" si="3513">$S1551*P1551</f>
        <v>0.28918519317411551</v>
      </c>
      <c r="U1551" s="1">
        <f t="shared" si="3513"/>
        <v>0</v>
      </c>
      <c r="V1551" s="1">
        <f t="shared" si="3513"/>
        <v>0.58736548295034274</v>
      </c>
      <c r="W1551" s="1">
        <f t="shared" si="3479"/>
        <v>-7.8083652508160588</v>
      </c>
      <c r="X1551" s="1">
        <f t="shared" si="3480"/>
        <v>0</v>
      </c>
      <c r="Y1551" s="1">
        <f t="shared" si="3481"/>
        <v>-5.2325134905669595</v>
      </c>
    </row>
    <row r="1552" spans="1:25">
      <c r="A1552" s="1">
        <v>1.5499999999999901</v>
      </c>
      <c r="B1552" s="1">
        <f t="shared" si="3482"/>
        <v>46.542864209647988</v>
      </c>
      <c r="C1552" s="1">
        <f t="shared" si="3483"/>
        <v>0</v>
      </c>
      <c r="D1552" s="1">
        <f t="shared" si="3484"/>
        <v>-3.6754960484748569</v>
      </c>
      <c r="E1552" s="1">
        <f t="shared" si="3485"/>
        <v>13.352859642051328</v>
      </c>
      <c r="F1552" s="1">
        <f t="shared" si="3486"/>
        <v>0</v>
      </c>
      <c r="G1552" s="1">
        <f t="shared" si="3487"/>
        <v>-6.5832618168460408</v>
      </c>
      <c r="H1552" s="1">
        <f t="shared" si="3456"/>
        <v>14.887518153455471</v>
      </c>
      <c r="I1552" s="1">
        <f t="shared" si="3470"/>
        <v>-8.0902683180926367</v>
      </c>
      <c r="J1552" s="1">
        <f t="shared" si="3471"/>
        <v>0</v>
      </c>
      <c r="K1552" s="1">
        <f t="shared" si="3472"/>
        <v>3.9886852654999068</v>
      </c>
      <c r="L1552" s="1">
        <f t="shared" ref="L1552:N1552" si="3514">E1552/$H1552</f>
        <v>0.89691643055710124</v>
      </c>
      <c r="M1552" s="1">
        <f t="shared" si="3514"/>
        <v>0</v>
      </c>
      <c r="N1552" s="1">
        <f t="shared" si="3514"/>
        <v>-0.44220008660866228</v>
      </c>
      <c r="O1552" s="1">
        <f t="shared" si="3458"/>
        <v>-0.44220008660866228</v>
      </c>
      <c r="P1552" s="1">
        <f t="shared" si="3474"/>
        <v>0.39661652327308239</v>
      </c>
      <c r="Q1552" s="1">
        <f t="shared" si="3475"/>
        <v>0</v>
      </c>
      <c r="R1552" s="1">
        <f t="shared" si="3476"/>
        <v>0.80445908340329164</v>
      </c>
      <c r="S1552" s="1">
        <f t="shared" si="3477"/>
        <v>0.72928399781898079</v>
      </c>
      <c r="T1552" s="1">
        <f t="shared" ref="T1552:V1552" si="3515">$S1552*P1552</f>
        <v>0.28924608369365834</v>
      </c>
      <c r="U1552" s="1">
        <f t="shared" si="3515"/>
        <v>0</v>
      </c>
      <c r="V1552" s="1">
        <f t="shared" si="3515"/>
        <v>0.58667913642614544</v>
      </c>
      <c r="W1552" s="1">
        <f t="shared" si="3479"/>
        <v>-7.8010222343989781</v>
      </c>
      <c r="X1552" s="1">
        <f t="shared" si="3480"/>
        <v>0</v>
      </c>
      <c r="Y1552" s="1">
        <f t="shared" si="3481"/>
        <v>-5.2312855980739474</v>
      </c>
    </row>
    <row r="1553" spans="1:25">
      <c r="A1553" s="1">
        <v>1.5509999999999899</v>
      </c>
      <c r="B1553" s="1">
        <f t="shared" si="3482"/>
        <v>46.556209268267807</v>
      </c>
      <c r="C1553" s="1">
        <f t="shared" si="3483"/>
        <v>0</v>
      </c>
      <c r="D1553" s="1">
        <f t="shared" si="3484"/>
        <v>-3.6820845415773009</v>
      </c>
      <c r="E1553" s="1">
        <f t="shared" si="3485"/>
        <v>13.345058619816928</v>
      </c>
      <c r="F1553" s="1">
        <f t="shared" si="3486"/>
        <v>0</v>
      </c>
      <c r="G1553" s="1">
        <f t="shared" si="3487"/>
        <v>-6.5884931024441151</v>
      </c>
      <c r="H1553" s="1">
        <f t="shared" si="3456"/>
        <v>14.882836790320043</v>
      </c>
      <c r="I1553" s="1">
        <f t="shared" si="3470"/>
        <v>-8.0829993232870727</v>
      </c>
      <c r="J1553" s="1">
        <f t="shared" si="3471"/>
        <v>0</v>
      </c>
      <c r="K1553" s="1">
        <f t="shared" si="3472"/>
        <v>3.9905995773938301</v>
      </c>
      <c r="L1553" s="1">
        <f t="shared" ref="L1553:N1553" si="3516">E1553/$H1553</f>
        <v>0.89667439130265125</v>
      </c>
      <c r="M1553" s="1">
        <f t="shared" si="3516"/>
        <v>0</v>
      </c>
      <c r="N1553" s="1">
        <f t="shared" si="3516"/>
        <v>-0.44269067754135027</v>
      </c>
      <c r="O1553" s="1">
        <f t="shared" si="3458"/>
        <v>-0.44269067754135027</v>
      </c>
      <c r="P1553" s="1">
        <f t="shared" si="3474"/>
        <v>0.39694939381974853</v>
      </c>
      <c r="Q1553" s="1">
        <f t="shared" si="3475"/>
        <v>0</v>
      </c>
      <c r="R1553" s="1">
        <f t="shared" si="3476"/>
        <v>0.80402496401798018</v>
      </c>
      <c r="S1553" s="1">
        <f t="shared" si="3477"/>
        <v>0.72882542488339019</v>
      </c>
      <c r="T1553" s="1">
        <f t="shared" ref="T1553:V1553" si="3517">$S1553*P1553</f>
        <v>0.28930681060788238</v>
      </c>
      <c r="U1553" s="1">
        <f t="shared" si="3517"/>
        <v>0</v>
      </c>
      <c r="V1553" s="1">
        <f t="shared" si="3517"/>
        <v>0.58599383601725696</v>
      </c>
      <c r="W1553" s="1">
        <f t="shared" si="3479"/>
        <v>-7.7936925126791907</v>
      </c>
      <c r="X1553" s="1">
        <f t="shared" si="3480"/>
        <v>0</v>
      </c>
      <c r="Y1553" s="1">
        <f t="shared" si="3481"/>
        <v>-5.2300565865889119</v>
      </c>
    </row>
    <row r="1554" spans="1:25">
      <c r="A1554" s="1">
        <v>1.5519999999999901</v>
      </c>
      <c r="B1554" s="1">
        <f t="shared" si="3482"/>
        <v>46.569546533195108</v>
      </c>
      <c r="C1554" s="1">
        <f t="shared" si="3483"/>
        <v>0</v>
      </c>
      <c r="D1554" s="1">
        <f t="shared" si="3484"/>
        <v>-3.6886782647363314</v>
      </c>
      <c r="E1554" s="1">
        <f t="shared" si="3485"/>
        <v>13.337264927304249</v>
      </c>
      <c r="F1554" s="1">
        <f t="shared" si="3486"/>
        <v>0</v>
      </c>
      <c r="G1554" s="1">
        <f t="shared" si="3487"/>
        <v>-6.5937231590307039</v>
      </c>
      <c r="H1554" s="1">
        <f t="shared" si="3456"/>
        <v>14.878165909783299</v>
      </c>
      <c r="I1554" s="1">
        <f t="shared" si="3470"/>
        <v>-8.0757434289960557</v>
      </c>
      <c r="J1554" s="1">
        <f t="shared" si="3471"/>
        <v>0</v>
      </c>
      <c r="K1554" s="1">
        <f t="shared" si="3472"/>
        <v>3.9925139647746462</v>
      </c>
      <c r="L1554" s="1">
        <f t="shared" ref="L1554:N1554" si="3518">E1554/$H1554</f>
        <v>0.89643206079145721</v>
      </c>
      <c r="M1554" s="1">
        <f t="shared" si="3518"/>
        <v>0</v>
      </c>
      <c r="N1554" s="1">
        <f t="shared" si="3518"/>
        <v>-0.44318118234552889</v>
      </c>
      <c r="O1554" s="1">
        <f t="shared" si="3458"/>
        <v>-0.44318118234552889</v>
      </c>
      <c r="P1554" s="1">
        <f t="shared" si="3474"/>
        <v>0.39728182059399703</v>
      </c>
      <c r="Q1554" s="1">
        <f t="shared" si="3475"/>
        <v>0</v>
      </c>
      <c r="R1554" s="1">
        <f t="shared" si="3476"/>
        <v>0.80359043961481902</v>
      </c>
      <c r="S1554" s="1">
        <f t="shared" si="3477"/>
        <v>0.72836802252952981</v>
      </c>
      <c r="T1554" s="1">
        <f t="shared" ref="T1554:V1554" si="3519">$S1554*P1554</f>
        <v>0.28936737405298107</v>
      </c>
      <c r="U1554" s="1">
        <f t="shared" si="3519"/>
        <v>0</v>
      </c>
      <c r="V1554" s="1">
        <f t="shared" si="3519"/>
        <v>0.58530957942588124</v>
      </c>
      <c r="W1554" s="1">
        <f t="shared" si="3479"/>
        <v>-7.7863760549430747</v>
      </c>
      <c r="X1554" s="1">
        <f t="shared" si="3480"/>
        <v>0</v>
      </c>
      <c r="Y1554" s="1">
        <f t="shared" si="3481"/>
        <v>-5.2288264557994717</v>
      </c>
    </row>
    <row r="1555" spans="1:25">
      <c r="A1555" s="1">
        <v>1.5529999999999899</v>
      </c>
      <c r="B1555" s="1">
        <f t="shared" si="3482"/>
        <v>46.582876011746357</v>
      </c>
      <c r="C1555" s="1">
        <f t="shared" si="3483"/>
        <v>0</v>
      </c>
      <c r="D1555" s="1">
        <f t="shared" si="3484"/>
        <v>-3.6952772167218177</v>
      </c>
      <c r="E1555" s="1">
        <f t="shared" si="3485"/>
        <v>13.329478551249306</v>
      </c>
      <c r="F1555" s="1">
        <f t="shared" si="3486"/>
        <v>0</v>
      </c>
      <c r="G1555" s="1">
        <f t="shared" si="3487"/>
        <v>-6.5989519854865035</v>
      </c>
      <c r="H1555" s="1">
        <f t="shared" si="3456"/>
        <v>14.873505496518685</v>
      </c>
      <c r="I1555" s="1">
        <f t="shared" si="3470"/>
        <v>-8.0685006047217893</v>
      </c>
      <c r="J1555" s="1">
        <f t="shared" si="3471"/>
        <v>0</v>
      </c>
      <c r="K1555" s="1">
        <f t="shared" si="3472"/>
        <v>3.9944284302432553</v>
      </c>
      <c r="L1555" s="1">
        <f t="shared" ref="L1555:N1555" si="3520">E1555/$H1555</f>
        <v>0.89618943929319306</v>
      </c>
      <c r="M1555" s="1">
        <f t="shared" si="3520"/>
        <v>0</v>
      </c>
      <c r="N1555" s="1">
        <f t="shared" si="3520"/>
        <v>-0.44367160028488672</v>
      </c>
      <c r="O1555" s="1">
        <f t="shared" si="3458"/>
        <v>-0.44367160028488672</v>
      </c>
      <c r="P1555" s="1">
        <f t="shared" si="3474"/>
        <v>0.39761380268962632</v>
      </c>
      <c r="Q1555" s="1">
        <f t="shared" si="3475"/>
        <v>0</v>
      </c>
      <c r="R1555" s="1">
        <f t="shared" si="3476"/>
        <v>0.80315551110064765</v>
      </c>
      <c r="S1555" s="1">
        <f t="shared" si="3477"/>
        <v>0.72791178829057768</v>
      </c>
      <c r="T1555" s="1">
        <f t="shared" ref="T1555:V1555" si="3521">$S1555*P1555</f>
        <v>0.28942777416482279</v>
      </c>
      <c r="U1555" s="1">
        <f t="shared" si="3521"/>
        <v>0</v>
      </c>
      <c r="V1555" s="1">
        <f t="shared" si="3521"/>
        <v>0.58462636436070536</v>
      </c>
      <c r="W1555" s="1">
        <f t="shared" si="3479"/>
        <v>-7.7790728305569665</v>
      </c>
      <c r="X1555" s="1">
        <f t="shared" si="3480"/>
        <v>0</v>
      </c>
      <c r="Y1555" s="1">
        <f t="shared" si="3481"/>
        <v>-5.2275952053960388</v>
      </c>
    </row>
    <row r="1556" spans="1:25">
      <c r="A1556" s="1">
        <v>1.5539999999999901</v>
      </c>
      <c r="B1556" s="1">
        <f t="shared" si="3482"/>
        <v>46.596197711224775</v>
      </c>
      <c r="C1556" s="1">
        <f t="shared" si="3483"/>
        <v>0</v>
      </c>
      <c r="D1556" s="1">
        <f t="shared" si="3484"/>
        <v>-3.7018813963025097</v>
      </c>
      <c r="E1556" s="1">
        <f t="shared" si="3485"/>
        <v>13.321699478418749</v>
      </c>
      <c r="F1556" s="1">
        <f t="shared" si="3486"/>
        <v>0</v>
      </c>
      <c r="G1556" s="1">
        <f t="shared" si="3487"/>
        <v>-6.6041795806918993</v>
      </c>
      <c r="H1556" s="1">
        <f t="shared" si="3456"/>
        <v>14.868855535222952</v>
      </c>
      <c r="I1556" s="1">
        <f t="shared" si="3470"/>
        <v>-8.0612708200458538</v>
      </c>
      <c r="J1556" s="1">
        <f t="shared" si="3471"/>
        <v>0</v>
      </c>
      <c r="K1556" s="1">
        <f t="shared" si="3472"/>
        <v>3.9963429763912894</v>
      </c>
      <c r="L1556" s="1">
        <f t="shared" ref="L1556:N1556" si="3522">E1556/$H1556</f>
        <v>0.89594652707875644</v>
      </c>
      <c r="M1556" s="1">
        <f t="shared" si="3522"/>
        <v>0</v>
      </c>
      <c r="N1556" s="1">
        <f t="shared" si="3522"/>
        <v>-0.44416193062386039</v>
      </c>
      <c r="O1556" s="1">
        <f t="shared" si="3458"/>
        <v>-0.44416193062386039</v>
      </c>
      <c r="P1556" s="1">
        <f t="shared" si="3474"/>
        <v>0.39794533920304326</v>
      </c>
      <c r="Q1556" s="1">
        <f t="shared" si="3475"/>
        <v>0</v>
      </c>
      <c r="R1556" s="1">
        <f t="shared" si="3476"/>
        <v>0.80272017938448503</v>
      </c>
      <c r="S1556" s="1">
        <f t="shared" si="3477"/>
        <v>0.72745671970603742</v>
      </c>
      <c r="T1556" s="1">
        <f t="shared" ref="T1556:V1556" si="3523">$S1556*P1556</f>
        <v>0.28948801107895222</v>
      </c>
      <c r="U1556" s="1">
        <f t="shared" si="3523"/>
        <v>0</v>
      </c>
      <c r="V1556" s="1">
        <f t="shared" si="3523"/>
        <v>0.58394418853687946</v>
      </c>
      <c r="W1556" s="1">
        <f t="shared" si="3479"/>
        <v>-7.7717828089669014</v>
      </c>
      <c r="X1556" s="1">
        <f t="shared" si="3480"/>
        <v>0</v>
      </c>
      <c r="Y1556" s="1">
        <f t="shared" si="3481"/>
        <v>-5.2263628350718303</v>
      </c>
    </row>
    <row r="1557" spans="1:25">
      <c r="A1557" s="1">
        <v>1.5549999999999899</v>
      </c>
      <c r="B1557" s="1">
        <f t="shared" si="3482"/>
        <v>46.609511638920388</v>
      </c>
      <c r="C1557" s="1">
        <f t="shared" si="3483"/>
        <v>0</v>
      </c>
      <c r="D1557" s="1">
        <f t="shared" si="3484"/>
        <v>-3.7084908022460366</v>
      </c>
      <c r="E1557" s="1">
        <f t="shared" si="3485"/>
        <v>13.313927695609783</v>
      </c>
      <c r="F1557" s="1">
        <f t="shared" si="3486"/>
        <v>0</v>
      </c>
      <c r="G1557" s="1">
        <f t="shared" si="3487"/>
        <v>-6.609405943526971</v>
      </c>
      <c r="H1557" s="1">
        <f t="shared" si="3456"/>
        <v>14.864216010616062</v>
      </c>
      <c r="I1557" s="1">
        <f t="shared" si="3470"/>
        <v>-8.0540540446289501</v>
      </c>
      <c r="J1557" s="1">
        <f t="shared" si="3471"/>
        <v>0</v>
      </c>
      <c r="K1557" s="1">
        <f t="shared" si="3472"/>
        <v>3.9982576058011228</v>
      </c>
      <c r="L1557" s="1">
        <f t="shared" ref="L1557:N1557" si="3524">E1557/$H1557</f>
        <v>0.89570332442026823</v>
      </c>
      <c r="M1557" s="1">
        <f t="shared" si="3524"/>
        <v>0</v>
      </c>
      <c r="N1557" s="1">
        <f t="shared" si="3524"/>
        <v>-0.44465217262763918</v>
      </c>
      <c r="O1557" s="1">
        <f t="shared" si="3458"/>
        <v>-0.44465217262763918</v>
      </c>
      <c r="P1557" s="1">
        <f t="shared" si="3474"/>
        <v>0.39827642923327139</v>
      </c>
      <c r="Q1557" s="1">
        <f t="shared" si="3475"/>
        <v>0</v>
      </c>
      <c r="R1557" s="1">
        <f t="shared" si="3476"/>
        <v>0.80228444537752019</v>
      </c>
      <c r="S1557" s="1">
        <f t="shared" si="3477"/>
        <v>0.72700281432171521</v>
      </c>
      <c r="T1557" s="1">
        <f t="shared" ref="T1557:V1557" si="3525">$S1557*P1557</f>
        <v>0.28954808493059175</v>
      </c>
      <c r="U1557" s="1">
        <f t="shared" si="3525"/>
        <v>0</v>
      </c>
      <c r="V1557" s="1">
        <f t="shared" si="3525"/>
        <v>0.58326304967599363</v>
      </c>
      <c r="W1557" s="1">
        <f t="shared" si="3479"/>
        <v>-7.7645059596983588</v>
      </c>
      <c r="X1557" s="1">
        <f t="shared" si="3480"/>
        <v>0</v>
      </c>
      <c r="Y1557" s="1">
        <f t="shared" si="3481"/>
        <v>-5.225129344522883</v>
      </c>
    </row>
    <row r="1558" spans="1:25">
      <c r="A1558" s="1">
        <v>1.5559999999999901</v>
      </c>
      <c r="B1558" s="1">
        <f t="shared" si="3482"/>
        <v>46.622817802110035</v>
      </c>
      <c r="C1558" s="1">
        <f t="shared" si="3483"/>
        <v>0</v>
      </c>
      <c r="D1558" s="1">
        <f t="shared" si="3484"/>
        <v>-3.7151054333189082</v>
      </c>
      <c r="E1558" s="1">
        <f t="shared" si="3485"/>
        <v>13.306163189650084</v>
      </c>
      <c r="F1558" s="1">
        <f t="shared" si="3486"/>
        <v>0</v>
      </c>
      <c r="G1558" s="1">
        <f t="shared" si="3487"/>
        <v>-6.6146310728714939</v>
      </c>
      <c r="H1558" s="1">
        <f t="shared" si="3456"/>
        <v>14.859586907441134</v>
      </c>
      <c r="I1558" s="1">
        <f t="shared" si="3470"/>
        <v>-8.0468502482106494</v>
      </c>
      <c r="J1558" s="1">
        <f t="shared" si="3471"/>
        <v>0</v>
      </c>
      <c r="K1558" s="1">
        <f t="shared" si="3472"/>
        <v>4.0001723210458815</v>
      </c>
      <c r="L1558" s="1">
        <f t="shared" ref="L1558:N1558" si="3526">E1558/$H1558</f>
        <v>0.89545983159106846</v>
      </c>
      <c r="M1558" s="1">
        <f t="shared" si="3526"/>
        <v>0</v>
      </c>
      <c r="N1558" s="1">
        <f t="shared" si="3526"/>
        <v>-0.44514232556216821</v>
      </c>
      <c r="O1558" s="1">
        <f t="shared" si="3458"/>
        <v>-0.44514232556216821</v>
      </c>
      <c r="P1558" s="1">
        <f t="shared" si="3474"/>
        <v>0.39860707188195571</v>
      </c>
      <c r="Q1558" s="1">
        <f t="shared" si="3475"/>
        <v>0</v>
      </c>
      <c r="R1558" s="1">
        <f t="shared" si="3476"/>
        <v>0.80184830999310464</v>
      </c>
      <c r="S1558" s="1">
        <f t="shared" si="3477"/>
        <v>0.72655006968970059</v>
      </c>
      <c r="T1558" s="1">
        <f t="shared" ref="T1558:V1558" si="3527">$S1558*P1558</f>
        <v>0.28960799585464242</v>
      </c>
      <c r="U1558" s="1">
        <f t="shared" si="3527"/>
        <v>0</v>
      </c>
      <c r="V1558" s="1">
        <f t="shared" si="3527"/>
        <v>0.58258294550605882</v>
      </c>
      <c r="W1558" s="1">
        <f t="shared" si="3479"/>
        <v>-7.757242252356007</v>
      </c>
      <c r="X1558" s="1">
        <f t="shared" si="3480"/>
        <v>0</v>
      </c>
      <c r="Y1558" s="1">
        <f t="shared" si="3481"/>
        <v>-5.2238947334480592</v>
      </c>
    </row>
    <row r="1559" spans="1:25">
      <c r="A1559" s="1">
        <v>1.5569999999999899</v>
      </c>
      <c r="B1559" s="1">
        <f t="shared" si="3482"/>
        <v>46.63611620805743</v>
      </c>
      <c r="C1559" s="1">
        <f t="shared" si="3483"/>
        <v>0</v>
      </c>
      <c r="D1559" s="1">
        <f t="shared" si="3484"/>
        <v>-3.7217252882865131</v>
      </c>
      <c r="E1559" s="1">
        <f t="shared" si="3485"/>
        <v>13.298405947397727</v>
      </c>
      <c r="F1559" s="1">
        <f t="shared" si="3486"/>
        <v>0</v>
      </c>
      <c r="G1559" s="1">
        <f t="shared" si="3487"/>
        <v>-6.6198549676049421</v>
      </c>
      <c r="H1559" s="1">
        <f t="shared" si="3456"/>
        <v>14.854968210464373</v>
      </c>
      <c r="I1559" s="1">
        <f t="shared" si="3470"/>
        <v>-8.0396594006091391</v>
      </c>
      <c r="J1559" s="1">
        <f t="shared" si="3471"/>
        <v>0</v>
      </c>
      <c r="K1559" s="1">
        <f t="shared" si="3472"/>
        <v>4.0020871246894592</v>
      </c>
      <c r="L1559" s="1">
        <f t="shared" ref="L1559:N1559" si="3528">E1559/$H1559</f>
        <v>0.89521604886571571</v>
      </c>
      <c r="M1559" s="1">
        <f t="shared" si="3528"/>
        <v>0</v>
      </c>
      <c r="N1559" s="1">
        <f t="shared" si="3528"/>
        <v>-0.44563238869415278</v>
      </c>
      <c r="O1559" s="1">
        <f t="shared" si="3458"/>
        <v>-0.44563238869415278</v>
      </c>
      <c r="P1559" s="1">
        <f t="shared" si="3474"/>
        <v>0.39893726625337028</v>
      </c>
      <c r="Q1559" s="1">
        <f t="shared" si="3475"/>
        <v>0</v>
      </c>
      <c r="R1559" s="1">
        <f t="shared" si="3476"/>
        <v>0.80141177414674347</v>
      </c>
      <c r="S1559" s="1">
        <f t="shared" si="3477"/>
        <v>0.72609848336834493</v>
      </c>
      <c r="T1559" s="1">
        <f t="shared" ref="T1559:V1559" si="3529">$S1559*P1559</f>
        <v>0.28966774398568579</v>
      </c>
      <c r="U1559" s="1">
        <f t="shared" si="3529"/>
        <v>0</v>
      </c>
      <c r="V1559" s="1">
        <f t="shared" si="3529"/>
        <v>0.581903873761485</v>
      </c>
      <c r="W1559" s="1">
        <f t="shared" si="3479"/>
        <v>-7.749991656623453</v>
      </c>
      <c r="X1559" s="1">
        <f t="shared" si="3480"/>
        <v>0</v>
      </c>
      <c r="Y1559" s="1">
        <f t="shared" si="3481"/>
        <v>-5.2226590015490553</v>
      </c>
    </row>
    <row r="1560" spans="1:25">
      <c r="A1560" s="1">
        <v>1.5579999999999901</v>
      </c>
      <c r="B1560" s="1">
        <f t="shared" si="3482"/>
        <v>46.649406864013173</v>
      </c>
      <c r="C1560" s="1">
        <f t="shared" si="3483"/>
        <v>0</v>
      </c>
      <c r="D1560" s="1">
        <f t="shared" si="3484"/>
        <v>-3.7283503659131196</v>
      </c>
      <c r="E1560" s="1">
        <f t="shared" si="3485"/>
        <v>13.290655955741103</v>
      </c>
      <c r="F1560" s="1">
        <f t="shared" si="3486"/>
        <v>0</v>
      </c>
      <c r="G1560" s="1">
        <f t="shared" si="3487"/>
        <v>-6.6250776266064912</v>
      </c>
      <c r="H1560" s="1">
        <f t="shared" si="3456"/>
        <v>14.850359904474987</v>
      </c>
      <c r="I1560" s="1">
        <f t="shared" si="3470"/>
        <v>-8.0324814717209705</v>
      </c>
      <c r="J1560" s="1">
        <f t="shared" si="3471"/>
        <v>0</v>
      </c>
      <c r="K1560" s="1">
        <f t="shared" si="3472"/>
        <v>4.0040020192865189</v>
      </c>
      <c r="L1560" s="1">
        <f t="shared" ref="L1560:N1560" si="3530">E1560/$H1560</f>
        <v>0.89497197651998428</v>
      </c>
      <c r="M1560" s="1">
        <f t="shared" si="3530"/>
        <v>0</v>
      </c>
      <c r="N1560" s="1">
        <f t="shared" si="3530"/>
        <v>-0.44612236129106203</v>
      </c>
      <c r="O1560" s="1">
        <f t="shared" si="3458"/>
        <v>-0.44612236129106203</v>
      </c>
      <c r="P1560" s="1">
        <f t="shared" si="3474"/>
        <v>0.39926701145442434</v>
      </c>
      <c r="Q1560" s="1">
        <f t="shared" si="3475"/>
        <v>0</v>
      </c>
      <c r="R1560" s="1">
        <f t="shared" si="3476"/>
        <v>0.8009748387560871</v>
      </c>
      <c r="S1560" s="1">
        <f t="shared" si="3477"/>
        <v>0.72564805292224011</v>
      </c>
      <c r="T1560" s="1">
        <f t="shared" ref="T1560:V1560" si="3531">$S1560*P1560</f>
        <v>0.28972732945798474</v>
      </c>
      <c r="U1560" s="1">
        <f t="shared" si="3531"/>
        <v>0</v>
      </c>
      <c r="V1560" s="1">
        <f t="shared" si="3531"/>
        <v>0.58122583218305979</v>
      </c>
      <c r="W1560" s="1">
        <f t="shared" si="3479"/>
        <v>-7.742754142262986</v>
      </c>
      <c r="X1560" s="1">
        <f t="shared" si="3480"/>
        <v>0</v>
      </c>
      <c r="Y1560" s="1">
        <f t="shared" si="3481"/>
        <v>-5.2214221485304204</v>
      </c>
    </row>
    <row r="1561" spans="1:25">
      <c r="A1561" s="1">
        <v>1.5589999999999899</v>
      </c>
      <c r="B1561" s="1">
        <f t="shared" si="3482"/>
        <v>46.662689777214773</v>
      </c>
      <c r="C1561" s="1">
        <f t="shared" si="3483"/>
        <v>0</v>
      </c>
      <c r="D1561" s="1">
        <f t="shared" si="3484"/>
        <v>-3.7349806649618746</v>
      </c>
      <c r="E1561" s="1">
        <f t="shared" si="3485"/>
        <v>13.28291320159884</v>
      </c>
      <c r="F1561" s="1">
        <f t="shared" si="3486"/>
        <v>0</v>
      </c>
      <c r="G1561" s="1">
        <f t="shared" si="3487"/>
        <v>-6.6302990487550213</v>
      </c>
      <c r="H1561" s="1">
        <f t="shared" si="3456"/>
        <v>14.845761974285136</v>
      </c>
      <c r="I1561" s="1">
        <f t="shared" si="3470"/>
        <v>-8.0253164315208139</v>
      </c>
      <c r="J1561" s="1">
        <f t="shared" si="3471"/>
        <v>0</v>
      </c>
      <c r="K1561" s="1">
        <f t="shared" si="3472"/>
        <v>4.0059170073825126</v>
      </c>
      <c r="L1561" s="1">
        <f t="shared" ref="L1561:N1561" si="3532">E1561/$H1561</f>
        <v>0.89472761483086138</v>
      </c>
      <c r="M1561" s="1">
        <f t="shared" si="3532"/>
        <v>0</v>
      </c>
      <c r="N1561" s="1">
        <f t="shared" si="3532"/>
        <v>-0.44661224262113286</v>
      </c>
      <c r="O1561" s="1">
        <f t="shared" si="3458"/>
        <v>-0.44661224262113286</v>
      </c>
      <c r="P1561" s="1">
        <f t="shared" si="3474"/>
        <v>0.39959630659466816</v>
      </c>
      <c r="Q1561" s="1">
        <f t="shared" si="3475"/>
        <v>0</v>
      </c>
      <c r="R1561" s="1">
        <f t="shared" si="3476"/>
        <v>0.80053750474092233</v>
      </c>
      <c r="S1561" s="1">
        <f t="shared" si="3477"/>
        <v>0.72519877592219917</v>
      </c>
      <c r="T1561" s="1">
        <f t="shared" ref="T1561:V1561" si="3533">$S1561*P1561</f>
        <v>0.28978675240548513</v>
      </c>
      <c r="U1561" s="1">
        <f t="shared" si="3533"/>
        <v>0</v>
      </c>
      <c r="V1561" s="1">
        <f t="shared" si="3533"/>
        <v>0.58054881851792861</v>
      </c>
      <c r="W1561" s="1">
        <f t="shared" si="3479"/>
        <v>-7.735529679115329</v>
      </c>
      <c r="X1561" s="1">
        <f t="shared" si="3480"/>
        <v>0</v>
      </c>
      <c r="Y1561" s="1">
        <f t="shared" si="3481"/>
        <v>-5.2201841740995585</v>
      </c>
    </row>
    <row r="1562" spans="1:25">
      <c r="A1562" s="1">
        <v>1.5599999999999901</v>
      </c>
      <c r="B1562" s="1">
        <f t="shared" si="3482"/>
        <v>46.675964954886695</v>
      </c>
      <c r="C1562" s="1">
        <f t="shared" si="3483"/>
        <v>0</v>
      </c>
      <c r="D1562" s="1">
        <f t="shared" si="3484"/>
        <v>-3.7416161841948039</v>
      </c>
      <c r="E1562" s="1">
        <f t="shared" si="3485"/>
        <v>13.275177671919725</v>
      </c>
      <c r="F1562" s="1">
        <f t="shared" si="3486"/>
        <v>0</v>
      </c>
      <c r="G1562" s="1">
        <f t="shared" si="3487"/>
        <v>-6.6355192329291208</v>
      </c>
      <c r="H1562" s="1">
        <f t="shared" si="3456"/>
        <v>14.841174404729847</v>
      </c>
      <c r="I1562" s="1">
        <f t="shared" si="3470"/>
        <v>-8.0181642500612025</v>
      </c>
      <c r="J1562" s="1">
        <f t="shared" si="3471"/>
        <v>0</v>
      </c>
      <c r="K1562" s="1">
        <f t="shared" si="3472"/>
        <v>4.0078320915136851</v>
      </c>
      <c r="L1562" s="1">
        <f t="shared" ref="L1562:N1562" si="3534">E1562/$H1562</f>
        <v>0.89448296407654626</v>
      </c>
      <c r="M1562" s="1">
        <f t="shared" si="3534"/>
        <v>0</v>
      </c>
      <c r="N1562" s="1">
        <f t="shared" si="3534"/>
        <v>-0.44710203195337406</v>
      </c>
      <c r="O1562" s="1">
        <f t="shared" si="3458"/>
        <v>-0.44710203195337406</v>
      </c>
      <c r="P1562" s="1">
        <f t="shared" si="3474"/>
        <v>0.3999251507863007</v>
      </c>
      <c r="Q1562" s="1">
        <f t="shared" si="3475"/>
        <v>0</v>
      </c>
      <c r="R1562" s="1">
        <f t="shared" si="3476"/>
        <v>0.80009977302316404</v>
      </c>
      <c r="S1562" s="1">
        <f t="shared" si="3477"/>
        <v>0.72475064994523397</v>
      </c>
      <c r="T1562" s="1">
        <f t="shared" ref="T1562:V1562" si="3535">$S1562*P1562</f>
        <v>0.28984601296181711</v>
      </c>
      <c r="U1562" s="1">
        <f t="shared" si="3535"/>
        <v>0</v>
      </c>
      <c r="V1562" s="1">
        <f t="shared" si="3535"/>
        <v>0.57987283051957228</v>
      </c>
      <c r="W1562" s="1">
        <f t="shared" si="3479"/>
        <v>-7.7283182370993853</v>
      </c>
      <c r="X1562" s="1">
        <f t="shared" si="3480"/>
        <v>0</v>
      </c>
      <c r="Y1562" s="1">
        <f t="shared" si="3481"/>
        <v>-5.2189450779667421</v>
      </c>
    </row>
    <row r="1563" spans="1:25">
      <c r="A1563" s="1">
        <v>1.56099999999999</v>
      </c>
      <c r="B1563" s="1">
        <f t="shared" si="3482"/>
        <v>46.689232404240379</v>
      </c>
      <c r="C1563" s="1">
        <f t="shared" si="3483"/>
        <v>0</v>
      </c>
      <c r="D1563" s="1">
        <f t="shared" si="3484"/>
        <v>-3.7482569223728111</v>
      </c>
      <c r="E1563" s="1">
        <f t="shared" si="3485"/>
        <v>13.267449353682625</v>
      </c>
      <c r="F1563" s="1">
        <f t="shared" si="3486"/>
        <v>0</v>
      </c>
      <c r="G1563" s="1">
        <f t="shared" si="3487"/>
        <v>-6.640738178007088</v>
      </c>
      <c r="H1563" s="1">
        <f t="shared" si="3456"/>
        <v>14.836597180666947</v>
      </c>
      <c r="I1563" s="1">
        <f t="shared" si="3470"/>
        <v>-8.0110248974722786</v>
      </c>
      <c r="J1563" s="1">
        <f t="shared" si="3471"/>
        <v>0</v>
      </c>
      <c r="K1563" s="1">
        <f t="shared" si="3472"/>
        <v>4.0097472742070863</v>
      </c>
      <c r="L1563" s="1">
        <f t="shared" ref="L1563:N1563" si="3536">E1563/$H1563</f>
        <v>0.89423802453644674</v>
      </c>
      <c r="M1563" s="1">
        <f t="shared" si="3536"/>
        <v>0</v>
      </c>
      <c r="N1563" s="1">
        <f t="shared" si="3536"/>
        <v>-0.44759172855756996</v>
      </c>
      <c r="O1563" s="1">
        <f t="shared" si="3458"/>
        <v>-0.44759172855756996</v>
      </c>
      <c r="P1563" s="1">
        <f t="shared" si="3474"/>
        <v>0.40025354314417483</v>
      </c>
      <c r="Q1563" s="1">
        <f t="shared" si="3475"/>
        <v>0</v>
      </c>
      <c r="R1563" s="1">
        <f t="shared" si="3476"/>
        <v>0.79966164452684663</v>
      </c>
      <c r="S1563" s="1">
        <f t="shared" si="3477"/>
        <v>0.72430367257453565</v>
      </c>
      <c r="T1563" s="1">
        <f t="shared" ref="T1563:V1563" si="3537">$S1563*P1563</f>
        <v>0.28990511126029617</v>
      </c>
      <c r="U1563" s="1">
        <f t="shared" si="3537"/>
        <v>0</v>
      </c>
      <c r="V1563" s="1">
        <f t="shared" si="3537"/>
        <v>0.57919786594778788</v>
      </c>
      <c r="W1563" s="1">
        <f t="shared" si="3479"/>
        <v>-7.7211197862119825</v>
      </c>
      <c r="X1563" s="1">
        <f t="shared" si="3480"/>
        <v>0</v>
      </c>
      <c r="Y1563" s="1">
        <f t="shared" si="3481"/>
        <v>-5.2177048598451252</v>
      </c>
    </row>
    <row r="1564" spans="1:25">
      <c r="A1564" s="1">
        <v>1.5619999999999901</v>
      </c>
      <c r="B1564" s="1">
        <f t="shared" si="3482"/>
        <v>46.702492132474276</v>
      </c>
      <c r="C1564" s="1">
        <f t="shared" si="3483"/>
        <v>0</v>
      </c>
      <c r="D1564" s="1">
        <f t="shared" si="3484"/>
        <v>-3.7549028782556779</v>
      </c>
      <c r="E1564" s="1">
        <f t="shared" si="3485"/>
        <v>13.259728233896414</v>
      </c>
      <c r="F1564" s="1">
        <f t="shared" si="3486"/>
        <v>0</v>
      </c>
      <c r="G1564" s="1">
        <f t="shared" si="3487"/>
        <v>-6.6459558828669332</v>
      </c>
      <c r="H1564" s="1">
        <f t="shared" si="3456"/>
        <v>14.832030286977009</v>
      </c>
      <c r="I1564" s="1">
        <f t="shared" si="3470"/>
        <v>-8.0038983439615699</v>
      </c>
      <c r="J1564" s="1">
        <f t="shared" si="3471"/>
        <v>0</v>
      </c>
      <c r="K1564" s="1">
        <f t="shared" si="3472"/>
        <v>4.0116625579805874</v>
      </c>
      <c r="L1564" s="1">
        <f t="shared" ref="L1564:N1564" si="3538">E1564/$H1564</f>
        <v>0.89399279649117724</v>
      </c>
      <c r="M1564" s="1">
        <f t="shared" si="3538"/>
        <v>0</v>
      </c>
      <c r="N1564" s="1">
        <f t="shared" si="3538"/>
        <v>-0.4480813317042841</v>
      </c>
      <c r="O1564" s="1">
        <f t="shared" si="3458"/>
        <v>-0.4480813317042841</v>
      </c>
      <c r="P1564" s="1">
        <f t="shared" si="3474"/>
        <v>0.40058148278580374</v>
      </c>
      <c r="Q1564" s="1">
        <f t="shared" si="3475"/>
        <v>0</v>
      </c>
      <c r="R1564" s="1">
        <f t="shared" si="3476"/>
        <v>0.79922312017811525</v>
      </c>
      <c r="S1564" s="1">
        <f t="shared" si="3477"/>
        <v>0.7238578413994543</v>
      </c>
      <c r="T1564" s="1">
        <f t="shared" ref="T1564:V1564" si="3539">$S1564*P1564</f>
        <v>0.28996404743392457</v>
      </c>
      <c r="U1564" s="1">
        <f t="shared" si="3539"/>
        <v>0</v>
      </c>
      <c r="V1564" s="1">
        <f t="shared" si="3539"/>
        <v>0.57852392256866714</v>
      </c>
      <c r="W1564" s="1">
        <f t="shared" si="3479"/>
        <v>-7.7139342965276452</v>
      </c>
      <c r="X1564" s="1">
        <f t="shared" si="3480"/>
        <v>0</v>
      </c>
      <c r="Y1564" s="1">
        <f t="shared" si="3481"/>
        <v>-5.2164635194507447</v>
      </c>
    </row>
    <row r="1565" spans="1:25">
      <c r="A1565" s="1">
        <v>1.56299999999999</v>
      </c>
      <c r="B1565" s="1">
        <f t="shared" si="3482"/>
        <v>46.715744146773879</v>
      </c>
      <c r="C1565" s="1">
        <f t="shared" si="3483"/>
        <v>0</v>
      </c>
      <c r="D1565" s="1">
        <f t="shared" si="3484"/>
        <v>-3.7615540506020642</v>
      </c>
      <c r="E1565" s="1">
        <f t="shared" si="3485"/>
        <v>13.252014299599887</v>
      </c>
      <c r="F1565" s="1">
        <f t="shared" si="3486"/>
        <v>0</v>
      </c>
      <c r="G1565" s="1">
        <f t="shared" si="3487"/>
        <v>-6.6511723463863843</v>
      </c>
      <c r="H1565" s="1">
        <f t="shared" si="3456"/>
        <v>14.827473708563264</v>
      </c>
      <c r="I1565" s="1">
        <f t="shared" si="3470"/>
        <v>-7.9967845598137126</v>
      </c>
      <c r="J1565" s="1">
        <f t="shared" si="3471"/>
        <v>0</v>
      </c>
      <c r="K1565" s="1">
        <f t="shared" si="3472"/>
        <v>4.0135779453428801</v>
      </c>
      <c r="L1565" s="1">
        <f t="shared" ref="L1565:N1565" si="3540">E1565/$H1565</f>
        <v>0.89374728022255689</v>
      </c>
      <c r="M1565" s="1">
        <f t="shared" si="3540"/>
        <v>0</v>
      </c>
      <c r="N1565" s="1">
        <f t="shared" si="3540"/>
        <v>-0.44857084066486347</v>
      </c>
      <c r="O1565" s="1">
        <f t="shared" si="3458"/>
        <v>-0.44857084066486347</v>
      </c>
      <c r="P1565" s="1">
        <f t="shared" si="3474"/>
        <v>0.40090896883136767</v>
      </c>
      <c r="Q1565" s="1">
        <f t="shared" si="3475"/>
        <v>0</v>
      </c>
      <c r="R1565" s="1">
        <f t="shared" si="3476"/>
        <v>0.79878420090521773</v>
      </c>
      <c r="S1565" s="1">
        <f t="shared" si="3477"/>
        <v>0.72341315401547845</v>
      </c>
      <c r="T1565" s="1">
        <f t="shared" ref="T1565:V1565" si="3541">$S1565*P1565</f>
        <v>0.29002282161539283</v>
      </c>
      <c r="U1565" s="1">
        <f t="shared" si="3541"/>
        <v>0</v>
      </c>
      <c r="V1565" s="1">
        <f t="shared" si="3541"/>
        <v>0.57785099815457719</v>
      </c>
      <c r="W1565" s="1">
        <f t="shared" si="3479"/>
        <v>-7.7067617381983196</v>
      </c>
      <c r="X1565" s="1">
        <f t="shared" si="3480"/>
        <v>0</v>
      </c>
      <c r="Y1565" s="1">
        <f t="shared" si="3481"/>
        <v>-5.2152210565025419</v>
      </c>
    </row>
    <row r="1566" spans="1:25">
      <c r="A1566" s="1">
        <v>1.5639999999999901</v>
      </c>
      <c r="B1566" s="1">
        <f t="shared" si="3482"/>
        <v>46.72898845431174</v>
      </c>
      <c r="C1566" s="1">
        <f t="shared" si="3483"/>
        <v>0</v>
      </c>
      <c r="D1566" s="1">
        <f t="shared" si="3484"/>
        <v>-3.7682104381695072</v>
      </c>
      <c r="E1566" s="1">
        <f t="shared" si="3485"/>
        <v>13.244307537861689</v>
      </c>
      <c r="F1566" s="1">
        <f t="shared" si="3486"/>
        <v>0</v>
      </c>
      <c r="G1566" s="1">
        <f t="shared" si="3487"/>
        <v>-6.656387567442887</v>
      </c>
      <c r="H1566" s="1">
        <f t="shared" si="3456"/>
        <v>14.822927430351543</v>
      </c>
      <c r="I1566" s="1">
        <f t="shared" si="3470"/>
        <v>-7.989683515390225</v>
      </c>
      <c r="J1566" s="1">
        <f t="shared" si="3471"/>
        <v>0</v>
      </c>
      <c r="K1566" s="1">
        <f t="shared" si="3472"/>
        <v>4.0154934387934977</v>
      </c>
      <c r="L1566" s="1">
        <f t="shared" ref="L1566:N1566" si="3542">E1566/$H1566</f>
        <v>0.89350147601360719</v>
      </c>
      <c r="M1566" s="1">
        <f t="shared" si="3542"/>
        <v>0</v>
      </c>
      <c r="N1566" s="1">
        <f t="shared" si="3542"/>
        <v>-0.44906025471144217</v>
      </c>
      <c r="O1566" s="1">
        <f t="shared" si="3458"/>
        <v>-0.44906025471144217</v>
      </c>
      <c r="P1566" s="1">
        <f t="shared" si="3474"/>
        <v>0.40123600040371998</v>
      </c>
      <c r="Q1566" s="1">
        <f t="shared" si="3475"/>
        <v>0</v>
      </c>
      <c r="R1566" s="1">
        <f t="shared" si="3476"/>
        <v>0.79834488763849465</v>
      </c>
      <c r="S1566" s="1">
        <f t="shared" si="3477"/>
        <v>0.72296960802421373</v>
      </c>
      <c r="T1566" s="1">
        <f t="shared" ref="T1566:V1566" si="3543">$S1566*P1566</f>
        <v>0.29008143393708069</v>
      </c>
      <c r="U1566" s="1">
        <f t="shared" si="3543"/>
        <v>0</v>
      </c>
      <c r="V1566" s="1">
        <f t="shared" si="3543"/>
        <v>0.5771790904841374</v>
      </c>
      <c r="W1566" s="1">
        <f t="shared" si="3479"/>
        <v>-7.6996020814531443</v>
      </c>
      <c r="X1566" s="1">
        <f t="shared" si="3480"/>
        <v>0</v>
      </c>
      <c r="Y1566" s="1">
        <f t="shared" si="3481"/>
        <v>-5.2139774707223641</v>
      </c>
    </row>
    <row r="1567" spans="1:25">
      <c r="A1567" s="1">
        <v>1.56499999999999</v>
      </c>
      <c r="B1567" s="1">
        <f t="shared" si="3482"/>
        <v>46.74222506224752</v>
      </c>
      <c r="C1567" s="1">
        <f t="shared" si="3483"/>
        <v>0</v>
      </c>
      <c r="D1567" s="1">
        <f t="shared" si="3484"/>
        <v>-3.7748720397144209</v>
      </c>
      <c r="E1567" s="1">
        <f t="shared" si="3485"/>
        <v>13.236607935780235</v>
      </c>
      <c r="F1567" s="1">
        <f t="shared" si="3486"/>
        <v>0</v>
      </c>
      <c r="G1567" s="1">
        <f t="shared" si="3487"/>
        <v>-6.6616015449136095</v>
      </c>
      <c r="H1567" s="1">
        <f t="shared" si="3456"/>
        <v>14.818391437290206</v>
      </c>
      <c r="I1567" s="1">
        <f t="shared" si="3470"/>
        <v>-7.9825951811292599</v>
      </c>
      <c r="J1567" s="1">
        <f t="shared" si="3471"/>
        <v>0</v>
      </c>
      <c r="K1567" s="1">
        <f t="shared" si="3472"/>
        <v>4.0174090408228205</v>
      </c>
      <c r="L1567" s="1">
        <f t="shared" ref="L1567:N1567" si="3544">E1567/$H1567</f>
        <v>0.89325538414854921</v>
      </c>
      <c r="M1567" s="1">
        <f t="shared" si="3544"/>
        <v>0</v>
      </c>
      <c r="N1567" s="1">
        <f t="shared" si="3544"/>
        <v>-0.44954957311694527</v>
      </c>
      <c r="O1567" s="1">
        <f t="shared" si="3458"/>
        <v>-0.44954957311694527</v>
      </c>
      <c r="P1567" s="1">
        <f t="shared" si="3474"/>
        <v>0.40156257662839323</v>
      </c>
      <c r="Q1567" s="1">
        <f t="shared" si="3475"/>
        <v>0</v>
      </c>
      <c r="R1567" s="1">
        <f t="shared" si="3476"/>
        <v>0.79790518131037225</v>
      </c>
      <c r="S1567" s="1">
        <f t="shared" si="3477"/>
        <v>0.7225272010333641</v>
      </c>
      <c r="T1567" s="1">
        <f t="shared" ref="T1567:V1567" si="3545">$S1567*P1567</f>
        <v>0.29013988453105877</v>
      </c>
      <c r="U1567" s="1">
        <f t="shared" si="3545"/>
        <v>0</v>
      </c>
      <c r="V1567" s="1">
        <f t="shared" si="3545"/>
        <v>0.57650819734220216</v>
      </c>
      <c r="W1567" s="1">
        <f t="shared" si="3479"/>
        <v>-7.6924552965982009</v>
      </c>
      <c r="X1567" s="1">
        <f t="shared" si="3480"/>
        <v>0</v>
      </c>
      <c r="Y1567" s="1">
        <f t="shared" si="3481"/>
        <v>-5.2127327618349764</v>
      </c>
    </row>
    <row r="1568" spans="1:25">
      <c r="A1568" s="1">
        <v>1.5659999999999901</v>
      </c>
      <c r="B1568" s="1">
        <f t="shared" si="3482"/>
        <v>46.755453977728003</v>
      </c>
      <c r="C1568" s="1">
        <f t="shared" si="3483"/>
        <v>0</v>
      </c>
      <c r="D1568" s="1">
        <f t="shared" si="3484"/>
        <v>-3.7815388539920964</v>
      </c>
      <c r="E1568" s="1">
        <f t="shared" si="3485"/>
        <v>13.228915480483638</v>
      </c>
      <c r="F1568" s="1">
        <f t="shared" si="3486"/>
        <v>0</v>
      </c>
      <c r="G1568" s="1">
        <f t="shared" si="3487"/>
        <v>-6.666814277675444</v>
      </c>
      <c r="H1568" s="1">
        <f t="shared" si="3456"/>
        <v>14.813865714350079</v>
      </c>
      <c r="I1568" s="1">
        <f t="shared" si="3470"/>
        <v>-7.9755195275453552</v>
      </c>
      <c r="J1568" s="1">
        <f t="shared" si="3471"/>
        <v>0</v>
      </c>
      <c r="K1568" s="1">
        <f t="shared" si="3472"/>
        <v>4.0193247539120858</v>
      </c>
      <c r="L1568" s="1">
        <f t="shared" ref="L1568:N1568" si="3546">E1568/$H1568</f>
        <v>0.89300900491280188</v>
      </c>
      <c r="M1568" s="1">
        <f t="shared" si="3546"/>
        <v>0</v>
      </c>
      <c r="N1568" s="1">
        <f t="shared" si="3546"/>
        <v>-0.45003879515509254</v>
      </c>
      <c r="O1568" s="1">
        <f t="shared" si="3458"/>
        <v>-0.45003879515509254</v>
      </c>
      <c r="P1568" s="1">
        <f t="shared" si="3474"/>
        <v>0.40188869663360549</v>
      </c>
      <c r="Q1568" s="1">
        <f t="shared" si="3475"/>
        <v>0</v>
      </c>
      <c r="R1568" s="1">
        <f t="shared" si="3476"/>
        <v>0.79746508285535267</v>
      </c>
      <c r="S1568" s="1">
        <f t="shared" si="3477"/>
        <v>0.72208593065671112</v>
      </c>
      <c r="T1568" s="1">
        <f t="shared" ref="T1568:V1568" si="3547">$S1568*P1568</f>
        <v>0.29019817352908966</v>
      </c>
      <c r="U1568" s="1">
        <f t="shared" si="3547"/>
        <v>0</v>
      </c>
      <c r="V1568" s="1">
        <f t="shared" si="3547"/>
        <v>0.57583831651983852</v>
      </c>
      <c r="W1568" s="1">
        <f t="shared" si="3479"/>
        <v>-7.6853213540162653</v>
      </c>
      <c r="X1568" s="1">
        <f t="shared" si="3480"/>
        <v>0</v>
      </c>
      <c r="Y1568" s="1">
        <f t="shared" si="3481"/>
        <v>-5.2114869295680748</v>
      </c>
    </row>
    <row r="1569" spans="1:25">
      <c r="A1569" s="1">
        <v>1.56699999999999</v>
      </c>
      <c r="B1569" s="1">
        <f t="shared" si="3482"/>
        <v>46.768675207887135</v>
      </c>
      <c r="C1569" s="1">
        <f t="shared" si="3483"/>
        <v>0</v>
      </c>
      <c r="D1569" s="1">
        <f t="shared" si="3484"/>
        <v>-3.7882108797567016</v>
      </c>
      <c r="E1569" s="1">
        <f t="shared" si="3485"/>
        <v>13.221230159129622</v>
      </c>
      <c r="F1569" s="1">
        <f t="shared" si="3486"/>
        <v>0</v>
      </c>
      <c r="G1569" s="1">
        <f t="shared" si="3487"/>
        <v>-6.6720257646050118</v>
      </c>
      <c r="H1569" s="1">
        <f t="shared" si="3456"/>
        <v>14.809350246524382</v>
      </c>
      <c r="I1569" s="1">
        <f t="shared" si="3470"/>
        <v>-7.9684565252291986</v>
      </c>
      <c r="J1569" s="1">
        <f t="shared" si="3471"/>
        <v>0</v>
      </c>
      <c r="K1569" s="1">
        <f t="shared" si="3472"/>
        <v>4.0212405805334033</v>
      </c>
      <c r="L1569" s="1">
        <f t="shared" ref="L1569:N1569" si="3548">E1569/$H1569</f>
        <v>0.89276233859297938</v>
      </c>
      <c r="M1569" s="1">
        <f t="shared" si="3548"/>
        <v>0</v>
      </c>
      <c r="N1569" s="1">
        <f t="shared" si="3548"/>
        <v>-0.45052792010040243</v>
      </c>
      <c r="O1569" s="1">
        <f t="shared" si="3458"/>
        <v>-0.45052792010040243</v>
      </c>
      <c r="P1569" s="1">
        <f t="shared" si="3474"/>
        <v>0.40221435955026624</v>
      </c>
      <c r="Q1569" s="1">
        <f t="shared" si="3475"/>
        <v>0</v>
      </c>
      <c r="R1569" s="1">
        <f t="shared" si="3476"/>
        <v>0.79702459321000541</v>
      </c>
      <c r="S1569" s="1">
        <f t="shared" si="3477"/>
        <v>0.72164579451409328</v>
      </c>
      <c r="T1569" s="1">
        <f t="shared" ref="T1569:V1569" si="3549">$S1569*P1569</f>
        <v>0.29025630106262906</v>
      </c>
      <c r="U1569" s="1">
        <f t="shared" si="3549"/>
        <v>0</v>
      </c>
      <c r="V1569" s="1">
        <f t="shared" si="3549"/>
        <v>0.57516944581430629</v>
      </c>
      <c r="W1569" s="1">
        <f t="shared" si="3479"/>
        <v>-7.6782002241665692</v>
      </c>
      <c r="X1569" s="1">
        <f t="shared" si="3480"/>
        <v>0</v>
      </c>
      <c r="Y1569" s="1">
        <f t="shared" si="3481"/>
        <v>-5.21023997365229</v>
      </c>
    </row>
    <row r="1570" spans="1:25">
      <c r="A1570" s="1">
        <v>1.5679999999999901</v>
      </c>
      <c r="B1570" s="1">
        <f t="shared" si="3482"/>
        <v>46.781888759846041</v>
      </c>
      <c r="C1570" s="1">
        <f t="shared" si="3483"/>
        <v>0</v>
      </c>
      <c r="D1570" s="1">
        <f t="shared" si="3484"/>
        <v>-3.7948881157612804</v>
      </c>
      <c r="E1570" s="1">
        <f t="shared" si="3485"/>
        <v>13.213551958905455</v>
      </c>
      <c r="F1570" s="1">
        <f t="shared" si="3486"/>
        <v>0</v>
      </c>
      <c r="G1570" s="1">
        <f t="shared" si="3487"/>
        <v>-6.6772360045786643</v>
      </c>
      <c r="H1570" s="1">
        <f t="shared" si="3456"/>
        <v>14.804845018828662</v>
      </c>
      <c r="I1570" s="1">
        <f t="shared" si="3470"/>
        <v>-7.9614061448473814</v>
      </c>
      <c r="J1570" s="1">
        <f t="shared" si="3471"/>
        <v>0</v>
      </c>
      <c r="K1570" s="1">
        <f t="shared" si="3472"/>
        <v>4.0231565231497592</v>
      </c>
      <c r="L1570" s="1">
        <f t="shared" ref="L1570:N1570" si="3550">E1570/$H1570</f>
        <v>0.89251538547688847</v>
      </c>
      <c r="M1570" s="1">
        <f t="shared" si="3550"/>
        <v>0</v>
      </c>
      <c r="N1570" s="1">
        <f t="shared" si="3550"/>
        <v>-0.45101694722819585</v>
      </c>
      <c r="O1570" s="1">
        <f t="shared" si="3458"/>
        <v>-0.45101694722819585</v>
      </c>
      <c r="P1570" s="1">
        <f t="shared" si="3474"/>
        <v>0.40253956451198269</v>
      </c>
      <c r="Q1570" s="1">
        <f t="shared" si="3475"/>
        <v>0</v>
      </c>
      <c r="R1570" s="1">
        <f t="shared" si="3476"/>
        <v>0.79658371331295874</v>
      </c>
      <c r="S1570" s="1">
        <f t="shared" si="3477"/>
        <v>0.72120679023138712</v>
      </c>
      <c r="T1570" s="1">
        <f t="shared" ref="T1570:V1570" si="3551">$S1570*P1570</f>
        <v>0.29031426726282744</v>
      </c>
      <c r="U1570" s="1">
        <f t="shared" si="3551"/>
        <v>0</v>
      </c>
      <c r="V1570" s="1">
        <f t="shared" si="3551"/>
        <v>0.57450158302903842</v>
      </c>
      <c r="W1570" s="1">
        <f t="shared" si="3479"/>
        <v>-7.671091877584554</v>
      </c>
      <c r="X1570" s="1">
        <f t="shared" si="3480"/>
        <v>0</v>
      </c>
      <c r="Y1570" s="1">
        <f t="shared" si="3481"/>
        <v>-5.2089918938212021</v>
      </c>
    </row>
    <row r="1571" spans="1:25">
      <c r="A1571" s="1">
        <v>1.56899999999999</v>
      </c>
      <c r="B1571" s="1">
        <f t="shared" si="3482"/>
        <v>46.795094640713067</v>
      </c>
      <c r="C1571" s="1">
        <f t="shared" si="3483"/>
        <v>0</v>
      </c>
      <c r="D1571" s="1">
        <f t="shared" si="3484"/>
        <v>-3.801570560757753</v>
      </c>
      <c r="E1571" s="1">
        <f t="shared" si="3485"/>
        <v>13.20588086702787</v>
      </c>
      <c r="F1571" s="1">
        <f t="shared" si="3486"/>
        <v>0</v>
      </c>
      <c r="G1571" s="1">
        <f t="shared" si="3487"/>
        <v>-6.6824449964724852</v>
      </c>
      <c r="H1571" s="1">
        <f t="shared" si="3456"/>
        <v>14.800350016300726</v>
      </c>
      <c r="I1571" s="1">
        <f t="shared" si="3470"/>
        <v>-7.9543683571421564</v>
      </c>
      <c r="J1571" s="1">
        <f t="shared" si="3471"/>
        <v>0</v>
      </c>
      <c r="K1571" s="1">
        <f t="shared" si="3472"/>
        <v>4.0250725842150281</v>
      </c>
      <c r="L1571" s="1">
        <f t="shared" ref="L1571:N1571" si="3552">E1571/$H1571</f>
        <v>0.89226814585352721</v>
      </c>
      <c r="M1571" s="1">
        <f t="shared" si="3552"/>
        <v>0</v>
      </c>
      <c r="N1571" s="1">
        <f t="shared" si="3552"/>
        <v>-0.45150587581459978</v>
      </c>
      <c r="O1571" s="1">
        <f t="shared" si="3458"/>
        <v>-0.45150587581459978</v>
      </c>
      <c r="P1571" s="1">
        <f t="shared" si="3474"/>
        <v>0.40286431065506584</v>
      </c>
      <c r="Q1571" s="1">
        <f t="shared" si="3475"/>
        <v>0</v>
      </c>
      <c r="R1571" s="1">
        <f t="shared" si="3476"/>
        <v>0.79614244410489121</v>
      </c>
      <c r="S1571" s="1">
        <f t="shared" si="3477"/>
        <v>0.72076891544048616</v>
      </c>
      <c r="T1571" s="1">
        <f t="shared" ref="T1571:V1571" si="3553">$S1571*P1571</f>
        <v>0.29037207226053091</v>
      </c>
      <c r="U1571" s="1">
        <f t="shared" si="3553"/>
        <v>0</v>
      </c>
      <c r="V1571" s="1">
        <f t="shared" si="3553"/>
        <v>0.57383472597362029</v>
      </c>
      <c r="W1571" s="1">
        <f t="shared" si="3479"/>
        <v>-7.6639962848816259</v>
      </c>
      <c r="X1571" s="1">
        <f t="shared" si="3480"/>
        <v>0</v>
      </c>
      <c r="Y1571" s="1">
        <f t="shared" si="3481"/>
        <v>-5.2077426898113508</v>
      </c>
    </row>
    <row r="1572" spans="1:25">
      <c r="A1572" s="1">
        <v>1.5699999999999901</v>
      </c>
      <c r="B1572" s="1">
        <f t="shared" si="3482"/>
        <v>46.808292857583808</v>
      </c>
      <c r="C1572" s="1">
        <f t="shared" si="3483"/>
        <v>0</v>
      </c>
      <c r="D1572" s="1">
        <f t="shared" si="3484"/>
        <v>-3.8082582134969152</v>
      </c>
      <c r="E1572" s="1">
        <f t="shared" si="3485"/>
        <v>13.198216870742989</v>
      </c>
      <c r="F1572" s="1">
        <f t="shared" si="3486"/>
        <v>0</v>
      </c>
      <c r="G1572" s="1">
        <f t="shared" si="3487"/>
        <v>-6.6876527391622966</v>
      </c>
      <c r="H1572" s="1">
        <f t="shared" si="3456"/>
        <v>14.795865224000584</v>
      </c>
      <c r="I1572" s="1">
        <f t="shared" si="3470"/>
        <v>-7.9473431329312065</v>
      </c>
      <c r="J1572" s="1">
        <f t="shared" si="3471"/>
        <v>0</v>
      </c>
      <c r="K1572" s="1">
        <f t="shared" si="3472"/>
        <v>4.0269887661739903</v>
      </c>
      <c r="L1572" s="1">
        <f t="shared" ref="L1572:N1572" si="3554">E1572/$H1572</f>
        <v>0.89202062001308124</v>
      </c>
      <c r="M1572" s="1">
        <f t="shared" si="3554"/>
        <v>0</v>
      </c>
      <c r="N1572" s="1">
        <f t="shared" si="3554"/>
        <v>-0.45199470513655121</v>
      </c>
      <c r="O1572" s="1">
        <f t="shared" si="3458"/>
        <v>-0.45199470513655121</v>
      </c>
      <c r="P1572" s="1">
        <f t="shared" si="3474"/>
        <v>0.40318859711853627</v>
      </c>
      <c r="Q1572" s="1">
        <f t="shared" si="3475"/>
        <v>0</v>
      </c>
      <c r="R1572" s="1">
        <f t="shared" si="3476"/>
        <v>0.79570078652852216</v>
      </c>
      <c r="S1572" s="1">
        <f t="shared" si="3477"/>
        <v>0.72033216777928222</v>
      </c>
      <c r="T1572" s="1">
        <f t="shared" ref="T1572:V1572" si="3555">$S1572*P1572</f>
        <v>0.29042971618628288</v>
      </c>
      <c r="U1572" s="1">
        <f t="shared" si="3555"/>
        <v>0</v>
      </c>
      <c r="V1572" s="1">
        <f t="shared" si="3555"/>
        <v>0.57316887246377024</v>
      </c>
      <c r="W1572" s="1">
        <f t="shared" si="3479"/>
        <v>-7.6569134167449233</v>
      </c>
      <c r="X1572" s="1">
        <f t="shared" si="3480"/>
        <v>0</v>
      </c>
      <c r="Y1572" s="1">
        <f t="shared" si="3481"/>
        <v>-5.2064923613622387</v>
      </c>
    </row>
    <row r="1573" spans="1:25">
      <c r="A1573" s="1">
        <v>1.57099999999999</v>
      </c>
      <c r="B1573" s="1">
        <f t="shared" si="3482"/>
        <v>46.821483417541131</v>
      </c>
      <c r="C1573" s="1">
        <f t="shared" si="3483"/>
        <v>0</v>
      </c>
      <c r="D1573" s="1">
        <f t="shared" si="3484"/>
        <v>-3.814951072728439</v>
      </c>
      <c r="E1573" s="1">
        <f t="shared" si="3485"/>
        <v>13.190559957326244</v>
      </c>
      <c r="F1573" s="1">
        <f t="shared" si="3486"/>
        <v>0</v>
      </c>
      <c r="G1573" s="1">
        <f t="shared" si="3487"/>
        <v>-6.6928592315236592</v>
      </c>
      <c r="H1573" s="1">
        <f t="shared" si="3456"/>
        <v>14.791390627010362</v>
      </c>
      <c r="I1573" s="1">
        <f t="shared" si="3470"/>
        <v>-7.9403304431073902</v>
      </c>
      <c r="J1573" s="1">
        <f t="shared" si="3471"/>
        <v>0</v>
      </c>
      <c r="K1573" s="1">
        <f t="shared" si="3472"/>
        <v>4.0289050714623302</v>
      </c>
      <c r="L1573" s="1">
        <f t="shared" ref="L1573:N1573" si="3556">E1573/$H1573</f>
        <v>0.89177280824692284</v>
      </c>
      <c r="M1573" s="1">
        <f t="shared" si="3556"/>
        <v>0</v>
      </c>
      <c r="N1573" s="1">
        <f t="shared" si="3556"/>
        <v>-0.45248343447180134</v>
      </c>
      <c r="O1573" s="1">
        <f t="shared" si="3458"/>
        <v>-0.45248343447180134</v>
      </c>
      <c r="P1573" s="1">
        <f t="shared" si="3474"/>
        <v>0.40351242304413076</v>
      </c>
      <c r="Q1573" s="1">
        <f t="shared" si="3475"/>
        <v>0</v>
      </c>
      <c r="R1573" s="1">
        <f t="shared" si="3476"/>
        <v>0.7952587415286031</v>
      </c>
      <c r="S1573" s="1">
        <f t="shared" si="3477"/>
        <v>0.71989654489164401</v>
      </c>
      <c r="T1573" s="1">
        <f t="shared" ref="T1573:V1573" si="3557">$S1573*P1573</f>
        <v>0.29048719917032512</v>
      </c>
      <c r="U1573" s="1">
        <f t="shared" si="3557"/>
        <v>0</v>
      </c>
      <c r="V1573" s="1">
        <f t="shared" si="3557"/>
        <v>0.57250402032131831</v>
      </c>
      <c r="W1573" s="1">
        <f t="shared" si="3479"/>
        <v>-7.6498432439370649</v>
      </c>
      <c r="X1573" s="1">
        <f t="shared" si="3480"/>
        <v>0</v>
      </c>
      <c r="Y1573" s="1">
        <f t="shared" si="3481"/>
        <v>-5.2052409082163509</v>
      </c>
    </row>
    <row r="1574" spans="1:25">
      <c r="A1574" s="1">
        <v>1.5719999999999901</v>
      </c>
      <c r="B1574" s="1">
        <f t="shared" si="3482"/>
        <v>46.834666327655214</v>
      </c>
      <c r="C1574" s="1">
        <f t="shared" si="3483"/>
        <v>0</v>
      </c>
      <c r="D1574" s="1">
        <f t="shared" si="3484"/>
        <v>-3.821649137200871</v>
      </c>
      <c r="E1574" s="1">
        <f t="shared" si="3485"/>
        <v>13.182910114082306</v>
      </c>
      <c r="F1574" s="1">
        <f t="shared" si="3486"/>
        <v>0</v>
      </c>
      <c r="G1574" s="1">
        <f t="shared" si="3487"/>
        <v>-6.6980644724318754</v>
      </c>
      <c r="H1574" s="1">
        <f t="shared" si="3456"/>
        <v>14.786926210434258</v>
      </c>
      <c r="I1574" s="1">
        <f t="shared" si="3470"/>
        <v>-7.9333302586385219</v>
      </c>
      <c r="J1574" s="1">
        <f t="shared" si="3471"/>
        <v>0</v>
      </c>
      <c r="K1574" s="1">
        <f t="shared" si="3472"/>
        <v>4.030821502506658</v>
      </c>
      <c r="L1574" s="1">
        <f t="shared" ref="L1574:N1574" si="3558">E1574/$H1574</f>
        <v>0.8915247108476072</v>
      </c>
      <c r="M1574" s="1">
        <f t="shared" si="3558"/>
        <v>0</v>
      </c>
      <c r="N1574" s="1">
        <f t="shared" si="3558"/>
        <v>-0.4529720630989183</v>
      </c>
      <c r="O1574" s="1">
        <f t="shared" si="3458"/>
        <v>-0.4529720630989183</v>
      </c>
      <c r="P1574" s="1">
        <f t="shared" si="3474"/>
        <v>0.40383578757630723</v>
      </c>
      <c r="Q1574" s="1">
        <f t="shared" si="3475"/>
        <v>0</v>
      </c>
      <c r="R1574" s="1">
        <f t="shared" si="3476"/>
        <v>0.79481631005190956</v>
      </c>
      <c r="S1574" s="1">
        <f t="shared" si="3477"/>
        <v>0.71946204442739936</v>
      </c>
      <c r="T1574" s="1">
        <f t="shared" ref="T1574:V1574" si="3559">$S1574*P1574</f>
        <v>0.29054452134259895</v>
      </c>
      <c r="U1574" s="1">
        <f t="shared" si="3559"/>
        <v>0</v>
      </c>
      <c r="V1574" s="1">
        <f t="shared" si="3559"/>
        <v>0.57184016737418863</v>
      </c>
      <c r="W1574" s="1">
        <f t="shared" si="3479"/>
        <v>-7.6427857372959229</v>
      </c>
      <c r="X1574" s="1">
        <f t="shared" si="3480"/>
        <v>0</v>
      </c>
      <c r="Y1574" s="1">
        <f t="shared" si="3481"/>
        <v>-5.2039883301191523</v>
      </c>
    </row>
    <row r="1575" spans="1:25">
      <c r="A1575" s="1">
        <v>1.57299999999999</v>
      </c>
      <c r="B1575" s="1">
        <f t="shared" si="3482"/>
        <v>46.847841594983556</v>
      </c>
      <c r="C1575" s="1">
        <f t="shared" si="3483"/>
        <v>0</v>
      </c>
      <c r="D1575" s="1">
        <f t="shared" si="3484"/>
        <v>-3.8283524056616329</v>
      </c>
      <c r="E1575" s="1">
        <f t="shared" si="3485"/>
        <v>13.17526732834501</v>
      </c>
      <c r="F1575" s="1">
        <f t="shared" si="3486"/>
        <v>0</v>
      </c>
      <c r="G1575" s="1">
        <f t="shared" si="3487"/>
        <v>-6.7032684607619943</v>
      </c>
      <c r="H1575" s="1">
        <f t="shared" si="3456"/>
        <v>14.782471959398466</v>
      </c>
      <c r="I1575" s="1">
        <f t="shared" si="3470"/>
        <v>-7.9263425505671234</v>
      </c>
      <c r="J1575" s="1">
        <f t="shared" si="3471"/>
        <v>0</v>
      </c>
      <c r="K1575" s="1">
        <f t="shared" si="3472"/>
        <v>4.0327380617245145</v>
      </c>
      <c r="L1575" s="1">
        <f t="shared" ref="L1575:N1575" si="3560">E1575/$H1575</f>
        <v>0.89127632810887081</v>
      </c>
      <c r="M1575" s="1">
        <f t="shared" si="3560"/>
        <v>0</v>
      </c>
      <c r="N1575" s="1">
        <f t="shared" si="3560"/>
        <v>-0.45346059029729197</v>
      </c>
      <c r="O1575" s="1">
        <f t="shared" si="3458"/>
        <v>-0.45346059029729197</v>
      </c>
      <c r="P1575" s="1">
        <f t="shared" si="3474"/>
        <v>0.40415868986225145</v>
      </c>
      <c r="Q1575" s="1">
        <f t="shared" si="3475"/>
        <v>0</v>
      </c>
      <c r="R1575" s="1">
        <f t="shared" si="3476"/>
        <v>0.79437349304723148</v>
      </c>
      <c r="S1575" s="1">
        <f t="shared" si="3477"/>
        <v>0.71902866404231458</v>
      </c>
      <c r="T1575" s="1">
        <f t="shared" ref="T1575:V1575" si="3561">$S1575*P1575</f>
        <v>0.29060168283274679</v>
      </c>
      <c r="U1575" s="1">
        <f t="shared" si="3561"/>
        <v>0</v>
      </c>
      <c r="V1575" s="1">
        <f t="shared" si="3561"/>
        <v>0.57117731145637773</v>
      </c>
      <c r="W1575" s="1">
        <f t="shared" si="3479"/>
        <v>-7.635740867734377</v>
      </c>
      <c r="X1575" s="1">
        <f t="shared" si="3480"/>
        <v>0</v>
      </c>
      <c r="Y1575" s="1">
        <f t="shared" si="3481"/>
        <v>-5.2027346268191073</v>
      </c>
    </row>
    <row r="1576" spans="1:25">
      <c r="A1576" s="1">
        <v>1.5739999999999901</v>
      </c>
      <c r="B1576" s="1">
        <f t="shared" si="3482"/>
        <v>46.861009226571035</v>
      </c>
      <c r="C1576" s="1">
        <f t="shared" si="3483"/>
        <v>0</v>
      </c>
      <c r="D1576" s="1">
        <f t="shared" si="3484"/>
        <v>-3.8350608768570216</v>
      </c>
      <c r="E1576" s="1">
        <f t="shared" si="3485"/>
        <v>13.167631587477276</v>
      </c>
      <c r="F1576" s="1">
        <f t="shared" si="3486"/>
        <v>0</v>
      </c>
      <c r="G1576" s="1">
        <f t="shared" si="3487"/>
        <v>-6.7084711953888139</v>
      </c>
      <c r="H1576" s="1">
        <f t="shared" si="3456"/>
        <v>14.778027859051111</v>
      </c>
      <c r="I1576" s="1">
        <f t="shared" si="3470"/>
        <v>-7.9193672900101904</v>
      </c>
      <c r="J1576" s="1">
        <f t="shared" si="3471"/>
        <v>0</v>
      </c>
      <c r="K1576" s="1">
        <f t="shared" si="3472"/>
        <v>4.034654751524382</v>
      </c>
      <c r="L1576" s="1">
        <f t="shared" ref="L1576:N1576" si="3562">E1576/$H1576</f>
        <v>0.89102766032562897</v>
      </c>
      <c r="M1576" s="1">
        <f t="shared" si="3562"/>
        <v>0</v>
      </c>
      <c r="N1576" s="1">
        <f t="shared" si="3562"/>
        <v>-0.45394901534713722</v>
      </c>
      <c r="O1576" s="1">
        <f t="shared" si="3458"/>
        <v>-0.45394901534713722</v>
      </c>
      <c r="P1576" s="1">
        <f t="shared" si="3474"/>
        <v>0.40448112905188272</v>
      </c>
      <c r="Q1576" s="1">
        <f t="shared" si="3475"/>
        <v>0</v>
      </c>
      <c r="R1576" s="1">
        <f t="shared" si="3476"/>
        <v>0.79393029146536453</v>
      </c>
      <c r="S1576" s="1">
        <f t="shared" si="3477"/>
        <v>0.71859640139807457</v>
      </c>
      <c r="T1576" s="1">
        <f t="shared" ref="T1576:V1576" si="3563">$S1576*P1576</f>
        <v>0.29065868377011311</v>
      </c>
      <c r="U1576" s="1">
        <f t="shared" si="3563"/>
        <v>0</v>
      </c>
      <c r="V1576" s="1">
        <f t="shared" si="3563"/>
        <v>0.57051545040793539</v>
      </c>
      <c r="W1576" s="1">
        <f t="shared" si="3479"/>
        <v>-7.6287086062400773</v>
      </c>
      <c r="X1576" s="1">
        <f t="shared" si="3480"/>
        <v>0</v>
      </c>
      <c r="Y1576" s="1">
        <f t="shared" si="3481"/>
        <v>-5.2014797980676821</v>
      </c>
    </row>
    <row r="1577" spans="1:25">
      <c r="A1577" s="1">
        <v>1.57499999999999</v>
      </c>
      <c r="B1577" s="1">
        <f t="shared" si="3482"/>
        <v>46.874169229449905</v>
      </c>
      <c r="C1577" s="1">
        <f t="shared" si="3483"/>
        <v>0</v>
      </c>
      <c r="D1577" s="1">
        <f t="shared" si="3484"/>
        <v>-3.8417745495322086</v>
      </c>
      <c r="E1577" s="1">
        <f t="shared" si="3485"/>
        <v>13.160002878871035</v>
      </c>
      <c r="F1577" s="1">
        <f t="shared" si="3486"/>
        <v>0</v>
      </c>
      <c r="G1577" s="1">
        <f t="shared" si="3487"/>
        <v>-6.7136726751868814</v>
      </c>
      <c r="H1577" s="1">
        <f t="shared" si="3456"/>
        <v>14.773593894562179</v>
      </c>
      <c r="I1577" s="1">
        <f t="shared" si="3470"/>
        <v>-7.9124044481589539</v>
      </c>
      <c r="J1577" s="1">
        <f t="shared" si="3471"/>
        <v>0</v>
      </c>
      <c r="K1577" s="1">
        <f t="shared" si="3472"/>
        <v>4.0365715743056931</v>
      </c>
      <c r="L1577" s="1">
        <f t="shared" ref="L1577:N1577" si="3564">E1577/$H1577</f>
        <v>0.89077870779397361</v>
      </c>
      <c r="M1577" s="1">
        <f t="shared" si="3564"/>
        <v>0</v>
      </c>
      <c r="N1577" s="1">
        <f t="shared" si="3564"/>
        <v>-0.45443733752949783</v>
      </c>
      <c r="O1577" s="1">
        <f t="shared" si="3458"/>
        <v>-0.45443733752949783</v>
      </c>
      <c r="P1577" s="1">
        <f t="shared" si="3474"/>
        <v>0.40480310429785993</v>
      </c>
      <c r="Q1577" s="1">
        <f t="shared" si="3475"/>
        <v>0</v>
      </c>
      <c r="R1577" s="1">
        <f t="shared" si="3476"/>
        <v>0.79348670625910123</v>
      </c>
      <c r="S1577" s="1">
        <f t="shared" si="3477"/>
        <v>0.71816525416226384</v>
      </c>
      <c r="T1577" s="1">
        <f t="shared" ref="T1577:V1577" si="3565">$S1577*P1577</f>
        <v>0.29071552428374597</v>
      </c>
      <c r="U1577" s="1">
        <f t="shared" si="3565"/>
        <v>0</v>
      </c>
      <c r="V1577" s="1">
        <f t="shared" si="3565"/>
        <v>0.56985458207494499</v>
      </c>
      <c r="W1577" s="1">
        <f t="shared" si="3479"/>
        <v>-7.6216889238752081</v>
      </c>
      <c r="X1577" s="1">
        <f t="shared" si="3480"/>
        <v>0</v>
      </c>
      <c r="Y1577" s="1">
        <f t="shared" si="3481"/>
        <v>-5.2002238436193613</v>
      </c>
    </row>
    <row r="1578" spans="1:25">
      <c r="A1578" s="1">
        <v>1.5759999999999901</v>
      </c>
      <c r="B1578" s="1">
        <f t="shared" si="3482"/>
        <v>46.887321610639852</v>
      </c>
      <c r="C1578" s="1">
        <f t="shared" si="3483"/>
        <v>0</v>
      </c>
      <c r="D1578" s="1">
        <f t="shared" si="3484"/>
        <v>-3.8484934224312393</v>
      </c>
      <c r="E1578" s="1">
        <f t="shared" si="3485"/>
        <v>13.15238118994716</v>
      </c>
      <c r="F1578" s="1">
        <f t="shared" si="3486"/>
        <v>0</v>
      </c>
      <c r="G1578" s="1">
        <f t="shared" si="3487"/>
        <v>-6.7188728990305009</v>
      </c>
      <c r="H1578" s="1">
        <f t="shared" si="3456"/>
        <v>14.769170051123471</v>
      </c>
      <c r="I1578" s="1">
        <f t="shared" si="3470"/>
        <v>-7.9054539962786601</v>
      </c>
      <c r="J1578" s="1">
        <f t="shared" si="3471"/>
        <v>0</v>
      </c>
      <c r="K1578" s="1">
        <f t="shared" si="3472"/>
        <v>4.0384885324588478</v>
      </c>
      <c r="L1578" s="1">
        <f t="shared" ref="L1578:N1578" si="3566">E1578/$H1578</f>
        <v>0.89052947081116973</v>
      </c>
      <c r="M1578" s="1">
        <f t="shared" si="3566"/>
        <v>0</v>
      </c>
      <c r="N1578" s="1">
        <f t="shared" si="3566"/>
        <v>-0.45492555612624996</v>
      </c>
      <c r="O1578" s="1">
        <f t="shared" si="3458"/>
        <v>-0.45492555612624996</v>
      </c>
      <c r="P1578" s="1">
        <f t="shared" si="3474"/>
        <v>0.40512461475558648</v>
      </c>
      <c r="Q1578" s="1">
        <f t="shared" si="3475"/>
        <v>0</v>
      </c>
      <c r="R1578" s="1">
        <f t="shared" si="3476"/>
        <v>0.79304273838322215</v>
      </c>
      <c r="S1578" s="1">
        <f t="shared" si="3477"/>
        <v>0.717735220008348</v>
      </c>
      <c r="T1578" s="1">
        <f t="shared" ref="T1578:V1578" si="3567">$S1578*P1578</f>
        <v>0.2907722045023981</v>
      </c>
      <c r="U1578" s="1">
        <f t="shared" si="3567"/>
        <v>0</v>
      </c>
      <c r="V1578" s="1">
        <f t="shared" si="3567"/>
        <v>0.5691947043095047</v>
      </c>
      <c r="W1578" s="1">
        <f t="shared" si="3479"/>
        <v>-7.6146817917762624</v>
      </c>
      <c r="X1578" s="1">
        <f t="shared" si="3480"/>
        <v>0</v>
      </c>
      <c r="Y1578" s="1">
        <f t="shared" si="3481"/>
        <v>-5.1989667632316472</v>
      </c>
    </row>
    <row r="1579" spans="1:25">
      <c r="A1579" s="1">
        <v>1.57699999999999</v>
      </c>
      <c r="B1579" s="1">
        <f t="shared" si="3482"/>
        <v>46.900466377148007</v>
      </c>
      <c r="C1579" s="1">
        <f t="shared" si="3483"/>
        <v>0</v>
      </c>
      <c r="D1579" s="1">
        <f t="shared" si="3484"/>
        <v>-3.8552174942970332</v>
      </c>
      <c r="E1579" s="1">
        <f t="shared" si="3485"/>
        <v>13.144766508155383</v>
      </c>
      <c r="F1579" s="1">
        <f t="shared" si="3486"/>
        <v>0</v>
      </c>
      <c r="G1579" s="1">
        <f t="shared" si="3487"/>
        <v>-6.7240718657937322</v>
      </c>
      <c r="H1579" s="1">
        <f t="shared" si="3456"/>
        <v>14.764756313948507</v>
      </c>
      <c r="I1579" s="1">
        <f t="shared" si="3470"/>
        <v>-7.8985159057083125</v>
      </c>
      <c r="J1579" s="1">
        <f t="shared" si="3471"/>
        <v>0</v>
      </c>
      <c r="K1579" s="1">
        <f t="shared" si="3472"/>
        <v>4.040405628365213</v>
      </c>
      <c r="L1579" s="1">
        <f t="shared" ref="L1579:N1579" si="3568">E1579/$H1579</f>
        <v>0.89027994967565482</v>
      </c>
      <c r="M1579" s="1">
        <f t="shared" si="3568"/>
        <v>0</v>
      </c>
      <c r="N1579" s="1">
        <f t="shared" si="3568"/>
        <v>-0.45541367042010655</v>
      </c>
      <c r="O1579" s="1">
        <f t="shared" si="3458"/>
        <v>-0.45541367042010655</v>
      </c>
      <c r="P1579" s="1">
        <f t="shared" si="3474"/>
        <v>0.40544565958321771</v>
      </c>
      <c r="Q1579" s="1">
        <f t="shared" si="3475"/>
        <v>0</v>
      </c>
      <c r="R1579" s="1">
        <f t="shared" si="3476"/>
        <v>0.79259838879448652</v>
      </c>
      <c r="S1579" s="1">
        <f t="shared" si="3477"/>
        <v>0.71730629661565148</v>
      </c>
      <c r="T1579" s="1">
        <f t="shared" ref="T1579:V1579" si="3569">$S1579*P1579</f>
        <v>0.29082872455452802</v>
      </c>
      <c r="U1579" s="1">
        <f t="shared" si="3569"/>
        <v>0</v>
      </c>
      <c r="V1579" s="1">
        <f t="shared" si="3569"/>
        <v>0.5685358149697054</v>
      </c>
      <c r="W1579" s="1">
        <f t="shared" si="3479"/>
        <v>-7.6076871811537847</v>
      </c>
      <c r="X1579" s="1">
        <f t="shared" si="3480"/>
        <v>0</v>
      </c>
      <c r="Y1579" s="1">
        <f t="shared" si="3481"/>
        <v>-5.1977085566650807</v>
      </c>
    </row>
    <row r="1580" spans="1:25">
      <c r="A1580" s="1">
        <v>1.5779999999999901</v>
      </c>
      <c r="B1580" s="1">
        <f t="shared" si="3482"/>
        <v>46.913603535968981</v>
      </c>
      <c r="C1580" s="1">
        <f t="shared" si="3483"/>
        <v>0</v>
      </c>
      <c r="D1580" s="1">
        <f t="shared" si="3484"/>
        <v>-3.8619467638713836</v>
      </c>
      <c r="E1580" s="1">
        <f t="shared" si="3485"/>
        <v>13.13715882097423</v>
      </c>
      <c r="F1580" s="1">
        <f t="shared" si="3486"/>
        <v>0</v>
      </c>
      <c r="G1580" s="1">
        <f t="shared" si="3487"/>
        <v>-6.729269574350397</v>
      </c>
      <c r="H1580" s="1">
        <f t="shared" si="3456"/>
        <v>14.760352668272496</v>
      </c>
      <c r="I1580" s="1">
        <f t="shared" si="3470"/>
        <v>-7.8915901478604651</v>
      </c>
      <c r="J1580" s="1">
        <f t="shared" si="3471"/>
        <v>0</v>
      </c>
      <c r="K1580" s="1">
        <f t="shared" si="3472"/>
        <v>4.0423228643971454</v>
      </c>
      <c r="L1580" s="1">
        <f t="shared" ref="L1580:N1580" si="3570">E1580/$H1580</f>
        <v>0.89003014468703479</v>
      </c>
      <c r="M1580" s="1">
        <f t="shared" si="3570"/>
        <v>0</v>
      </c>
      <c r="N1580" s="1">
        <f t="shared" si="3570"/>
        <v>-0.45590167969461998</v>
      </c>
      <c r="O1580" s="1">
        <f t="shared" si="3458"/>
        <v>-0.45590167969461998</v>
      </c>
      <c r="P1580" s="1">
        <f t="shared" si="3474"/>
        <v>0.40576623794166483</v>
      </c>
      <c r="Q1580" s="1">
        <f t="shared" si="3475"/>
        <v>0</v>
      </c>
      <c r="R1580" s="1">
        <f t="shared" si="3476"/>
        <v>0.79215365845162411</v>
      </c>
      <c r="S1580" s="1">
        <f t="shared" si="3477"/>
        <v>0.71687848166934232</v>
      </c>
      <c r="T1580" s="1">
        <f t="shared" ref="T1580:V1580" si="3571">$S1580*P1580</f>
        <v>0.29088508456830175</v>
      </c>
      <c r="U1580" s="1">
        <f t="shared" si="3571"/>
        <v>0</v>
      </c>
      <c r="V1580" s="1">
        <f t="shared" si="3571"/>
        <v>0.56787791191961512</v>
      </c>
      <c r="W1580" s="1">
        <f t="shared" si="3479"/>
        <v>-7.6007050632921631</v>
      </c>
      <c r="X1580" s="1">
        <f t="shared" si="3480"/>
        <v>0</v>
      </c>
      <c r="Y1580" s="1">
        <f t="shared" si="3481"/>
        <v>-5.1964492236832385</v>
      </c>
    </row>
    <row r="1581" spans="1:25">
      <c r="A1581" s="1">
        <v>1.57899999999999</v>
      </c>
      <c r="B1581" s="1">
        <f t="shared" si="3482"/>
        <v>46.926733094084895</v>
      </c>
      <c r="C1581" s="1">
        <f t="shared" si="3483"/>
        <v>0</v>
      </c>
      <c r="D1581" s="1">
        <f t="shared" si="3484"/>
        <v>-3.8686812298949578</v>
      </c>
      <c r="E1581" s="1">
        <f t="shared" si="3485"/>
        <v>13.129558115910939</v>
      </c>
      <c r="F1581" s="1">
        <f t="shared" si="3486"/>
        <v>0</v>
      </c>
      <c r="G1581" s="1">
        <f t="shared" si="3487"/>
        <v>-6.7344660235740799</v>
      </c>
      <c r="H1581" s="1">
        <f t="shared" si="3456"/>
        <v>14.755959099352252</v>
      </c>
      <c r="I1581" s="1">
        <f t="shared" si="3470"/>
        <v>-7.8846766942209765</v>
      </c>
      <c r="J1581" s="1">
        <f t="shared" si="3471"/>
        <v>0</v>
      </c>
      <c r="K1581" s="1">
        <f t="shared" si="3472"/>
        <v>4.0442402429179927</v>
      </c>
      <c r="L1581" s="1">
        <f t="shared" ref="L1581:N1581" si="3572">E1581/$H1581</f>
        <v>0.88978005614608224</v>
      </c>
      <c r="M1581" s="1">
        <f t="shared" si="3572"/>
        <v>0</v>
      </c>
      <c r="N1581" s="1">
        <f t="shared" si="3572"/>
        <v>-0.45638958323418677</v>
      </c>
      <c r="O1581" s="1">
        <f t="shared" si="3458"/>
        <v>-0.45638958323418677</v>
      </c>
      <c r="P1581" s="1">
        <f t="shared" si="3474"/>
        <v>0.40608634899460178</v>
      </c>
      <c r="Q1581" s="1">
        <f t="shared" si="3475"/>
        <v>0</v>
      </c>
      <c r="R1581" s="1">
        <f t="shared" si="3476"/>
        <v>0.79170854831532533</v>
      </c>
      <c r="S1581" s="1">
        <f t="shared" si="3477"/>
        <v>0.71645177286041017</v>
      </c>
      <c r="T1581" s="1">
        <f t="shared" ref="T1581:V1581" si="3573">$S1581*P1581</f>
        <v>0.29094128467159369</v>
      </c>
      <c r="U1581" s="1">
        <f t="shared" si="3573"/>
        <v>0</v>
      </c>
      <c r="V1581" s="1">
        <f t="shared" si="3573"/>
        <v>0.56722099302925655</v>
      </c>
      <c r="W1581" s="1">
        <f t="shared" si="3479"/>
        <v>-7.5937354095493825</v>
      </c>
      <c r="X1581" s="1">
        <f t="shared" si="3480"/>
        <v>0</v>
      </c>
      <c r="Y1581" s="1">
        <f t="shared" si="3481"/>
        <v>-5.1951887640527499</v>
      </c>
    </row>
    <row r="1582" spans="1:25">
      <c r="A1582" s="1">
        <v>1.5799999999999901</v>
      </c>
      <c r="B1582" s="1">
        <f t="shared" si="3482"/>
        <v>46.939855058465398</v>
      </c>
      <c r="C1582" s="1">
        <f t="shared" si="3483"/>
        <v>0</v>
      </c>
      <c r="D1582" s="1">
        <f t="shared" si="3484"/>
        <v>-3.875420891107296</v>
      </c>
      <c r="E1582" s="1">
        <f t="shared" si="3485"/>
        <v>13.121964380501389</v>
      </c>
      <c r="F1582" s="1">
        <f t="shared" si="3486"/>
        <v>0</v>
      </c>
      <c r="G1582" s="1">
        <f t="shared" si="3487"/>
        <v>-6.7396612123381328</v>
      </c>
      <c r="H1582" s="1">
        <f t="shared" si="3456"/>
        <v>14.751575592466125</v>
      </c>
      <c r="I1582" s="1">
        <f t="shared" si="3470"/>
        <v>-7.8777755163487742</v>
      </c>
      <c r="J1582" s="1">
        <f t="shared" si="3471"/>
        <v>0</v>
      </c>
      <c r="K1582" s="1">
        <f t="shared" si="3472"/>
        <v>4.0461577662821044</v>
      </c>
      <c r="L1582" s="1">
        <f t="shared" ref="L1582:N1582" si="3574">E1582/$H1582</f>
        <v>0.8895296843547339</v>
      </c>
      <c r="M1582" s="1">
        <f t="shared" si="3574"/>
        <v>0</v>
      </c>
      <c r="N1582" s="1">
        <f t="shared" si="3574"/>
        <v>-0.45687738032405095</v>
      </c>
      <c r="O1582" s="1">
        <f t="shared" si="3458"/>
        <v>-0.45687738032405095</v>
      </c>
      <c r="P1582" s="1">
        <f t="shared" si="3474"/>
        <v>0.40640599190847077</v>
      </c>
      <c r="Q1582" s="1">
        <f t="shared" si="3475"/>
        <v>0</v>
      </c>
      <c r="R1582" s="1">
        <f t="shared" si="3476"/>
        <v>0.79126305934823249</v>
      </c>
      <c r="S1582" s="1">
        <f t="shared" si="3477"/>
        <v>0.71602616788564766</v>
      </c>
      <c r="T1582" s="1">
        <f t="shared" ref="T1582:V1582" si="3575">$S1582*P1582</f>
        <v>0.29099732499198783</v>
      </c>
      <c r="U1582" s="1">
        <f t="shared" si="3575"/>
        <v>0</v>
      </c>
      <c r="V1582" s="1">
        <f t="shared" si="3575"/>
        <v>0.56656505617458874</v>
      </c>
      <c r="W1582" s="1">
        <f t="shared" si="3479"/>
        <v>-7.5867781913567862</v>
      </c>
      <c r="X1582" s="1">
        <f t="shared" si="3480"/>
        <v>0</v>
      </c>
      <c r="Y1582" s="1">
        <f t="shared" si="3481"/>
        <v>-5.1939271775433067</v>
      </c>
    </row>
    <row r="1583" spans="1:25">
      <c r="A1583" s="1">
        <v>1.58099999999999</v>
      </c>
      <c r="B1583" s="1">
        <f t="shared" si="3482"/>
        <v>46.952969436067704</v>
      </c>
      <c r="C1583" s="1">
        <f t="shared" si="3483"/>
        <v>0</v>
      </c>
      <c r="D1583" s="1">
        <f t="shared" si="3484"/>
        <v>-3.8821657462468115</v>
      </c>
      <c r="E1583" s="1">
        <f t="shared" si="3485"/>
        <v>13.114377602310032</v>
      </c>
      <c r="F1583" s="1">
        <f t="shared" si="3486"/>
        <v>0</v>
      </c>
      <c r="G1583" s="1">
        <f t="shared" si="3487"/>
        <v>-6.7448551395156757</v>
      </c>
      <c r="H1583" s="1">
        <f t="shared" si="3456"/>
        <v>14.74720213291396</v>
      </c>
      <c r="I1583" s="1">
        <f t="shared" si="3470"/>
        <v>-7.8708865858756454</v>
      </c>
      <c r="J1583" s="1">
        <f t="shared" si="3471"/>
        <v>0</v>
      </c>
      <c r="K1583" s="1">
        <f t="shared" si="3472"/>
        <v>4.0480754368348491</v>
      </c>
      <c r="L1583" s="1">
        <f t="shared" ref="L1583:N1583" si="3576">E1583/$H1583</f>
        <v>0.88927902961608818</v>
      </c>
      <c r="M1583" s="1">
        <f t="shared" si="3576"/>
        <v>0</v>
      </c>
      <c r="N1583" s="1">
        <f t="shared" si="3576"/>
        <v>-0.45736507025030732</v>
      </c>
      <c r="O1583" s="1">
        <f t="shared" si="3458"/>
        <v>-0.45736507025030732</v>
      </c>
      <c r="P1583" s="1">
        <f t="shared" si="3474"/>
        <v>0.4067251658524873</v>
      </c>
      <c r="Q1583" s="1">
        <f t="shared" si="3475"/>
        <v>0</v>
      </c>
      <c r="R1583" s="1">
        <f t="shared" si="3476"/>
        <v>0.79081719251493143</v>
      </c>
      <c r="S1583" s="1">
        <f t="shared" si="3477"/>
        <v>0.71560166444763218</v>
      </c>
      <c r="T1583" s="1">
        <f t="shared" ref="T1583:V1583" si="3577">$S1583*P1583</f>
        <v>0.29105320565677917</v>
      </c>
      <c r="U1583" s="1">
        <f t="shared" si="3577"/>
        <v>0</v>
      </c>
      <c r="V1583" s="1">
        <f t="shared" si="3577"/>
        <v>0.56591009923748847</v>
      </c>
      <c r="W1583" s="1">
        <f t="shared" si="3479"/>
        <v>-7.579833380218866</v>
      </c>
      <c r="X1583" s="1">
        <f t="shared" si="3480"/>
        <v>0</v>
      </c>
      <c r="Y1583" s="1">
        <f t="shared" si="3481"/>
        <v>-5.1926644639276622</v>
      </c>
    </row>
    <row r="1584" spans="1:25">
      <c r="A1584" s="1">
        <v>1.5819999999999901</v>
      </c>
      <c r="B1584" s="1">
        <f t="shared" si="3482"/>
        <v>46.966076233836631</v>
      </c>
      <c r="C1584" s="1">
        <f t="shared" si="3483"/>
        <v>0</v>
      </c>
      <c r="D1584" s="1">
        <f t="shared" si="3484"/>
        <v>-3.8889157940507912</v>
      </c>
      <c r="E1584" s="1">
        <f t="shared" si="3485"/>
        <v>13.106797768929813</v>
      </c>
      <c r="F1584" s="1">
        <f t="shared" si="3486"/>
        <v>0</v>
      </c>
      <c r="G1584" s="1">
        <f t="shared" si="3487"/>
        <v>-6.7500478039796032</v>
      </c>
      <c r="H1584" s="1">
        <f t="shared" si="3456"/>
        <v>14.742838706017013</v>
      </c>
      <c r="I1584" s="1">
        <f t="shared" si="3470"/>
        <v>-7.8640098745059861</v>
      </c>
      <c r="J1584" s="1">
        <f t="shared" si="3471"/>
        <v>0</v>
      </c>
      <c r="K1584" s="1">
        <f t="shared" si="3472"/>
        <v>4.0499932569126154</v>
      </c>
      <c r="L1584" s="1">
        <f t="shared" ref="L1584:N1584" si="3578">E1584/$H1584</f>
        <v>0.88902809223440249</v>
      </c>
      <c r="M1584" s="1">
        <f t="shared" si="3578"/>
        <v>0</v>
      </c>
      <c r="N1584" s="1">
        <f t="shared" si="3578"/>
        <v>-0.45785265229990602</v>
      </c>
      <c r="O1584" s="1">
        <f t="shared" si="3458"/>
        <v>-0.45785265229990602</v>
      </c>
      <c r="P1584" s="1">
        <f t="shared" si="3474"/>
        <v>0.40704386999864667</v>
      </c>
      <c r="Q1584" s="1">
        <f t="shared" si="3475"/>
        <v>0</v>
      </c>
      <c r="R1584" s="1">
        <f t="shared" si="3476"/>
        <v>0.79037094878194136</v>
      </c>
      <c r="S1584" s="1">
        <f t="shared" si="3477"/>
        <v>0.71517826025470643</v>
      </c>
      <c r="T1584" s="1">
        <f t="shared" ref="T1584:V1584" si="3579">$S1584*P1584</f>
        <v>0.29110892679297501</v>
      </c>
      <c r="U1584" s="1">
        <f t="shared" si="3579"/>
        <v>0</v>
      </c>
      <c r="V1584" s="1">
        <f t="shared" si="3579"/>
        <v>0.56525612010573045</v>
      </c>
      <c r="W1584" s="1">
        <f t="shared" si="3479"/>
        <v>-7.5729009477130109</v>
      </c>
      <c r="X1584" s="1">
        <f t="shared" si="3480"/>
        <v>0</v>
      </c>
      <c r="Y1584" s="1">
        <f t="shared" si="3481"/>
        <v>-5.1914006229816536</v>
      </c>
    </row>
    <row r="1585" spans="1:25">
      <c r="A1585" s="1">
        <v>1.58299999999999</v>
      </c>
      <c r="B1585" s="1">
        <f t="shared" si="3482"/>
        <v>46.97917545870461</v>
      </c>
      <c r="C1585" s="1">
        <f t="shared" si="3483"/>
        <v>0</v>
      </c>
      <c r="D1585" s="1">
        <f t="shared" si="3484"/>
        <v>-3.8956710332553937</v>
      </c>
      <c r="E1585" s="1">
        <f t="shared" si="3485"/>
        <v>13.0992248679821</v>
      </c>
      <c r="F1585" s="1">
        <f t="shared" si="3486"/>
        <v>0</v>
      </c>
      <c r="G1585" s="1">
        <f t="shared" si="3487"/>
        <v>-6.7552392046025851</v>
      </c>
      <c r="H1585" s="1">
        <f t="shared" si="3456"/>
        <v>14.738485297117897</v>
      </c>
      <c r="I1585" s="1">
        <f t="shared" si="3470"/>
        <v>-7.8571453540165912</v>
      </c>
      <c r="J1585" s="1">
        <f t="shared" si="3471"/>
        <v>0</v>
      </c>
      <c r="K1585" s="1">
        <f t="shared" si="3472"/>
        <v>4.0519112288428323</v>
      </c>
      <c r="L1585" s="1">
        <f t="shared" ref="L1585:N1585" si="3580">E1585/$H1585</f>
        <v>0.88877687251509119</v>
      </c>
      <c r="M1585" s="1">
        <f t="shared" si="3580"/>
        <v>0</v>
      </c>
      <c r="N1585" s="1">
        <f t="shared" si="3580"/>
        <v>-0.45834012576065525</v>
      </c>
      <c r="O1585" s="1">
        <f t="shared" si="3458"/>
        <v>-0.45834012576065525</v>
      </c>
      <c r="P1585" s="1">
        <f t="shared" si="3474"/>
        <v>0.40736210352172875</v>
      </c>
      <c r="Q1585" s="1">
        <f t="shared" si="3475"/>
        <v>0</v>
      </c>
      <c r="R1585" s="1">
        <f t="shared" si="3476"/>
        <v>0.78992432911770671</v>
      </c>
      <c r="S1585" s="1">
        <f t="shared" si="3477"/>
        <v>0.71475595302095929</v>
      </c>
      <c r="T1585" s="1">
        <f t="shared" ref="T1585:V1585" si="3581">$S1585*P1585</f>
        <v>0.29116448852729593</v>
      </c>
      <c r="U1585" s="1">
        <f t="shared" si="3581"/>
        <v>0</v>
      </c>
      <c r="V1585" s="1">
        <f t="shared" si="3581"/>
        <v>0.56460311667296836</v>
      </c>
      <c r="W1585" s="1">
        <f t="shared" si="3479"/>
        <v>-7.565980865489295</v>
      </c>
      <c r="X1585" s="1">
        <f t="shared" si="3480"/>
        <v>0</v>
      </c>
      <c r="Y1585" s="1">
        <f t="shared" si="3481"/>
        <v>-5.190135654484199</v>
      </c>
    </row>
    <row r="1586" spans="1:25">
      <c r="A1586" s="1">
        <v>1.5839999999999901</v>
      </c>
      <c r="B1586" s="1">
        <f t="shared" si="3482"/>
        <v>46.992267117591723</v>
      </c>
      <c r="C1586" s="1">
        <f t="shared" si="3483"/>
        <v>0</v>
      </c>
      <c r="D1586" s="1">
        <f t="shared" si="3484"/>
        <v>-3.9024314625956507</v>
      </c>
      <c r="E1586" s="1">
        <f t="shared" si="3485"/>
        <v>13.09165888711661</v>
      </c>
      <c r="F1586" s="1">
        <f t="shared" si="3486"/>
        <v>0</v>
      </c>
      <c r="G1586" s="1">
        <f t="shared" si="3487"/>
        <v>-6.760429340257069</v>
      </c>
      <c r="H1586" s="1">
        <f t="shared" si="3456"/>
        <v>14.734141891580519</v>
      </c>
      <c r="I1586" s="1">
        <f t="shared" si="3470"/>
        <v>-7.8502929962564103</v>
      </c>
      <c r="J1586" s="1">
        <f t="shared" si="3471"/>
        <v>0</v>
      </c>
      <c r="K1586" s="1">
        <f t="shared" si="3472"/>
        <v>4.0538293549439697</v>
      </c>
      <c r="L1586" s="1">
        <f t="shared" ref="L1586:N1586" si="3582">E1586/$H1586</f>
        <v>0.88852537076472249</v>
      </c>
      <c r="M1586" s="1">
        <f t="shared" si="3582"/>
        <v>0</v>
      </c>
      <c r="N1586" s="1">
        <f t="shared" si="3582"/>
        <v>-0.45882748992122563</v>
      </c>
      <c r="O1586" s="1">
        <f t="shared" si="3458"/>
        <v>-0.45882748992122563</v>
      </c>
      <c r="P1586" s="1">
        <f t="shared" si="3474"/>
        <v>0.40767986559930397</v>
      </c>
      <c r="Q1586" s="1">
        <f t="shared" si="3475"/>
        <v>0</v>
      </c>
      <c r="R1586" s="1">
        <f t="shared" si="3476"/>
        <v>0.78947733449258761</v>
      </c>
      <c r="S1586" s="1">
        <f t="shared" si="3477"/>
        <v>0.71433474046620726</v>
      </c>
      <c r="T1586" s="1">
        <f t="shared" ref="T1586:V1586" si="3583">$S1586*P1586</f>
        <v>0.29121989098617707</v>
      </c>
      <c r="U1586" s="1">
        <f t="shared" si="3583"/>
        <v>0</v>
      </c>
      <c r="V1586" s="1">
        <f t="shared" si="3583"/>
        <v>0.56395108683871564</v>
      </c>
      <c r="W1586" s="1">
        <f t="shared" si="3479"/>
        <v>-7.5590731052702331</v>
      </c>
      <c r="X1586" s="1">
        <f t="shared" si="3480"/>
        <v>0</v>
      </c>
      <c r="Y1586" s="1">
        <f t="shared" si="3481"/>
        <v>-5.1888695582173145</v>
      </c>
    </row>
    <row r="1587" spans="1:25">
      <c r="A1587" s="1">
        <v>1.58499999999999</v>
      </c>
      <c r="B1587" s="1">
        <f t="shared" si="3482"/>
        <v>47.005351217405732</v>
      </c>
      <c r="C1587" s="1">
        <f t="shared" si="3483"/>
        <v>0</v>
      </c>
      <c r="D1587" s="1">
        <f t="shared" si="3484"/>
        <v>-3.9091970808054661</v>
      </c>
      <c r="E1587" s="1">
        <f t="shared" si="3485"/>
        <v>13.08409981401134</v>
      </c>
      <c r="F1587" s="1">
        <f t="shared" si="3486"/>
        <v>0</v>
      </c>
      <c r="G1587" s="1">
        <f t="shared" si="3487"/>
        <v>-6.7656182098152859</v>
      </c>
      <c r="H1587" s="1">
        <f t="shared" si="3456"/>
        <v>14.729808474790016</v>
      </c>
      <c r="I1587" s="1">
        <f t="shared" si="3470"/>
        <v>-7.8434527731463355</v>
      </c>
      <c r="J1587" s="1">
        <f t="shared" si="3471"/>
        <v>0</v>
      </c>
      <c r="K1587" s="1">
        <f t="shared" si="3472"/>
        <v>4.0557476375255552</v>
      </c>
      <c r="L1587" s="1">
        <f t="shared" ref="L1587:N1587" si="3584">E1587/$H1587</f>
        <v>0.88827358729101624</v>
      </c>
      <c r="M1587" s="1">
        <f t="shared" si="3584"/>
        <v>0</v>
      </c>
      <c r="N1587" s="1">
        <f t="shared" si="3584"/>
        <v>-0.45931474407115364</v>
      </c>
      <c r="O1587" s="1">
        <f t="shared" si="3458"/>
        <v>-0.45931474407115364</v>
      </c>
      <c r="P1587" s="1">
        <f t="shared" si="3474"/>
        <v>0.4079971554117387</v>
      </c>
      <c r="Q1587" s="1">
        <f t="shared" si="3475"/>
        <v>0</v>
      </c>
      <c r="R1587" s="1">
        <f t="shared" si="3476"/>
        <v>0.78902996587885066</v>
      </c>
      <c r="S1587" s="1">
        <f t="shared" si="3477"/>
        <v>0.7139146203159763</v>
      </c>
      <c r="T1587" s="1">
        <f t="shared" ref="T1587:V1587" si="3585">$S1587*P1587</f>
        <v>0.29127513429576979</v>
      </c>
      <c r="U1587" s="1">
        <f t="shared" si="3585"/>
        <v>0</v>
      </c>
      <c r="V1587" s="1">
        <f t="shared" si="3585"/>
        <v>0.56330002850832739</v>
      </c>
      <c r="W1587" s="1">
        <f t="shared" si="3479"/>
        <v>-7.5521776388505657</v>
      </c>
      <c r="X1587" s="1">
        <f t="shared" si="3480"/>
        <v>0</v>
      </c>
      <c r="Y1587" s="1">
        <f t="shared" si="3481"/>
        <v>-5.187602333966117</v>
      </c>
    </row>
    <row r="1588" spans="1:25">
      <c r="A1588" s="1">
        <v>1.5859999999999901</v>
      </c>
      <c r="B1588" s="1">
        <f t="shared" si="3482"/>
        <v>47.018427765042105</v>
      </c>
      <c r="C1588" s="1">
        <f t="shared" si="3483"/>
        <v>0</v>
      </c>
      <c r="D1588" s="1">
        <f t="shared" si="3484"/>
        <v>-3.9159678866176155</v>
      </c>
      <c r="E1588" s="1">
        <f t="shared" si="3485"/>
        <v>13.07654763637249</v>
      </c>
      <c r="F1588" s="1">
        <f t="shared" si="3486"/>
        <v>0</v>
      </c>
      <c r="G1588" s="1">
        <f t="shared" si="3487"/>
        <v>-6.770805812149252</v>
      </c>
      <c r="H1588" s="1">
        <f t="shared" si="3456"/>
        <v>14.725485032152696</v>
      </c>
      <c r="I1588" s="1">
        <f t="shared" si="3470"/>
        <v>-7.836624656678973</v>
      </c>
      <c r="J1588" s="1">
        <f t="shared" si="3471"/>
        <v>0</v>
      </c>
      <c r="K1588" s="1">
        <f t="shared" si="3472"/>
        <v>4.0576660788881851</v>
      </c>
      <c r="L1588" s="1">
        <f t="shared" ref="L1588:N1588" si="3586">E1588/$H1588</f>
        <v>0.88802152240284138</v>
      </c>
      <c r="M1588" s="1">
        <f t="shared" si="3586"/>
        <v>0</v>
      </c>
      <c r="N1588" s="1">
        <f t="shared" si="3586"/>
        <v>-0.45980188750084511</v>
      </c>
      <c r="O1588" s="1">
        <f t="shared" si="3458"/>
        <v>-0.45980188750084511</v>
      </c>
      <c r="P1588" s="1">
        <f t="shared" si="3474"/>
        <v>0.4083139721422005</v>
      </c>
      <c r="Q1588" s="1">
        <f t="shared" si="3475"/>
        <v>0</v>
      </c>
      <c r="R1588" s="1">
        <f t="shared" si="3476"/>
        <v>0.78858222425066016</v>
      </c>
      <c r="S1588" s="1">
        <f t="shared" si="3477"/>
        <v>0.71349559030148213</v>
      </c>
      <c r="T1588" s="1">
        <f t="shared" ref="T1588:V1588" si="3587">$S1588*P1588</f>
        <v>0.2913302185819423</v>
      </c>
      <c r="U1588" s="1">
        <f t="shared" si="3587"/>
        <v>0</v>
      </c>
      <c r="V1588" s="1">
        <f t="shared" si="3587"/>
        <v>0.56264993959298049</v>
      </c>
      <c r="W1588" s="1">
        <f t="shared" si="3479"/>
        <v>-7.5452944380970308</v>
      </c>
      <c r="X1588" s="1">
        <f t="shared" si="3480"/>
        <v>0</v>
      </c>
      <c r="Y1588" s="1">
        <f t="shared" si="3481"/>
        <v>-5.1863339815188336</v>
      </c>
    </row>
    <row r="1589" spans="1:25">
      <c r="A1589" s="1">
        <v>1.58699999999999</v>
      </c>
      <c r="B1589" s="1">
        <f t="shared" si="3482"/>
        <v>47.031496767384041</v>
      </c>
      <c r="C1589" s="1">
        <f t="shared" si="3483"/>
        <v>0</v>
      </c>
      <c r="D1589" s="1">
        <f t="shared" si="3484"/>
        <v>-3.9227438787637463</v>
      </c>
      <c r="E1589" s="1">
        <f t="shared" si="3485"/>
        <v>13.069002341934393</v>
      </c>
      <c r="F1589" s="1">
        <f t="shared" si="3486"/>
        <v>0</v>
      </c>
      <c r="G1589" s="1">
        <f t="shared" si="3487"/>
        <v>-6.7759921461307711</v>
      </c>
      <c r="H1589" s="1">
        <f t="shared" si="3456"/>
        <v>14.721171549095967</v>
      </c>
      <c r="I1589" s="1">
        <f t="shared" si="3470"/>
        <v>-7.8298086189184088</v>
      </c>
      <c r="J1589" s="1">
        <f t="shared" si="3471"/>
        <v>0</v>
      </c>
      <c r="K1589" s="1">
        <f t="shared" si="3472"/>
        <v>4.0595846813235266</v>
      </c>
      <c r="L1589" s="1">
        <f t="shared" ref="L1589:N1589" si="3588">E1589/$H1589</f>
        <v>0.88776917641021347</v>
      </c>
      <c r="M1589" s="1">
        <f t="shared" si="3588"/>
        <v>0</v>
      </c>
      <c r="N1589" s="1">
        <f t="shared" si="3588"/>
        <v>-0.46028891950157919</v>
      </c>
      <c r="O1589" s="1">
        <f t="shared" si="3458"/>
        <v>-0.46028891950157919</v>
      </c>
      <c r="P1589" s="1">
        <f t="shared" si="3474"/>
        <v>0.40863031497666402</v>
      </c>
      <c r="Q1589" s="1">
        <f t="shared" si="3475"/>
        <v>0</v>
      </c>
      <c r="R1589" s="1">
        <f t="shared" si="3476"/>
        <v>0.78813411058406879</v>
      </c>
      <c r="S1589" s="1">
        <f t="shared" si="3477"/>
        <v>0.71307764815961172</v>
      </c>
      <c r="T1589" s="1">
        <f t="shared" ref="T1589:V1589" si="3589">$S1589*P1589</f>
        <v>0.29138514397028092</v>
      </c>
      <c r="U1589" s="1">
        <f t="shared" si="3589"/>
        <v>0</v>
      </c>
      <c r="V1589" s="1">
        <f t="shared" si="3589"/>
        <v>0.56200081800965507</v>
      </c>
      <c r="W1589" s="1">
        <f t="shared" si="3479"/>
        <v>-7.5384234749481278</v>
      </c>
      <c r="X1589" s="1">
        <f t="shared" si="3480"/>
        <v>0</v>
      </c>
      <c r="Y1589" s="1">
        <f t="shared" si="3481"/>
        <v>-5.1850645006668179</v>
      </c>
    </row>
    <row r="1590" spans="1:25">
      <c r="A1590" s="1">
        <v>1.5879999999999901</v>
      </c>
      <c r="B1590" s="1">
        <f t="shared" si="3482"/>
        <v>47.044558231302503</v>
      </c>
      <c r="C1590" s="1">
        <f t="shared" si="3483"/>
        <v>0</v>
      </c>
      <c r="D1590" s="1">
        <f t="shared" si="3484"/>
        <v>-3.929525055974378</v>
      </c>
      <c r="E1590" s="1">
        <f t="shared" si="3485"/>
        <v>13.061463918459445</v>
      </c>
      <c r="F1590" s="1">
        <f t="shared" si="3486"/>
        <v>0</v>
      </c>
      <c r="G1590" s="1">
        <f t="shared" si="3487"/>
        <v>-6.7811772106314381</v>
      </c>
      <c r="H1590" s="1">
        <f t="shared" si="3456"/>
        <v>14.716868011068289</v>
      </c>
      <c r="I1590" s="1">
        <f t="shared" si="3470"/>
        <v>-7.8230046319999991</v>
      </c>
      <c r="J1590" s="1">
        <f t="shared" si="3471"/>
        <v>0</v>
      </c>
      <c r="K1590" s="1">
        <f t="shared" si="3472"/>
        <v>4.0615034471143368</v>
      </c>
      <c r="L1590" s="1">
        <f t="shared" ref="L1590:N1590" si="3590">E1590/$H1590</f>
        <v>0.88751654962429205</v>
      </c>
      <c r="M1590" s="1">
        <f t="shared" si="3590"/>
        <v>0</v>
      </c>
      <c r="N1590" s="1">
        <f t="shared" si="3590"/>
        <v>-0.46077583936551159</v>
      </c>
      <c r="O1590" s="1">
        <f t="shared" si="3458"/>
        <v>-0.46077583936551159</v>
      </c>
      <c r="P1590" s="1">
        <f t="shared" si="3474"/>
        <v>0.40894618310391589</v>
      </c>
      <c r="Q1590" s="1">
        <f t="shared" si="3475"/>
        <v>0</v>
      </c>
      <c r="R1590" s="1">
        <f t="shared" si="3476"/>
        <v>0.7876856258570083</v>
      </c>
      <c r="S1590" s="1">
        <f t="shared" si="3477"/>
        <v>0.71266079163290597</v>
      </c>
      <c r="T1590" s="1">
        <f t="shared" ref="T1590:V1590" si="3591">$S1590*P1590</f>
        <v>0.29143991058609203</v>
      </c>
      <c r="U1590" s="1">
        <f t="shared" si="3591"/>
        <v>0</v>
      </c>
      <c r="V1590" s="1">
        <f t="shared" si="3591"/>
        <v>0.56135266168111653</v>
      </c>
      <c r="W1590" s="1">
        <f t="shared" si="3479"/>
        <v>-7.5315647214139068</v>
      </c>
      <c r="X1590" s="1">
        <f t="shared" si="3480"/>
        <v>0</v>
      </c>
      <c r="Y1590" s="1">
        <f t="shared" si="3481"/>
        <v>-5.1837938912045463</v>
      </c>
    </row>
    <row r="1591" spans="1:25">
      <c r="A1591" s="1">
        <v>1.58899999999999</v>
      </c>
      <c r="B1591" s="1">
        <f t="shared" si="3482"/>
        <v>47.057612163656238</v>
      </c>
      <c r="C1591" s="1">
        <f t="shared" si="3483"/>
        <v>0</v>
      </c>
      <c r="D1591" s="1">
        <f t="shared" si="3484"/>
        <v>-3.9363114169789006</v>
      </c>
      <c r="E1591" s="1">
        <f t="shared" si="3485"/>
        <v>13.053932353738031</v>
      </c>
      <c r="F1591" s="1">
        <f t="shared" si="3486"/>
        <v>0</v>
      </c>
      <c r="G1591" s="1">
        <f t="shared" si="3487"/>
        <v>-6.786361004522643</v>
      </c>
      <c r="H1591" s="1">
        <f t="shared" si="3456"/>
        <v>14.712574403539106</v>
      </c>
      <c r="I1591" s="1">
        <f t="shared" si="3470"/>
        <v>-7.8162126681301416</v>
      </c>
      <c r="J1591" s="1">
        <f t="shared" si="3471"/>
        <v>0</v>
      </c>
      <c r="K1591" s="1">
        <f t="shared" si="3472"/>
        <v>4.0634223785344714</v>
      </c>
      <c r="L1591" s="1">
        <f t="shared" ref="L1591:N1591" si="3592">E1591/$H1591</f>
        <v>0.88726364235737765</v>
      </c>
      <c r="M1591" s="1">
        <f t="shared" si="3592"/>
        <v>0</v>
      </c>
      <c r="N1591" s="1">
        <f t="shared" si="3592"/>
        <v>-0.46126264638567849</v>
      </c>
      <c r="O1591" s="1">
        <f t="shared" si="3458"/>
        <v>-0.46126264638567849</v>
      </c>
      <c r="P1591" s="1">
        <f t="shared" si="3474"/>
        <v>0.40926157571556021</v>
      </c>
      <c r="Q1591" s="1">
        <f t="shared" si="3475"/>
        <v>0</v>
      </c>
      <c r="R1591" s="1">
        <f t="shared" si="3476"/>
        <v>0.78723677104928047</v>
      </c>
      <c r="S1591" s="1">
        <f t="shared" si="3477"/>
        <v>0.71224501846953991</v>
      </c>
      <c r="T1591" s="1">
        <f t="shared" ref="T1591:V1591" si="3593">$S1591*P1591</f>
        <v>0.29149451855440217</v>
      </c>
      <c r="U1591" s="1">
        <f t="shared" si="3593"/>
        <v>0</v>
      </c>
      <c r="V1591" s="1">
        <f t="shared" si="3593"/>
        <v>0.56070546853589576</v>
      </c>
      <c r="W1591" s="1">
        <f t="shared" si="3479"/>
        <v>-7.5247181495757394</v>
      </c>
      <c r="X1591" s="1">
        <f t="shared" si="3480"/>
        <v>0</v>
      </c>
      <c r="Y1591" s="1">
        <f t="shared" si="3481"/>
        <v>-5.1825221529296321</v>
      </c>
    </row>
    <row r="1592" spans="1:25">
      <c r="A1592" s="1">
        <v>1.5899999999999901</v>
      </c>
      <c r="B1592" s="1">
        <f t="shared" si="3482"/>
        <v>47.070658571291823</v>
      </c>
      <c r="C1592" s="1">
        <f t="shared" si="3483"/>
        <v>0</v>
      </c>
      <c r="D1592" s="1">
        <f t="shared" si="3484"/>
        <v>-3.9431029605055761</v>
      </c>
      <c r="E1592" s="1">
        <f t="shared" si="3485"/>
        <v>13.046407635588455</v>
      </c>
      <c r="F1592" s="1">
        <f t="shared" si="3486"/>
        <v>0</v>
      </c>
      <c r="G1592" s="1">
        <f t="shared" si="3487"/>
        <v>-6.7915435266755724</v>
      </c>
      <c r="H1592" s="1">
        <f t="shared" si="3456"/>
        <v>14.708290711998782</v>
      </c>
      <c r="I1592" s="1">
        <f t="shared" si="3470"/>
        <v>-7.8094326995860532</v>
      </c>
      <c r="J1592" s="1">
        <f t="shared" si="3471"/>
        <v>0</v>
      </c>
      <c r="K1592" s="1">
        <f t="shared" si="3472"/>
        <v>4.0653414778488894</v>
      </c>
      <c r="L1592" s="1">
        <f t="shared" ref="L1592:N1592" si="3594">E1592/$H1592</f>
        <v>0.88701045492291031</v>
      </c>
      <c r="M1592" s="1">
        <f t="shared" si="3594"/>
        <v>0</v>
      </c>
      <c r="N1592" s="1">
        <f t="shared" si="3594"/>
        <v>-0.46174933985599992</v>
      </c>
      <c r="O1592" s="1">
        <f t="shared" si="3458"/>
        <v>-0.46174933985599992</v>
      </c>
      <c r="P1592" s="1">
        <f t="shared" si="3474"/>
        <v>0.40957649200602403</v>
      </c>
      <c r="Q1592" s="1">
        <f t="shared" si="3475"/>
        <v>0</v>
      </c>
      <c r="R1592" s="1">
        <f t="shared" si="3476"/>
        <v>0.78678754714254828</v>
      </c>
      <c r="S1592" s="1">
        <f t="shared" si="3477"/>
        <v>0.71183032642330513</v>
      </c>
      <c r="T1592" s="1">
        <f t="shared" ref="T1592:V1592" si="3595">$S1592*P1592</f>
        <v>0.29154896799996033</v>
      </c>
      <c r="U1592" s="1">
        <f t="shared" si="3595"/>
        <v>0</v>
      </c>
      <c r="V1592" s="1">
        <f t="shared" si="3595"/>
        <v>0.56005923650827172</v>
      </c>
      <c r="W1592" s="1">
        <f t="shared" si="3479"/>
        <v>-7.5178837315860925</v>
      </c>
      <c r="X1592" s="1">
        <f t="shared" si="3480"/>
        <v>0</v>
      </c>
      <c r="Y1592" s="1">
        <f t="shared" si="3481"/>
        <v>-5.1812492856428385</v>
      </c>
    </row>
    <row r="1593" spans="1:25">
      <c r="A1593" s="1">
        <v>1.59099999999999</v>
      </c>
      <c r="B1593" s="1">
        <f t="shared" si="3482"/>
        <v>47.083697461043677</v>
      </c>
      <c r="C1593" s="1">
        <f t="shared" si="3483"/>
        <v>0</v>
      </c>
      <c r="D1593" s="1">
        <f t="shared" si="3484"/>
        <v>-3.9498996852815371</v>
      </c>
      <c r="E1593" s="1">
        <f t="shared" si="3485"/>
        <v>13.038889751856869</v>
      </c>
      <c r="F1593" s="1">
        <f t="shared" si="3486"/>
        <v>0</v>
      </c>
      <c r="G1593" s="1">
        <f t="shared" si="3487"/>
        <v>-6.7967247759612155</v>
      </c>
      <c r="H1593" s="1">
        <f t="shared" si="3456"/>
        <v>14.704016921958541</v>
      </c>
      <c r="I1593" s="1">
        <f t="shared" si="3470"/>
        <v>-7.8026646987155477</v>
      </c>
      <c r="J1593" s="1">
        <f t="shared" si="3471"/>
        <v>0</v>
      </c>
      <c r="K1593" s="1">
        <f t="shared" si="3472"/>
        <v>4.0672607473136697</v>
      </c>
      <c r="L1593" s="1">
        <f t="shared" ref="L1593:N1593" si="3596">E1593/$H1593</f>
        <v>0.88675698763546573</v>
      </c>
      <c r="M1593" s="1">
        <f t="shared" si="3596"/>
        <v>0</v>
      </c>
      <c r="N1593" s="1">
        <f t="shared" si="3596"/>
        <v>-0.46223591907128381</v>
      </c>
      <c r="O1593" s="1">
        <f t="shared" si="3458"/>
        <v>-0.46223591907128381</v>
      </c>
      <c r="P1593" s="1">
        <f t="shared" si="3474"/>
        <v>0.40989093117256253</v>
      </c>
      <c r="Q1593" s="1">
        <f t="shared" si="3475"/>
        <v>0</v>
      </c>
      <c r="R1593" s="1">
        <f t="shared" si="3476"/>
        <v>0.78633795512032556</v>
      </c>
      <c r="S1593" s="1">
        <f t="shared" si="3477"/>
        <v>0.71141671325359102</v>
      </c>
      <c r="T1593" s="1">
        <f t="shared" ref="T1593:V1593" si="3597">$S1593*P1593</f>
        <v>0.29160325904723833</v>
      </c>
      <c r="U1593" s="1">
        <f t="shared" si="3597"/>
        <v>0</v>
      </c>
      <c r="V1593" s="1">
        <f t="shared" si="3597"/>
        <v>0.55941396353825179</v>
      </c>
      <c r="W1593" s="1">
        <f t="shared" si="3479"/>
        <v>-7.5110614396683095</v>
      </c>
      <c r="X1593" s="1">
        <f t="shared" si="3480"/>
        <v>0</v>
      </c>
      <c r="Y1593" s="1">
        <f t="shared" si="3481"/>
        <v>-5.1799752891480777</v>
      </c>
    </row>
    <row r="1594" spans="1:25">
      <c r="A1594" s="1">
        <v>1.5919999999999901</v>
      </c>
      <c r="B1594" s="1">
        <f t="shared" si="3482"/>
        <v>47.096728839734091</v>
      </c>
      <c r="C1594" s="1">
        <f t="shared" si="3483"/>
        <v>0</v>
      </c>
      <c r="D1594" s="1">
        <f t="shared" si="3484"/>
        <v>-3.9567015900327873</v>
      </c>
      <c r="E1594" s="1">
        <f t="shared" si="3485"/>
        <v>13.031378690417201</v>
      </c>
      <c r="F1594" s="1">
        <f t="shared" si="3486"/>
        <v>0</v>
      </c>
      <c r="G1594" s="1">
        <f t="shared" si="3487"/>
        <v>-6.8019047512503636</v>
      </c>
      <c r="H1594" s="1">
        <f t="shared" si="3456"/>
        <v>14.699753018950414</v>
      </c>
      <c r="I1594" s="1">
        <f t="shared" si="3470"/>
        <v>-7.7959086379368188</v>
      </c>
      <c r="J1594" s="1">
        <f t="shared" si="3471"/>
        <v>0</v>
      </c>
      <c r="K1594" s="1">
        <f t="shared" si="3472"/>
        <v>4.0691801891760182</v>
      </c>
      <c r="L1594" s="1">
        <f t="shared" ref="L1594:N1594" si="3598">E1594/$H1594</f>
        <v>0.8865032408107536</v>
      </c>
      <c r="M1594" s="1">
        <f t="shared" si="3598"/>
        <v>0</v>
      </c>
      <c r="N1594" s="1">
        <f t="shared" si="3598"/>
        <v>-0.46272238332722887</v>
      </c>
      <c r="O1594" s="1">
        <f t="shared" si="3458"/>
        <v>-0.46272238332722887</v>
      </c>
      <c r="P1594" s="1">
        <f t="shared" si="3474"/>
        <v>0.4102048924152642</v>
      </c>
      <c r="Q1594" s="1">
        <f t="shared" si="3475"/>
        <v>0</v>
      </c>
      <c r="R1594" s="1">
        <f t="shared" si="3476"/>
        <v>0.7858879959679691</v>
      </c>
      <c r="S1594" s="1">
        <f t="shared" si="3477"/>
        <v>0.71100417672536675</v>
      </c>
      <c r="T1594" s="1">
        <f t="shared" ref="T1594:V1594" si="3599">$S1594*P1594</f>
        <v>0.29165739182043254</v>
      </c>
      <c r="U1594" s="1">
        <f t="shared" si="3599"/>
        <v>0</v>
      </c>
      <c r="V1594" s="1">
        <f t="shared" si="3599"/>
        <v>0.55876964757155423</v>
      </c>
      <c r="W1594" s="1">
        <f t="shared" si="3479"/>
        <v>-7.5042512461163859</v>
      </c>
      <c r="X1594" s="1">
        <f t="shared" si="3480"/>
        <v>0</v>
      </c>
      <c r="Y1594" s="1">
        <f t="shared" si="3481"/>
        <v>-5.1787001632524268</v>
      </c>
    </row>
    <row r="1595" spans="1:25">
      <c r="A1595" s="1">
        <v>1.59299999999999</v>
      </c>
      <c r="B1595" s="1">
        <f t="shared" si="3482"/>
        <v>47.109752714173261</v>
      </c>
      <c r="C1595" s="1">
        <f t="shared" si="3483"/>
        <v>0</v>
      </c>
      <c r="D1595" s="1">
        <f t="shared" si="3484"/>
        <v>-3.9635086734842009</v>
      </c>
      <c r="E1595" s="1">
        <f t="shared" si="3485"/>
        <v>13.023874439171085</v>
      </c>
      <c r="F1595" s="1">
        <f t="shared" si="3486"/>
        <v>0</v>
      </c>
      <c r="G1595" s="1">
        <f t="shared" si="3487"/>
        <v>-6.8070834514136163</v>
      </c>
      <c r="H1595" s="1">
        <f t="shared" si="3456"/>
        <v>14.695498988527168</v>
      </c>
      <c r="I1595" s="1">
        <f t="shared" si="3470"/>
        <v>-7.7891644897382193</v>
      </c>
      <c r="J1595" s="1">
        <f t="shared" si="3471"/>
        <v>0</v>
      </c>
      <c r="K1595" s="1">
        <f t="shared" si="3472"/>
        <v>4.0710998056742795</v>
      </c>
      <c r="L1595" s="1">
        <f t="shared" ref="L1595:N1595" si="3600">E1595/$H1595</f>
        <v>0.88624921476561447</v>
      </c>
      <c r="M1595" s="1">
        <f t="shared" si="3600"/>
        <v>0</v>
      </c>
      <c r="N1595" s="1">
        <f t="shared" si="3600"/>
        <v>-0.463208731920429</v>
      </c>
      <c r="O1595" s="1">
        <f t="shared" si="3458"/>
        <v>-0.463208731920429</v>
      </c>
      <c r="P1595" s="1">
        <f t="shared" si="3474"/>
        <v>0.41051837493705623</v>
      </c>
      <c r="Q1595" s="1">
        <f t="shared" si="3475"/>
        <v>0</v>
      </c>
      <c r="R1595" s="1">
        <f t="shared" si="3476"/>
        <v>0.78543767067266812</v>
      </c>
      <c r="S1595" s="1">
        <f t="shared" si="3477"/>
        <v>0.71059271460916262</v>
      </c>
      <c r="T1595" s="1">
        <f t="shared" ref="T1595:V1595" si="3601">$S1595*P1595</f>
        <v>0.29171136644346479</v>
      </c>
      <c r="U1595" s="1">
        <f t="shared" si="3601"/>
        <v>0</v>
      </c>
      <c r="V1595" s="1">
        <f t="shared" si="3601"/>
        <v>0.55812628655958874</v>
      </c>
      <c r="W1595" s="1">
        <f t="shared" si="3479"/>
        <v>-7.4974531232947541</v>
      </c>
      <c r="X1595" s="1">
        <f t="shared" si="3480"/>
        <v>0</v>
      </c>
      <c r="Y1595" s="1">
        <f t="shared" si="3481"/>
        <v>-5.1774239077661308</v>
      </c>
    </row>
    <row r="1596" spans="1:25">
      <c r="A1596" s="1">
        <v>1.5939999999999901</v>
      </c>
      <c r="B1596" s="1">
        <f t="shared" si="3482"/>
        <v>47.122769091159306</v>
      </c>
      <c r="C1596" s="1">
        <f t="shared" si="3483"/>
        <v>0</v>
      </c>
      <c r="D1596" s="1">
        <f t="shared" si="3484"/>
        <v>-3.9703209343595223</v>
      </c>
      <c r="E1596" s="1">
        <f t="shared" si="3485"/>
        <v>13.01637698604779</v>
      </c>
      <c r="F1596" s="1">
        <f t="shared" si="3486"/>
        <v>0</v>
      </c>
      <c r="G1596" s="1">
        <f t="shared" si="3487"/>
        <v>-6.8122608753213827</v>
      </c>
      <c r="H1596" s="1">
        <f t="shared" si="3456"/>
        <v>14.691254816262258</v>
      </c>
      <c r="I1596" s="1">
        <f t="shared" si="3470"/>
        <v>-7.7824322266780452</v>
      </c>
      <c r="J1596" s="1">
        <f t="shared" si="3471"/>
        <v>0</v>
      </c>
      <c r="K1596" s="1">
        <f t="shared" si="3472"/>
        <v>4.0730195990379459</v>
      </c>
      <c r="L1596" s="1">
        <f t="shared" ref="L1596:N1596" si="3602">E1596/$H1596</f>
        <v>0.88599490981801721</v>
      </c>
      <c r="M1596" s="1">
        <f t="shared" si="3602"/>
        <v>0</v>
      </c>
      <c r="N1596" s="1">
        <f t="shared" si="3602"/>
        <v>-0.46369496414837591</v>
      </c>
      <c r="O1596" s="1">
        <f t="shared" si="3458"/>
        <v>-0.46369496414837591</v>
      </c>
      <c r="P1596" s="1">
        <f t="shared" si="3474"/>
        <v>0.41083137794370905</v>
      </c>
      <c r="Q1596" s="1">
        <f t="shared" si="3475"/>
        <v>0</v>
      </c>
      <c r="R1596" s="1">
        <f t="shared" si="3476"/>
        <v>0.78498698022343638</v>
      </c>
      <c r="S1596" s="1">
        <f t="shared" si="3477"/>
        <v>0.71018232468105358</v>
      </c>
      <c r="T1596" s="1">
        <f t="shared" ref="T1596:V1596" si="3603">$S1596*P1596</f>
        <v>0.29176518303998383</v>
      </c>
      <c r="U1596" s="1">
        <f t="shared" si="3603"/>
        <v>0</v>
      </c>
      <c r="V1596" s="1">
        <f t="shared" si="3603"/>
        <v>0.55748387845944025</v>
      </c>
      <c r="W1596" s="1">
        <f t="shared" si="3479"/>
        <v>-7.4906670436380614</v>
      </c>
      <c r="X1596" s="1">
        <f t="shared" si="3480"/>
        <v>0</v>
      </c>
      <c r="Y1596" s="1">
        <f t="shared" si="3481"/>
        <v>-5.1761465225026129</v>
      </c>
    </row>
    <row r="1597" spans="1:25">
      <c r="A1597" s="1">
        <v>1.59499999999999</v>
      </c>
      <c r="B1597" s="1">
        <f t="shared" si="3482"/>
        <v>47.135777977478313</v>
      </c>
      <c r="C1597" s="1">
        <f t="shared" si="3483"/>
        <v>0</v>
      </c>
      <c r="D1597" s="1">
        <f t="shared" si="3484"/>
        <v>-3.9771383713813662</v>
      </c>
      <c r="E1597" s="1">
        <f t="shared" si="3485"/>
        <v>13.008886319004151</v>
      </c>
      <c r="F1597" s="1">
        <f t="shared" si="3486"/>
        <v>0</v>
      </c>
      <c r="G1597" s="1">
        <f t="shared" si="3487"/>
        <v>-6.8174370218438849</v>
      </c>
      <c r="H1597" s="1">
        <f t="shared" si="3456"/>
        <v>14.687020487749754</v>
      </c>
      <c r="I1597" s="1">
        <f t="shared" si="3470"/>
        <v>-7.7757118213843137</v>
      </c>
      <c r="J1597" s="1">
        <f t="shared" si="3471"/>
        <v>0</v>
      </c>
      <c r="K1597" s="1">
        <f t="shared" si="3472"/>
        <v>4.0749395714876684</v>
      </c>
      <c r="L1597" s="1">
        <f t="shared" ref="L1597:N1597" si="3604">E1597/$H1597</f>
        <v>0.88574032628705657</v>
      </c>
      <c r="M1597" s="1">
        <f t="shared" si="3604"/>
        <v>0</v>
      </c>
      <c r="N1597" s="1">
        <f t="shared" si="3604"/>
        <v>-0.46418107930946356</v>
      </c>
      <c r="O1597" s="1">
        <f t="shared" si="3458"/>
        <v>-0.46418107930946356</v>
      </c>
      <c r="P1597" s="1">
        <f t="shared" si="3474"/>
        <v>0.41114390064384232</v>
      </c>
      <c r="Q1597" s="1">
        <f t="shared" si="3475"/>
        <v>0</v>
      </c>
      <c r="R1597" s="1">
        <f t="shared" si="3476"/>
        <v>0.78453592561110153</v>
      </c>
      <c r="S1597" s="1">
        <f t="shared" si="3477"/>
        <v>0.70977300472263849</v>
      </c>
      <c r="T1597" s="1">
        <f t="shared" ref="T1597:V1597" si="3605">$S1597*P1597</f>
        <v>0.29181884173336592</v>
      </c>
      <c r="U1597" s="1">
        <f t="shared" si="3605"/>
        <v>0</v>
      </c>
      <c r="V1597" s="1">
        <f t="shared" si="3605"/>
        <v>0.55684242123384797</v>
      </c>
      <c r="W1597" s="1">
        <f t="shared" si="3479"/>
        <v>-7.4838929796509479</v>
      </c>
      <c r="X1597" s="1">
        <f t="shared" si="3480"/>
        <v>0</v>
      </c>
      <c r="Y1597" s="1">
        <f t="shared" si="3481"/>
        <v>-5.1748680072784827</v>
      </c>
    </row>
    <row r="1598" spans="1:25">
      <c r="A1598" s="1">
        <v>1.5959999999999901</v>
      </c>
      <c r="B1598" s="1">
        <f t="shared" si="3482"/>
        <v>47.14877937990434</v>
      </c>
      <c r="C1598" s="1">
        <f t="shared" si="3483"/>
        <v>0</v>
      </c>
      <c r="D1598" s="1">
        <f t="shared" si="3484"/>
        <v>-3.9839609832712175</v>
      </c>
      <c r="E1598" s="1">
        <f t="shared" si="3485"/>
        <v>13.0014024260245</v>
      </c>
      <c r="F1598" s="1">
        <f t="shared" si="3486"/>
        <v>0</v>
      </c>
      <c r="G1598" s="1">
        <f t="shared" si="3487"/>
        <v>-6.8226118898511636</v>
      </c>
      <c r="H1598" s="1">
        <f t="shared" si="3456"/>
        <v>14.68279598860429</v>
      </c>
      <c r="I1598" s="1">
        <f t="shared" si="3470"/>
        <v>-7.7690032465545498</v>
      </c>
      <c r="J1598" s="1">
        <f t="shared" si="3471"/>
        <v>0</v>
      </c>
      <c r="K1598" s="1">
        <f t="shared" si="3472"/>
        <v>4.0768597252352663</v>
      </c>
      <c r="L1598" s="1">
        <f t="shared" ref="L1598:N1598" si="3606">E1598/$H1598</f>
        <v>0.8854854644929504</v>
      </c>
      <c r="M1598" s="1">
        <f t="shared" si="3606"/>
        <v>0</v>
      </c>
      <c r="N1598" s="1">
        <f t="shared" si="3606"/>
        <v>-0.46466707670299134</v>
      </c>
      <c r="O1598" s="1">
        <f t="shared" si="3458"/>
        <v>-0.46466707670299134</v>
      </c>
      <c r="P1598" s="1">
        <f t="shared" si="3474"/>
        <v>0.41145594224892973</v>
      </c>
      <c r="Q1598" s="1">
        <f t="shared" si="3475"/>
        <v>0</v>
      </c>
      <c r="R1598" s="1">
        <f t="shared" si="3476"/>
        <v>0.78408450782829631</v>
      </c>
      <c r="S1598" s="1">
        <f t="shared" si="3477"/>
        <v>0.70936475252102449</v>
      </c>
      <c r="T1598" s="1">
        <f t="shared" ref="T1598:V1598" si="3607">$S1598*P1598</f>
        <v>0.29187234264671696</v>
      </c>
      <c r="U1598" s="1">
        <f t="shared" si="3607"/>
        <v>0</v>
      </c>
      <c r="V1598" s="1">
        <f t="shared" si="3607"/>
        <v>0.5562019128511887</v>
      </c>
      <c r="W1598" s="1">
        <f t="shared" si="3479"/>
        <v>-7.4771309039078329</v>
      </c>
      <c r="X1598" s="1">
        <f t="shared" si="3480"/>
        <v>0</v>
      </c>
      <c r="Y1598" s="1">
        <f t="shared" si="3481"/>
        <v>-5.1735883619135441</v>
      </c>
    </row>
    <row r="1599" spans="1:25">
      <c r="A1599" s="1">
        <v>1.59699999999999</v>
      </c>
      <c r="B1599" s="1">
        <f t="shared" si="3482"/>
        <v>47.161773305199461</v>
      </c>
      <c r="C1599" s="1">
        <f t="shared" si="3483"/>
        <v>0</v>
      </c>
      <c r="D1599" s="1">
        <f t="shared" si="3484"/>
        <v>-3.9907887687494306</v>
      </c>
      <c r="E1599" s="1">
        <f t="shared" si="3485"/>
        <v>12.993925295120592</v>
      </c>
      <c r="F1599" s="1">
        <f t="shared" si="3486"/>
        <v>0</v>
      </c>
      <c r="G1599" s="1">
        <f t="shared" si="3487"/>
        <v>-6.8277854782130776</v>
      </c>
      <c r="H1599" s="1">
        <f t="shared" si="3456"/>
        <v>14.678581304461005</v>
      </c>
      <c r="I1599" s="1">
        <f t="shared" si="3470"/>
        <v>-7.7623064749555724</v>
      </c>
      <c r="J1599" s="1">
        <f t="shared" si="3471"/>
        <v>0</v>
      </c>
      <c r="K1599" s="1">
        <f t="shared" si="3472"/>
        <v>4.0787800624837391</v>
      </c>
      <c r="L1599" s="1">
        <f t="shared" ref="L1599:N1599" si="3608">E1599/$H1599</f>
        <v>0.88523032475703733</v>
      </c>
      <c r="M1599" s="1">
        <f t="shared" si="3608"/>
        <v>0</v>
      </c>
      <c r="N1599" s="1">
        <f t="shared" si="3608"/>
        <v>-0.46515295562916747</v>
      </c>
      <c r="O1599" s="1">
        <f t="shared" si="3458"/>
        <v>-0.46515295562916747</v>
      </c>
      <c r="P1599" s="1">
        <f t="shared" si="3474"/>
        <v>0.4117675019733037</v>
      </c>
      <c r="Q1599" s="1">
        <f t="shared" si="3475"/>
        <v>0</v>
      </c>
      <c r="R1599" s="1">
        <f t="shared" si="3476"/>
        <v>0.78363272786944971</v>
      </c>
      <c r="S1599" s="1">
        <f t="shared" si="3477"/>
        <v>0.7089575658688082</v>
      </c>
      <c r="T1599" s="1">
        <f t="shared" ref="T1599:V1599" si="3609">$S1599*P1599</f>
        <v>0.29192568590287304</v>
      </c>
      <c r="U1599" s="1">
        <f t="shared" si="3609"/>
        <v>0</v>
      </c>
      <c r="V1599" s="1">
        <f t="shared" si="3609"/>
        <v>0.55556235128545928</v>
      </c>
      <c r="W1599" s="1">
        <f t="shared" si="3479"/>
        <v>-7.4703807890526992</v>
      </c>
      <c r="X1599" s="1">
        <f t="shared" si="3480"/>
        <v>0</v>
      </c>
      <c r="Y1599" s="1">
        <f t="shared" si="3481"/>
        <v>-5.1723075862308008</v>
      </c>
    </row>
    <row r="1600" spans="1:25">
      <c r="A1600" s="1">
        <v>1.5979999999999901</v>
      </c>
      <c r="B1600" s="1">
        <f t="shared" si="3482"/>
        <v>47.174759760113794</v>
      </c>
      <c r="C1600" s="1">
        <f t="shared" si="3483"/>
        <v>0</v>
      </c>
      <c r="D1600" s="1">
        <f t="shared" si="3484"/>
        <v>-3.9976217265352298</v>
      </c>
      <c r="E1600" s="1">
        <f t="shared" si="3485"/>
        <v>12.986454914331539</v>
      </c>
      <c r="F1600" s="1">
        <f t="shared" si="3486"/>
        <v>0</v>
      </c>
      <c r="G1600" s="1">
        <f t="shared" si="3487"/>
        <v>-6.8329577857993087</v>
      </c>
      <c r="H1600" s="1">
        <f t="shared" si="3456"/>
        <v>14.674376420975481</v>
      </c>
      <c r="I1600" s="1">
        <f t="shared" si="3470"/>
        <v>-7.7556214794232723</v>
      </c>
      <c r="J1600" s="1">
        <f t="shared" si="3471"/>
        <v>0</v>
      </c>
      <c r="K1600" s="1">
        <f t="shared" si="3472"/>
        <v>4.0807005854272731</v>
      </c>
      <c r="L1600" s="1">
        <f t="shared" ref="L1600:N1600" si="3610">E1600/$H1600</f>
        <v>0.88497490740177309</v>
      </c>
      <c r="M1600" s="1">
        <f t="shared" si="3610"/>
        <v>0</v>
      </c>
      <c r="N1600" s="1">
        <f t="shared" si="3610"/>
        <v>-0.46563871538911272</v>
      </c>
      <c r="O1600" s="1">
        <f t="shared" si="3458"/>
        <v>-0.46563871538911272</v>
      </c>
      <c r="P1600" s="1">
        <f t="shared" si="3474"/>
        <v>0.41207857903416062</v>
      </c>
      <c r="Q1600" s="1">
        <f t="shared" si="3475"/>
        <v>0</v>
      </c>
      <c r="R1600" s="1">
        <f t="shared" si="3476"/>
        <v>0.78318058673077684</v>
      </c>
      <c r="S1600" s="1">
        <f t="shared" si="3477"/>
        <v>0.70855144256405778</v>
      </c>
      <c r="T1600" s="1">
        <f t="shared" ref="T1600:V1600" si="3611">$S1600*P1600</f>
        <v>0.29197887162440161</v>
      </c>
      <c r="U1600" s="1">
        <f t="shared" si="3611"/>
        <v>0</v>
      </c>
      <c r="V1600" s="1">
        <f t="shared" si="3611"/>
        <v>0.55492373451625709</v>
      </c>
      <c r="W1600" s="1">
        <f t="shared" si="3479"/>
        <v>-7.4636426077988709</v>
      </c>
      <c r="X1600" s="1">
        <f t="shared" si="3480"/>
        <v>0</v>
      </c>
      <c r="Y1600" s="1">
        <f t="shared" si="3481"/>
        <v>-5.1710256800564691</v>
      </c>
    </row>
    <row r="1601" spans="1:25">
      <c r="A1601" s="1">
        <v>1.59899999999999</v>
      </c>
      <c r="B1601" s="1">
        <f t="shared" si="3482"/>
        <v>47.187738751385517</v>
      </c>
      <c r="C1601" s="1">
        <f t="shared" si="3483"/>
        <v>0</v>
      </c>
      <c r="D1601" s="1">
        <f t="shared" si="3484"/>
        <v>-4.0044598553467088</v>
      </c>
      <c r="E1601" s="1">
        <f t="shared" si="3485"/>
        <v>12.978991271723739</v>
      </c>
      <c r="F1601" s="1">
        <f t="shared" si="3486"/>
        <v>0</v>
      </c>
      <c r="G1601" s="1">
        <f t="shared" si="3487"/>
        <v>-6.8381288114793648</v>
      </c>
      <c r="H1601" s="1">
        <f t="shared" si="3456"/>
        <v>14.670181323823684</v>
      </c>
      <c r="I1601" s="1">
        <f t="shared" si="3470"/>
        <v>-7.7489482328624044</v>
      </c>
      <c r="J1601" s="1">
        <f t="shared" si="3471"/>
        <v>0</v>
      </c>
      <c r="K1601" s="1">
        <f t="shared" si="3472"/>
        <v>4.0826212962512569</v>
      </c>
      <c r="L1601" s="1">
        <f t="shared" ref="L1601:N1601" si="3612">E1601/$H1601</f>
        <v>0.88471921275072918</v>
      </c>
      <c r="M1601" s="1">
        <f t="shared" si="3612"/>
        <v>0</v>
      </c>
      <c r="N1601" s="1">
        <f t="shared" si="3612"/>
        <v>-0.46612435528486384</v>
      </c>
      <c r="O1601" s="1">
        <f t="shared" si="3458"/>
        <v>-0.46612435528486384</v>
      </c>
      <c r="P1601" s="1">
        <f t="shared" si="3474"/>
        <v>0.41238917265156594</v>
      </c>
      <c r="Q1601" s="1">
        <f t="shared" si="3475"/>
        <v>0</v>
      </c>
      <c r="R1601" s="1">
        <f t="shared" si="3476"/>
        <v>0.78272808541027006</v>
      </c>
      <c r="S1601" s="1">
        <f t="shared" si="3477"/>
        <v>0.70814638041029576</v>
      </c>
      <c r="T1601" s="1">
        <f t="shared" ref="T1601:V1601" si="3613">$S1601*P1601</f>
        <v>0.29203189993360296</v>
      </c>
      <c r="U1601" s="1">
        <f t="shared" si="3613"/>
        <v>0</v>
      </c>
      <c r="V1601" s="1">
        <f t="shared" si="3613"/>
        <v>0.55428606052876361</v>
      </c>
      <c r="W1601" s="1">
        <f t="shared" si="3479"/>
        <v>-7.4569163329288015</v>
      </c>
      <c r="X1601" s="1">
        <f t="shared" si="3480"/>
        <v>0</v>
      </c>
      <c r="Y1601" s="1">
        <f t="shared" si="3481"/>
        <v>-5.1697426432199789</v>
      </c>
    </row>
    <row r="1602" spans="1:25">
      <c r="A1602" s="1">
        <v>1.5999999999999901</v>
      </c>
      <c r="B1602" s="1">
        <f t="shared" si="3482"/>
        <v>47.200710285740911</v>
      </c>
      <c r="C1602" s="1">
        <f t="shared" si="3483"/>
        <v>0</v>
      </c>
      <c r="D1602" s="1">
        <f t="shared" si="3484"/>
        <v>-4.0113031539008315</v>
      </c>
      <c r="E1602" s="1">
        <f t="shared" si="3485"/>
        <v>12.97153435539081</v>
      </c>
      <c r="F1602" s="1">
        <f t="shared" si="3486"/>
        <v>0</v>
      </c>
      <c r="G1602" s="1">
        <f t="shared" si="3487"/>
        <v>-6.843298554122585</v>
      </c>
      <c r="H1602" s="1">
        <f t="shared" si="3456"/>
        <v>14.665995998701906</v>
      </c>
      <c r="I1602" s="1">
        <f t="shared" ref="I1602:I1665" si="3614">-K_drag*$H1602*E1602</f>
        <v>-7.7422867082463718</v>
      </c>
      <c r="J1602" s="1">
        <f t="shared" ref="J1602:J1665" si="3615">-K_drag*$H1602*F1602</f>
        <v>0</v>
      </c>
      <c r="K1602" s="1">
        <f t="shared" ref="K1602:K1665" si="3616">-K_drag*$H1602*G1602</f>
        <v>4.0845421971322855</v>
      </c>
      <c r="L1602" s="1">
        <f t="shared" ref="L1602:N1602" si="3617">E1602/$H1602</f>
        <v>0.88446324112858932</v>
      </c>
      <c r="M1602" s="1">
        <f t="shared" si="3617"/>
        <v>0</v>
      </c>
      <c r="N1602" s="1">
        <f t="shared" si="3617"/>
        <v>-0.46660987461937725</v>
      </c>
      <c r="O1602" s="1">
        <f t="shared" si="3458"/>
        <v>-0.46660987461937725</v>
      </c>
      <c r="P1602" s="1">
        <f t="shared" ref="P1602:P1665" si="3618">u_axis_f-$O1602*L1602</f>
        <v>0.41269928204845907</v>
      </c>
      <c r="Q1602" s="1">
        <f t="shared" ref="Q1602:Q1665" si="3619">u_axis_r-$O1602*M1602</f>
        <v>0</v>
      </c>
      <c r="R1602" s="1">
        <f t="shared" ref="R1602:R1665" si="3620">u_axis_u-$O1602*N1602</f>
        <v>0.78227522490768908</v>
      </c>
      <c r="S1602" s="1">
        <f t="shared" ref="S1602:S1665" si="3621">K_lift*H1602^2</f>
        <v>0.70774237721648003</v>
      </c>
      <c r="T1602" s="1">
        <f t="shared" ref="T1602:V1602" si="3622">$S1602*P1602</f>
        <v>0.29208477095251101</v>
      </c>
      <c r="U1602" s="1">
        <f t="shared" si="3622"/>
        <v>0</v>
      </c>
      <c r="V1602" s="1">
        <f t="shared" si="3622"/>
        <v>0.5536493273137244</v>
      </c>
      <c r="W1602" s="1">
        <f t="shared" ref="W1602:W1665" si="3623">I1602+T1602+g_f</f>
        <v>-7.450201937293861</v>
      </c>
      <c r="X1602" s="1">
        <f t="shared" ref="X1602:X1665" si="3624">J1602+U1602+g_r</f>
        <v>0</v>
      </c>
      <c r="Y1602" s="1">
        <f t="shared" ref="Y1602:Y1665" si="3625">K1602+V1602+g_u</f>
        <v>-5.1684584755539893</v>
      </c>
    </row>
    <row r="1603" spans="1:25">
      <c r="A1603" s="1">
        <v>1.60099999999999</v>
      </c>
      <c r="B1603" s="1">
        <f t="shared" ref="B1603:B1666" si="3626">B1602+E1603*dt</f>
        <v>47.213674369894363</v>
      </c>
      <c r="C1603" s="1">
        <f t="shared" ref="C1603:C1666" si="3627">C1602+F1603*dt</f>
        <v>0</v>
      </c>
      <c r="D1603" s="1">
        <f t="shared" ref="D1603:D1666" si="3628">D1602+G1603*dt</f>
        <v>-4.0181516209134296</v>
      </c>
      <c r="E1603" s="1">
        <f t="shared" ref="E1603:E1666" si="3629">E1602+W1602*dt</f>
        <v>12.964084153453516</v>
      </c>
      <c r="F1603" s="1">
        <f t="shared" ref="F1603:F1666" si="3630">F1602+X1602*dt</f>
        <v>0</v>
      </c>
      <c r="G1603" s="1">
        <f t="shared" ref="G1603:G1666" si="3631">G1602+Y1602*dt</f>
        <v>-6.8484670125981388</v>
      </c>
      <c r="H1603" s="1">
        <f t="shared" si="3456"/>
        <v>14.661820431326714</v>
      </c>
      <c r="I1603" s="1">
        <f t="shared" si="3614"/>
        <v>-7.735636878617016</v>
      </c>
      <c r="J1603" s="1">
        <f t="shared" si="3615"/>
        <v>0</v>
      </c>
      <c r="K1603" s="1">
        <f t="shared" si="3616"/>
        <v>4.0864632902381768</v>
      </c>
      <c r="L1603" s="1">
        <f t="shared" ref="L1603:N1603" si="3632">E1603/$H1603</f>
        <v>0.88420699286114679</v>
      </c>
      <c r="M1603" s="1">
        <f t="shared" si="3632"/>
        <v>0</v>
      </c>
      <c r="N1603" s="1">
        <f t="shared" si="3632"/>
        <v>-0.46709527269653223</v>
      </c>
      <c r="O1603" s="1">
        <f t="shared" si="3458"/>
        <v>-0.46709527269653223</v>
      </c>
      <c r="P1603" s="1">
        <f t="shared" si="3618"/>
        <v>0.41300890645065808</v>
      </c>
      <c r="Q1603" s="1">
        <f t="shared" si="3619"/>
        <v>0</v>
      </c>
      <c r="R1603" s="1">
        <f t="shared" si="3620"/>
        <v>0.78182200622455222</v>
      </c>
      <c r="S1603" s="1">
        <f t="shared" si="3621"/>
        <v>0.70733943079698847</v>
      </c>
      <c r="T1603" s="1">
        <f t="shared" ref="T1603:V1603" si="3633">$S1603*P1603</f>
        <v>0.29213748480289514</v>
      </c>
      <c r="U1603" s="1">
        <f t="shared" si="3633"/>
        <v>0</v>
      </c>
      <c r="V1603" s="1">
        <f t="shared" si="3633"/>
        <v>0.55301353286743438</v>
      </c>
      <c r="W1603" s="1">
        <f t="shared" si="3623"/>
        <v>-7.443499393814121</v>
      </c>
      <c r="X1603" s="1">
        <f t="shared" si="3624"/>
        <v>0</v>
      </c>
      <c r="Y1603" s="1">
        <f t="shared" si="3625"/>
        <v>-5.167173176894388</v>
      </c>
    </row>
    <row r="1604" spans="1:25">
      <c r="A1604" s="1">
        <v>1.6019999999999901</v>
      </c>
      <c r="B1604" s="1">
        <f t="shared" si="3626"/>
        <v>47.226631010548424</v>
      </c>
      <c r="C1604" s="1">
        <f t="shared" si="3627"/>
        <v>0</v>
      </c>
      <c r="D1604" s="1">
        <f t="shared" si="3628"/>
        <v>-4.025005255099205</v>
      </c>
      <c r="E1604" s="1">
        <f t="shared" si="3629"/>
        <v>12.956640654059703</v>
      </c>
      <c r="F1604" s="1">
        <f t="shared" si="3630"/>
        <v>0</v>
      </c>
      <c r="G1604" s="1">
        <f t="shared" si="3631"/>
        <v>-6.8536341857750331</v>
      </c>
      <c r="H1604" s="1">
        <f t="shared" si="3456"/>
        <v>14.657654607434875</v>
      </c>
      <c r="I1604" s="1">
        <f t="shared" si="3614"/>
        <v>-7.7289987170844014</v>
      </c>
      <c r="J1604" s="1">
        <f t="shared" si="3615"/>
        <v>0</v>
      </c>
      <c r="K1604" s="1">
        <f t="shared" si="3616"/>
        <v>4.0883845777279779</v>
      </c>
      <c r="L1604" s="1">
        <f t="shared" ref="L1604:N1604" si="3634">E1604/$H1604</f>
        <v>0.88395046827530244</v>
      </c>
      <c r="M1604" s="1">
        <f t="shared" si="3634"/>
        <v>0</v>
      </c>
      <c r="N1604" s="1">
        <f t="shared" si="3634"/>
        <v>-0.46758054882113476</v>
      </c>
      <c r="O1604" s="1">
        <f t="shared" si="3458"/>
        <v>-0.46758054882113476</v>
      </c>
      <c r="P1604" s="1">
        <f t="shared" si="3618"/>
        <v>0.41331804508686498</v>
      </c>
      <c r="Q1604" s="1">
        <f t="shared" si="3619"/>
        <v>0</v>
      </c>
      <c r="R1604" s="1">
        <f t="shared" si="3620"/>
        <v>0.7813684303641264</v>
      </c>
      <c r="S1604" s="1">
        <f t="shared" si="3621"/>
        <v>0.70693753897159861</v>
      </c>
      <c r="T1604" s="1">
        <f t="shared" ref="T1604:V1604" si="3635">$S1604*P1604</f>
        <v>0.29219004160626055</v>
      </c>
      <c r="U1604" s="1">
        <f t="shared" si="3635"/>
        <v>0</v>
      </c>
      <c r="V1604" s="1">
        <f t="shared" si="3635"/>
        <v>0.55237867519171646</v>
      </c>
      <c r="W1604" s="1">
        <f t="shared" si="3623"/>
        <v>-7.4368086754781411</v>
      </c>
      <c r="X1604" s="1">
        <f t="shared" si="3624"/>
        <v>0</v>
      </c>
      <c r="Y1604" s="1">
        <f t="shared" si="3625"/>
        <v>-5.1658867470803047</v>
      </c>
    </row>
    <row r="1605" spans="1:25">
      <c r="A1605" s="1">
        <v>1.60299999999999</v>
      </c>
      <c r="B1605" s="1">
        <f t="shared" si="3626"/>
        <v>47.239580214393811</v>
      </c>
      <c r="C1605" s="1">
        <f t="shared" si="3627"/>
        <v>0</v>
      </c>
      <c r="D1605" s="1">
        <f t="shared" si="3628"/>
        <v>-4.0318640551717273</v>
      </c>
      <c r="E1605" s="1">
        <f t="shared" si="3629"/>
        <v>12.949203845384224</v>
      </c>
      <c r="F1605" s="1">
        <f t="shared" si="3630"/>
        <v>0</v>
      </c>
      <c r="G1605" s="1">
        <f t="shared" si="3631"/>
        <v>-6.8588000725221132</v>
      </c>
      <c r="H1605" s="1">
        <f t="shared" si="3456"/>
        <v>14.653498512783317</v>
      </c>
      <c r="I1605" s="1">
        <f t="shared" si="3614"/>
        <v>-7.7223721968266013</v>
      </c>
      <c r="J1605" s="1">
        <f t="shared" si="3615"/>
        <v>0</v>
      </c>
      <c r="K1605" s="1">
        <f t="shared" si="3616"/>
        <v>4.0903060617519724</v>
      </c>
      <c r="L1605" s="1">
        <f t="shared" ref="L1605:N1605" si="3636">E1605/$H1605</f>
        <v>0.88369366769906088</v>
      </c>
      <c r="M1605" s="1">
        <f t="shared" si="3636"/>
        <v>0</v>
      </c>
      <c r="N1605" s="1">
        <f t="shared" si="3636"/>
        <v>-0.46806570229892069</v>
      </c>
      <c r="O1605" s="1">
        <f t="shared" si="3458"/>
        <v>-0.46806570229892069</v>
      </c>
      <c r="P1605" s="1">
        <f t="shared" si="3618"/>
        <v>0.41362669718866996</v>
      </c>
      <c r="Q1605" s="1">
        <f t="shared" si="3619"/>
        <v>0</v>
      </c>
      <c r="R1605" s="1">
        <f t="shared" si="3620"/>
        <v>0.78091449833141813</v>
      </c>
      <c r="S1605" s="1">
        <f t="shared" si="3621"/>
        <v>0.70653669956547238</v>
      </c>
      <c r="T1605" s="1">
        <f t="shared" ref="T1605:V1605" si="3637">$S1605*P1605</f>
        <v>0.29224244148384992</v>
      </c>
      <c r="U1605" s="1">
        <f t="shared" si="3637"/>
        <v>0</v>
      </c>
      <c r="V1605" s="1">
        <f t="shared" si="3637"/>
        <v>0.55174475229390674</v>
      </c>
      <c r="W1605" s="1">
        <f t="shared" si="3623"/>
        <v>-7.430129755342751</v>
      </c>
      <c r="X1605" s="1">
        <f t="shared" si="3624"/>
        <v>0</v>
      </c>
      <c r="Y1605" s="1">
        <f t="shared" si="3625"/>
        <v>-5.1645991859541205</v>
      </c>
    </row>
    <row r="1606" spans="1:25">
      <c r="A1606" s="1">
        <v>1.6039999999999901</v>
      </c>
      <c r="B1606" s="1">
        <f t="shared" si="3626"/>
        <v>47.252521988109443</v>
      </c>
      <c r="C1606" s="1">
        <f t="shared" si="3627"/>
        <v>0</v>
      </c>
      <c r="D1606" s="1">
        <f t="shared" si="3628"/>
        <v>-4.0387280198434352</v>
      </c>
      <c r="E1606" s="1">
        <f t="shared" si="3629"/>
        <v>12.94177371562888</v>
      </c>
      <c r="F1606" s="1">
        <f t="shared" si="3630"/>
        <v>0</v>
      </c>
      <c r="G1606" s="1">
        <f t="shared" si="3631"/>
        <v>-6.8639646717080671</v>
      </c>
      <c r="H1606" s="1">
        <f t="shared" si="3456"/>
        <v>14.649352133149062</v>
      </c>
      <c r="I1606" s="1">
        <f t="shared" si="3614"/>
        <v>-7.7157572910895027</v>
      </c>
      <c r="J1606" s="1">
        <f t="shared" si="3615"/>
        <v>0</v>
      </c>
      <c r="K1606" s="1">
        <f t="shared" si="3616"/>
        <v>4.0922277444517006</v>
      </c>
      <c r="L1606" s="1">
        <f t="shared" ref="L1606:N1606" si="3638">E1606/$H1606</f>
        <v>0.88343659146152853</v>
      </c>
      <c r="M1606" s="1">
        <f t="shared" si="3638"/>
        <v>0</v>
      </c>
      <c r="N1606" s="1">
        <f t="shared" si="3638"/>
        <v>-0.46855073243655943</v>
      </c>
      <c r="O1606" s="1">
        <f t="shared" si="3458"/>
        <v>-0.46855073243655943</v>
      </c>
      <c r="P1606" s="1">
        <f t="shared" si="3618"/>
        <v>0.41393486199055674</v>
      </c>
      <c r="Q1606" s="1">
        <f t="shared" si="3619"/>
        <v>0</v>
      </c>
      <c r="R1606" s="1">
        <f t="shared" si="3620"/>
        <v>0.78046021113316366</v>
      </c>
      <c r="S1606" s="1">
        <f t="shared" si="3621"/>
        <v>0.70613691040913795</v>
      </c>
      <c r="T1606" s="1">
        <f t="shared" ref="T1606:V1606" si="3639">$S1606*P1606</f>
        <v>0.29229468455664465</v>
      </c>
      <c r="U1606" s="1">
        <f t="shared" si="3639"/>
        <v>0</v>
      </c>
      <c r="V1606" s="1">
        <f t="shared" si="3639"/>
        <v>0.55111176218683566</v>
      </c>
      <c r="W1606" s="1">
        <f t="shared" si="3623"/>
        <v>-7.4234626065328584</v>
      </c>
      <c r="X1606" s="1">
        <f t="shared" si="3624"/>
        <v>0</v>
      </c>
      <c r="Y1606" s="1">
        <f t="shared" si="3625"/>
        <v>-5.1633104933614629</v>
      </c>
    </row>
    <row r="1607" spans="1:25">
      <c r="A1607" s="1">
        <v>1.60499999999999</v>
      </c>
      <c r="B1607" s="1">
        <f t="shared" si="3626"/>
        <v>47.265456338362462</v>
      </c>
      <c r="C1607" s="1">
        <f t="shared" si="3627"/>
        <v>0</v>
      </c>
      <c r="D1607" s="1">
        <f t="shared" si="3628"/>
        <v>-4.045597147825637</v>
      </c>
      <c r="E1607" s="1">
        <f t="shared" si="3629"/>
        <v>12.934350253022346</v>
      </c>
      <c r="F1607" s="1">
        <f t="shared" si="3630"/>
        <v>0</v>
      </c>
      <c r="G1607" s="1">
        <f t="shared" si="3631"/>
        <v>-6.8691279822014284</v>
      </c>
      <c r="H1607" s="1">
        <f t="shared" si="3456"/>
        <v>14.645215454329168</v>
      </c>
      <c r="I1607" s="1">
        <f t="shared" si="3614"/>
        <v>-7.709153973186579</v>
      </c>
      <c r="J1607" s="1">
        <f t="shared" si="3615"/>
        <v>0</v>
      </c>
      <c r="K1607" s="1">
        <f t="shared" si="3616"/>
        <v>4.0941496279599594</v>
      </c>
      <c r="L1607" s="1">
        <f t="shared" ref="L1607:N1607" si="3640">E1607/$H1607</f>
        <v>0.88317923989291092</v>
      </c>
      <c r="M1607" s="1">
        <f t="shared" si="3640"/>
        <v>0</v>
      </c>
      <c r="N1607" s="1">
        <f t="shared" si="3640"/>
        <v>-0.46903563854165725</v>
      </c>
      <c r="O1607" s="1">
        <f t="shared" si="3458"/>
        <v>-0.46903563854165725</v>
      </c>
      <c r="P1607" s="1">
        <f t="shared" si="3618"/>
        <v>0.41424253872990696</v>
      </c>
      <c r="Q1607" s="1">
        <f t="shared" si="3619"/>
        <v>0</v>
      </c>
      <c r="R1607" s="1">
        <f t="shared" si="3620"/>
        <v>0.78000556977781987</v>
      </c>
      <c r="S1607" s="1">
        <f t="shared" si="3621"/>
        <v>0.70573816933847167</v>
      </c>
      <c r="T1607" s="1">
        <f t="shared" ref="T1607:V1607" si="3641">$S1607*P1607</f>
        <v>0.29234677094536549</v>
      </c>
      <c r="U1607" s="1">
        <f t="shared" si="3641"/>
        <v>0</v>
      </c>
      <c r="V1607" s="1">
        <f t="shared" si="3641"/>
        <v>0.5504797028888101</v>
      </c>
      <c r="W1607" s="1">
        <f t="shared" si="3623"/>
        <v>-7.4168072022412135</v>
      </c>
      <c r="X1607" s="1">
        <f t="shared" si="3624"/>
        <v>0</v>
      </c>
      <c r="Y1607" s="1">
        <f t="shared" si="3625"/>
        <v>-5.1620206691512296</v>
      </c>
    </row>
    <row r="1608" spans="1:25">
      <c r="A1608" s="1">
        <v>1.6059999999999901</v>
      </c>
      <c r="B1608" s="1">
        <f t="shared" si="3626"/>
        <v>47.278383271808281</v>
      </c>
      <c r="C1608" s="1">
        <f t="shared" si="3627"/>
        <v>0</v>
      </c>
      <c r="D1608" s="1">
        <f t="shared" si="3628"/>
        <v>-4.0524714378285074</v>
      </c>
      <c r="E1608" s="1">
        <f t="shared" si="3629"/>
        <v>12.926933445820104</v>
      </c>
      <c r="F1608" s="1">
        <f t="shared" si="3630"/>
        <v>0</v>
      </c>
      <c r="G1608" s="1">
        <f t="shared" si="3631"/>
        <v>-6.8742900028705796</v>
      </c>
      <c r="H1608" s="1">
        <f t="shared" si="3456"/>
        <v>14.641088462140676</v>
      </c>
      <c r="I1608" s="1">
        <f t="shared" si="3614"/>
        <v>-7.7025622164986904</v>
      </c>
      <c r="J1608" s="1">
        <f t="shared" si="3615"/>
        <v>0</v>
      </c>
      <c r="K1608" s="1">
        <f t="shared" si="3616"/>
        <v>4.0960717144008161</v>
      </c>
      <c r="L1608" s="1">
        <f t="shared" ref="L1608:N1608" si="3642">E1608/$H1608</f>
        <v>0.88292161332450936</v>
      </c>
      <c r="M1608" s="1">
        <f t="shared" si="3642"/>
        <v>0</v>
      </c>
      <c r="N1608" s="1">
        <f t="shared" si="3642"/>
        <v>-0.46952041992276089</v>
      </c>
      <c r="O1608" s="1">
        <f t="shared" si="3458"/>
        <v>-0.46952041992276089</v>
      </c>
      <c r="P1608" s="1">
        <f t="shared" si="3618"/>
        <v>0.41454972664700512</v>
      </c>
      <c r="Q1608" s="1">
        <f t="shared" si="3619"/>
        <v>0</v>
      </c>
      <c r="R1608" s="1">
        <f t="shared" si="3620"/>
        <v>0.77955057527555427</v>
      </c>
      <c r="S1608" s="1">
        <f t="shared" si="3621"/>
        <v>0.70534047419468193</v>
      </c>
      <c r="T1608" s="1">
        <f t="shared" ref="T1608:V1608" si="3643">$S1608*P1608</f>
        <v>0.29239870077047436</v>
      </c>
      <c r="U1608" s="1">
        <f t="shared" si="3643"/>
        <v>0</v>
      </c>
      <c r="V1608" s="1">
        <f t="shared" si="3643"/>
        <v>0.54984857242359653</v>
      </c>
      <c r="W1608" s="1">
        <f t="shared" si="3623"/>
        <v>-7.4101635157282164</v>
      </c>
      <c r="X1608" s="1">
        <f t="shared" si="3624"/>
        <v>0</v>
      </c>
      <c r="Y1608" s="1">
        <f t="shared" si="3625"/>
        <v>-5.1607297131755869</v>
      </c>
    </row>
    <row r="1609" spans="1:25">
      <c r="A1609" s="1">
        <v>1.60699999999999</v>
      </c>
      <c r="B1609" s="1">
        <f t="shared" si="3626"/>
        <v>47.291302795090587</v>
      </c>
      <c r="C1609" s="1">
        <f t="shared" si="3627"/>
        <v>0</v>
      </c>
      <c r="D1609" s="1">
        <f t="shared" si="3628"/>
        <v>-4.0593508885610907</v>
      </c>
      <c r="E1609" s="1">
        <f t="shared" si="3629"/>
        <v>12.919523282304375</v>
      </c>
      <c r="F1609" s="1">
        <f t="shared" si="3630"/>
        <v>0</v>
      </c>
      <c r="G1609" s="1">
        <f t="shared" si="3631"/>
        <v>-6.8794507325837548</v>
      </c>
      <c r="H1609" s="1">
        <f t="shared" si="3456"/>
        <v>14.636971142420551</v>
      </c>
      <c r="I1609" s="1">
        <f t="shared" si="3614"/>
        <v>-7.6959819944738781</v>
      </c>
      <c r="J1609" s="1">
        <f t="shared" si="3615"/>
        <v>0</v>
      </c>
      <c r="K1609" s="1">
        <f t="shared" si="3616"/>
        <v>4.0979940058896194</v>
      </c>
      <c r="L1609" s="1">
        <f t="shared" ref="L1609:N1609" si="3644">E1609/$H1609</f>
        <v>0.88266371208871852</v>
      </c>
      <c r="M1609" s="1">
        <f t="shared" si="3644"/>
        <v>0</v>
      </c>
      <c r="N1609" s="1">
        <f t="shared" si="3644"/>
        <v>-0.4700050758893608</v>
      </c>
      <c r="O1609" s="1">
        <f t="shared" si="3458"/>
        <v>-0.4700050758893608</v>
      </c>
      <c r="P1609" s="1">
        <f t="shared" si="3618"/>
        <v>0.41485642498504305</v>
      </c>
      <c r="Q1609" s="1">
        <f t="shared" si="3619"/>
        <v>0</v>
      </c>
      <c r="R1609" s="1">
        <f t="shared" si="3620"/>
        <v>0.77909522863823621</v>
      </c>
      <c r="S1609" s="1">
        <f t="shared" si="3621"/>
        <v>0.70494382282429113</v>
      </c>
      <c r="T1609" s="1">
        <f t="shared" ref="T1609:V1609" si="3645">$S1609*P1609</f>
        <v>0.29245047415217501</v>
      </c>
      <c r="U1609" s="1">
        <f t="shared" si="3645"/>
        <v>0</v>
      </c>
      <c r="V1609" s="1">
        <f t="shared" si="3645"/>
        <v>0.54921836882040342</v>
      </c>
      <c r="W1609" s="1">
        <f t="shared" si="3623"/>
        <v>-7.4035315203217031</v>
      </c>
      <c r="X1609" s="1">
        <f t="shared" si="3624"/>
        <v>0</v>
      </c>
      <c r="Y1609" s="1">
        <f t="shared" si="3625"/>
        <v>-5.1594376252899767</v>
      </c>
    </row>
    <row r="1610" spans="1:25">
      <c r="A1610" s="1">
        <v>1.6079999999999901</v>
      </c>
      <c r="B1610" s="1">
        <f t="shared" si="3626"/>
        <v>47.304214914841374</v>
      </c>
      <c r="C1610" s="1">
        <f t="shared" si="3627"/>
        <v>0</v>
      </c>
      <c r="D1610" s="1">
        <f t="shared" si="3628"/>
        <v>-4.0662354987312996</v>
      </c>
      <c r="E1610" s="1">
        <f t="shared" si="3629"/>
        <v>12.912119750784054</v>
      </c>
      <c r="F1610" s="1">
        <f t="shared" si="3630"/>
        <v>0</v>
      </c>
      <c r="G1610" s="1">
        <f t="shared" si="3631"/>
        <v>-6.8846101702090445</v>
      </c>
      <c r="H1610" s="1">
        <f t="shared" si="3456"/>
        <v>14.632863481025629</v>
      </c>
      <c r="I1610" s="1">
        <f t="shared" si="3614"/>
        <v>-7.6894132806271562</v>
      </c>
      <c r="J1610" s="1">
        <f t="shared" si="3615"/>
        <v>0</v>
      </c>
      <c r="K1610" s="1">
        <f t="shared" si="3616"/>
        <v>4.0999165045330113</v>
      </c>
      <c r="L1610" s="1">
        <f t="shared" ref="L1610:N1610" si="3646">E1610/$H1610</f>
        <v>0.88240553651902409</v>
      </c>
      <c r="M1610" s="1">
        <f t="shared" si="3646"/>
        <v>0</v>
      </c>
      <c r="N1610" s="1">
        <f t="shared" si="3646"/>
        <v>-0.47048960575189464</v>
      </c>
      <c r="O1610" s="1">
        <f t="shared" si="3458"/>
        <v>-0.47048960575189464</v>
      </c>
      <c r="P1610" s="1">
        <f t="shared" si="3618"/>
        <v>0.41516263299012474</v>
      </c>
      <c r="Q1610" s="1">
        <f t="shared" si="3619"/>
        <v>0</v>
      </c>
      <c r="R1610" s="1">
        <f t="shared" si="3620"/>
        <v>0.77863953087942672</v>
      </c>
      <c r="S1610" s="1">
        <f t="shared" si="3621"/>
        <v>0.70454821307911919</v>
      </c>
      <c r="T1610" s="1">
        <f t="shared" ref="T1610:V1610" si="3647">$S1610*P1610</f>
        <v>0.29250209121041454</v>
      </c>
      <c r="U1610" s="1">
        <f t="shared" si="3647"/>
        <v>0</v>
      </c>
      <c r="V1610" s="1">
        <f t="shared" si="3647"/>
        <v>0.5485890901138637</v>
      </c>
      <c r="W1610" s="1">
        <f t="shared" si="3623"/>
        <v>-7.3969111894167421</v>
      </c>
      <c r="X1610" s="1">
        <f t="shared" si="3624"/>
        <v>0</v>
      </c>
      <c r="Y1610" s="1">
        <f t="shared" si="3625"/>
        <v>-5.1581444053531245</v>
      </c>
    </row>
    <row r="1611" spans="1:25">
      <c r="A1611" s="1">
        <v>1.60899999999999</v>
      </c>
      <c r="B1611" s="1">
        <f t="shared" si="3626"/>
        <v>47.317119637680968</v>
      </c>
      <c r="C1611" s="1">
        <f t="shared" si="3627"/>
        <v>0</v>
      </c>
      <c r="D1611" s="1">
        <f t="shared" si="3628"/>
        <v>-4.0731252670459144</v>
      </c>
      <c r="E1611" s="1">
        <f t="shared" si="3629"/>
        <v>12.904722839594637</v>
      </c>
      <c r="F1611" s="1">
        <f t="shared" si="3630"/>
        <v>0</v>
      </c>
      <c r="G1611" s="1">
        <f t="shared" si="3631"/>
        <v>-6.8897683146143978</v>
      </c>
      <c r="H1611" s="1">
        <f t="shared" si="3456"/>
        <v>14.628765463832552</v>
      </c>
      <c r="I1611" s="1">
        <f t="shared" si="3614"/>
        <v>-7.6828560485402981</v>
      </c>
      <c r="J1611" s="1">
        <f t="shared" si="3615"/>
        <v>0</v>
      </c>
      <c r="K1611" s="1">
        <f t="shared" si="3616"/>
        <v>4.1018392124289322</v>
      </c>
      <c r="L1611" s="1">
        <f t="shared" ref="L1611:N1611" si="3648">E1611/$H1611</f>
        <v>0.88214708694999899</v>
      </c>
      <c r="M1611" s="1">
        <f t="shared" si="3648"/>
        <v>0</v>
      </c>
      <c r="N1611" s="1">
        <f t="shared" si="3648"/>
        <v>-0.47097400882175094</v>
      </c>
      <c r="O1611" s="1">
        <f t="shared" si="3458"/>
        <v>-0.47097400882175094</v>
      </c>
      <c r="P1611" s="1">
        <f t="shared" si="3618"/>
        <v>0.41546834991127074</v>
      </c>
      <c r="Q1611" s="1">
        <f t="shared" si="3619"/>
        <v>0</v>
      </c>
      <c r="R1611" s="1">
        <f t="shared" si="3620"/>
        <v>0.77818348301436924</v>
      </c>
      <c r="S1611" s="1">
        <f t="shared" si="3621"/>
        <v>0.70415364281626536</v>
      </c>
      <c r="T1611" s="1">
        <f t="shared" ref="T1611:V1611" si="3649">$S1611*P1611</f>
        <v>0.29255355206488409</v>
      </c>
      <c r="U1611" s="1">
        <f t="shared" si="3649"/>
        <v>0</v>
      </c>
      <c r="V1611" s="1">
        <f t="shared" si="3649"/>
        <v>0.54796073434401749</v>
      </c>
      <c r="W1611" s="1">
        <f t="shared" si="3623"/>
        <v>-7.3903024964754138</v>
      </c>
      <c r="X1611" s="1">
        <f t="shared" si="3624"/>
        <v>0</v>
      </c>
      <c r="Y1611" s="1">
        <f t="shared" si="3625"/>
        <v>-5.1568500532270498</v>
      </c>
    </row>
    <row r="1612" spans="1:25">
      <c r="A1612" s="1">
        <v>1.6099999999999901</v>
      </c>
      <c r="B1612" s="1">
        <f t="shared" si="3626"/>
        <v>47.330016970218068</v>
      </c>
      <c r="C1612" s="1">
        <f t="shared" si="3627"/>
        <v>0</v>
      </c>
      <c r="D1612" s="1">
        <f t="shared" si="3628"/>
        <v>-4.0800201922105819</v>
      </c>
      <c r="E1612" s="1">
        <f t="shared" si="3629"/>
        <v>12.897332537098162</v>
      </c>
      <c r="F1612" s="1">
        <f t="shared" si="3630"/>
        <v>0</v>
      </c>
      <c r="G1612" s="1">
        <f t="shared" si="3631"/>
        <v>-6.8949251646676251</v>
      </c>
      <c r="H1612" s="1">
        <f t="shared" si="3456"/>
        <v>14.624677076737722</v>
      </c>
      <c r="I1612" s="1">
        <f t="shared" si="3614"/>
        <v>-7.6763102718616398</v>
      </c>
      <c r="J1612" s="1">
        <f t="shared" si="3615"/>
        <v>0</v>
      </c>
      <c r="K1612" s="1">
        <f t="shared" si="3616"/>
        <v>4.1037621316666346</v>
      </c>
      <c r="L1612" s="1">
        <f t="shared" ref="L1612:N1612" si="3650">E1612/$H1612</f>
        <v>0.88188836371730173</v>
      </c>
      <c r="M1612" s="1">
        <f t="shared" si="3650"/>
        <v>0</v>
      </c>
      <c r="N1612" s="1">
        <f t="shared" si="3650"/>
        <v>-0.47145828441127213</v>
      </c>
      <c r="O1612" s="1">
        <f t="shared" si="3458"/>
        <v>-0.47145828441127213</v>
      </c>
      <c r="P1612" s="1">
        <f t="shared" si="3618"/>
        <v>0.41577357500042306</v>
      </c>
      <c r="Q1612" s="1">
        <f t="shared" si="3619"/>
        <v>0</v>
      </c>
      <c r="R1612" s="1">
        <f t="shared" si="3620"/>
        <v>0.77772708605998009</v>
      </c>
      <c r="S1612" s="1">
        <f t="shared" si="3621"/>
        <v>0.70376010989809201</v>
      </c>
      <c r="T1612" s="1">
        <f t="shared" ref="T1612:V1612" si="3651">$S1612*P1612</f>
        <v>0.29260485683502035</v>
      </c>
      <c r="U1612" s="1">
        <f t="shared" si="3651"/>
        <v>0</v>
      </c>
      <c r="V1612" s="1">
        <f t="shared" si="3651"/>
        <v>0.54733329955629451</v>
      </c>
      <c r="W1612" s="1">
        <f t="shared" si="3623"/>
        <v>-7.3837054150266193</v>
      </c>
      <c r="X1612" s="1">
        <f t="shared" si="3624"/>
        <v>0</v>
      </c>
      <c r="Y1612" s="1">
        <f t="shared" si="3625"/>
        <v>-5.1555545687770703</v>
      </c>
    </row>
    <row r="1613" spans="1:25">
      <c r="A1613" s="1">
        <v>1.61099999999999</v>
      </c>
      <c r="B1613" s="1">
        <f t="shared" si="3626"/>
        <v>47.342906919049753</v>
      </c>
      <c r="C1613" s="1">
        <f t="shared" si="3627"/>
        <v>0</v>
      </c>
      <c r="D1613" s="1">
        <f t="shared" si="3628"/>
        <v>-4.0869202729298184</v>
      </c>
      <c r="E1613" s="1">
        <f t="shared" si="3629"/>
        <v>12.889948831683135</v>
      </c>
      <c r="F1613" s="1">
        <f t="shared" si="3630"/>
        <v>0</v>
      </c>
      <c r="G1613" s="1">
        <f t="shared" si="3631"/>
        <v>-6.900080719236402</v>
      </c>
      <c r="H1613" s="1">
        <f t="shared" si="3456"/>
        <v>14.620598305657241</v>
      </c>
      <c r="I1613" s="1">
        <f t="shared" si="3614"/>
        <v>-7.6697759243058758</v>
      </c>
      <c r="J1613" s="1">
        <f t="shared" si="3615"/>
        <v>0</v>
      </c>
      <c r="K1613" s="1">
        <f t="shared" si="3616"/>
        <v>4.1056852643266932</v>
      </c>
      <c r="L1613" s="1">
        <f t="shared" ref="L1613:N1613" si="3652">E1613/$H1613</f>
        <v>0.88162936715767271</v>
      </c>
      <c r="M1613" s="1">
        <f t="shared" si="3652"/>
        <v>0</v>
      </c>
      <c r="N1613" s="1">
        <f t="shared" si="3652"/>
        <v>-0.47194243183375811</v>
      </c>
      <c r="O1613" s="1">
        <f t="shared" si="3458"/>
        <v>-0.47194243183375811</v>
      </c>
      <c r="P1613" s="1">
        <f t="shared" si="3618"/>
        <v>0.41607830751244923</v>
      </c>
      <c r="Q1613" s="1">
        <f t="shared" si="3619"/>
        <v>0</v>
      </c>
      <c r="R1613" s="1">
        <f t="shared" si="3620"/>
        <v>0.77727034103483861</v>
      </c>
      <c r="S1613" s="1">
        <f t="shared" si="3621"/>
        <v>0.703367612192208</v>
      </c>
      <c r="T1613" s="1">
        <f t="shared" ref="T1613:V1613" si="3653">$S1613*P1613</f>
        <v>0.29265600564000666</v>
      </c>
      <c r="U1613" s="1">
        <f t="shared" si="3653"/>
        <v>0</v>
      </c>
      <c r="V1613" s="1">
        <f t="shared" si="3653"/>
        <v>0.54670678380149762</v>
      </c>
      <c r="W1613" s="1">
        <f t="shared" si="3623"/>
        <v>-7.3771199186658691</v>
      </c>
      <c r="X1613" s="1">
        <f t="shared" si="3624"/>
        <v>0</v>
      </c>
      <c r="Y1613" s="1">
        <f t="shared" si="3625"/>
        <v>-5.1542579518718084</v>
      </c>
    </row>
    <row r="1614" spans="1:25">
      <c r="A1614" s="1">
        <v>1.6119999999999901</v>
      </c>
      <c r="B1614" s="1">
        <f t="shared" si="3626"/>
        <v>47.355789490761516</v>
      </c>
      <c r="C1614" s="1">
        <f t="shared" si="3627"/>
        <v>0</v>
      </c>
      <c r="D1614" s="1">
        <f t="shared" si="3628"/>
        <v>-4.0938255079070069</v>
      </c>
      <c r="E1614" s="1">
        <f t="shared" si="3629"/>
        <v>12.88257171176447</v>
      </c>
      <c r="F1614" s="1">
        <f t="shared" si="3630"/>
        <v>0</v>
      </c>
      <c r="G1614" s="1">
        <f t="shared" si="3631"/>
        <v>-6.9052349771882735</v>
      </c>
      <c r="H1614" s="1">
        <f t="shared" si="3456"/>
        <v>14.616529136526855</v>
      </c>
      <c r="I1614" s="1">
        <f t="shared" si="3614"/>
        <v>-7.6632529796538496</v>
      </c>
      <c r="J1614" s="1">
        <f t="shared" si="3615"/>
        <v>0</v>
      </c>
      <c r="K1614" s="1">
        <f t="shared" si="3616"/>
        <v>4.1076086124810143</v>
      </c>
      <c r="L1614" s="1">
        <f t="shared" ref="L1614:N1614" si="3654">E1614/$H1614</f>
        <v>0.88137009760893181</v>
      </c>
      <c r="M1614" s="1">
        <f t="shared" si="3654"/>
        <v>0</v>
      </c>
      <c r="N1614" s="1">
        <f t="shared" si="3654"/>
        <v>-0.47242645040346964</v>
      </c>
      <c r="O1614" s="1">
        <f t="shared" si="3458"/>
        <v>-0.47242645040346964</v>
      </c>
      <c r="P1614" s="1">
        <f t="shared" si="3618"/>
        <v>0.41638254670514724</v>
      </c>
      <c r="Q1614" s="1">
        <f t="shared" si="3619"/>
        <v>0</v>
      </c>
      <c r="R1614" s="1">
        <f t="shared" si="3620"/>
        <v>0.77681324895917803</v>
      </c>
      <c r="S1614" s="1">
        <f t="shared" si="3621"/>
        <v>0.70297614757145099</v>
      </c>
      <c r="T1614" s="1">
        <f t="shared" ref="T1614:V1614" si="3655">$S1614*P1614</f>
        <v>0.29270699859877419</v>
      </c>
      <c r="U1614" s="1">
        <f t="shared" si="3655"/>
        <v>0</v>
      </c>
      <c r="V1614" s="1">
        <f t="shared" si="3655"/>
        <v>0.54608118513578541</v>
      </c>
      <c r="W1614" s="1">
        <f t="shared" si="3623"/>
        <v>-7.3705459810550753</v>
      </c>
      <c r="X1614" s="1">
        <f t="shared" si="3624"/>
        <v>0</v>
      </c>
      <c r="Y1614" s="1">
        <f t="shared" si="3625"/>
        <v>-5.1529602023832002</v>
      </c>
    </row>
    <row r="1615" spans="1:25">
      <c r="A1615" s="1">
        <v>1.61299999999999</v>
      </c>
      <c r="B1615" s="1">
        <f t="shared" si="3626"/>
        <v>47.3686646919273</v>
      </c>
      <c r="C1615" s="1">
        <f t="shared" si="3627"/>
        <v>0</v>
      </c>
      <c r="D1615" s="1">
        <f t="shared" si="3628"/>
        <v>-4.100735895844398</v>
      </c>
      <c r="E1615" s="1">
        <f t="shared" si="3629"/>
        <v>12.875201165783414</v>
      </c>
      <c r="F1615" s="1">
        <f t="shared" si="3630"/>
        <v>0</v>
      </c>
      <c r="G1615" s="1">
        <f t="shared" si="3631"/>
        <v>-6.9103879373906567</v>
      </c>
      <c r="H1615" s="1">
        <f t="shared" si="3456"/>
        <v>14.6124695553019</v>
      </c>
      <c r="I1615" s="1">
        <f t="shared" si="3614"/>
        <v>-7.6567414117523533</v>
      </c>
      <c r="J1615" s="1">
        <f t="shared" si="3615"/>
        <v>0</v>
      </c>
      <c r="K1615" s="1">
        <f t="shared" si="3616"/>
        <v>4.1095321781928451</v>
      </c>
      <c r="L1615" s="1">
        <f t="shared" ref="L1615:N1615" si="3656">E1615/$H1615</f>
        <v>0.88111055540997552</v>
      </c>
      <c r="M1615" s="1">
        <f t="shared" si="3656"/>
        <v>0</v>
      </c>
      <c r="N1615" s="1">
        <f t="shared" si="3656"/>
        <v>-0.47291033943563177</v>
      </c>
      <c r="O1615" s="1">
        <f t="shared" si="3458"/>
        <v>-0.47291033943563177</v>
      </c>
      <c r="P1615" s="1">
        <f t="shared" si="3618"/>
        <v>0.41668629183924955</v>
      </c>
      <c r="Q1615" s="1">
        <f t="shared" si="3619"/>
        <v>0</v>
      </c>
      <c r="R1615" s="1">
        <f t="shared" si="3620"/>
        <v>0.77635581085487559</v>
      </c>
      <c r="S1615" s="1">
        <f t="shared" si="3621"/>
        <v>0.7025857139138707</v>
      </c>
      <c r="T1615" s="1">
        <f t="shared" ref="T1615:V1615" si="3657">$S1615*P1615</f>
        <v>0.29275783583000264</v>
      </c>
      <c r="U1615" s="1">
        <f t="shared" si="3657"/>
        <v>0</v>
      </c>
      <c r="V1615" s="1">
        <f t="shared" si="3657"/>
        <v>0.54545650162065473</v>
      </c>
      <c r="W1615" s="1">
        <f t="shared" si="3623"/>
        <v>-7.3639835759223509</v>
      </c>
      <c r="X1615" s="1">
        <f t="shared" si="3624"/>
        <v>0</v>
      </c>
      <c r="Y1615" s="1">
        <f t="shared" si="3625"/>
        <v>-5.1516613201864994</v>
      </c>
    </row>
    <row r="1616" spans="1:25">
      <c r="A1616" s="1">
        <v>1.6139999999999901</v>
      </c>
      <c r="B1616" s="1">
        <f t="shared" si="3626"/>
        <v>47.381532529109506</v>
      </c>
      <c r="C1616" s="1">
        <f t="shared" si="3627"/>
        <v>0</v>
      </c>
      <c r="D1616" s="1">
        <f t="shared" si="3628"/>
        <v>-4.1076514354431088</v>
      </c>
      <c r="E1616" s="1">
        <f t="shared" si="3629"/>
        <v>12.867837182207492</v>
      </c>
      <c r="F1616" s="1">
        <f t="shared" si="3630"/>
        <v>0</v>
      </c>
      <c r="G1616" s="1">
        <f t="shared" si="3631"/>
        <v>-6.9155395987108434</v>
      </c>
      <c r="H1616" s="1">
        <f t="shared" si="3456"/>
        <v>14.608419547957245</v>
      </c>
      <c r="I1616" s="1">
        <f t="shared" si="3614"/>
        <v>-7.6502411945139297</v>
      </c>
      <c r="J1616" s="1">
        <f t="shared" si="3615"/>
        <v>0</v>
      </c>
      <c r="K1616" s="1">
        <f t="shared" si="3616"/>
        <v>4.1114559635167858</v>
      </c>
      <c r="L1616" s="1">
        <f t="shared" ref="L1616:N1616" si="3658">E1616/$H1616</f>
        <v>0.88085074090077409</v>
      </c>
      <c r="M1616" s="1">
        <f t="shared" si="3658"/>
        <v>0</v>
      </c>
      <c r="N1616" s="1">
        <f t="shared" si="3658"/>
        <v>-0.47339409824643702</v>
      </c>
      <c r="O1616" s="1">
        <f t="shared" si="3458"/>
        <v>-0.47339409824643702</v>
      </c>
      <c r="P1616" s="1">
        <f t="shared" si="3618"/>
        <v>0.41698954217842787</v>
      </c>
      <c r="Q1616" s="1">
        <f t="shared" si="3619"/>
        <v>0</v>
      </c>
      <c r="R1616" s="1">
        <f t="shared" si="3620"/>
        <v>0.7758980277454427</v>
      </c>
      <c r="S1616" s="1">
        <f t="shared" si="3621"/>
        <v>0.70219630910271258</v>
      </c>
      <c r="T1616" s="1">
        <f t="shared" ref="T1616:V1616" si="3659">$S1616*P1616</f>
        <v>0.29280851745212194</v>
      </c>
      <c r="U1616" s="1">
        <f t="shared" si="3659"/>
        <v>0</v>
      </c>
      <c r="V1616" s="1">
        <f t="shared" si="3659"/>
        <v>0.54483273132292398</v>
      </c>
      <c r="W1616" s="1">
        <f t="shared" si="3623"/>
        <v>-7.3574326770618077</v>
      </c>
      <c r="X1616" s="1">
        <f t="shared" si="3624"/>
        <v>0</v>
      </c>
      <c r="Y1616" s="1">
        <f t="shared" si="3625"/>
        <v>-5.1503613051602901</v>
      </c>
    </row>
    <row r="1617" spans="1:25">
      <c r="A1617" s="1">
        <v>1.61499999999999</v>
      </c>
      <c r="B1617" s="1">
        <f t="shared" si="3626"/>
        <v>47.394393008859034</v>
      </c>
      <c r="C1617" s="1">
        <f t="shared" si="3627"/>
        <v>0</v>
      </c>
      <c r="D1617" s="1">
        <f t="shared" si="3628"/>
        <v>-4.1145721254031251</v>
      </c>
      <c r="E1617" s="1">
        <f t="shared" si="3629"/>
        <v>12.86047974953043</v>
      </c>
      <c r="F1617" s="1">
        <f t="shared" si="3630"/>
        <v>0</v>
      </c>
      <c r="G1617" s="1">
        <f t="shared" si="3631"/>
        <v>-6.9206899600160039</v>
      </c>
      <c r="H1617" s="1">
        <f t="shared" si="3456"/>
        <v>14.604379100487243</v>
      </c>
      <c r="I1617" s="1">
        <f t="shared" si="3614"/>
        <v>-7.6437523019166624</v>
      </c>
      <c r="J1617" s="1">
        <f t="shared" si="3615"/>
        <v>0</v>
      </c>
      <c r="K1617" s="1">
        <f t="shared" si="3616"/>
        <v>4.1133799704987979</v>
      </c>
      <c r="L1617" s="1">
        <f t="shared" ref="L1617:N1617" si="3660">E1617/$H1617</f>
        <v>0.88059065442236906</v>
      </c>
      <c r="M1617" s="1">
        <f t="shared" si="3660"/>
        <v>0</v>
      </c>
      <c r="N1617" s="1">
        <f t="shared" si="3660"/>
        <v>-0.47387772615304885</v>
      </c>
      <c r="O1617" s="1">
        <f t="shared" si="3458"/>
        <v>-0.47387772615304885</v>
      </c>
      <c r="P1617" s="1">
        <f t="shared" si="3618"/>
        <v>0.41729229698929748</v>
      </c>
      <c r="Q1617" s="1">
        <f t="shared" si="3619"/>
        <v>0</v>
      </c>
      <c r="R1617" s="1">
        <f t="shared" si="3620"/>
        <v>0.77543990065601598</v>
      </c>
      <c r="S1617" s="1">
        <f t="shared" si="3621"/>
        <v>0.70180793102640093</v>
      </c>
      <c r="T1617" s="1">
        <f t="shared" ref="T1617:V1617" si="3661">$S1617*P1617</f>
        <v>0.29285904358331333</v>
      </c>
      <c r="U1617" s="1">
        <f t="shared" si="3661"/>
        <v>0</v>
      </c>
      <c r="V1617" s="1">
        <f t="shared" si="3661"/>
        <v>0.5442098723147164</v>
      </c>
      <c r="W1617" s="1">
        <f t="shared" si="3623"/>
        <v>-7.3508932583333495</v>
      </c>
      <c r="X1617" s="1">
        <f t="shared" si="3624"/>
        <v>0</v>
      </c>
      <c r="Y1617" s="1">
        <f t="shared" si="3625"/>
        <v>-5.1490601571864847</v>
      </c>
    </row>
    <row r="1618" spans="1:25">
      <c r="A1618" s="1">
        <v>1.6159999999999901</v>
      </c>
      <c r="B1618" s="1">
        <f t="shared" si="3626"/>
        <v>47.407246137715305</v>
      </c>
      <c r="C1618" s="1">
        <f t="shared" si="3627"/>
        <v>0</v>
      </c>
      <c r="D1618" s="1">
        <f t="shared" si="3628"/>
        <v>-4.1214979644232983</v>
      </c>
      <c r="E1618" s="1">
        <f t="shared" si="3629"/>
        <v>12.853128856272097</v>
      </c>
      <c r="F1618" s="1">
        <f t="shared" si="3630"/>
        <v>0</v>
      </c>
      <c r="G1618" s="1">
        <f t="shared" si="3631"/>
        <v>-6.9258390201731901</v>
      </c>
      <c r="H1618" s="1">
        <f t="shared" si="3456"/>
        <v>14.600348198905669</v>
      </c>
      <c r="I1618" s="1">
        <f t="shared" si="3614"/>
        <v>-7.6372747080039849</v>
      </c>
      <c r="J1618" s="1">
        <f t="shared" si="3615"/>
        <v>0</v>
      </c>
      <c r="K1618" s="1">
        <f t="shared" si="3616"/>
        <v>4.1153042011762153</v>
      </c>
      <c r="L1618" s="1">
        <f t="shared" ref="L1618:N1618" si="3662">E1618/$H1618</f>
        <v>0.88033029631686932</v>
      </c>
      <c r="M1618" s="1">
        <f t="shared" si="3662"/>
        <v>0</v>
      </c>
      <c r="N1618" s="1">
        <f t="shared" si="3662"/>
        <v>-0.47436122247360502</v>
      </c>
      <c r="O1618" s="1">
        <f t="shared" si="3458"/>
        <v>-0.47436122247360502</v>
      </c>
      <c r="P1618" s="1">
        <f t="shared" si="3618"/>
        <v>0.41759455554142105</v>
      </c>
      <c r="Q1618" s="1">
        <f t="shared" si="3619"/>
        <v>0</v>
      </c>
      <c r="R1618" s="1">
        <f t="shared" si="3620"/>
        <v>0.77498143061334701</v>
      </c>
      <c r="S1618" s="1">
        <f t="shared" si="3621"/>
        <v>0.70142057757852194</v>
      </c>
      <c r="T1618" s="1">
        <f t="shared" ref="T1618:V1618" si="3663">$S1618*P1618</f>
        <v>0.29290941434150969</v>
      </c>
      <c r="U1618" s="1">
        <f t="shared" si="3663"/>
        <v>0</v>
      </c>
      <c r="V1618" s="1">
        <f t="shared" si="3663"/>
        <v>0.54358792267344314</v>
      </c>
      <c r="W1618" s="1">
        <f t="shared" si="3623"/>
        <v>-7.3443652936624755</v>
      </c>
      <c r="X1618" s="1">
        <f t="shared" si="3624"/>
        <v>0</v>
      </c>
      <c r="Y1618" s="1">
        <f t="shared" si="3625"/>
        <v>-5.1477578761503411</v>
      </c>
    </row>
    <row r="1619" spans="1:25">
      <c r="A1619" s="1">
        <v>1.61699999999999</v>
      </c>
      <c r="B1619" s="1">
        <f t="shared" si="3626"/>
        <v>47.420091922206282</v>
      </c>
      <c r="C1619" s="1">
        <f t="shared" si="3627"/>
        <v>0</v>
      </c>
      <c r="D1619" s="1">
        <f t="shared" si="3628"/>
        <v>-4.1284289512013475</v>
      </c>
      <c r="E1619" s="1">
        <f t="shared" si="3629"/>
        <v>12.845784490978435</v>
      </c>
      <c r="F1619" s="1">
        <f t="shared" si="3630"/>
        <v>0</v>
      </c>
      <c r="G1619" s="1">
        <f t="shared" si="3631"/>
        <v>-6.9309867780493404</v>
      </c>
      <c r="H1619" s="1">
        <f t="shared" si="3456"/>
        <v>14.596326829245667</v>
      </c>
      <c r="I1619" s="1">
        <f t="shared" si="3614"/>
        <v>-7.6308083868844703</v>
      </c>
      <c r="J1619" s="1">
        <f t="shared" si="3615"/>
        <v>0</v>
      </c>
      <c r="K1619" s="1">
        <f t="shared" si="3616"/>
        <v>4.1172286575777548</v>
      </c>
      <c r="L1619" s="1">
        <f t="shared" ref="L1619:N1619" si="3664">E1619/$H1619</f>
        <v>0.88006966692744992</v>
      </c>
      <c r="M1619" s="1">
        <f t="shared" si="3664"/>
        <v>0</v>
      </c>
      <c r="N1619" s="1">
        <f t="shared" si="3664"/>
        <v>-0.47484458652722095</v>
      </c>
      <c r="O1619" s="1">
        <f t="shared" si="3458"/>
        <v>-0.47484458652722095</v>
      </c>
      <c r="P1619" s="1">
        <f t="shared" si="3618"/>
        <v>0.41789631710731401</v>
      </c>
      <c r="Q1619" s="1">
        <f t="shared" si="3619"/>
        <v>0</v>
      </c>
      <c r="R1619" s="1">
        <f t="shared" si="3620"/>
        <v>0.77452261864579253</v>
      </c>
      <c r="S1619" s="1">
        <f t="shared" si="3621"/>
        <v>0.70103424665780723</v>
      </c>
      <c r="T1619" s="1">
        <f t="shared" ref="T1619:V1619" si="3665">$S1619*P1619</f>
        <v>0.292959629844398</v>
      </c>
      <c r="U1619" s="1">
        <f t="shared" si="3665"/>
        <v>0</v>
      </c>
      <c r="V1619" s="1">
        <f t="shared" si="3665"/>
        <v>0.54296688048178532</v>
      </c>
      <c r="W1619" s="1">
        <f t="shared" si="3623"/>
        <v>-7.3378487570400726</v>
      </c>
      <c r="X1619" s="1">
        <f t="shared" si="3624"/>
        <v>0</v>
      </c>
      <c r="Y1619" s="1">
        <f t="shared" si="3625"/>
        <v>-5.1464544619404595</v>
      </c>
    </row>
    <row r="1620" spans="1:25">
      <c r="A1620" s="1">
        <v>1.6179999999999899</v>
      </c>
      <c r="B1620" s="1">
        <f t="shared" si="3626"/>
        <v>47.432930368848503</v>
      </c>
      <c r="C1620" s="1">
        <f t="shared" si="3627"/>
        <v>0</v>
      </c>
      <c r="D1620" s="1">
        <f t="shared" si="3628"/>
        <v>-4.1353650844338583</v>
      </c>
      <c r="E1620" s="1">
        <f t="shared" si="3629"/>
        <v>12.838446642221395</v>
      </c>
      <c r="F1620" s="1">
        <f t="shared" si="3630"/>
        <v>0</v>
      </c>
      <c r="G1620" s="1">
        <f t="shared" si="3631"/>
        <v>-6.9361332325112812</v>
      </c>
      <c r="H1620" s="1">
        <f t="shared" si="3456"/>
        <v>14.592314977559703</v>
      </c>
      <c r="I1620" s="1">
        <f t="shared" si="3614"/>
        <v>-7.6243533127316443</v>
      </c>
      <c r="J1620" s="1">
        <f t="shared" si="3615"/>
        <v>0</v>
      </c>
      <c r="K1620" s="1">
        <f t="shared" si="3616"/>
        <v>4.1191533417235258</v>
      </c>
      <c r="L1620" s="1">
        <f t="shared" ref="L1620:N1620" si="3666">E1620/$H1620</f>
        <v>0.8798087665983475</v>
      </c>
      <c r="M1620" s="1">
        <f t="shared" si="3666"/>
        <v>0</v>
      </c>
      <c r="N1620" s="1">
        <f t="shared" si="3666"/>
        <v>-0.4753278176339929</v>
      </c>
      <c r="O1620" s="1">
        <f t="shared" si="3458"/>
        <v>-0.4753278176339929</v>
      </c>
      <c r="P1620" s="1">
        <f t="shared" si="3618"/>
        <v>0.41819758096244752</v>
      </c>
      <c r="Q1620" s="1">
        <f t="shared" si="3619"/>
        <v>0</v>
      </c>
      <c r="R1620" s="1">
        <f t="shared" si="3620"/>
        <v>0.77406346578330565</v>
      </c>
      <c r="S1620" s="1">
        <f t="shared" si="3621"/>
        <v>0.70064893616811763</v>
      </c>
      <c r="T1620" s="1">
        <f t="shared" ref="T1620:V1620" si="3667">$S1620*P1620</f>
        <v>0.29300969020941908</v>
      </c>
      <c r="U1620" s="1">
        <f t="shared" si="3667"/>
        <v>0</v>
      </c>
      <c r="V1620" s="1">
        <f t="shared" si="3667"/>
        <v>0.54234674382767922</v>
      </c>
      <c r="W1620" s="1">
        <f t="shared" si="3623"/>
        <v>-7.3313436225222253</v>
      </c>
      <c r="X1620" s="1">
        <f t="shared" si="3624"/>
        <v>0</v>
      </c>
      <c r="Y1620" s="1">
        <f t="shared" si="3625"/>
        <v>-5.145149914448794</v>
      </c>
    </row>
    <row r="1621" spans="1:25">
      <c r="A1621" s="1">
        <v>1.61899999999999</v>
      </c>
      <c r="B1621" s="1">
        <f t="shared" si="3626"/>
        <v>47.445761484147098</v>
      </c>
      <c r="C1621" s="1">
        <f t="shared" si="3627"/>
        <v>0</v>
      </c>
      <c r="D1621" s="1">
        <f t="shared" si="3628"/>
        <v>-4.1423063628162842</v>
      </c>
      <c r="E1621" s="1">
        <f t="shared" si="3629"/>
        <v>12.831115298598872</v>
      </c>
      <c r="F1621" s="1">
        <f t="shared" si="3630"/>
        <v>0</v>
      </c>
      <c r="G1621" s="1">
        <f t="shared" si="3631"/>
        <v>-6.9412783824257298</v>
      </c>
      <c r="H1621" s="1">
        <f t="shared" si="3456"/>
        <v>14.5883126299195</v>
      </c>
      <c r="I1621" s="1">
        <f t="shared" si="3614"/>
        <v>-7.6179094597837747</v>
      </c>
      <c r="J1621" s="1">
        <f t="shared" si="3615"/>
        <v>0</v>
      </c>
      <c r="K1621" s="1">
        <f t="shared" si="3616"/>
        <v>4.1210782556250383</v>
      </c>
      <c r="L1621" s="1">
        <f t="shared" ref="L1621:N1621" si="3668">E1621/$H1621</f>
        <v>0.87954759567485885</v>
      </c>
      <c r="M1621" s="1">
        <f t="shared" si="3668"/>
        <v>0</v>
      </c>
      <c r="N1621" s="1">
        <f t="shared" si="3668"/>
        <v>-0.4758109151150014</v>
      </c>
      <c r="O1621" s="1">
        <f t="shared" si="3458"/>
        <v>-0.4758109151150014</v>
      </c>
      <c r="P1621" s="1">
        <f t="shared" si="3618"/>
        <v>0.41849834638525385</v>
      </c>
      <c r="Q1621" s="1">
        <f t="shared" si="3619"/>
        <v>0</v>
      </c>
      <c r="R1621" s="1">
        <f t="shared" si="3620"/>
        <v>0.7736039730574249</v>
      </c>
      <c r="S1621" s="1">
        <f t="shared" si="3621"/>
        <v>0.70026464401842647</v>
      </c>
      <c r="T1621" s="1">
        <f t="shared" ref="T1621:V1621" si="3669">$S1621*P1621</f>
        <v>0.29305959555376992</v>
      </c>
      <c r="U1621" s="1">
        <f t="shared" si="3669"/>
        <v>0</v>
      </c>
      <c r="V1621" s="1">
        <f t="shared" si="3669"/>
        <v>0.54172751080429804</v>
      </c>
      <c r="W1621" s="1">
        <f t="shared" si="3623"/>
        <v>-7.3248498642300044</v>
      </c>
      <c r="X1621" s="1">
        <f t="shared" si="3624"/>
        <v>0</v>
      </c>
      <c r="Y1621" s="1">
        <f t="shared" si="3625"/>
        <v>-5.1438442335706629</v>
      </c>
    </row>
    <row r="1622" spans="1:25">
      <c r="A1622" s="1">
        <v>1.6199999999999899</v>
      </c>
      <c r="B1622" s="1">
        <f t="shared" si="3626"/>
        <v>47.458585274595833</v>
      </c>
      <c r="C1622" s="1">
        <f t="shared" si="3627"/>
        <v>0</v>
      </c>
      <c r="D1622" s="1">
        <f t="shared" si="3628"/>
        <v>-4.1492527850429433</v>
      </c>
      <c r="E1622" s="1">
        <f t="shared" si="3629"/>
        <v>12.823790448734643</v>
      </c>
      <c r="F1622" s="1">
        <f t="shared" si="3630"/>
        <v>0</v>
      </c>
      <c r="G1622" s="1">
        <f t="shared" si="3631"/>
        <v>-6.9464222266593003</v>
      </c>
      <c r="H1622" s="1">
        <f t="shared" si="3456"/>
        <v>14.584319772415999</v>
      </c>
      <c r="I1622" s="1">
        <f t="shared" si="3614"/>
        <v>-7.6114768023436836</v>
      </c>
      <c r="J1622" s="1">
        <f t="shared" si="3615"/>
        <v>0</v>
      </c>
      <c r="K1622" s="1">
        <f t="shared" si="3616"/>
        <v>4.1230034012852181</v>
      </c>
      <c r="L1622" s="1">
        <f t="shared" ref="L1622:N1622" si="3670">E1622/$H1622</f>
        <v>0.8792861545033368</v>
      </c>
      <c r="M1622" s="1">
        <f t="shared" si="3670"/>
        <v>0</v>
      </c>
      <c r="N1622" s="1">
        <f t="shared" si="3670"/>
        <v>-0.4762938782923144</v>
      </c>
      <c r="O1622" s="1">
        <f t="shared" si="3458"/>
        <v>-0.4762938782923144</v>
      </c>
      <c r="P1622" s="1">
        <f t="shared" si="3618"/>
        <v>0.41879861265712948</v>
      </c>
      <c r="Q1622" s="1">
        <f t="shared" si="3619"/>
        <v>0</v>
      </c>
      <c r="R1622" s="1">
        <f t="shared" si="3620"/>
        <v>0.77314414150126598</v>
      </c>
      <c r="S1622" s="1">
        <f t="shared" si="3621"/>
        <v>0.69988136812280322</v>
      </c>
      <c r="T1622" s="1">
        <f t="shared" ref="T1622:V1622" si="3671">$S1622*P1622</f>
        <v>0.29310934599440369</v>
      </c>
      <c r="U1622" s="1">
        <f t="shared" si="3671"/>
        <v>0</v>
      </c>
      <c r="V1622" s="1">
        <f t="shared" si="3671"/>
        <v>0.54110917951003623</v>
      </c>
      <c r="W1622" s="1">
        <f t="shared" si="3623"/>
        <v>-7.3183674563492795</v>
      </c>
      <c r="X1622" s="1">
        <f t="shared" si="3624"/>
        <v>0</v>
      </c>
      <c r="Y1622" s="1">
        <f t="shared" si="3625"/>
        <v>-5.1425374192047446</v>
      </c>
    </row>
    <row r="1623" spans="1:25">
      <c r="A1623" s="1">
        <v>1.62099999999999</v>
      </c>
      <c r="B1623" s="1">
        <f t="shared" si="3626"/>
        <v>47.47140174667711</v>
      </c>
      <c r="C1623" s="1">
        <f t="shared" si="3627"/>
        <v>0</v>
      </c>
      <c r="D1623" s="1">
        <f t="shared" si="3628"/>
        <v>-4.1562043498070214</v>
      </c>
      <c r="E1623" s="1">
        <f t="shared" si="3629"/>
        <v>12.816472081278294</v>
      </c>
      <c r="F1623" s="1">
        <f t="shared" si="3630"/>
        <v>0</v>
      </c>
      <c r="G1623" s="1">
        <f t="shared" si="3631"/>
        <v>-6.9515647640785048</v>
      </c>
      <c r="H1623" s="1">
        <f t="shared" si="3456"/>
        <v>14.580336391159287</v>
      </c>
      <c r="I1623" s="1">
        <f t="shared" si="3614"/>
        <v>-7.605055314778542</v>
      </c>
      <c r="J1623" s="1">
        <f t="shared" si="3615"/>
        <v>0</v>
      </c>
      <c r="K1623" s="1">
        <f t="shared" si="3616"/>
        <v>4.1249287806984096</v>
      </c>
      <c r="L1623" s="1">
        <f t="shared" ref="L1623:N1623" si="3672">E1623/$H1623</f>
        <v>0.87902444343118835</v>
      </c>
      <c r="M1623" s="1">
        <f t="shared" si="3672"/>
        <v>0</v>
      </c>
      <c r="N1623" s="1">
        <f t="shared" si="3672"/>
        <v>-0.47677670648899095</v>
      </c>
      <c r="O1623" s="1">
        <f t="shared" si="3458"/>
        <v>-0.47677670648899095</v>
      </c>
      <c r="P1623" s="1">
        <f t="shared" si="3618"/>
        <v>0.4190983790624403</v>
      </c>
      <c r="Q1623" s="1">
        <f t="shared" si="3619"/>
        <v>0</v>
      </c>
      <c r="R1623" s="1">
        <f t="shared" si="3620"/>
        <v>0.77268397214951057</v>
      </c>
      <c r="S1623" s="1">
        <f t="shared" si="3621"/>
        <v>0.69949910640039703</v>
      </c>
      <c r="T1623" s="1">
        <f t="shared" ref="T1623:V1623" si="3673">$S1623*P1623</f>
        <v>0.29315894164803186</v>
      </c>
      <c r="U1623" s="1">
        <f t="shared" si="3673"/>
        <v>0</v>
      </c>
      <c r="V1623" s="1">
        <f t="shared" si="3673"/>
        <v>0.54049174804849187</v>
      </c>
      <c r="W1623" s="1">
        <f t="shared" si="3623"/>
        <v>-7.3118963731305104</v>
      </c>
      <c r="X1623" s="1">
        <f t="shared" si="3624"/>
        <v>0</v>
      </c>
      <c r="Y1623" s="1">
        <f t="shared" si="3625"/>
        <v>-5.1412294712530979</v>
      </c>
    </row>
    <row r="1624" spans="1:25">
      <c r="A1624" s="1">
        <v>1.6219999999999899</v>
      </c>
      <c r="B1624" s="1">
        <f t="shared" si="3626"/>
        <v>47.484210906862018</v>
      </c>
      <c r="C1624" s="1">
        <f t="shared" si="3627"/>
        <v>0</v>
      </c>
      <c r="D1624" s="1">
        <f t="shared" si="3628"/>
        <v>-4.1631610558005709</v>
      </c>
      <c r="E1624" s="1">
        <f t="shared" si="3629"/>
        <v>12.809160184905164</v>
      </c>
      <c r="F1624" s="1">
        <f t="shared" si="3630"/>
        <v>0</v>
      </c>
      <c r="G1624" s="1">
        <f t="shared" si="3631"/>
        <v>-6.9567059935497575</v>
      </c>
      <c r="H1624" s="1">
        <f t="shared" si="3456"/>
        <v>14.576362472278563</v>
      </c>
      <c r="I1624" s="1">
        <f t="shared" si="3614"/>
        <v>-7.5986449715196871</v>
      </c>
      <c r="J1624" s="1">
        <f t="shared" si="3615"/>
        <v>0</v>
      </c>
      <c r="K1624" s="1">
        <f t="shared" si="3616"/>
        <v>4.1268543958503949</v>
      </c>
      <c r="L1624" s="1">
        <f t="shared" ref="L1624:N1624" si="3674">E1624/$H1624</f>
        <v>0.8787624628068712</v>
      </c>
      <c r="M1624" s="1">
        <f t="shared" si="3674"/>
        <v>0</v>
      </c>
      <c r="N1624" s="1">
        <f t="shared" si="3674"/>
        <v>-0.47725939902908382</v>
      </c>
      <c r="O1624" s="1">
        <f t="shared" si="3458"/>
        <v>-0.47725939902908382</v>
      </c>
      <c r="P1624" s="1">
        <f t="shared" si="3618"/>
        <v>0.41939764488852499</v>
      </c>
      <c r="Q1624" s="1">
        <f t="shared" si="3619"/>
        <v>0</v>
      </c>
      <c r="R1624" s="1">
        <f t="shared" si="3620"/>
        <v>0.77222346603839775</v>
      </c>
      <c r="S1624" s="1">
        <f t="shared" si="3621"/>
        <v>0.6991178567754206</v>
      </c>
      <c r="T1624" s="1">
        <f t="shared" ref="T1624:V1624" si="3675">$S1624*P1624</f>
        <v>0.29320838263112453</v>
      </c>
      <c r="U1624" s="1">
        <f t="shared" si="3675"/>
        <v>0</v>
      </c>
      <c r="V1624" s="1">
        <f t="shared" si="3675"/>
        <v>0.53987521452845144</v>
      </c>
      <c r="W1624" s="1">
        <f t="shared" si="3623"/>
        <v>-7.3054365888885622</v>
      </c>
      <c r="X1624" s="1">
        <f t="shared" si="3624"/>
        <v>0</v>
      </c>
      <c r="Y1624" s="1">
        <f t="shared" si="3625"/>
        <v>-5.1399203896211532</v>
      </c>
    </row>
    <row r="1625" spans="1:25">
      <c r="A1625" s="1">
        <v>1.62299999999999</v>
      </c>
      <c r="B1625" s="1">
        <f t="shared" si="3626"/>
        <v>47.497012761610335</v>
      </c>
      <c r="C1625" s="1">
        <f t="shared" si="3627"/>
        <v>0</v>
      </c>
      <c r="D1625" s="1">
        <f t="shared" si="3628"/>
        <v>-4.1701229017145103</v>
      </c>
      <c r="E1625" s="1">
        <f t="shared" si="3629"/>
        <v>12.801854748316275</v>
      </c>
      <c r="F1625" s="1">
        <f t="shared" si="3630"/>
        <v>0</v>
      </c>
      <c r="G1625" s="1">
        <f t="shared" si="3631"/>
        <v>-6.9618459139393787</v>
      </c>
      <c r="H1625" s="1">
        <f t="shared" si="3456"/>
        <v>14.572398001922071</v>
      </c>
      <c r="I1625" s="1">
        <f t="shared" si="3614"/>
        <v>-7.5922457470624103</v>
      </c>
      <c r="J1625" s="1">
        <f t="shared" si="3615"/>
        <v>0</v>
      </c>
      <c r="K1625" s="1">
        <f t="shared" si="3616"/>
        <v>4.1287802487183978</v>
      </c>
      <c r="L1625" s="1">
        <f t="shared" ref="L1625:N1625" si="3676">E1625/$H1625</f>
        <v>0.87850021297989089</v>
      </c>
      <c r="M1625" s="1">
        <f t="shared" si="3676"/>
        <v>0</v>
      </c>
      <c r="N1625" s="1">
        <f t="shared" si="3676"/>
        <v>-0.47774195523764346</v>
      </c>
      <c r="O1625" s="1">
        <f t="shared" si="3458"/>
        <v>-0.47774195523764346</v>
      </c>
      <c r="P1625" s="1">
        <f t="shared" si="3618"/>
        <v>0.4196964094256993</v>
      </c>
      <c r="Q1625" s="1">
        <f t="shared" si="3619"/>
        <v>0</v>
      </c>
      <c r="R1625" s="1">
        <f t="shared" si="3620"/>
        <v>0.77176262420571351</v>
      </c>
      <c r="S1625" s="1">
        <f t="shared" si="3621"/>
        <v>0.69873761717713401</v>
      </c>
      <c r="T1625" s="1">
        <f t="shared" ref="T1625:V1625" si="3677">$S1625*P1625</f>
        <v>0.29325766905991196</v>
      </c>
      <c r="U1625" s="1">
        <f t="shared" si="3677"/>
        <v>0</v>
      </c>
      <c r="V1625" s="1">
        <f t="shared" si="3677"/>
        <v>0.53925957706387218</v>
      </c>
      <c r="W1625" s="1">
        <f t="shared" si="3623"/>
        <v>-7.2989880780024983</v>
      </c>
      <c r="X1625" s="1">
        <f t="shared" si="3624"/>
        <v>0</v>
      </c>
      <c r="Y1625" s="1">
        <f t="shared" si="3625"/>
        <v>-5.1386101742177299</v>
      </c>
    </row>
    <row r="1626" spans="1:25">
      <c r="A1626" s="1">
        <v>1.6239999999999899</v>
      </c>
      <c r="B1626" s="1">
        <f t="shared" si="3626"/>
        <v>47.509807317370573</v>
      </c>
      <c r="C1626" s="1">
        <f t="shared" si="3627"/>
        <v>0</v>
      </c>
      <c r="D1626" s="1">
        <f t="shared" si="3628"/>
        <v>-4.1770898862386243</v>
      </c>
      <c r="E1626" s="1">
        <f t="shared" si="3629"/>
        <v>12.794555760238273</v>
      </c>
      <c r="F1626" s="1">
        <f t="shared" si="3630"/>
        <v>0</v>
      </c>
      <c r="G1626" s="1">
        <f t="shared" si="3631"/>
        <v>-6.9669845241135961</v>
      </c>
      <c r="H1626" s="1">
        <f t="shared" si="3456"/>
        <v>14.568442966257058</v>
      </c>
      <c r="I1626" s="1">
        <f t="shared" si="3614"/>
        <v>-7.585857615965776</v>
      </c>
      <c r="J1626" s="1">
        <f t="shared" si="3615"/>
        <v>0</v>
      </c>
      <c r="K1626" s="1">
        <f t="shared" si="3616"/>
        <v>4.1307063412710923</v>
      </c>
      <c r="L1626" s="1">
        <f t="shared" ref="L1626:N1626" si="3678">E1626/$H1626</f>
        <v>0.87823769430079779</v>
      </c>
      <c r="M1626" s="1">
        <f t="shared" si="3678"/>
        <v>0</v>
      </c>
      <c r="N1626" s="1">
        <f t="shared" si="3678"/>
        <v>-0.47822437444072052</v>
      </c>
      <c r="O1626" s="1">
        <f t="shared" si="3458"/>
        <v>-0.47822437444072052</v>
      </c>
      <c r="P1626" s="1">
        <f t="shared" si="3618"/>
        <v>0.41999467196725976</v>
      </c>
      <c r="Q1626" s="1">
        <f t="shared" si="3619"/>
        <v>0</v>
      </c>
      <c r="R1626" s="1">
        <f t="shared" si="3620"/>
        <v>0.77130144769078157</v>
      </c>
      <c r="S1626" s="1">
        <f t="shared" si="3621"/>
        <v>0.69835838553982854</v>
      </c>
      <c r="T1626" s="1">
        <f t="shared" ref="T1626:V1626" si="3679">$S1626*P1626</f>
        <v>0.29330680105038542</v>
      </c>
      <c r="U1626" s="1">
        <f t="shared" si="3679"/>
        <v>0</v>
      </c>
      <c r="V1626" s="1">
        <f t="shared" si="3679"/>
        <v>0.53864483377386674</v>
      </c>
      <c r="W1626" s="1">
        <f t="shared" si="3623"/>
        <v>-7.2925508149153906</v>
      </c>
      <c r="X1626" s="1">
        <f t="shared" si="3624"/>
        <v>0</v>
      </c>
      <c r="Y1626" s="1">
        <f t="shared" si="3625"/>
        <v>-5.1372988249550406</v>
      </c>
    </row>
    <row r="1627" spans="1:25">
      <c r="A1627" s="1">
        <v>1.62499999999999</v>
      </c>
      <c r="B1627" s="1">
        <f t="shared" si="3626"/>
        <v>47.522594580579998</v>
      </c>
      <c r="C1627" s="1">
        <f t="shared" si="3627"/>
        <v>0</v>
      </c>
      <c r="D1627" s="1">
        <f t="shared" si="3628"/>
        <v>-4.1840620080615629</v>
      </c>
      <c r="E1627" s="1">
        <f t="shared" si="3629"/>
        <v>12.787263209423358</v>
      </c>
      <c r="F1627" s="1">
        <f t="shared" si="3630"/>
        <v>0</v>
      </c>
      <c r="G1627" s="1">
        <f t="shared" si="3631"/>
        <v>-6.9721218229385515</v>
      </c>
      <c r="H1627" s="1">
        <f t="shared" si="3456"/>
        <v>14.564497351469708</v>
      </c>
      <c r="I1627" s="1">
        <f t="shared" si="3614"/>
        <v>-7.5794805528524174</v>
      </c>
      <c r="J1627" s="1">
        <f t="shared" si="3615"/>
        <v>0</v>
      </c>
      <c r="K1627" s="1">
        <f t="shared" si="3616"/>
        <v>4.1326326754686198</v>
      </c>
      <c r="L1627" s="1">
        <f t="shared" ref="L1627:N1627" si="3680">E1627/$H1627</f>
        <v>0.87797490712118476</v>
      </c>
      <c r="M1627" s="1">
        <f t="shared" si="3680"/>
        <v>0</v>
      </c>
      <c r="N1627" s="1">
        <f t="shared" si="3680"/>
        <v>-0.47870665596536999</v>
      </c>
      <c r="O1627" s="1">
        <f t="shared" si="3458"/>
        <v>-0.47870665596536999</v>
      </c>
      <c r="P1627" s="1">
        <f t="shared" si="3618"/>
        <v>0.42029243180948866</v>
      </c>
      <c r="Q1627" s="1">
        <f t="shared" si="3619"/>
        <v>0</v>
      </c>
      <c r="R1627" s="1">
        <f t="shared" si="3620"/>
        <v>0.7708399375344529</v>
      </c>
      <c r="S1627" s="1">
        <f t="shared" si="3621"/>
        <v>0.69798015980281003</v>
      </c>
      <c r="T1627" s="1">
        <f t="shared" ref="T1627:V1627" si="3681">$S1627*P1627</f>
        <v>0.29335577871829854</v>
      </c>
      <c r="U1627" s="1">
        <f t="shared" si="3681"/>
        <v>0</v>
      </c>
      <c r="V1627" s="1">
        <f t="shared" si="3681"/>
        <v>0.53803098278268557</v>
      </c>
      <c r="W1627" s="1">
        <f t="shared" si="3623"/>
        <v>-7.2861247741341186</v>
      </c>
      <c r="X1627" s="1">
        <f t="shared" si="3624"/>
        <v>0</v>
      </c>
      <c r="Y1627" s="1">
        <f t="shared" si="3625"/>
        <v>-5.1359863417486942</v>
      </c>
    </row>
    <row r="1628" spans="1:25">
      <c r="A1628" s="1">
        <v>1.6259999999999899</v>
      </c>
      <c r="B1628" s="1">
        <f t="shared" si="3626"/>
        <v>47.535374557664646</v>
      </c>
      <c r="C1628" s="1">
        <f t="shared" si="3627"/>
        <v>0</v>
      </c>
      <c r="D1628" s="1">
        <f t="shared" si="3628"/>
        <v>-4.1910392658708435</v>
      </c>
      <c r="E1628" s="1">
        <f t="shared" si="3629"/>
        <v>12.779977084649223</v>
      </c>
      <c r="F1628" s="1">
        <f t="shared" si="3630"/>
        <v>0</v>
      </c>
      <c r="G1628" s="1">
        <f t="shared" si="3631"/>
        <v>-6.9772578092803004</v>
      </c>
      <c r="H1628" s="1">
        <f t="shared" si="3456"/>
        <v>14.560561143765106</v>
      </c>
      <c r="I1628" s="1">
        <f t="shared" si="3614"/>
        <v>-7.5731145324083542</v>
      </c>
      <c r="J1628" s="1">
        <f t="shared" si="3615"/>
        <v>0</v>
      </c>
      <c r="K1628" s="1">
        <f t="shared" si="3616"/>
        <v>4.1345592532625917</v>
      </c>
      <c r="L1628" s="1">
        <f t="shared" ref="L1628:N1628" si="3682">E1628/$H1628</f>
        <v>0.87771185179368338</v>
      </c>
      <c r="M1628" s="1">
        <f t="shared" si="3682"/>
        <v>0</v>
      </c>
      <c r="N1628" s="1">
        <f t="shared" si="3682"/>
        <v>-0.47918879913965345</v>
      </c>
      <c r="O1628" s="1">
        <f t="shared" si="3458"/>
        <v>-0.47918879913965345</v>
      </c>
      <c r="P1628" s="1">
        <f t="shared" si="3618"/>
        <v>0.4205896882516566</v>
      </c>
      <c r="Q1628" s="1">
        <f t="shared" si="3619"/>
        <v>0</v>
      </c>
      <c r="R1628" s="1">
        <f t="shared" si="3620"/>
        <v>0.7703780947790968</v>
      </c>
      <c r="S1628" s="1">
        <f t="shared" si="3621"/>
        <v>0.69760293791038408</v>
      </c>
      <c r="T1628" s="1">
        <f t="shared" ref="T1628:V1628" si="3683">$S1628*P1628</f>
        <v>0.29340460217916819</v>
      </c>
      <c r="U1628" s="1">
        <f t="shared" si="3683"/>
        <v>0</v>
      </c>
      <c r="V1628" s="1">
        <f t="shared" si="3683"/>
        <v>0.53741802221970225</v>
      </c>
      <c r="W1628" s="1">
        <f t="shared" si="3623"/>
        <v>-7.2797099302291857</v>
      </c>
      <c r="X1628" s="1">
        <f t="shared" si="3624"/>
        <v>0</v>
      </c>
      <c r="Y1628" s="1">
        <f t="shared" si="3625"/>
        <v>-5.1346727245177055</v>
      </c>
    </row>
    <row r="1629" spans="1:25">
      <c r="A1629" s="1">
        <v>1.62699999999999</v>
      </c>
      <c r="B1629" s="1">
        <f t="shared" si="3626"/>
        <v>47.548147255039368</v>
      </c>
      <c r="C1629" s="1">
        <f t="shared" si="3627"/>
        <v>0</v>
      </c>
      <c r="D1629" s="1">
        <f t="shared" si="3628"/>
        <v>-4.1980216583528485</v>
      </c>
      <c r="E1629" s="1">
        <f t="shared" si="3629"/>
        <v>12.772697374718994</v>
      </c>
      <c r="F1629" s="1">
        <f t="shared" si="3630"/>
        <v>0</v>
      </c>
      <c r="G1629" s="1">
        <f t="shared" si="3631"/>
        <v>-6.9823924820048182</v>
      </c>
      <c r="H1629" s="1">
        <f t="shared" si="3456"/>
        <v>14.556634329367174</v>
      </c>
      <c r="I1629" s="1">
        <f t="shared" si="3614"/>
        <v>-7.5667595293827921</v>
      </c>
      <c r="J1629" s="1">
        <f t="shared" si="3615"/>
        <v>0</v>
      </c>
      <c r="K1629" s="1">
        <f t="shared" si="3616"/>
        <v>4.1364860765961033</v>
      </c>
      <c r="L1629" s="1">
        <f t="shared" ref="L1629:N1629" si="3684">E1629/$H1629</f>
        <v>0.87744852867196166</v>
      </c>
      <c r="M1629" s="1">
        <f t="shared" si="3684"/>
        <v>0</v>
      </c>
      <c r="N1629" s="1">
        <f t="shared" si="3684"/>
        <v>-0.47967080329264317</v>
      </c>
      <c r="O1629" s="1">
        <f t="shared" si="3458"/>
        <v>-0.47967080329264317</v>
      </c>
      <c r="P1629" s="1">
        <f t="shared" si="3618"/>
        <v>0.4208864405960277</v>
      </c>
      <c r="Q1629" s="1">
        <f t="shared" si="3619"/>
        <v>0</v>
      </c>
      <c r="R1629" s="1">
        <f t="shared" si="3620"/>
        <v>0.76991592046859036</v>
      </c>
      <c r="S1629" s="1">
        <f t="shared" si="3621"/>
        <v>0.69722671781183876</v>
      </c>
      <c r="T1629" s="1">
        <f t="shared" ref="T1629:V1629" si="3685">$S1629*P1629</f>
        <v>0.29345327154827583</v>
      </c>
      <c r="U1629" s="1">
        <f t="shared" si="3685"/>
        <v>0</v>
      </c>
      <c r="V1629" s="1">
        <f t="shared" si="3685"/>
        <v>0.53680595021939592</v>
      </c>
      <c r="W1629" s="1">
        <f t="shared" si="3623"/>
        <v>-7.2733062578345162</v>
      </c>
      <c r="X1629" s="1">
        <f t="shared" si="3624"/>
        <v>0</v>
      </c>
      <c r="Y1629" s="1">
        <f t="shared" si="3625"/>
        <v>-5.1333579731845003</v>
      </c>
    </row>
    <row r="1630" spans="1:25">
      <c r="A1630" s="1">
        <v>1.6279999999999899</v>
      </c>
      <c r="B1630" s="1">
        <f t="shared" si="3626"/>
        <v>47.56091267910783</v>
      </c>
      <c r="C1630" s="1">
        <f t="shared" si="3627"/>
        <v>0</v>
      </c>
      <c r="D1630" s="1">
        <f t="shared" si="3628"/>
        <v>-4.2050091841928268</v>
      </c>
      <c r="E1630" s="1">
        <f t="shared" si="3629"/>
        <v>12.76542406846116</v>
      </c>
      <c r="F1630" s="1">
        <f t="shared" si="3630"/>
        <v>0</v>
      </c>
      <c r="G1630" s="1">
        <f t="shared" si="3631"/>
        <v>-6.9875258399780025</v>
      </c>
      <c r="H1630" s="1">
        <f t="shared" si="3456"/>
        <v>14.552716894518623</v>
      </c>
      <c r="I1630" s="1">
        <f t="shared" si="3614"/>
        <v>-7.5604155185879325</v>
      </c>
      <c r="J1630" s="1">
        <f t="shared" si="3615"/>
        <v>0</v>
      </c>
      <c r="K1630" s="1">
        <f t="shared" si="3616"/>
        <v>4.1384131474037451</v>
      </c>
      <c r="L1630" s="1">
        <f t="shared" ref="L1630:N1630" si="3686">E1630/$H1630</f>
        <v>0.87718493811072085</v>
      </c>
      <c r="M1630" s="1">
        <f t="shared" si="3686"/>
        <v>0</v>
      </c>
      <c r="N1630" s="1">
        <f t="shared" si="3686"/>
        <v>-0.48015266775442461</v>
      </c>
      <c r="O1630" s="1">
        <f t="shared" si="3458"/>
        <v>-0.48015266775442461</v>
      </c>
      <c r="P1630" s="1">
        <f t="shared" si="3618"/>
        <v>0.42118268814786247</v>
      </c>
      <c r="Q1630" s="1">
        <f t="shared" si="3619"/>
        <v>0</v>
      </c>
      <c r="R1630" s="1">
        <f t="shared" si="3620"/>
        <v>0.76945341564830916</v>
      </c>
      <c r="S1630" s="1">
        <f t="shared" si="3621"/>
        <v>0.69685149746142916</v>
      </c>
      <c r="T1630" s="1">
        <f t="shared" ref="T1630:V1630" si="3687">$S1630*P1630</f>
        <v>0.29350178694066809</v>
      </c>
      <c r="U1630" s="1">
        <f t="shared" si="3687"/>
        <v>0</v>
      </c>
      <c r="V1630" s="1">
        <f t="shared" si="3687"/>
        <v>0.53619476492133566</v>
      </c>
      <c r="W1630" s="1">
        <f t="shared" si="3623"/>
        <v>-7.2669137316472643</v>
      </c>
      <c r="X1630" s="1">
        <f t="shared" si="3624"/>
        <v>0</v>
      </c>
      <c r="Y1630" s="1">
        <f t="shared" si="3625"/>
        <v>-5.1320420876749182</v>
      </c>
    </row>
    <row r="1631" spans="1:25">
      <c r="A1631" s="1">
        <v>1.62899999999999</v>
      </c>
      <c r="B1631" s="1">
        <f t="shared" si="3626"/>
        <v>47.573670836262558</v>
      </c>
      <c r="C1631" s="1">
        <f t="shared" si="3627"/>
        <v>0</v>
      </c>
      <c r="D1631" s="1">
        <f t="shared" si="3628"/>
        <v>-4.2120018420748924</v>
      </c>
      <c r="E1631" s="1">
        <f t="shared" si="3629"/>
        <v>12.758157154729512</v>
      </c>
      <c r="F1631" s="1">
        <f t="shared" si="3630"/>
        <v>0</v>
      </c>
      <c r="G1631" s="1">
        <f t="shared" si="3631"/>
        <v>-6.9926578820656777</v>
      </c>
      <c r="H1631" s="1">
        <f t="shared" si="3456"/>
        <v>14.548808825480906</v>
      </c>
      <c r="I1631" s="1">
        <f t="shared" si="3614"/>
        <v>-7.554082474898788</v>
      </c>
      <c r="J1631" s="1">
        <f t="shared" si="3615"/>
        <v>0</v>
      </c>
      <c r="K1631" s="1">
        <f t="shared" si="3616"/>
        <v>4.1403404676116118</v>
      </c>
      <c r="L1631" s="1">
        <f t="shared" ref="L1631:N1631" si="3688">E1631/$H1631</f>
        <v>0.87692108046569206</v>
      </c>
      <c r="M1631" s="1">
        <f t="shared" si="3688"/>
        <v>0</v>
      </c>
      <c r="N1631" s="1">
        <f t="shared" si="3688"/>
        <v>-0.48063439185610013</v>
      </c>
      <c r="O1631" s="1">
        <f t="shared" si="3458"/>
        <v>-0.48063439185610013</v>
      </c>
      <c r="P1631" s="1">
        <f t="shared" si="3618"/>
        <v>0.42147843021542214</v>
      </c>
      <c r="Q1631" s="1">
        <f t="shared" si="3619"/>
        <v>0</v>
      </c>
      <c r="R1631" s="1">
        <f t="shared" si="3620"/>
        <v>0.76899058136511678</v>
      </c>
      <c r="S1631" s="1">
        <f t="shared" si="3621"/>
        <v>0.6964772748183623</v>
      </c>
      <c r="T1631" s="1">
        <f t="shared" ref="T1631:V1631" si="3689">$S1631*P1631</f>
        <v>0.29355014847115851</v>
      </c>
      <c r="U1631" s="1">
        <f t="shared" si="3689"/>
        <v>0</v>
      </c>
      <c r="V1631" s="1">
        <f t="shared" si="3689"/>
        <v>0.53558446447016461</v>
      </c>
      <c r="W1631" s="1">
        <f t="shared" si="3623"/>
        <v>-7.2605323264276294</v>
      </c>
      <c r="X1631" s="1">
        <f t="shared" si="3624"/>
        <v>0</v>
      </c>
      <c r="Y1631" s="1">
        <f t="shared" si="3625"/>
        <v>-5.130725067918223</v>
      </c>
    </row>
    <row r="1632" spans="1:25">
      <c r="A1632" s="1">
        <v>1.6299999999999899</v>
      </c>
      <c r="B1632" s="1">
        <f t="shared" si="3626"/>
        <v>47.586421732884958</v>
      </c>
      <c r="C1632" s="1">
        <f t="shared" si="3627"/>
        <v>0</v>
      </c>
      <c r="D1632" s="1">
        <f t="shared" si="3628"/>
        <v>-4.2189996306820259</v>
      </c>
      <c r="E1632" s="1">
        <f t="shared" si="3629"/>
        <v>12.750896622403085</v>
      </c>
      <c r="F1632" s="1">
        <f t="shared" si="3630"/>
        <v>0</v>
      </c>
      <c r="G1632" s="1">
        <f t="shared" si="3631"/>
        <v>-6.9977886071335957</v>
      </c>
      <c r="H1632" s="1">
        <f t="shared" si="3456"/>
        <v>14.544910108534157</v>
      </c>
      <c r="I1632" s="1">
        <f t="shared" si="3614"/>
        <v>-7.5477603732529843</v>
      </c>
      <c r="J1632" s="1">
        <f t="shared" si="3615"/>
        <v>0</v>
      </c>
      <c r="K1632" s="1">
        <f t="shared" si="3616"/>
        <v>4.1422680391373081</v>
      </c>
      <c r="L1632" s="1">
        <f t="shared" ref="L1632:N1632" si="3690">E1632/$H1632</f>
        <v>0.87665695609363414</v>
      </c>
      <c r="M1632" s="1">
        <f t="shared" si="3690"/>
        <v>0</v>
      </c>
      <c r="N1632" s="1">
        <f t="shared" si="3690"/>
        <v>-0.48111597492979186</v>
      </c>
      <c r="O1632" s="1">
        <f t="shared" si="3458"/>
        <v>-0.48111597492979186</v>
      </c>
      <c r="P1632" s="1">
        <f t="shared" si="3618"/>
        <v>0.42177366610997252</v>
      </c>
      <c r="Q1632" s="1">
        <f t="shared" si="3619"/>
        <v>0</v>
      </c>
      <c r="R1632" s="1">
        <f t="shared" si="3620"/>
        <v>0.76852741866735585</v>
      </c>
      <c r="S1632" s="1">
        <f t="shared" si="3621"/>
        <v>0.69610404784678004</v>
      </c>
      <c r="T1632" s="1">
        <f t="shared" ref="T1632:V1632" si="3691">$S1632*P1632</f>
        <v>0.29359835625432812</v>
      </c>
      <c r="U1632" s="1">
        <f t="shared" si="3691"/>
        <v>0</v>
      </c>
      <c r="V1632" s="1">
        <f t="shared" si="3691"/>
        <v>0.5349750470155834</v>
      </c>
      <c r="W1632" s="1">
        <f t="shared" si="3623"/>
        <v>-7.2541620169986558</v>
      </c>
      <c r="X1632" s="1">
        <f t="shared" si="3624"/>
        <v>0</v>
      </c>
      <c r="Y1632" s="1">
        <f t="shared" si="3625"/>
        <v>-5.1294069138471077</v>
      </c>
    </row>
    <row r="1633" spans="1:25">
      <c r="A1633" s="1">
        <v>1.63099999999999</v>
      </c>
      <c r="B1633" s="1">
        <f t="shared" si="3626"/>
        <v>47.599165375345343</v>
      </c>
      <c r="C1633" s="1">
        <f t="shared" si="3627"/>
        <v>0</v>
      </c>
      <c r="D1633" s="1">
        <f t="shared" si="3628"/>
        <v>-4.2260025486960737</v>
      </c>
      <c r="E1633" s="1">
        <f t="shared" si="3629"/>
        <v>12.743642460386086</v>
      </c>
      <c r="F1633" s="1">
        <f t="shared" si="3630"/>
        <v>0</v>
      </c>
      <c r="G1633" s="1">
        <f t="shared" si="3631"/>
        <v>-7.0029180140474425</v>
      </c>
      <c r="H1633" s="1">
        <f t="shared" si="3456"/>
        <v>14.541020729977154</v>
      </c>
      <c r="I1633" s="1">
        <f t="shared" si="3614"/>
        <v>-7.5414491886505743</v>
      </c>
      <c r="J1633" s="1">
        <f t="shared" si="3615"/>
        <v>0</v>
      </c>
      <c r="K1633" s="1">
        <f t="shared" si="3616"/>
        <v>4.1441958638899665</v>
      </c>
      <c r="L1633" s="1">
        <f t="shared" ref="L1633:N1633" si="3692">E1633/$H1633</f>
        <v>0.8763925653523299</v>
      </c>
      <c r="M1633" s="1">
        <f t="shared" si="3692"/>
        <v>0</v>
      </c>
      <c r="N1633" s="1">
        <f t="shared" si="3692"/>
        <v>-0.48159741630864489</v>
      </c>
      <c r="O1633" s="1">
        <f t="shared" si="3458"/>
        <v>-0.48159741630864489</v>
      </c>
      <c r="P1633" s="1">
        <f t="shared" si="3618"/>
        <v>0.42206839514578731</v>
      </c>
      <c r="Q1633" s="1">
        <f t="shared" si="3619"/>
        <v>0</v>
      </c>
      <c r="R1633" s="1">
        <f t="shared" si="3620"/>
        <v>0.76806392860483774</v>
      </c>
      <c r="S1633" s="1">
        <f t="shared" si="3621"/>
        <v>0.69573181451574451</v>
      </c>
      <c r="T1633" s="1">
        <f t="shared" ref="T1633:V1633" si="3693">$S1633*P1633</f>
        <v>0.29364641040452688</v>
      </c>
      <c r="U1633" s="1">
        <f t="shared" si="3693"/>
        <v>0</v>
      </c>
      <c r="V1633" s="1">
        <f t="shared" si="3693"/>
        <v>0.53436651071233499</v>
      </c>
      <c r="W1633" s="1">
        <f t="shared" si="3623"/>
        <v>-7.2478027782460472</v>
      </c>
      <c r="X1633" s="1">
        <f t="shared" si="3624"/>
        <v>0</v>
      </c>
      <c r="Y1633" s="1">
        <f t="shared" si="3625"/>
        <v>-5.1280876253976979</v>
      </c>
    </row>
    <row r="1634" spans="1:25">
      <c r="A1634" s="1">
        <v>1.6319999999999899</v>
      </c>
      <c r="B1634" s="1">
        <f t="shared" si="3626"/>
        <v>47.611901770002952</v>
      </c>
      <c r="C1634" s="1">
        <f t="shared" si="3627"/>
        <v>0</v>
      </c>
      <c r="D1634" s="1">
        <f t="shared" si="3628"/>
        <v>-4.2330105947977463</v>
      </c>
      <c r="E1634" s="1">
        <f t="shared" si="3629"/>
        <v>12.736394657607841</v>
      </c>
      <c r="F1634" s="1">
        <f t="shared" si="3630"/>
        <v>0</v>
      </c>
      <c r="G1634" s="1">
        <f t="shared" si="3631"/>
        <v>-7.0080461016728401</v>
      </c>
      <c r="H1634" s="1">
        <f t="shared" si="3456"/>
        <v>14.537140676127251</v>
      </c>
      <c r="I1634" s="1">
        <f t="shared" si="3614"/>
        <v>-7.5351488961538493</v>
      </c>
      <c r="J1634" s="1">
        <f t="shared" si="3615"/>
        <v>0</v>
      </c>
      <c r="K1634" s="1">
        <f t="shared" si="3616"/>
        <v>4.1461239437702515</v>
      </c>
      <c r="L1634" s="1">
        <f t="shared" ref="L1634:N1634" si="3694">E1634/$H1634</f>
        <v>0.87612790860058354</v>
      </c>
      <c r="M1634" s="1">
        <f t="shared" si="3694"/>
        <v>0</v>
      </c>
      <c r="N1634" s="1">
        <f t="shared" si="3694"/>
        <v>-0.48207871532683072</v>
      </c>
      <c r="O1634" s="1">
        <f t="shared" si="3458"/>
        <v>-0.48207871532683072</v>
      </c>
      <c r="P1634" s="1">
        <f t="shared" si="3618"/>
        <v>0.42236261664015229</v>
      </c>
      <c r="Q1634" s="1">
        <f t="shared" si="3619"/>
        <v>0</v>
      </c>
      <c r="R1634" s="1">
        <f t="shared" si="3620"/>
        <v>0.76760011222883251</v>
      </c>
      <c r="S1634" s="1">
        <f t="shared" si="3621"/>
        <v>0.69536057279922148</v>
      </c>
      <c r="T1634" s="1">
        <f t="shared" ref="T1634:V1634" si="3695">$S1634*P1634</f>
        <v>0.29369431103587429</v>
      </c>
      <c r="U1634" s="1">
        <f t="shared" si="3695"/>
        <v>0</v>
      </c>
      <c r="V1634" s="1">
        <f t="shared" si="3695"/>
        <v>0.53375885372018761</v>
      </c>
      <c r="W1634" s="1">
        <f t="shared" si="3623"/>
        <v>-7.2414545851179746</v>
      </c>
      <c r="X1634" s="1">
        <f t="shared" si="3624"/>
        <v>0</v>
      </c>
      <c r="Y1634" s="1">
        <f t="shared" si="3625"/>
        <v>-5.1267672025095603</v>
      </c>
    </row>
    <row r="1635" spans="1:25">
      <c r="A1635" s="1">
        <v>1.63299999999999</v>
      </c>
      <c r="B1635" s="1">
        <f t="shared" si="3626"/>
        <v>47.624630923205977</v>
      </c>
      <c r="C1635" s="1">
        <f t="shared" si="3627"/>
        <v>0</v>
      </c>
      <c r="D1635" s="1">
        <f t="shared" si="3628"/>
        <v>-4.2400237676666217</v>
      </c>
      <c r="E1635" s="1">
        <f t="shared" si="3629"/>
        <v>12.729153203022722</v>
      </c>
      <c r="F1635" s="1">
        <f t="shared" si="3630"/>
        <v>0</v>
      </c>
      <c r="G1635" s="1">
        <f t="shared" si="3631"/>
        <v>-7.0131728688753494</v>
      </c>
      <c r="H1635" s="1">
        <f t="shared" si="3456"/>
        <v>14.533269933320339</v>
      </c>
      <c r="I1635" s="1">
        <f t="shared" si="3614"/>
        <v>-7.5288594708871477</v>
      </c>
      <c r="J1635" s="1">
        <f t="shared" si="3615"/>
        <v>0</v>
      </c>
      <c r="K1635" s="1">
        <f t="shared" si="3616"/>
        <v>4.1480522806703712</v>
      </c>
      <c r="L1635" s="1">
        <f t="shared" ref="L1635:N1635" si="3696">E1635/$H1635</f>
        <v>0.87586298619821756</v>
      </c>
      <c r="M1635" s="1">
        <f t="shared" si="3696"/>
        <v>0</v>
      </c>
      <c r="N1635" s="1">
        <f t="shared" si="3696"/>
        <v>-0.48255987131955014</v>
      </c>
      <c r="O1635" s="1">
        <f t="shared" si="3458"/>
        <v>-0.48255987131955014</v>
      </c>
      <c r="P1635" s="1">
        <f t="shared" si="3618"/>
        <v>0.42265632991336877</v>
      </c>
      <c r="Q1635" s="1">
        <f t="shared" si="3619"/>
        <v>0</v>
      </c>
      <c r="R1635" s="1">
        <f t="shared" si="3620"/>
        <v>0.76713597059205918</v>
      </c>
      <c r="S1635" s="1">
        <f t="shared" si="3621"/>
        <v>0.69499032067606492</v>
      </c>
      <c r="T1635" s="1">
        <f t="shared" ref="T1635:V1635" si="3697">$S1635*P1635</f>
        <v>0.29374205826226085</v>
      </c>
      <c r="U1635" s="1">
        <f t="shared" si="3697"/>
        <v>0</v>
      </c>
      <c r="V1635" s="1">
        <f t="shared" si="3697"/>
        <v>0.53315207420391952</v>
      </c>
      <c r="W1635" s="1">
        <f t="shared" si="3623"/>
        <v>-7.2351174126248869</v>
      </c>
      <c r="X1635" s="1">
        <f t="shared" si="3624"/>
        <v>0</v>
      </c>
      <c r="Y1635" s="1">
        <f t="shared" si="3625"/>
        <v>-5.1254456451257084</v>
      </c>
    </row>
    <row r="1636" spans="1:25">
      <c r="A1636" s="1">
        <v>1.6339999999999899</v>
      </c>
      <c r="B1636" s="1">
        <f t="shared" si="3626"/>
        <v>47.637352841291587</v>
      </c>
      <c r="C1636" s="1">
        <f t="shared" si="3627"/>
        <v>0</v>
      </c>
      <c r="D1636" s="1">
        <f t="shared" si="3628"/>
        <v>-4.2470420659811419</v>
      </c>
      <c r="E1636" s="1">
        <f t="shared" si="3629"/>
        <v>12.721918085610097</v>
      </c>
      <c r="F1636" s="1">
        <f t="shared" si="3630"/>
        <v>0</v>
      </c>
      <c r="G1636" s="1">
        <f t="shared" si="3631"/>
        <v>-7.0182983145204751</v>
      </c>
      <c r="H1636" s="1">
        <f t="shared" si="3456"/>
        <v>14.529408487910793</v>
      </c>
      <c r="I1636" s="1">
        <f t="shared" si="3614"/>
        <v>-7.5225808880366776</v>
      </c>
      <c r="J1636" s="1">
        <f t="shared" si="3615"/>
        <v>0</v>
      </c>
      <c r="K1636" s="1">
        <f t="shared" si="3616"/>
        <v>4.1499808764740891</v>
      </c>
      <c r="L1636" s="1">
        <f t="shared" ref="L1636:N1636" si="3698">E1636/$H1636</f>
        <v>0.87559779850607</v>
      </c>
      <c r="M1636" s="1">
        <f t="shared" si="3698"/>
        <v>0</v>
      </c>
      <c r="N1636" s="1">
        <f t="shared" si="3698"/>
        <v>-0.48304088362303643</v>
      </c>
      <c r="O1636" s="1">
        <f t="shared" si="3458"/>
        <v>-0.48304088362303643</v>
      </c>
      <c r="P1636" s="1">
        <f t="shared" si="3618"/>
        <v>0.42294953428875748</v>
      </c>
      <c r="Q1636" s="1">
        <f t="shared" si="3619"/>
        <v>0</v>
      </c>
      <c r="R1636" s="1">
        <f t="shared" si="3620"/>
        <v>0.76667150474867618</v>
      </c>
      <c r="S1636" s="1">
        <f t="shared" si="3621"/>
        <v>0.69462105613000191</v>
      </c>
      <c r="T1636" s="1">
        <f t="shared" ref="T1636:V1636" si="3699">$S1636*P1636</f>
        <v>0.29378965219734915</v>
      </c>
      <c r="U1636" s="1">
        <f t="shared" si="3699"/>
        <v>0</v>
      </c>
      <c r="V1636" s="1">
        <f t="shared" si="3699"/>
        <v>0.5325461703333032</v>
      </c>
      <c r="W1636" s="1">
        <f t="shared" si="3623"/>
        <v>-7.2287912358393287</v>
      </c>
      <c r="X1636" s="1">
        <f t="shared" si="3624"/>
        <v>0</v>
      </c>
      <c r="Y1636" s="1">
        <f t="shared" si="3625"/>
        <v>-5.1241229531926074</v>
      </c>
    </row>
    <row r="1637" spans="1:25">
      <c r="A1637" s="1">
        <v>1.63499999999999</v>
      </c>
      <c r="B1637" s="1">
        <f t="shared" si="3626"/>
        <v>47.650067530585964</v>
      </c>
      <c r="C1637" s="1">
        <f t="shared" si="3627"/>
        <v>0</v>
      </c>
      <c r="D1637" s="1">
        <f t="shared" si="3628"/>
        <v>-4.2540654884186155</v>
      </c>
      <c r="E1637" s="1">
        <f t="shared" si="3629"/>
        <v>12.714689294374258</v>
      </c>
      <c r="F1637" s="1">
        <f t="shared" si="3630"/>
        <v>0</v>
      </c>
      <c r="G1637" s="1">
        <f t="shared" si="3631"/>
        <v>-7.023422437473668</v>
      </c>
      <c r="H1637" s="1">
        <f t="shared" si="3456"/>
        <v>14.525556326271429</v>
      </c>
      <c r="I1637" s="1">
        <f t="shared" si="3614"/>
        <v>-7.5163131228503213</v>
      </c>
      <c r="J1637" s="1">
        <f t="shared" si="3615"/>
        <v>0</v>
      </c>
      <c r="K1637" s="1">
        <f t="shared" si="3616"/>
        <v>4.1519097330567325</v>
      </c>
      <c r="L1637" s="1">
        <f t="shared" ref="L1637:N1637" si="3700">E1637/$H1637</f>
        <v>0.8753323458859904</v>
      </c>
      <c r="M1637" s="1">
        <f t="shared" si="3700"/>
        <v>0</v>
      </c>
      <c r="N1637" s="1">
        <f t="shared" si="3700"/>
        <v>-0.48352175157455829</v>
      </c>
      <c r="O1637" s="1">
        <f t="shared" si="3458"/>
        <v>-0.48352175157455829</v>
      </c>
      <c r="P1637" s="1">
        <f t="shared" si="3618"/>
        <v>0.42324222909266118</v>
      </c>
      <c r="Q1637" s="1">
        <f t="shared" si="3619"/>
        <v>0</v>
      </c>
      <c r="R1637" s="1">
        <f t="shared" si="3620"/>
        <v>0.76620671575427113</v>
      </c>
      <c r="S1637" s="1">
        <f t="shared" si="3621"/>
        <v>0.69425277714961786</v>
      </c>
      <c r="T1637" s="1">
        <f t="shared" ref="T1637:V1637" si="3701">$S1637*P1637</f>
        <v>0.29383709295457483</v>
      </c>
      <c r="U1637" s="1">
        <f t="shared" si="3701"/>
        <v>0</v>
      </c>
      <c r="V1637" s="1">
        <f t="shared" si="3701"/>
        <v>0.53194114028309059</v>
      </c>
      <c r="W1637" s="1">
        <f t="shared" si="3623"/>
        <v>-7.2224760298957467</v>
      </c>
      <c r="X1637" s="1">
        <f t="shared" si="3624"/>
        <v>0</v>
      </c>
      <c r="Y1637" s="1">
        <f t="shared" si="3625"/>
        <v>-5.1227991266601762</v>
      </c>
    </row>
    <row r="1638" spans="1:25">
      <c r="A1638" s="1">
        <v>1.6359999999999899</v>
      </c>
      <c r="B1638" s="1">
        <f t="shared" si="3626"/>
        <v>47.662774997404306</v>
      </c>
      <c r="C1638" s="1">
        <f t="shared" si="3627"/>
        <v>0</v>
      </c>
      <c r="D1638" s="1">
        <f t="shared" si="3628"/>
        <v>-4.2610940336552154</v>
      </c>
      <c r="E1638" s="1">
        <f t="shared" si="3629"/>
        <v>12.707466818344363</v>
      </c>
      <c r="F1638" s="1">
        <f t="shared" si="3630"/>
        <v>0</v>
      </c>
      <c r="G1638" s="1">
        <f t="shared" si="3631"/>
        <v>-7.028545236600328</v>
      </c>
      <c r="H1638" s="1">
        <f t="shared" si="3456"/>
        <v>14.521713434793435</v>
      </c>
      <c r="I1638" s="1">
        <f t="shared" si="3614"/>
        <v>-7.510056150637447</v>
      </c>
      <c r="J1638" s="1">
        <f t="shared" si="3615"/>
        <v>0</v>
      </c>
      <c r="K1638" s="1">
        <f t="shared" si="3616"/>
        <v>4.153838852285201</v>
      </c>
      <c r="L1638" s="1">
        <f t="shared" ref="L1638:N1638" si="3702">E1638/$H1638</f>
        <v>0.8750666287008384</v>
      </c>
      <c r="M1638" s="1">
        <f t="shared" si="3702"/>
        <v>0</v>
      </c>
      <c r="N1638" s="1">
        <f t="shared" si="3702"/>
        <v>-0.48400247451242356</v>
      </c>
      <c r="O1638" s="1">
        <f t="shared" si="3458"/>
        <v>-0.48400247451242356</v>
      </c>
      <c r="P1638" s="1">
        <f t="shared" si="3618"/>
        <v>0.42353441365444994</v>
      </c>
      <c r="Q1638" s="1">
        <f t="shared" si="3619"/>
        <v>0</v>
      </c>
      <c r="R1638" s="1">
        <f t="shared" si="3620"/>
        <v>0.76574160466585073</v>
      </c>
      <c r="S1638" s="1">
        <f t="shared" si="3621"/>
        <v>0.69388548172833853</v>
      </c>
      <c r="T1638" s="1">
        <f t="shared" ref="T1638:V1638" si="3703">$S1638*P1638</f>
        <v>0.29388438064714739</v>
      </c>
      <c r="U1638" s="1">
        <f t="shared" si="3703"/>
        <v>0</v>
      </c>
      <c r="V1638" s="1">
        <f t="shared" si="3703"/>
        <v>0.53133698223299475</v>
      </c>
      <c r="W1638" s="1">
        <f t="shared" si="3623"/>
        <v>-7.2161717699903001</v>
      </c>
      <c r="X1638" s="1">
        <f t="shared" si="3624"/>
        <v>0</v>
      </c>
      <c r="Y1638" s="1">
        <f t="shared" si="3625"/>
        <v>-5.1214741654818035</v>
      </c>
    </row>
    <row r="1639" spans="1:25">
      <c r="A1639" s="1">
        <v>1.63699999999999</v>
      </c>
      <c r="B1639" s="1">
        <f t="shared" si="3626"/>
        <v>47.67547524805088</v>
      </c>
      <c r="C1639" s="1">
        <f t="shared" si="3627"/>
        <v>0</v>
      </c>
      <c r="D1639" s="1">
        <f t="shared" si="3628"/>
        <v>-4.268127700365981</v>
      </c>
      <c r="E1639" s="1">
        <f t="shared" si="3629"/>
        <v>12.700250646574373</v>
      </c>
      <c r="F1639" s="1">
        <f t="shared" si="3630"/>
        <v>0</v>
      </c>
      <c r="G1639" s="1">
        <f t="shared" si="3631"/>
        <v>-7.03366671076581</v>
      </c>
      <c r="H1639" s="1">
        <f t="shared" si="3456"/>
        <v>14.517879799886343</v>
      </c>
      <c r="I1639" s="1">
        <f t="shared" si="3614"/>
        <v>-7.5038099467687349</v>
      </c>
      <c r="J1639" s="1">
        <f t="shared" si="3615"/>
        <v>0</v>
      </c>
      <c r="K1639" s="1">
        <f t="shared" si="3616"/>
        <v>4.1557682360179822</v>
      </c>
      <c r="L1639" s="1">
        <f t="shared" ref="L1639:N1639" si="3704">E1639/$H1639</f>
        <v>0.87480064731447915</v>
      </c>
      <c r="M1639" s="1">
        <f t="shared" si="3704"/>
        <v>0</v>
      </c>
      <c r="N1639" s="1">
        <f t="shared" si="3704"/>
        <v>-0.48448305177598144</v>
      </c>
      <c r="O1639" s="1">
        <f t="shared" si="3458"/>
        <v>-0.48448305177598144</v>
      </c>
      <c r="P1639" s="1">
        <f t="shared" si="3618"/>
        <v>0.42382608730652288</v>
      </c>
      <c r="Q1639" s="1">
        <f t="shared" si="3619"/>
        <v>0</v>
      </c>
      <c r="R1639" s="1">
        <f t="shared" si="3620"/>
        <v>0.76527617254183167</v>
      </c>
      <c r="S1639" s="1">
        <f t="shared" si="3621"/>
        <v>0.69351916786441736</v>
      </c>
      <c r="T1639" s="1">
        <f t="shared" ref="T1639:V1639" si="3705">$S1639*P1639</f>
        <v>0.29393151538805162</v>
      </c>
      <c r="U1639" s="1">
        <f t="shared" si="3705"/>
        <v>0</v>
      </c>
      <c r="V1639" s="1">
        <f t="shared" si="3705"/>
        <v>0.53073369436767737</v>
      </c>
      <c r="W1639" s="1">
        <f t="shared" si="3623"/>
        <v>-7.209878431380683</v>
      </c>
      <c r="X1639" s="1">
        <f t="shared" si="3624"/>
        <v>0</v>
      </c>
      <c r="Y1639" s="1">
        <f t="shared" si="3625"/>
        <v>-5.1201480696143395</v>
      </c>
    </row>
    <row r="1640" spans="1:25">
      <c r="A1640" s="1">
        <v>1.6379999999999899</v>
      </c>
      <c r="B1640" s="1">
        <f t="shared" si="3626"/>
        <v>47.688168288819021</v>
      </c>
      <c r="C1640" s="1">
        <f t="shared" si="3627"/>
        <v>0</v>
      </c>
      <c r="D1640" s="1">
        <f t="shared" si="3628"/>
        <v>-4.2751664872248165</v>
      </c>
      <c r="E1640" s="1">
        <f t="shared" si="3629"/>
        <v>12.693040768142993</v>
      </c>
      <c r="F1640" s="1">
        <f t="shared" si="3630"/>
        <v>0</v>
      </c>
      <c r="G1640" s="1">
        <f t="shared" si="3631"/>
        <v>-7.0387868588354241</v>
      </c>
      <c r="H1640" s="1">
        <f t="shared" si="3456"/>
        <v>14.514055407977962</v>
      </c>
      <c r="I1640" s="1">
        <f t="shared" si="3614"/>
        <v>-7.4975744866759815</v>
      </c>
      <c r="J1640" s="1">
        <f t="shared" si="3615"/>
        <v>0</v>
      </c>
      <c r="K1640" s="1">
        <f t="shared" si="3616"/>
        <v>4.1576978861051526</v>
      </c>
      <c r="L1640" s="1">
        <f t="shared" ref="L1640:N1640" si="3706">E1640/$H1640</f>
        <v>0.87453440209178135</v>
      </c>
      <c r="M1640" s="1">
        <f t="shared" si="3706"/>
        <v>0</v>
      </c>
      <c r="N1640" s="1">
        <f t="shared" si="3706"/>
        <v>-0.48496348270562645</v>
      </c>
      <c r="O1640" s="1">
        <f t="shared" si="3458"/>
        <v>-0.48496348270562645</v>
      </c>
      <c r="P1640" s="1">
        <f t="shared" si="3618"/>
        <v>0.42411724938431294</v>
      </c>
      <c r="Q1640" s="1">
        <f t="shared" si="3619"/>
        <v>0</v>
      </c>
      <c r="R1640" s="1">
        <f t="shared" si="3620"/>
        <v>0.76481042044202963</v>
      </c>
      <c r="S1640" s="1">
        <f t="shared" si="3621"/>
        <v>0.69315383356091853</v>
      </c>
      <c r="T1640" s="1">
        <f t="shared" ref="T1640:V1640" si="3707">$S1640*P1640</f>
        <v>0.29397849729004866</v>
      </c>
      <c r="U1640" s="1">
        <f t="shared" si="3707"/>
        <v>0</v>
      </c>
      <c r="V1640" s="1">
        <f t="shared" si="3707"/>
        <v>0.53013127487673073</v>
      </c>
      <c r="W1640" s="1">
        <f t="shared" si="3623"/>
        <v>-7.2035959893859332</v>
      </c>
      <c r="X1640" s="1">
        <f t="shared" si="3624"/>
        <v>0</v>
      </c>
      <c r="Y1640" s="1">
        <f t="shared" si="3625"/>
        <v>-5.1188208390181158</v>
      </c>
    </row>
    <row r="1641" spans="1:25">
      <c r="A1641" s="1">
        <v>1.63899999999999</v>
      </c>
      <c r="B1641" s="1">
        <f t="shared" si="3626"/>
        <v>47.700854125991178</v>
      </c>
      <c r="C1641" s="1">
        <f t="shared" si="3627"/>
        <v>0</v>
      </c>
      <c r="D1641" s="1">
        <f t="shared" si="3628"/>
        <v>-4.2822103929044912</v>
      </c>
      <c r="E1641" s="1">
        <f t="shared" si="3629"/>
        <v>12.685837172153606</v>
      </c>
      <c r="F1641" s="1">
        <f t="shared" si="3630"/>
        <v>0</v>
      </c>
      <c r="G1641" s="1">
        <f t="shared" si="3631"/>
        <v>-7.0439056796744426</v>
      </c>
      <c r="H1641" s="1">
        <f t="shared" si="3456"/>
        <v>14.510240245514341</v>
      </c>
      <c r="I1641" s="1">
        <f t="shared" si="3614"/>
        <v>-7.4913497458519229</v>
      </c>
      <c r="J1641" s="1">
        <f t="shared" si="3615"/>
        <v>0</v>
      </c>
      <c r="K1641" s="1">
        <f t="shared" si="3616"/>
        <v>4.1596278043883999</v>
      </c>
      <c r="L1641" s="1">
        <f t="shared" ref="L1641:N1641" si="3708">E1641/$H1641</f>
        <v>0.87426789339861377</v>
      </c>
      <c r="M1641" s="1">
        <f t="shared" si="3708"/>
        <v>0</v>
      </c>
      <c r="N1641" s="1">
        <f t="shared" si="3708"/>
        <v>-0.48544376664280098</v>
      </c>
      <c r="O1641" s="1">
        <f t="shared" si="3458"/>
        <v>-0.48544376664280098</v>
      </c>
      <c r="P1641" s="1">
        <f t="shared" si="3618"/>
        <v>0.42440789922628985</v>
      </c>
      <c r="Q1641" s="1">
        <f t="shared" si="3619"/>
        <v>0</v>
      </c>
      <c r="R1641" s="1">
        <f t="shared" si="3620"/>
        <v>0.76434434942764984</v>
      </c>
      <c r="S1641" s="1">
        <f t="shared" si="3621"/>
        <v>0.69278947682570202</v>
      </c>
      <c r="T1641" s="1">
        <f t="shared" ref="T1641:V1641" si="3709">$S1641*P1641</f>
        <v>0.29402532646567664</v>
      </c>
      <c r="U1641" s="1">
        <f t="shared" si="3709"/>
        <v>0</v>
      </c>
      <c r="V1641" s="1">
        <f t="shared" si="3709"/>
        <v>0.52952972195466308</v>
      </c>
      <c r="W1641" s="1">
        <f t="shared" si="3623"/>
        <v>-7.1973244193862467</v>
      </c>
      <c r="X1641" s="1">
        <f t="shared" si="3624"/>
        <v>0</v>
      </c>
      <c r="Y1641" s="1">
        <f t="shared" si="3625"/>
        <v>-5.1174924736569363</v>
      </c>
    </row>
    <row r="1642" spans="1:25">
      <c r="A1642" s="1">
        <v>1.6399999999999899</v>
      </c>
      <c r="B1642" s="1">
        <f t="shared" si="3626"/>
        <v>47.713532765838913</v>
      </c>
      <c r="C1642" s="1">
        <f t="shared" si="3627"/>
        <v>0</v>
      </c>
      <c r="D1642" s="1">
        <f t="shared" si="3628"/>
        <v>-4.2892594160766393</v>
      </c>
      <c r="E1642" s="1">
        <f t="shared" si="3629"/>
        <v>12.678639847734219</v>
      </c>
      <c r="F1642" s="1">
        <f t="shared" si="3630"/>
        <v>0</v>
      </c>
      <c r="G1642" s="1">
        <f t="shared" si="3631"/>
        <v>-7.0490231721480994</v>
      </c>
      <c r="H1642" s="1">
        <f t="shared" si="3456"/>
        <v>14.506434298959714</v>
      </c>
      <c r="I1642" s="1">
        <f t="shared" si="3614"/>
        <v>-7.4851356998500513</v>
      </c>
      <c r="J1642" s="1">
        <f t="shared" si="3615"/>
        <v>0</v>
      </c>
      <c r="K1642" s="1">
        <f t="shared" si="3616"/>
        <v>4.1615579927010202</v>
      </c>
      <c r="L1642" s="1">
        <f t="shared" ref="L1642:N1642" si="3710">E1642/$H1642</f>
        <v>0.87400112160184185</v>
      </c>
      <c r="M1642" s="1">
        <f t="shared" si="3710"/>
        <v>0</v>
      </c>
      <c r="N1642" s="1">
        <f t="shared" si="3710"/>
        <v>-0.48592390292999837</v>
      </c>
      <c r="O1642" s="1">
        <f t="shared" si="3458"/>
        <v>-0.48592390292999837</v>
      </c>
      <c r="P1642" s="1">
        <f t="shared" si="3618"/>
        <v>0.42469803617396312</v>
      </c>
      <c r="Q1642" s="1">
        <f t="shared" si="3619"/>
        <v>0</v>
      </c>
      <c r="R1642" s="1">
        <f t="shared" si="3620"/>
        <v>0.76387796056127755</v>
      </c>
      <c r="S1642" s="1">
        <f t="shared" si="3621"/>
        <v>0.69242609567140878</v>
      </c>
      <c r="T1642" s="1">
        <f t="shared" ref="T1642:V1642" si="3711">$S1642*P1642</f>
        <v>0.294072003027252</v>
      </c>
      <c r="U1642" s="1">
        <f t="shared" si="3711"/>
        <v>0</v>
      </c>
      <c r="V1642" s="1">
        <f t="shared" si="3711"/>
        <v>0.52892903380088374</v>
      </c>
      <c r="W1642" s="1">
        <f t="shared" si="3623"/>
        <v>-7.1910636968227992</v>
      </c>
      <c r="X1642" s="1">
        <f t="shared" si="3624"/>
        <v>0</v>
      </c>
      <c r="Y1642" s="1">
        <f t="shared" si="3625"/>
        <v>-5.1161629734980956</v>
      </c>
    </row>
    <row r="1643" spans="1:25">
      <c r="A1643" s="1">
        <v>1.64099999999999</v>
      </c>
      <c r="B1643" s="1">
        <f t="shared" si="3626"/>
        <v>47.726204214622953</v>
      </c>
      <c r="C1643" s="1">
        <f t="shared" si="3627"/>
        <v>0</v>
      </c>
      <c r="D1643" s="1">
        <f t="shared" si="3628"/>
        <v>-4.2963135554117606</v>
      </c>
      <c r="E1643" s="1">
        <f t="shared" si="3629"/>
        <v>12.671448784037397</v>
      </c>
      <c r="F1643" s="1">
        <f t="shared" si="3630"/>
        <v>0</v>
      </c>
      <c r="G1643" s="1">
        <f t="shared" si="3631"/>
        <v>-7.0541393351215973</v>
      </c>
      <c r="H1643" s="1">
        <f t="shared" si="3456"/>
        <v>14.502637554796458</v>
      </c>
      <c r="I1643" s="1">
        <f t="shared" si="3614"/>
        <v>-7.4789323242844299</v>
      </c>
      <c r="J1643" s="1">
        <f t="shared" si="3615"/>
        <v>0</v>
      </c>
      <c r="K1643" s="1">
        <f t="shared" si="3616"/>
        <v>4.1634884528679397</v>
      </c>
      <c r="L1643" s="1">
        <f t="shared" ref="L1643:N1643" si="3712">E1643/$H1643</f>
        <v>0.87373408706932543</v>
      </c>
      <c r="M1643" s="1">
        <f t="shared" si="3712"/>
        <v>0</v>
      </c>
      <c r="N1643" s="1">
        <f t="shared" si="3712"/>
        <v>-0.48640389091076619</v>
      </c>
      <c r="O1643" s="1">
        <f t="shared" si="3458"/>
        <v>-0.48640389091076619</v>
      </c>
      <c r="P1643" s="1">
        <f t="shared" si="3618"/>
        <v>0.42498765957188606</v>
      </c>
      <c r="Q1643" s="1">
        <f t="shared" si="3619"/>
        <v>0</v>
      </c>
      <c r="R1643" s="1">
        <f t="shared" si="3620"/>
        <v>0.76341125490686745</v>
      </c>
      <c r="S1643" s="1">
        <f t="shared" si="3621"/>
        <v>0.69206368811544583</v>
      </c>
      <c r="T1643" s="1">
        <f t="shared" ref="T1643:V1643" si="3713">$S1643*P1643</f>
        <v>0.29411852708687103</v>
      </c>
      <c r="U1643" s="1">
        <f t="shared" si="3713"/>
        <v>0</v>
      </c>
      <c r="V1643" s="1">
        <f t="shared" si="3713"/>
        <v>0.52832920861968746</v>
      </c>
      <c r="W1643" s="1">
        <f t="shared" si="3623"/>
        <v>-7.1848137971975587</v>
      </c>
      <c r="X1643" s="1">
        <f t="shared" si="3624"/>
        <v>0</v>
      </c>
      <c r="Y1643" s="1">
        <f t="shared" si="3625"/>
        <v>-5.1148323385123726</v>
      </c>
    </row>
    <row r="1644" spans="1:25">
      <c r="A1644" s="1">
        <v>1.6419999999999899</v>
      </c>
      <c r="B1644" s="1">
        <f t="shared" si="3626"/>
        <v>47.73886847859319</v>
      </c>
      <c r="C1644" s="1">
        <f t="shared" si="3627"/>
        <v>0</v>
      </c>
      <c r="D1644" s="1">
        <f t="shared" si="3628"/>
        <v>-4.303372809579221</v>
      </c>
      <c r="E1644" s="1">
        <f t="shared" si="3629"/>
        <v>12.664263970240199</v>
      </c>
      <c r="F1644" s="1">
        <f t="shared" si="3630"/>
        <v>0</v>
      </c>
      <c r="G1644" s="1">
        <f t="shared" si="3631"/>
        <v>-7.0592541674601099</v>
      </c>
      <c r="H1644" s="1">
        <f t="shared" si="3456"/>
        <v>14.49884999952503</v>
      </c>
      <c r="I1644" s="1">
        <f t="shared" si="3614"/>
        <v>-7.4727395948295126</v>
      </c>
      <c r="J1644" s="1">
        <f t="shared" si="3615"/>
        <v>0</v>
      </c>
      <c r="K1644" s="1">
        <f t="shared" si="3616"/>
        <v>4.165419186705714</v>
      </c>
      <c r="L1644" s="1">
        <f t="shared" ref="L1644:N1644" si="3714">E1644/$H1644</f>
        <v>0.87346679016991491</v>
      </c>
      <c r="M1644" s="1">
        <f t="shared" si="3714"/>
        <v>0</v>
      </c>
      <c r="N1644" s="1">
        <f t="shared" si="3714"/>
        <v>-0.48688372992970924</v>
      </c>
      <c r="O1644" s="1">
        <f t="shared" si="3458"/>
        <v>-0.48688372992970924</v>
      </c>
      <c r="P1644" s="1">
        <f t="shared" si="3618"/>
        <v>0.42527676876765885</v>
      </c>
      <c r="Q1644" s="1">
        <f t="shared" si="3619"/>
        <v>0</v>
      </c>
      <c r="R1644" s="1">
        <f t="shared" si="3620"/>
        <v>0.76294423352973395</v>
      </c>
      <c r="S1644" s="1">
        <f t="shared" si="3621"/>
        <v>0.69170225217996995</v>
      </c>
      <c r="T1644" s="1">
        <f t="shared" ref="T1644:V1644" si="3715">$S1644*P1644</f>
        <v>0.29416489875640994</v>
      </c>
      <c r="U1644" s="1">
        <f t="shared" si="3715"/>
        <v>0</v>
      </c>
      <c r="V1644" s="1">
        <f t="shared" si="3715"/>
        <v>0.52773024462023788</v>
      </c>
      <c r="W1644" s="1">
        <f t="shared" si="3623"/>
        <v>-7.1785746960731025</v>
      </c>
      <c r="X1644" s="1">
        <f t="shared" si="3624"/>
        <v>0</v>
      </c>
      <c r="Y1644" s="1">
        <f t="shared" si="3625"/>
        <v>-5.1135005686740476</v>
      </c>
    </row>
    <row r="1645" spans="1:25">
      <c r="A1645" s="1">
        <v>1.64299999999999</v>
      </c>
      <c r="B1645" s="1">
        <f t="shared" si="3626"/>
        <v>47.751525563988736</v>
      </c>
      <c r="C1645" s="1">
        <f t="shared" si="3627"/>
        <v>0</v>
      </c>
      <c r="D1645" s="1">
        <f t="shared" si="3628"/>
        <v>-4.3104371772472501</v>
      </c>
      <c r="E1645" s="1">
        <f t="shared" si="3629"/>
        <v>12.657085395544126</v>
      </c>
      <c r="F1645" s="1">
        <f t="shared" si="3630"/>
        <v>0</v>
      </c>
      <c r="G1645" s="1">
        <f t="shared" si="3631"/>
        <v>-7.0643676680287841</v>
      </c>
      <c r="H1645" s="1">
        <f t="shared" si="3456"/>
        <v>14.495071619663934</v>
      </c>
      <c r="I1645" s="1">
        <f t="shared" si="3614"/>
        <v>-7.4665574872199594</v>
      </c>
      <c r="J1645" s="1">
        <f t="shared" si="3615"/>
        <v>0</v>
      </c>
      <c r="K1645" s="1">
        <f t="shared" si="3616"/>
        <v>4.1673501960225465</v>
      </c>
      <c r="L1645" s="1">
        <f t="shared" ref="L1645:N1645" si="3716">E1645/$H1645</f>
        <v>0.87319923127344845</v>
      </c>
      <c r="M1645" s="1">
        <f t="shared" si="3716"/>
        <v>0</v>
      </c>
      <c r="N1645" s="1">
        <f t="shared" si="3716"/>
        <v>-0.48736341933249244</v>
      </c>
      <c r="O1645" s="1">
        <f t="shared" si="3458"/>
        <v>-0.48736341933249244</v>
      </c>
      <c r="P1645" s="1">
        <f t="shared" si="3618"/>
        <v>0.42556536311193172</v>
      </c>
      <c r="Q1645" s="1">
        <f t="shared" si="3619"/>
        <v>0</v>
      </c>
      <c r="R1645" s="1">
        <f t="shared" si="3620"/>
        <v>0.76247689749654113</v>
      </c>
      <c r="S1645" s="1">
        <f t="shared" si="3621"/>
        <v>0.69134178589187334</v>
      </c>
      <c r="T1645" s="1">
        <f t="shared" ref="T1645:V1645" si="3717">$S1645*P1645</f>
        <v>0.29421111814752643</v>
      </c>
      <c r="U1645" s="1">
        <f t="shared" si="3717"/>
        <v>0</v>
      </c>
      <c r="V1645" s="1">
        <f t="shared" si="3717"/>
        <v>0.52713214001655362</v>
      </c>
      <c r="W1645" s="1">
        <f t="shared" si="3623"/>
        <v>-7.1723463690724332</v>
      </c>
      <c r="X1645" s="1">
        <f t="shared" si="3624"/>
        <v>0</v>
      </c>
      <c r="Y1645" s="1">
        <f t="shared" si="3625"/>
        <v>-5.1121676639608991</v>
      </c>
    </row>
    <row r="1646" spans="1:25">
      <c r="A1646" s="1">
        <v>1.6439999999999899</v>
      </c>
      <c r="B1646" s="1">
        <f t="shared" si="3626"/>
        <v>47.764175477037909</v>
      </c>
      <c r="C1646" s="1">
        <f t="shared" si="3627"/>
        <v>0</v>
      </c>
      <c r="D1646" s="1">
        <f t="shared" si="3628"/>
        <v>-4.3175066570829426</v>
      </c>
      <c r="E1646" s="1">
        <f t="shared" si="3629"/>
        <v>12.649913049175053</v>
      </c>
      <c r="F1646" s="1">
        <f t="shared" si="3630"/>
        <v>0</v>
      </c>
      <c r="G1646" s="1">
        <f t="shared" si="3631"/>
        <v>-7.0694798356927446</v>
      </c>
      <c r="H1646" s="1">
        <f t="shared" si="3456"/>
        <v>14.491302401749666</v>
      </c>
      <c r="I1646" s="1">
        <f t="shared" si="3614"/>
        <v>-7.4603859772504677</v>
      </c>
      <c r="J1646" s="1">
        <f t="shared" si="3615"/>
        <v>0</v>
      </c>
      <c r="K1646" s="1">
        <f t="shared" si="3616"/>
        <v>4.1692814826182962</v>
      </c>
      <c r="L1646" s="1">
        <f t="shared" ref="L1646:N1646" si="3718">E1646/$H1646</f>
        <v>0.87293141075074898</v>
      </c>
      <c r="M1646" s="1">
        <f t="shared" si="3718"/>
        <v>0</v>
      </c>
      <c r="N1646" s="1">
        <f t="shared" si="3718"/>
        <v>-0.4878429584658438</v>
      </c>
      <c r="O1646" s="1">
        <f t="shared" si="3458"/>
        <v>-0.4878429584658438</v>
      </c>
      <c r="P1646" s="1">
        <f t="shared" si="3618"/>
        <v>0.42585344195840807</v>
      </c>
      <c r="Q1646" s="1">
        <f t="shared" si="3619"/>
        <v>0</v>
      </c>
      <c r="R1646" s="1">
        <f t="shared" si="3620"/>
        <v>0.76200924787529301</v>
      </c>
      <c r="S1646" s="1">
        <f t="shared" si="3621"/>
        <v>0.69098228728276934</v>
      </c>
      <c r="T1646" s="1">
        <f t="shared" ref="T1646:V1646" si="3719">$S1646*P1646</f>
        <v>0.29425718537166085</v>
      </c>
      <c r="U1646" s="1">
        <f t="shared" si="3719"/>
        <v>0</v>
      </c>
      <c r="V1646" s="1">
        <f t="shared" si="3719"/>
        <v>0.52653489302749268</v>
      </c>
      <c r="W1646" s="1">
        <f t="shared" si="3623"/>
        <v>-7.1661287918788066</v>
      </c>
      <c r="X1646" s="1">
        <f t="shared" si="3624"/>
        <v>0</v>
      </c>
      <c r="Y1646" s="1">
        <f t="shared" si="3625"/>
        <v>-5.1108336243542105</v>
      </c>
    </row>
    <row r="1647" spans="1:25">
      <c r="A1647" s="1">
        <v>1.64499999999999</v>
      </c>
      <c r="B1647" s="1">
        <f t="shared" si="3626"/>
        <v>47.776818223958294</v>
      </c>
      <c r="C1647" s="1">
        <f t="shared" si="3627"/>
        <v>0</v>
      </c>
      <c r="D1647" s="1">
        <f t="shared" si="3628"/>
        <v>-4.3245812477522598</v>
      </c>
      <c r="E1647" s="1">
        <f t="shared" si="3629"/>
        <v>12.642746920383175</v>
      </c>
      <c r="F1647" s="1">
        <f t="shared" si="3630"/>
        <v>0</v>
      </c>
      <c r="G1647" s="1">
        <f t="shared" si="3631"/>
        <v>-7.0745906693170992</v>
      </c>
      <c r="H1647" s="1">
        <f t="shared" si="3456"/>
        <v>14.487542332336663</v>
      </c>
      <c r="I1647" s="1">
        <f t="shared" si="3614"/>
        <v>-7.4542250407755759</v>
      </c>
      <c r="J1647" s="1">
        <f t="shared" si="3615"/>
        <v>0</v>
      </c>
      <c r="K1647" s="1">
        <f t="shared" si="3616"/>
        <v>4.1712130482844829</v>
      </c>
      <c r="L1647" s="1">
        <f t="shared" ref="L1647:N1647" si="3720">E1647/$H1647</f>
        <v>0.87266332897362142</v>
      </c>
      <c r="M1647" s="1">
        <f t="shared" si="3720"/>
        <v>0</v>
      </c>
      <c r="N1647" s="1">
        <f t="shared" si="3720"/>
        <v>-0.48832234667755786</v>
      </c>
      <c r="O1647" s="1">
        <f t="shared" si="3458"/>
        <v>-0.48832234667755786</v>
      </c>
      <c r="P1647" s="1">
        <f t="shared" si="3618"/>
        <v>0.42614100466384847</v>
      </c>
      <c r="Q1647" s="1">
        <f t="shared" si="3619"/>
        <v>0</v>
      </c>
      <c r="R1647" s="1">
        <f t="shared" si="3620"/>
        <v>0.76154128573532298</v>
      </c>
      <c r="S1647" s="1">
        <f t="shared" si="3621"/>
        <v>0.69062375438897594</v>
      </c>
      <c r="T1647" s="1">
        <f t="shared" ref="T1647:V1647" si="3721">$S1647*P1647</f>
        <v>0.29430310054003711</v>
      </c>
      <c r="U1647" s="1">
        <f t="shared" si="3721"/>
        <v>0</v>
      </c>
      <c r="V1647" s="1">
        <f t="shared" si="3721"/>
        <v>0.52593850187673663</v>
      </c>
      <c r="W1647" s="1">
        <f t="shared" si="3623"/>
        <v>-7.159921940235539</v>
      </c>
      <c r="X1647" s="1">
        <f t="shared" si="3624"/>
        <v>0</v>
      </c>
      <c r="Y1647" s="1">
        <f t="shared" si="3625"/>
        <v>-5.1094984498387799</v>
      </c>
    </row>
    <row r="1648" spans="1:25">
      <c r="A1648" s="1">
        <v>1.6459999999999899</v>
      </c>
      <c r="B1648" s="1">
        <f t="shared" si="3626"/>
        <v>47.789453810956736</v>
      </c>
      <c r="C1648" s="1">
        <f t="shared" si="3627"/>
        <v>0</v>
      </c>
      <c r="D1648" s="1">
        <f t="shared" si="3628"/>
        <v>-4.3316609479200272</v>
      </c>
      <c r="E1648" s="1">
        <f t="shared" si="3629"/>
        <v>12.635586998442939</v>
      </c>
      <c r="F1648" s="1">
        <f t="shared" si="3630"/>
        <v>0</v>
      </c>
      <c r="G1648" s="1">
        <f t="shared" si="3631"/>
        <v>-7.079700167766938</v>
      </c>
      <c r="H1648" s="1">
        <f t="shared" si="3456"/>
        <v>14.48379139799726</v>
      </c>
      <c r="I1648" s="1">
        <f t="shared" si="3614"/>
        <v>-7.4480746537094964</v>
      </c>
      <c r="J1648" s="1">
        <f t="shared" si="3615"/>
        <v>0</v>
      </c>
      <c r="K1648" s="1">
        <f t="shared" si="3616"/>
        <v>4.1731448948043051</v>
      </c>
      <c r="L1648" s="1">
        <f t="shared" ref="L1648:N1648" si="3722">E1648/$H1648</f>
        <v>0.87239498631484846</v>
      </c>
      <c r="M1648" s="1">
        <f t="shared" si="3722"/>
        <v>0</v>
      </c>
      <c r="N1648" s="1">
        <f t="shared" si="3722"/>
        <v>-0.4888015833164982</v>
      </c>
      <c r="O1648" s="1">
        <f t="shared" si="3458"/>
        <v>-0.4888015833164982</v>
      </c>
      <c r="P1648" s="1">
        <f t="shared" si="3618"/>
        <v>0.4264280505880727</v>
      </c>
      <c r="Q1648" s="1">
        <f t="shared" si="3619"/>
        <v>0</v>
      </c>
      <c r="R1648" s="1">
        <f t="shared" si="3620"/>
        <v>0.7610730121472844</v>
      </c>
      <c r="S1648" s="1">
        <f t="shared" si="3621"/>
        <v>0.6902661852515023</v>
      </c>
      <c r="T1648" s="1">
        <f t="shared" ref="T1648:V1648" si="3723">$S1648*P1648</f>
        <v>0.29434886376366359</v>
      </c>
      <c r="U1648" s="1">
        <f t="shared" si="3723"/>
        <v>0</v>
      </c>
      <c r="V1648" s="1">
        <f t="shared" si="3723"/>
        <v>0.52534296479277631</v>
      </c>
      <c r="W1648" s="1">
        <f t="shared" si="3623"/>
        <v>-7.1537257899458329</v>
      </c>
      <c r="X1648" s="1">
        <f t="shared" si="3624"/>
        <v>0</v>
      </c>
      <c r="Y1648" s="1">
        <f t="shared" si="3625"/>
        <v>-5.1081621404029178</v>
      </c>
    </row>
    <row r="1649" spans="1:25">
      <c r="A1649" s="1">
        <v>1.64699999999999</v>
      </c>
      <c r="B1649" s="1">
        <f t="shared" si="3626"/>
        <v>47.802082244229389</v>
      </c>
      <c r="C1649" s="1">
        <f t="shared" si="3627"/>
        <v>0</v>
      </c>
      <c r="D1649" s="1">
        <f t="shared" si="3628"/>
        <v>-4.338745756249935</v>
      </c>
      <c r="E1649" s="1">
        <f t="shared" si="3629"/>
        <v>12.628433272652993</v>
      </c>
      <c r="F1649" s="1">
        <f t="shared" si="3630"/>
        <v>0</v>
      </c>
      <c r="G1649" s="1">
        <f t="shared" si="3631"/>
        <v>-7.0848083299073412</v>
      </c>
      <c r="H1649" s="1">
        <f t="shared" si="3456"/>
        <v>14.480049585321648</v>
      </c>
      <c r="I1649" s="1">
        <f t="shared" si="3614"/>
        <v>-7.441934792025938</v>
      </c>
      <c r="J1649" s="1">
        <f t="shared" si="3615"/>
        <v>0</v>
      </c>
      <c r="K1649" s="1">
        <f t="shared" si="3616"/>
        <v>4.1750770239526451</v>
      </c>
      <c r="L1649" s="1">
        <f t="shared" ref="L1649:N1649" si="3724">E1649/$H1649</f>
        <v>0.87212638314818824</v>
      </c>
      <c r="M1649" s="1">
        <f t="shared" si="3724"/>
        <v>0</v>
      </c>
      <c r="N1649" s="1">
        <f t="shared" si="3724"/>
        <v>-0.48928066773260054</v>
      </c>
      <c r="O1649" s="1">
        <f t="shared" si="3458"/>
        <v>-0.48928066773260054</v>
      </c>
      <c r="P1649" s="1">
        <f t="shared" si="3618"/>
        <v>0.42671457909396338</v>
      </c>
      <c r="Q1649" s="1">
        <f t="shared" si="3619"/>
        <v>0</v>
      </c>
      <c r="R1649" s="1">
        <f t="shared" si="3620"/>
        <v>0.76060442818314056</v>
      </c>
      <c r="S1649" s="1">
        <f t="shared" si="3621"/>
        <v>0.68990957791603358</v>
      </c>
      <c r="T1649" s="1">
        <f t="shared" ref="T1649:V1649" si="3725">$S1649*P1649</f>
        <v>0.29439447515333422</v>
      </c>
      <c r="U1649" s="1">
        <f t="shared" si="3725"/>
        <v>0</v>
      </c>
      <c r="V1649" s="1">
        <f t="shared" si="3725"/>
        <v>0.52474828000889662</v>
      </c>
      <c r="W1649" s="1">
        <f t="shared" si="3623"/>
        <v>-7.1475403168726039</v>
      </c>
      <c r="X1649" s="1">
        <f t="shared" si="3624"/>
        <v>0</v>
      </c>
      <c r="Y1649" s="1">
        <f t="shared" si="3625"/>
        <v>-5.1068246960384576</v>
      </c>
    </row>
    <row r="1650" spans="1:25">
      <c r="A1650" s="1">
        <v>1.6479999999999899</v>
      </c>
      <c r="B1650" s="1">
        <f t="shared" si="3626"/>
        <v>47.814703529961726</v>
      </c>
      <c r="C1650" s="1">
        <f t="shared" si="3627"/>
        <v>0</v>
      </c>
      <c r="D1650" s="1">
        <f t="shared" si="3628"/>
        <v>-4.3458356714045383</v>
      </c>
      <c r="E1650" s="1">
        <f t="shared" si="3629"/>
        <v>12.621285732336121</v>
      </c>
      <c r="F1650" s="1">
        <f t="shared" si="3630"/>
        <v>0</v>
      </c>
      <c r="G1650" s="1">
        <f t="shared" si="3631"/>
        <v>-7.0899151546033794</v>
      </c>
      <c r="H1650" s="1">
        <f t="shared" si="3456"/>
        <v>14.476316880917812</v>
      </c>
      <c r="I1650" s="1">
        <f t="shared" si="3614"/>
        <v>-7.435805431757923</v>
      </c>
      <c r="J1650" s="1">
        <f t="shared" si="3615"/>
        <v>0</v>
      </c>
      <c r="K1650" s="1">
        <f t="shared" si="3616"/>
        <v>4.177009437496082</v>
      </c>
      <c r="L1650" s="1">
        <f t="shared" ref="L1650:N1650" si="3726">E1650/$H1650</f>
        <v>0.87185751984837179</v>
      </c>
      <c r="M1650" s="1">
        <f t="shared" si="3726"/>
        <v>0</v>
      </c>
      <c r="N1650" s="1">
        <f t="shared" si="3726"/>
        <v>-0.48975959927687573</v>
      </c>
      <c r="O1650" s="1">
        <f t="shared" si="3458"/>
        <v>-0.48975959927687573</v>
      </c>
      <c r="P1650" s="1">
        <f t="shared" si="3618"/>
        <v>0.42700058954746928</v>
      </c>
      <c r="Q1650" s="1">
        <f t="shared" si="3619"/>
        <v>0</v>
      </c>
      <c r="R1650" s="1">
        <f t="shared" si="3620"/>
        <v>0.76013553491615404</v>
      </c>
      <c r="S1650" s="1">
        <f t="shared" si="3621"/>
        <v>0.68955393043291546</v>
      </c>
      <c r="T1650" s="1">
        <f t="shared" ref="T1650:V1650" si="3727">$S1650*P1650</f>
        <v>0.29443993481962955</v>
      </c>
      <c r="U1650" s="1">
        <f t="shared" si="3727"/>
        <v>0</v>
      </c>
      <c r="V1650" s="1">
        <f t="shared" si="3727"/>
        <v>0.52415444576316061</v>
      </c>
      <c r="W1650" s="1">
        <f t="shared" si="3623"/>
        <v>-7.1413654969382936</v>
      </c>
      <c r="X1650" s="1">
        <f t="shared" si="3624"/>
        <v>0</v>
      </c>
      <c r="Y1650" s="1">
        <f t="shared" si="3625"/>
        <v>-5.1054861167407566</v>
      </c>
    </row>
    <row r="1651" spans="1:25">
      <c r="A1651" s="1">
        <v>1.64899999999999</v>
      </c>
      <c r="B1651" s="1">
        <f t="shared" si="3626"/>
        <v>47.827317674328562</v>
      </c>
      <c r="C1651" s="1">
        <f t="shared" si="3627"/>
        <v>0</v>
      </c>
      <c r="D1651" s="1">
        <f t="shared" si="3628"/>
        <v>-4.3529306920452582</v>
      </c>
      <c r="E1651" s="1">
        <f t="shared" si="3629"/>
        <v>12.614144366839183</v>
      </c>
      <c r="F1651" s="1">
        <f t="shared" si="3630"/>
        <v>0</v>
      </c>
      <c r="G1651" s="1">
        <f t="shared" si="3631"/>
        <v>-7.0950206407201204</v>
      </c>
      <c r="H1651" s="1">
        <f t="shared" si="3456"/>
        <v>14.472593271411494</v>
      </c>
      <c r="I1651" s="1">
        <f t="shared" si="3614"/>
        <v>-7.4296865489976058</v>
      </c>
      <c r="J1651" s="1">
        <f t="shared" si="3615"/>
        <v>0</v>
      </c>
      <c r="K1651" s="1">
        <f t="shared" si="3616"/>
        <v>4.1789421371928954</v>
      </c>
      <c r="L1651" s="1">
        <f t="shared" ref="L1651:N1651" si="3728">E1651/$H1651</f>
        <v>0.87158839679109845</v>
      </c>
      <c r="M1651" s="1">
        <f t="shared" si="3728"/>
        <v>0</v>
      </c>
      <c r="N1651" s="1">
        <f t="shared" si="3728"/>
        <v>-0.49023837730141312</v>
      </c>
      <c r="O1651" s="1">
        <f t="shared" si="3458"/>
        <v>-0.49023837730141312</v>
      </c>
      <c r="P1651" s="1">
        <f t="shared" si="3618"/>
        <v>0.42728608131760831</v>
      </c>
      <c r="Q1651" s="1">
        <f t="shared" si="3619"/>
        <v>0</v>
      </c>
      <c r="R1651" s="1">
        <f t="shared" si="3620"/>
        <v>0.7596663334208773</v>
      </c>
      <c r="S1651" s="1">
        <f t="shared" si="3621"/>
        <v>0.68919924085714035</v>
      </c>
      <c r="T1651" s="1">
        <f t="shared" ref="T1651:V1651" si="3729">$S1651*P1651</f>
        <v>0.294485242872918</v>
      </c>
      <c r="U1651" s="1">
        <f t="shared" si="3729"/>
        <v>0</v>
      </c>
      <c r="V1651" s="1">
        <f t="shared" si="3729"/>
        <v>0.5235614602983959</v>
      </c>
      <c r="W1651" s="1">
        <f t="shared" si="3623"/>
        <v>-7.1352013061246877</v>
      </c>
      <c r="X1651" s="1">
        <f t="shared" si="3624"/>
        <v>0</v>
      </c>
      <c r="Y1651" s="1">
        <f t="shared" si="3625"/>
        <v>-5.1041464025087082</v>
      </c>
    </row>
    <row r="1652" spans="1:25">
      <c r="A1652" s="1">
        <v>1.6499999999999899</v>
      </c>
      <c r="B1652" s="1">
        <f t="shared" si="3626"/>
        <v>47.839924683494097</v>
      </c>
      <c r="C1652" s="1">
        <f t="shared" si="3627"/>
        <v>0</v>
      </c>
      <c r="D1652" s="1">
        <f t="shared" si="3628"/>
        <v>-4.3600308168323805</v>
      </c>
      <c r="E1652" s="1">
        <f t="shared" si="3629"/>
        <v>12.607009165533057</v>
      </c>
      <c r="F1652" s="1">
        <f t="shared" si="3630"/>
        <v>0</v>
      </c>
      <c r="G1652" s="1">
        <f t="shared" si="3631"/>
        <v>-7.1001247871226294</v>
      </c>
      <c r="H1652" s="1">
        <f t="shared" si="3456"/>
        <v>14.468878743446144</v>
      </c>
      <c r="I1652" s="1">
        <f t="shared" si="3614"/>
        <v>-7.4235781198961099</v>
      </c>
      <c r="J1652" s="1">
        <f t="shared" si="3615"/>
        <v>0</v>
      </c>
      <c r="K1652" s="1">
        <f t="shared" si="3616"/>
        <v>4.1808751247930838</v>
      </c>
      <c r="L1652" s="1">
        <f t="shared" ref="L1652:N1652" si="3730">E1652/$H1652</f>
        <v>0.87131901435303383</v>
      </c>
      <c r="M1652" s="1">
        <f t="shared" si="3730"/>
        <v>0</v>
      </c>
      <c r="N1652" s="1">
        <f t="shared" si="3730"/>
        <v>-0.49071700115938272</v>
      </c>
      <c r="O1652" s="1">
        <f t="shared" si="3458"/>
        <v>-0.49071700115938272</v>
      </c>
      <c r="P1652" s="1">
        <f t="shared" si="3618"/>
        <v>0.42757105377646992</v>
      </c>
      <c r="Q1652" s="1">
        <f t="shared" si="3619"/>
        <v>0</v>
      </c>
      <c r="R1652" s="1">
        <f t="shared" si="3620"/>
        <v>0.75919682477314243</v>
      </c>
      <c r="S1652" s="1">
        <f t="shared" si="3621"/>
        <v>0.68884550724833193</v>
      </c>
      <c r="T1652" s="1">
        <f t="shared" ref="T1652:V1652" si="3731">$S1652*P1652</f>
        <v>0.29453039942335624</v>
      </c>
      <c r="U1652" s="1">
        <f t="shared" si="3731"/>
        <v>0</v>
      </c>
      <c r="V1652" s="1">
        <f t="shared" si="3731"/>
        <v>0.52296932186217826</v>
      </c>
      <c r="W1652" s="1">
        <f t="shared" si="3623"/>
        <v>-7.1290477204727534</v>
      </c>
      <c r="X1652" s="1">
        <f t="shared" si="3624"/>
        <v>0</v>
      </c>
      <c r="Y1652" s="1">
        <f t="shared" si="3625"/>
        <v>-5.1028055533447372</v>
      </c>
    </row>
    <row r="1653" spans="1:25">
      <c r="A1653" s="1">
        <v>1.65099999999999</v>
      </c>
      <c r="B1653" s="1">
        <f t="shared" si="3626"/>
        <v>47.852524563611908</v>
      </c>
      <c r="C1653" s="1">
        <f t="shared" si="3627"/>
        <v>0</v>
      </c>
      <c r="D1653" s="1">
        <f t="shared" si="3628"/>
        <v>-4.3671360444250569</v>
      </c>
      <c r="E1653" s="1">
        <f t="shared" si="3629"/>
        <v>12.599880117812585</v>
      </c>
      <c r="F1653" s="1">
        <f t="shared" si="3630"/>
        <v>0</v>
      </c>
      <c r="G1653" s="1">
        <f t="shared" si="3631"/>
        <v>-7.1052275926759743</v>
      </c>
      <c r="H1653" s="1">
        <f t="shared" si="3456"/>
        <v>14.465173283682878</v>
      </c>
      <c r="I1653" s="1">
        <f t="shared" si="3614"/>
        <v>-7.4174801206633445</v>
      </c>
      <c r="J1653" s="1">
        <f t="shared" si="3615"/>
        <v>0</v>
      </c>
      <c r="K1653" s="1">
        <f t="shared" si="3616"/>
        <v>4.182808402038372</v>
      </c>
      <c r="L1653" s="1">
        <f t="shared" ref="L1653:N1653" si="3732">E1653/$H1653</f>
        <v>0.87104937291180629</v>
      </c>
      <c r="M1653" s="1">
        <f t="shared" si="3732"/>
        <v>0</v>
      </c>
      <c r="N1653" s="1">
        <f t="shared" si="3732"/>
        <v>-0.49119547020503868</v>
      </c>
      <c r="O1653" s="1">
        <f t="shared" si="3458"/>
        <v>-0.49119547020503868</v>
      </c>
      <c r="P1653" s="1">
        <f t="shared" si="3618"/>
        <v>0.42785550629921876</v>
      </c>
      <c r="Q1653" s="1">
        <f t="shared" si="3619"/>
        <v>0</v>
      </c>
      <c r="R1653" s="1">
        <f t="shared" si="3620"/>
        <v>0.75872701005005094</v>
      </c>
      <c r="S1653" s="1">
        <f t="shared" si="3621"/>
        <v>0.68849272767073177</v>
      </c>
      <c r="T1653" s="1">
        <f t="shared" ref="T1653:V1653" si="3733">$S1653*P1653</f>
        <v>0.2945754045808911</v>
      </c>
      <c r="U1653" s="1">
        <f t="shared" si="3733"/>
        <v>0</v>
      </c>
      <c r="V1653" s="1">
        <f t="shared" si="3733"/>
        <v>0.52237802870681826</v>
      </c>
      <c r="W1653" s="1">
        <f t="shared" si="3623"/>
        <v>-7.122904716082453</v>
      </c>
      <c r="X1653" s="1">
        <f t="shared" si="3624"/>
        <v>0</v>
      </c>
      <c r="Y1653" s="1">
        <f t="shared" si="3625"/>
        <v>-5.1014635692548094</v>
      </c>
    </row>
    <row r="1654" spans="1:25">
      <c r="A1654" s="1">
        <v>1.6519999999999899</v>
      </c>
      <c r="B1654" s="1">
        <f t="shared" si="3626"/>
        <v>47.865117320825007</v>
      </c>
      <c r="C1654" s="1">
        <f t="shared" si="3627"/>
        <v>0</v>
      </c>
      <c r="D1654" s="1">
        <f t="shared" si="3628"/>
        <v>-4.3742463734813022</v>
      </c>
      <c r="E1654" s="1">
        <f t="shared" si="3629"/>
        <v>12.592757213096503</v>
      </c>
      <c r="F1654" s="1">
        <f t="shared" si="3630"/>
        <v>0</v>
      </c>
      <c r="G1654" s="1">
        <f t="shared" si="3631"/>
        <v>-7.110329056245229</v>
      </c>
      <c r="H1654" s="1">
        <f t="shared" si="3456"/>
        <v>14.46147687880042</v>
      </c>
      <c r="I1654" s="1">
        <f t="shared" si="3614"/>
        <v>-7.411392527567827</v>
      </c>
      <c r="J1654" s="1">
        <f t="shared" si="3615"/>
        <v>0</v>
      </c>
      <c r="K1654" s="1">
        <f t="shared" si="3616"/>
        <v>4.1847419706622153</v>
      </c>
      <c r="L1654" s="1">
        <f t="shared" ref="L1654:N1654" si="3734">E1654/$H1654</f>
        <v>0.87077947284600388</v>
      </c>
      <c r="M1654" s="1">
        <f t="shared" si="3734"/>
        <v>0</v>
      </c>
      <c r="N1654" s="1">
        <f t="shared" si="3734"/>
        <v>-0.49167378379372212</v>
      </c>
      <c r="O1654" s="1">
        <f t="shared" si="3458"/>
        <v>-0.49167378379372212</v>
      </c>
      <c r="P1654" s="1">
        <f t="shared" si="3618"/>
        <v>0.42813943826409745</v>
      </c>
      <c r="Q1654" s="1">
        <f t="shared" si="3619"/>
        <v>0</v>
      </c>
      <c r="R1654" s="1">
        <f t="shared" si="3620"/>
        <v>0.75825689032996424</v>
      </c>
      <c r="S1654" s="1">
        <f t="shared" si="3621"/>
        <v>0.68814090019318319</v>
      </c>
      <c r="T1654" s="1">
        <f t="shared" ref="T1654:V1654" si="3735">$S1654*P1654</f>
        <v>0.2946202584552598</v>
      </c>
      <c r="U1654" s="1">
        <f t="shared" si="3735"/>
        <v>0</v>
      </c>
      <c r="V1654" s="1">
        <f t="shared" si="3735"/>
        <v>0.52178757908934537</v>
      </c>
      <c r="W1654" s="1">
        <f t="shared" si="3623"/>
        <v>-7.116772269112567</v>
      </c>
      <c r="X1654" s="1">
        <f t="shared" si="3624"/>
        <v>0</v>
      </c>
      <c r="Y1654" s="1">
        <f t="shared" si="3625"/>
        <v>-5.100120450248439</v>
      </c>
    </row>
    <row r="1655" spans="1:25">
      <c r="A1655" s="1">
        <v>1.65299999999999</v>
      </c>
      <c r="B1655" s="1">
        <f t="shared" si="3626"/>
        <v>47.877702961265832</v>
      </c>
      <c r="C1655" s="1">
        <f t="shared" si="3627"/>
        <v>0</v>
      </c>
      <c r="D1655" s="1">
        <f t="shared" si="3628"/>
        <v>-4.3813618026579979</v>
      </c>
      <c r="E1655" s="1">
        <f t="shared" si="3629"/>
        <v>12.58564044082739</v>
      </c>
      <c r="F1655" s="1">
        <f t="shared" si="3630"/>
        <v>0</v>
      </c>
      <c r="G1655" s="1">
        <f t="shared" si="3631"/>
        <v>-7.1154291766954776</v>
      </c>
      <c r="H1655" s="1">
        <f t="shared" si="3456"/>
        <v>14.457789515495069</v>
      </c>
      <c r="I1655" s="1">
        <f t="shared" si="3614"/>
        <v>-7.4053153169365169</v>
      </c>
      <c r="J1655" s="1">
        <f t="shared" si="3615"/>
        <v>0</v>
      </c>
      <c r="K1655" s="1">
        <f t="shared" si="3616"/>
        <v>4.1866758323898212</v>
      </c>
      <c r="L1655" s="1">
        <f t="shared" ref="L1655:N1655" si="3736">E1655/$H1655</f>
        <v>0.87050931453517066</v>
      </c>
      <c r="M1655" s="1">
        <f t="shared" si="3736"/>
        <v>0</v>
      </c>
      <c r="N1655" s="1">
        <f t="shared" si="3736"/>
        <v>-0.49215194128186396</v>
      </c>
      <c r="O1655" s="1">
        <f t="shared" si="3458"/>
        <v>-0.49215194128186396</v>
      </c>
      <c r="P1655" s="1">
        <f t="shared" si="3618"/>
        <v>0.42842284905242894</v>
      </c>
      <c r="Q1655" s="1">
        <f t="shared" si="3619"/>
        <v>0</v>
      </c>
      <c r="R1655" s="1">
        <f t="shared" si="3620"/>
        <v>0.75778646669249272</v>
      </c>
      <c r="S1655" s="1">
        <f t="shared" si="3621"/>
        <v>0.68779002288911784</v>
      </c>
      <c r="T1655" s="1">
        <f t="shared" ref="T1655:V1655" si="3737">$S1655*P1655</f>
        <v>0.29466496115599117</v>
      </c>
      <c r="U1655" s="1">
        <f t="shared" si="3737"/>
        <v>0</v>
      </c>
      <c r="V1655" s="1">
        <f t="shared" si="3737"/>
        <v>0.52119797127149325</v>
      </c>
      <c r="W1655" s="1">
        <f t="shared" si="3623"/>
        <v>-7.1106503557805256</v>
      </c>
      <c r="X1655" s="1">
        <f t="shared" si="3624"/>
        <v>0</v>
      </c>
      <c r="Y1655" s="1">
        <f t="shared" si="3625"/>
        <v>-5.0987761963386848</v>
      </c>
    </row>
    <row r="1656" spans="1:25">
      <c r="A1656" s="1">
        <v>1.6539999999999899</v>
      </c>
      <c r="B1656" s="1">
        <f t="shared" si="3626"/>
        <v>47.890281491056307</v>
      </c>
      <c r="C1656" s="1">
        <f t="shared" si="3627"/>
        <v>0</v>
      </c>
      <c r="D1656" s="1">
        <f t="shared" si="3628"/>
        <v>-4.3884823306108895</v>
      </c>
      <c r="E1656" s="1">
        <f t="shared" si="3629"/>
        <v>12.57852979047161</v>
      </c>
      <c r="F1656" s="1">
        <f t="shared" si="3630"/>
        <v>0</v>
      </c>
      <c r="G1656" s="1">
        <f t="shared" si="3631"/>
        <v>-7.1205279528918162</v>
      </c>
      <c r="H1656" s="1">
        <f t="shared" si="3456"/>
        <v>14.454111180480641</v>
      </c>
      <c r="I1656" s="1">
        <f t="shared" si="3614"/>
        <v>-7.3992484651546313</v>
      </c>
      <c r="J1656" s="1">
        <f t="shared" si="3615"/>
        <v>0</v>
      </c>
      <c r="K1656" s="1">
        <f t="shared" si="3616"/>
        <v>4.1886099889381452</v>
      </c>
      <c r="L1656" s="1">
        <f t="shared" ref="L1656:N1656" si="3738">E1656/$H1656</f>
        <v>0.87023889835980472</v>
      </c>
      <c r="M1656" s="1">
        <f t="shared" si="3738"/>
        <v>0</v>
      </c>
      <c r="N1656" s="1">
        <f t="shared" si="3738"/>
        <v>-0.4926299420269879</v>
      </c>
      <c r="O1656" s="1">
        <f t="shared" si="3458"/>
        <v>-0.4926299420269879</v>
      </c>
      <c r="P1656" s="1">
        <f t="shared" si="3618"/>
        <v>0.42870573804862044</v>
      </c>
      <c r="Q1656" s="1">
        <f t="shared" si="3619"/>
        <v>0</v>
      </c>
      <c r="R1656" s="1">
        <f t="shared" si="3620"/>
        <v>0.75731574021848658</v>
      </c>
      <c r="S1656" s="1">
        <f t="shared" si="3621"/>
        <v>0.68744009383654114</v>
      </c>
      <c r="T1656" s="1">
        <f t="shared" ref="T1656:V1656" si="3739">$S1656*P1656</f>
        <v>0.29470951279240726</v>
      </c>
      <c r="U1656" s="1">
        <f t="shared" si="3739"/>
        <v>0</v>
      </c>
      <c r="V1656" s="1">
        <f t="shared" si="3739"/>
        <v>0.52060920351968598</v>
      </c>
      <c r="W1656" s="1">
        <f t="shared" si="3623"/>
        <v>-7.1045389523622244</v>
      </c>
      <c r="X1656" s="1">
        <f t="shared" si="3624"/>
        <v>0</v>
      </c>
      <c r="Y1656" s="1">
        <f t="shared" si="3625"/>
        <v>-5.0974308075421684</v>
      </c>
    </row>
    <row r="1657" spans="1:25">
      <c r="A1657" s="1">
        <v>1.65499999999999</v>
      </c>
      <c r="B1657" s="1">
        <f t="shared" si="3626"/>
        <v>47.902852916307829</v>
      </c>
      <c r="C1657" s="1">
        <f t="shared" si="3627"/>
        <v>0</v>
      </c>
      <c r="D1657" s="1">
        <f t="shared" si="3628"/>
        <v>-4.3956079559945893</v>
      </c>
      <c r="E1657" s="1">
        <f t="shared" si="3629"/>
        <v>12.571425251519248</v>
      </c>
      <c r="F1657" s="1">
        <f t="shared" si="3630"/>
        <v>0</v>
      </c>
      <c r="G1657" s="1">
        <f t="shared" si="3631"/>
        <v>-7.1256253836993579</v>
      </c>
      <c r="H1657" s="1">
        <f t="shared" si="3456"/>
        <v>14.450441860488432</v>
      </c>
      <c r="I1657" s="1">
        <f t="shared" si="3614"/>
        <v>-7.3931919486654838</v>
      </c>
      <c r="J1657" s="1">
        <f t="shared" si="3615"/>
        <v>0</v>
      </c>
      <c r="K1657" s="1">
        <f t="shared" si="3616"/>
        <v>4.1905444420159137</v>
      </c>
      <c r="L1657" s="1">
        <f t="shared" ref="L1657:N1657" si="3740">E1657/$H1657</f>
        <v>0.86996822470135371</v>
      </c>
      <c r="M1657" s="1">
        <f t="shared" si="3740"/>
        <v>0</v>
      </c>
      <c r="N1657" s="1">
        <f t="shared" si="3740"/>
        <v>-0.49310778538771327</v>
      </c>
      <c r="O1657" s="1">
        <f t="shared" si="3458"/>
        <v>-0.49310778538771327</v>
      </c>
      <c r="P1657" s="1">
        <f t="shared" si="3618"/>
        <v>0.42898810464016501</v>
      </c>
      <c r="Q1657" s="1">
        <f t="shared" si="3619"/>
        <v>0</v>
      </c>
      <c r="R1657" s="1">
        <f t="shared" si="3620"/>
        <v>0.7568447119900249</v>
      </c>
      <c r="S1657" s="1">
        <f t="shared" si="3621"/>
        <v>0.68709111111801735</v>
      </c>
      <c r="T1657" s="1">
        <f t="shared" ref="T1657:V1657" si="3741">$S1657*P1657</f>
        <v>0.29475391347362329</v>
      </c>
      <c r="U1657" s="1">
        <f t="shared" si="3741"/>
        <v>0</v>
      </c>
      <c r="V1657" s="1">
        <f t="shared" si="3741"/>
        <v>0.52002127410502208</v>
      </c>
      <c r="W1657" s="1">
        <f t="shared" si="3623"/>
        <v>-7.0984380351918608</v>
      </c>
      <c r="X1657" s="1">
        <f t="shared" si="3624"/>
        <v>0</v>
      </c>
      <c r="Y1657" s="1">
        <f t="shared" si="3625"/>
        <v>-5.0960842838790636</v>
      </c>
    </row>
    <row r="1658" spans="1:25">
      <c r="A1658" s="1">
        <v>1.6559999999999899</v>
      </c>
      <c r="B1658" s="1">
        <f t="shared" si="3626"/>
        <v>47.915417243121311</v>
      </c>
      <c r="C1658" s="1">
        <f t="shared" si="3627"/>
        <v>0</v>
      </c>
      <c r="D1658" s="1">
        <f t="shared" si="3628"/>
        <v>-4.4027386774625725</v>
      </c>
      <c r="E1658" s="1">
        <f t="shared" si="3629"/>
        <v>12.564326813484056</v>
      </c>
      <c r="F1658" s="1">
        <f t="shared" si="3630"/>
        <v>0</v>
      </c>
      <c r="G1658" s="1">
        <f t="shared" si="3631"/>
        <v>-7.1307214679832374</v>
      </c>
      <c r="H1658" s="1">
        <f t="shared" si="3456"/>
        <v>14.446781542267171</v>
      </c>
      <c r="I1658" s="1">
        <f t="shared" si="3614"/>
        <v>-7.3871457439703052</v>
      </c>
      <c r="J1658" s="1">
        <f t="shared" si="3615"/>
        <v>0</v>
      </c>
      <c r="K1658" s="1">
        <f t="shared" si="3616"/>
        <v>4.192479193323627</v>
      </c>
      <c r="L1658" s="1">
        <f t="shared" ref="L1658:N1658" si="3742">E1658/$H1658</f>
        <v>0.86969729394221207</v>
      </c>
      <c r="M1658" s="1">
        <f t="shared" si="3742"/>
        <v>0</v>
      </c>
      <c r="N1658" s="1">
        <f t="shared" si="3742"/>
        <v>-0.4935854707237578</v>
      </c>
      <c r="O1658" s="1">
        <f t="shared" si="3458"/>
        <v>-0.4935854707237578</v>
      </c>
      <c r="P1658" s="1">
        <f t="shared" si="3618"/>
        <v>0.42926994821764508</v>
      </c>
      <c r="Q1658" s="1">
        <f t="shared" si="3619"/>
        <v>0</v>
      </c>
      <c r="R1658" s="1">
        <f t="shared" si="3620"/>
        <v>0.75637338309040647</v>
      </c>
      <c r="S1658" s="1">
        <f t="shared" si="3621"/>
        <v>0.68674307282065616</v>
      </c>
      <c r="T1658" s="1">
        <f t="shared" ref="T1658:V1658" si="3743">$S1658*P1658</f>
        <v>0.29479816330854952</v>
      </c>
      <c r="U1658" s="1">
        <f t="shared" si="3743"/>
        <v>0</v>
      </c>
      <c r="V1658" s="1">
        <f t="shared" si="3743"/>
        <v>0.51943418130326102</v>
      </c>
      <c r="W1658" s="1">
        <f t="shared" si="3623"/>
        <v>-7.0923475806617553</v>
      </c>
      <c r="X1658" s="1">
        <f t="shared" si="3624"/>
        <v>0</v>
      </c>
      <c r="Y1658" s="1">
        <f t="shared" si="3625"/>
        <v>-5.0947366253731117</v>
      </c>
    </row>
    <row r="1659" spans="1:25">
      <c r="A1659" s="1">
        <v>1.65699999999999</v>
      </c>
      <c r="B1659" s="1">
        <f t="shared" si="3626"/>
        <v>47.927974477587213</v>
      </c>
      <c r="C1659" s="1">
        <f t="shared" si="3627"/>
        <v>0</v>
      </c>
      <c r="D1659" s="1">
        <f t="shared" si="3628"/>
        <v>-4.4098744936671812</v>
      </c>
      <c r="E1659" s="1">
        <f t="shared" si="3629"/>
        <v>12.557234465903395</v>
      </c>
      <c r="F1659" s="1">
        <f t="shared" si="3630"/>
        <v>0</v>
      </c>
      <c r="G1659" s="1">
        <f t="shared" si="3631"/>
        <v>-7.1358162046086102</v>
      </c>
      <c r="H1659" s="1">
        <f t="shared" si="3456"/>
        <v>14.443130212582968</v>
      </c>
      <c r="I1659" s="1">
        <f t="shared" si="3614"/>
        <v>-7.3811098276280713</v>
      </c>
      <c r="J1659" s="1">
        <f t="shared" si="3615"/>
        <v>0</v>
      </c>
      <c r="K1659" s="1">
        <f t="shared" si="3616"/>
        <v>4.1944142445535713</v>
      </c>
      <c r="L1659" s="1">
        <f t="shared" ref="L1659:N1659" si="3744">E1659/$H1659</f>
        <v>0.8694261064657185</v>
      </c>
      <c r="M1659" s="1">
        <f t="shared" si="3744"/>
        <v>0</v>
      </c>
      <c r="N1659" s="1">
        <f t="shared" si="3744"/>
        <v>-0.49406299739594062</v>
      </c>
      <c r="O1659" s="1">
        <f t="shared" si="3458"/>
        <v>-0.49406299739594062</v>
      </c>
      <c r="P1659" s="1">
        <f t="shared" si="3618"/>
        <v>0.42955126817473505</v>
      </c>
      <c r="Q1659" s="1">
        <f t="shared" si="3619"/>
        <v>0</v>
      </c>
      <c r="R1659" s="1">
        <f t="shared" si="3620"/>
        <v>0.75590175460413878</v>
      </c>
      <c r="S1659" s="1">
        <f t="shared" si="3621"/>
        <v>0.68639597703609745</v>
      </c>
      <c r="T1659" s="1">
        <f t="shared" ref="T1659:V1659" si="3745">$S1659*P1659</f>
        <v>0.29484226240589195</v>
      </c>
      <c r="U1659" s="1">
        <f t="shared" si="3745"/>
        <v>0</v>
      </c>
      <c r="V1659" s="1">
        <f t="shared" si="3745"/>
        <v>0.51884792339480823</v>
      </c>
      <c r="W1659" s="1">
        <f t="shared" si="3623"/>
        <v>-7.0862675652221796</v>
      </c>
      <c r="X1659" s="1">
        <f t="shared" si="3624"/>
        <v>0</v>
      </c>
      <c r="Y1659" s="1">
        <f t="shared" si="3625"/>
        <v>-5.0933878320516204</v>
      </c>
    </row>
    <row r="1660" spans="1:25">
      <c r="A1660" s="1">
        <v>1.6579999999999899</v>
      </c>
      <c r="B1660" s="1">
        <f t="shared" si="3626"/>
        <v>47.94052462578555</v>
      </c>
      <c r="C1660" s="1">
        <f t="shared" si="3627"/>
        <v>0</v>
      </c>
      <c r="D1660" s="1">
        <f t="shared" si="3628"/>
        <v>-4.4170154032596223</v>
      </c>
      <c r="E1660" s="1">
        <f t="shared" si="3629"/>
        <v>12.550148198338173</v>
      </c>
      <c r="F1660" s="1">
        <f t="shared" si="3630"/>
        <v>0</v>
      </c>
      <c r="G1660" s="1">
        <f t="shared" si="3631"/>
        <v>-7.1409095924406616</v>
      </c>
      <c r="H1660" s="1">
        <f t="shared" si="3456"/>
        <v>14.439487858219277</v>
      </c>
      <c r="I1660" s="1">
        <f t="shared" si="3614"/>
        <v>-7.3750841762553332</v>
      </c>
      <c r="J1660" s="1">
        <f t="shared" si="3615"/>
        <v>0</v>
      </c>
      <c r="K1660" s="1">
        <f t="shared" si="3616"/>
        <v>4.1963495973898262</v>
      </c>
      <c r="L1660" s="1">
        <f t="shared" ref="L1660:N1660" si="3746">E1660/$H1660</f>
        <v>0.8691546626561516</v>
      </c>
      <c r="M1660" s="1">
        <f t="shared" si="3746"/>
        <v>0</v>
      </c>
      <c r="N1660" s="1">
        <f t="shared" si="3746"/>
        <v>-0.49454036476618507</v>
      </c>
      <c r="O1660" s="1">
        <f t="shared" si="3458"/>
        <v>-0.49454036476618507</v>
      </c>
      <c r="P1660" s="1">
        <f t="shared" si="3618"/>
        <v>0.42983206390820372</v>
      </c>
      <c r="Q1660" s="1">
        <f t="shared" si="3619"/>
        <v>0</v>
      </c>
      <c r="R1660" s="1">
        <f t="shared" si="3620"/>
        <v>0.75542982761692867</v>
      </c>
      <c r="S1660" s="1">
        <f t="shared" si="3621"/>
        <v>0.68604982186049768</v>
      </c>
      <c r="T1660" s="1">
        <f t="shared" ref="T1660:V1660" si="3747">$S1660*P1660</f>
        <v>0.29488621087415323</v>
      </c>
      <c r="U1660" s="1">
        <f t="shared" si="3747"/>
        <v>0</v>
      </c>
      <c r="V1660" s="1">
        <f t="shared" si="3747"/>
        <v>0.51826249866470042</v>
      </c>
      <c r="W1660" s="1">
        <f t="shared" si="3623"/>
        <v>-7.0801979653811795</v>
      </c>
      <c r="X1660" s="1">
        <f t="shared" si="3624"/>
        <v>0</v>
      </c>
      <c r="Y1660" s="1">
        <f t="shared" si="3625"/>
        <v>-5.0920379039454726</v>
      </c>
    </row>
    <row r="1661" spans="1:25">
      <c r="A1661" s="1">
        <v>1.65899999999999</v>
      </c>
      <c r="B1661" s="1">
        <f t="shared" si="3626"/>
        <v>47.953067693785925</v>
      </c>
      <c r="C1661" s="1">
        <f t="shared" si="3627"/>
        <v>0</v>
      </c>
      <c r="D1661" s="1">
        <f t="shared" si="3628"/>
        <v>-4.4241614048899667</v>
      </c>
      <c r="E1661" s="1">
        <f t="shared" si="3629"/>
        <v>12.543068000372791</v>
      </c>
      <c r="F1661" s="1">
        <f t="shared" si="3630"/>
        <v>0</v>
      </c>
      <c r="G1661" s="1">
        <f t="shared" si="3631"/>
        <v>-7.1460016303446068</v>
      </c>
      <c r="H1661" s="1">
        <f t="shared" si="3456"/>
        <v>14.435854465976847</v>
      </c>
      <c r="I1661" s="1">
        <f t="shared" si="3614"/>
        <v>-7.3690687665260546</v>
      </c>
      <c r="J1661" s="1">
        <f t="shared" si="3615"/>
        <v>0</v>
      </c>
      <c r="K1661" s="1">
        <f t="shared" si="3616"/>
        <v>4.1982852535082822</v>
      </c>
      <c r="L1661" s="1">
        <f t="shared" ref="L1661:N1661" si="3748">E1661/$H1661</f>
        <v>0.86888296289872757</v>
      </c>
      <c r="M1661" s="1">
        <f t="shared" si="3748"/>
        <v>0</v>
      </c>
      <c r="N1661" s="1">
        <f t="shared" si="3748"/>
        <v>-0.49501757219752146</v>
      </c>
      <c r="O1661" s="1">
        <f t="shared" si="3458"/>
        <v>-0.49501757219752146</v>
      </c>
      <c r="P1661" s="1">
        <f t="shared" si="3618"/>
        <v>0.43011233481791722</v>
      </c>
      <c r="Q1661" s="1">
        <f t="shared" si="3619"/>
        <v>0</v>
      </c>
      <c r="R1661" s="1">
        <f t="shared" si="3620"/>
        <v>0.75495760321567162</v>
      </c>
      <c r="S1661" s="1">
        <f t="shared" si="3621"/>
        <v>0.6857046053945155</v>
      </c>
      <c r="T1661" s="1">
        <f t="shared" ref="T1661:V1661" si="3749">$S1661*P1661</f>
        <v>0.29493000882163367</v>
      </c>
      <c r="U1661" s="1">
        <f t="shared" si="3749"/>
        <v>0</v>
      </c>
      <c r="V1661" s="1">
        <f t="shared" si="3749"/>
        <v>0.51767790540259129</v>
      </c>
      <c r="W1661" s="1">
        <f t="shared" si="3623"/>
        <v>-7.0741387577044206</v>
      </c>
      <c r="X1661" s="1">
        <f t="shared" si="3624"/>
        <v>0</v>
      </c>
      <c r="Y1661" s="1">
        <f t="shared" si="3625"/>
        <v>-5.0906868410891262</v>
      </c>
    </row>
    <row r="1662" spans="1:25">
      <c r="A1662" s="1">
        <v>1.6599999999999899</v>
      </c>
      <c r="B1662" s="1">
        <f t="shared" si="3626"/>
        <v>47.965603687647544</v>
      </c>
      <c r="C1662" s="1">
        <f t="shared" si="3627"/>
        <v>0</v>
      </c>
      <c r="D1662" s="1">
        <f t="shared" si="3628"/>
        <v>-4.431312497207152</v>
      </c>
      <c r="E1662" s="1">
        <f t="shared" si="3629"/>
        <v>12.535993861615086</v>
      </c>
      <c r="F1662" s="1">
        <f t="shared" si="3630"/>
        <v>0</v>
      </c>
      <c r="G1662" s="1">
        <f t="shared" si="3631"/>
        <v>-7.1510923171856957</v>
      </c>
      <c r="H1662" s="1">
        <f t="shared" si="3456"/>
        <v>14.432230022673675</v>
      </c>
      <c r="I1662" s="1">
        <f t="shared" si="3614"/>
        <v>-7.3630635751714246</v>
      </c>
      <c r="J1662" s="1">
        <f t="shared" si="3615"/>
        <v>0</v>
      </c>
      <c r="K1662" s="1">
        <f t="shared" si="3616"/>
        <v>4.2002212145766391</v>
      </c>
      <c r="L1662" s="1">
        <f t="shared" ref="L1662:N1662" si="3750">E1662/$H1662</f>
        <v>0.86861100757959664</v>
      </c>
      <c r="M1662" s="1">
        <f t="shared" si="3750"/>
        <v>0</v>
      </c>
      <c r="N1662" s="1">
        <f t="shared" si="3750"/>
        <v>-0.49549461905409015</v>
      </c>
      <c r="O1662" s="1">
        <f t="shared" si="3458"/>
        <v>-0.49549461905409015</v>
      </c>
      <c r="P1662" s="1">
        <f t="shared" si="3618"/>
        <v>0.43039208030684162</v>
      </c>
      <c r="Q1662" s="1">
        <f t="shared" si="3619"/>
        <v>0</v>
      </c>
      <c r="R1662" s="1">
        <f t="shared" si="3620"/>
        <v>0.75448508248844215</v>
      </c>
      <c r="S1662" s="1">
        <f t="shared" si="3621"/>
        <v>0.68536032574329742</v>
      </c>
      <c r="T1662" s="1">
        <f t="shared" ref="T1662:V1662" si="3751">$S1662*P1662</f>
        <v>0.29497365635643241</v>
      </c>
      <c r="U1662" s="1">
        <f t="shared" si="3751"/>
        <v>0</v>
      </c>
      <c r="V1662" s="1">
        <f t="shared" si="3751"/>
        <v>0.51709414190273728</v>
      </c>
      <c r="W1662" s="1">
        <f t="shared" si="3623"/>
        <v>-7.0680899188149926</v>
      </c>
      <c r="X1662" s="1">
        <f t="shared" si="3624"/>
        <v>0</v>
      </c>
      <c r="Y1662" s="1">
        <f t="shared" si="3625"/>
        <v>-5.0893346435206226</v>
      </c>
    </row>
    <row r="1663" spans="1:25">
      <c r="A1663" s="1">
        <v>1.66099999999999</v>
      </c>
      <c r="B1663" s="1">
        <f t="shared" si="3626"/>
        <v>47.978132613419241</v>
      </c>
      <c r="C1663" s="1">
        <f t="shared" si="3627"/>
        <v>0</v>
      </c>
      <c r="D1663" s="1">
        <f t="shared" si="3628"/>
        <v>-4.4384686788589809</v>
      </c>
      <c r="E1663" s="1">
        <f t="shared" si="3629"/>
        <v>12.528925771696271</v>
      </c>
      <c r="F1663" s="1">
        <f t="shared" si="3630"/>
        <v>0</v>
      </c>
      <c r="G1663" s="1">
        <f t="shared" si="3631"/>
        <v>-7.1561816518292165</v>
      </c>
      <c r="H1663" s="1">
        <f t="shared" si="3456"/>
        <v>14.42861451514497</v>
      </c>
      <c r="I1663" s="1">
        <f t="shared" si="3614"/>
        <v>-7.3570685789797086</v>
      </c>
      <c r="J1663" s="1">
        <f t="shared" si="3615"/>
        <v>0</v>
      </c>
      <c r="K1663" s="1">
        <f t="shared" si="3616"/>
        <v>4.2021574822544299</v>
      </c>
      <c r="L1663" s="1">
        <f t="shared" ref="L1663:N1663" si="3752">E1663/$H1663</f>
        <v>0.86833879708583983</v>
      </c>
      <c r="M1663" s="1">
        <f t="shared" si="3752"/>
        <v>0</v>
      </c>
      <c r="N1663" s="1">
        <f t="shared" si="3752"/>
        <v>-0.49597150470114387</v>
      </c>
      <c r="O1663" s="1">
        <f t="shared" si="3458"/>
        <v>-0.49597150470114387</v>
      </c>
      <c r="P1663" s="1">
        <f t="shared" si="3618"/>
        <v>0.43067129978104524</v>
      </c>
      <c r="Q1663" s="1">
        <f t="shared" si="3619"/>
        <v>0</v>
      </c>
      <c r="R1663" s="1">
        <f t="shared" si="3620"/>
        <v>0.75401226652448328</v>
      </c>
      <c r="S1663" s="1">
        <f t="shared" si="3621"/>
        <v>0.68501698101646458</v>
      </c>
      <c r="T1663" s="1">
        <f t="shared" ref="T1663:V1663" si="3753">$S1663*P1663</f>
        <v>0.29501715358644837</v>
      </c>
      <c r="U1663" s="1">
        <f t="shared" si="3753"/>
        <v>0</v>
      </c>
      <c r="V1663" s="1">
        <f t="shared" si="3753"/>
        <v>0.51651120646398341</v>
      </c>
      <c r="W1663" s="1">
        <f t="shared" si="3623"/>
        <v>-7.0620514253932605</v>
      </c>
      <c r="X1663" s="1">
        <f t="shared" si="3624"/>
        <v>0</v>
      </c>
      <c r="Y1663" s="1">
        <f t="shared" si="3625"/>
        <v>-5.0879813112815864</v>
      </c>
    </row>
    <row r="1664" spans="1:25">
      <c r="A1664" s="1">
        <v>1.6619999999999899</v>
      </c>
      <c r="B1664" s="1">
        <f t="shared" si="3626"/>
        <v>47.990654477139515</v>
      </c>
      <c r="C1664" s="1">
        <f t="shared" si="3627"/>
        <v>0</v>
      </c>
      <c r="D1664" s="1">
        <f t="shared" si="3628"/>
        <v>-4.4456299484921216</v>
      </c>
      <c r="E1664" s="1">
        <f t="shared" si="3629"/>
        <v>12.521863720270877</v>
      </c>
      <c r="F1664" s="1">
        <f t="shared" si="3630"/>
        <v>0</v>
      </c>
      <c r="G1664" s="1">
        <f t="shared" si="3631"/>
        <v>-7.1612696331404981</v>
      </c>
      <c r="H1664" s="1">
        <f t="shared" si="3456"/>
        <v>14.425007930243098</v>
      </c>
      <c r="I1664" s="1">
        <f t="shared" si="3614"/>
        <v>-7.3510837547960648</v>
      </c>
      <c r="J1664" s="1">
        <f t="shared" si="3615"/>
        <v>0</v>
      </c>
      <c r="K1664" s="1">
        <f t="shared" si="3616"/>
        <v>4.2040940581930162</v>
      </c>
      <c r="L1664" s="1">
        <f t="shared" ref="L1664:N1664" si="3754">E1664/$H1664</f>
        <v>0.86806633180546555</v>
      </c>
      <c r="M1664" s="1">
        <f t="shared" si="3754"/>
        <v>0</v>
      </c>
      <c r="N1664" s="1">
        <f t="shared" si="3754"/>
        <v>-0.49644822850505099</v>
      </c>
      <c r="O1664" s="1">
        <f t="shared" si="3458"/>
        <v>-0.49644822850505099</v>
      </c>
      <c r="P1664" s="1">
        <f t="shared" si="3618"/>
        <v>0.43094999264970119</v>
      </c>
      <c r="Q1664" s="1">
        <f t="shared" si="3619"/>
        <v>0</v>
      </c>
      <c r="R1664" s="1">
        <f t="shared" si="3620"/>
        <v>0.75353915641419666</v>
      </c>
      <c r="S1664" s="1">
        <f t="shared" si="3621"/>
        <v>0.68467456932809767</v>
      </c>
      <c r="T1664" s="1">
        <f t="shared" ref="T1664:V1664" si="3755">$S1664*P1664</f>
        <v>0.29506050061938099</v>
      </c>
      <c r="U1664" s="1">
        <f t="shared" si="3755"/>
        <v>0</v>
      </c>
      <c r="V1664" s="1">
        <f t="shared" si="3755"/>
        <v>0.51592909738974813</v>
      </c>
      <c r="W1664" s="1">
        <f t="shared" si="3623"/>
        <v>-7.0560232541766839</v>
      </c>
      <c r="X1664" s="1">
        <f t="shared" si="3624"/>
        <v>0</v>
      </c>
      <c r="Y1664" s="1">
        <f t="shared" si="3625"/>
        <v>-5.0866268444172356</v>
      </c>
    </row>
    <row r="1665" spans="1:25">
      <c r="A1665" s="1">
        <v>1.66299999999999</v>
      </c>
      <c r="B1665" s="1">
        <f t="shared" si="3626"/>
        <v>48.003169284836531</v>
      </c>
      <c r="C1665" s="1">
        <f t="shared" si="3627"/>
        <v>0</v>
      </c>
      <c r="D1665" s="1">
        <f t="shared" si="3628"/>
        <v>-4.4527963047521064</v>
      </c>
      <c r="E1665" s="1">
        <f t="shared" si="3629"/>
        <v>12.514807697016701</v>
      </c>
      <c r="F1665" s="1">
        <f t="shared" si="3630"/>
        <v>0</v>
      </c>
      <c r="G1665" s="1">
        <f t="shared" si="3631"/>
        <v>-7.1663562599849158</v>
      </c>
      <c r="H1665" s="1">
        <f t="shared" si="3456"/>
        <v>14.421410254837545</v>
      </c>
      <c r="I1665" s="1">
        <f t="shared" si="3614"/>
        <v>-7.3451090795223886</v>
      </c>
      <c r="J1665" s="1">
        <f t="shared" si="3615"/>
        <v>0</v>
      </c>
      <c r="K1665" s="1">
        <f t="shared" si="3616"/>
        <v>4.2060309440356125</v>
      </c>
      <c r="L1665" s="1">
        <f t="shared" ref="L1665:N1665" si="3756">E1665/$H1665</f>
        <v>0.86779361212740691</v>
      </c>
      <c r="M1665" s="1">
        <f t="shared" si="3756"/>
        <v>0</v>
      </c>
      <c r="N1665" s="1">
        <f t="shared" si="3756"/>
        <v>-0.49692478983329802</v>
      </c>
      <c r="O1665" s="1">
        <f t="shared" si="3458"/>
        <v>-0.49692478983329802</v>
      </c>
      <c r="P1665" s="1">
        <f t="shared" si="3618"/>
        <v>0.43122815832509021</v>
      </c>
      <c r="Q1665" s="1">
        <f t="shared" si="3619"/>
        <v>0</v>
      </c>
      <c r="R1665" s="1">
        <f t="shared" si="3620"/>
        <v>0.75306575324913261</v>
      </c>
      <c r="S1665" s="1">
        <f t="shared" si="3621"/>
        <v>0.68433308879672372</v>
      </c>
      <c r="T1665" s="1">
        <f t="shared" ref="T1665:V1665" si="3757">$S1665*P1665</f>
        <v>0.29510369756273158</v>
      </c>
      <c r="U1665" s="1">
        <f t="shared" si="3757"/>
        <v>0</v>
      </c>
      <c r="V1665" s="1">
        <f t="shared" si="3757"/>
        <v>0.51534781298801025</v>
      </c>
      <c r="W1665" s="1">
        <f t="shared" si="3623"/>
        <v>-7.0500053819596573</v>
      </c>
      <c r="X1665" s="1">
        <f t="shared" si="3624"/>
        <v>0</v>
      </c>
      <c r="Y1665" s="1">
        <f t="shared" si="3625"/>
        <v>-5.0852712429763764</v>
      </c>
    </row>
    <row r="1666" spans="1:25">
      <c r="A1666" s="1">
        <v>1.6639999999999899</v>
      </c>
      <c r="B1666" s="1">
        <f t="shared" si="3626"/>
        <v>48.015677042528168</v>
      </c>
      <c r="C1666" s="1">
        <f t="shared" si="3627"/>
        <v>0</v>
      </c>
      <c r="D1666" s="1">
        <f t="shared" si="3628"/>
        <v>-4.4599677462833345</v>
      </c>
      <c r="E1666" s="1">
        <f t="shared" si="3629"/>
        <v>12.507757691634742</v>
      </c>
      <c r="F1666" s="1">
        <f t="shared" si="3630"/>
        <v>0</v>
      </c>
      <c r="G1666" s="1">
        <f t="shared" si="3631"/>
        <v>-7.1714415312278925</v>
      </c>
      <c r="H1666" s="1">
        <f t="shared" si="3456"/>
        <v>14.417821475814865</v>
      </c>
      <c r="I1666" s="1">
        <f t="shared" ref="I1666:I1729" si="3758">-K_drag*$H1666*E1666</f>
        <v>-7.3391445301171281</v>
      </c>
      <c r="J1666" s="1">
        <f t="shared" ref="J1666:J1729" si="3759">-K_drag*$H1666*F1666</f>
        <v>0</v>
      </c>
      <c r="K1666" s="1">
        <f t="shared" ref="K1666:K1729" si="3760">-K_drag*$H1666*G1666</f>
        <v>4.2079681414172843</v>
      </c>
      <c r="L1666" s="1">
        <f t="shared" ref="L1666:N1666" si="3761">E1666/$H1666</f>
        <v>0.86752063844151805</v>
      </c>
      <c r="M1666" s="1">
        <f t="shared" si="3761"/>
        <v>0</v>
      </c>
      <c r="N1666" s="1">
        <f t="shared" si="3761"/>
        <v>-0.49740118805449268</v>
      </c>
      <c r="O1666" s="1">
        <f t="shared" si="3458"/>
        <v>-0.49740118805449268</v>
      </c>
      <c r="P1666" s="1">
        <f t="shared" ref="P1666:P1729" si="3762">u_axis_f-$O1666*L1666</f>
        <v>0.4315057962226031</v>
      </c>
      <c r="Q1666" s="1">
        <f t="shared" ref="Q1666:Q1729" si="3763">u_axis_r-$O1666*M1666</f>
        <v>0</v>
      </c>
      <c r="R1666" s="1">
        <f t="shared" ref="R1666:R1729" si="3764">u_axis_u-$O1666*N1666</f>
        <v>0.75259205812197916</v>
      </c>
      <c r="S1666" s="1">
        <f t="shared" ref="S1666:S1729" si="3765">K_lift*H1666^2</f>
        <v>0.6839925375453012</v>
      </c>
      <c r="T1666" s="1">
        <f t="shared" ref="T1666:V1666" si="3766">$S1666*P1666</f>
        <v>0.29514674452380396</v>
      </c>
      <c r="U1666" s="1">
        <f t="shared" si="3766"/>
        <v>0</v>
      </c>
      <c r="V1666" s="1">
        <f t="shared" si="3766"/>
        <v>0.51476735157129339</v>
      </c>
      <c r="W1666" s="1">
        <f t="shared" ref="W1666:W1729" si="3767">I1666+T1666+g_f</f>
        <v>-7.0439977855933238</v>
      </c>
      <c r="X1666" s="1">
        <f t="shared" ref="X1666:X1729" si="3768">J1666+U1666+g_r</f>
        <v>0</v>
      </c>
      <c r="Y1666" s="1">
        <f t="shared" ref="Y1666:Y1729" si="3769">K1666+V1666+g_u</f>
        <v>-5.0839145070114213</v>
      </c>
    </row>
    <row r="1667" spans="1:25">
      <c r="A1667" s="1">
        <v>1.66499999999999</v>
      </c>
      <c r="B1667" s="1">
        <f t="shared" ref="B1667:B1730" si="3770">B1666+E1667*dt</f>
        <v>48.028177756222014</v>
      </c>
      <c r="C1667" s="1">
        <f t="shared" ref="C1667:C1730" si="3771">C1666+F1667*dt</f>
        <v>0</v>
      </c>
      <c r="D1667" s="1">
        <f t="shared" ref="D1667:D1730" si="3772">D1666+G1667*dt</f>
        <v>-4.4671442717290697</v>
      </c>
      <c r="E1667" s="1">
        <f t="shared" ref="E1667:E1730" si="3773">E1666+W1666*dt</f>
        <v>12.500713693849148</v>
      </c>
      <c r="F1667" s="1">
        <f t="shared" ref="F1667:F1730" si="3774">F1666+X1666*dt</f>
        <v>0</v>
      </c>
      <c r="G1667" s="1">
        <f t="shared" ref="G1667:G1730" si="3775">G1666+Y1666*dt</f>
        <v>-7.1765254457349039</v>
      </c>
      <c r="H1667" s="1">
        <f t="shared" si="3456"/>
        <v>14.414241580078647</v>
      </c>
      <c r="I1667" s="1">
        <f t="shared" si="3758"/>
        <v>-7.3331900835951362</v>
      </c>
      <c r="J1667" s="1">
        <f t="shared" si="3759"/>
        <v>0</v>
      </c>
      <c r="K1667" s="1">
        <f t="shared" si="3760"/>
        <v>4.2099056519649647</v>
      </c>
      <c r="L1667" s="1">
        <f t="shared" ref="L1667:N1667" si="3776">E1667/$H1667</f>
        <v>0.86724741113857073</v>
      </c>
      <c r="M1667" s="1">
        <f t="shared" si="3776"/>
        <v>0</v>
      </c>
      <c r="N1667" s="1">
        <f t="shared" si="3776"/>
        <v>-0.4978774225383662</v>
      </c>
      <c r="O1667" s="1">
        <f t="shared" si="3458"/>
        <v>-0.4978774225383662</v>
      </c>
      <c r="P1667" s="1">
        <f t="shared" si="3762"/>
        <v>0.43178290576074235</v>
      </c>
      <c r="Q1667" s="1">
        <f t="shared" si="3763"/>
        <v>0</v>
      </c>
      <c r="R1667" s="1">
        <f t="shared" si="3764"/>
        <v>0.75211807212655313</v>
      </c>
      <c r="S1667" s="1">
        <f t="shared" si="3765"/>
        <v>0.68365291370120773</v>
      </c>
      <c r="T1667" s="1">
        <f t="shared" ref="T1667:V1667" si="3777">$S1667*P1667</f>
        <v>0.29518964160970551</v>
      </c>
      <c r="U1667" s="1">
        <f t="shared" si="3777"/>
        <v>0</v>
      </c>
      <c r="V1667" s="1">
        <f t="shared" si="3777"/>
        <v>0.51418771145665321</v>
      </c>
      <c r="W1667" s="1">
        <f t="shared" si="3767"/>
        <v>-7.0380004419854307</v>
      </c>
      <c r="X1667" s="1">
        <f t="shared" si="3768"/>
        <v>0</v>
      </c>
      <c r="Y1667" s="1">
        <f t="shared" si="3769"/>
        <v>-5.0825566365783814</v>
      </c>
    </row>
    <row r="1668" spans="1:25">
      <c r="A1668" s="1">
        <v>1.6659999999999899</v>
      </c>
      <c r="B1668" s="1">
        <f t="shared" si="3770"/>
        <v>48.04067143191542</v>
      </c>
      <c r="C1668" s="1">
        <f t="shared" si="3771"/>
        <v>0</v>
      </c>
      <c r="D1668" s="1">
        <f t="shared" si="3772"/>
        <v>-4.4743258797314409</v>
      </c>
      <c r="E1668" s="1">
        <f t="shared" si="3773"/>
        <v>12.493675693407162</v>
      </c>
      <c r="F1668" s="1">
        <f t="shared" si="3774"/>
        <v>0</v>
      </c>
      <c r="G1668" s="1">
        <f t="shared" si="3775"/>
        <v>-7.1816080023714823</v>
      </c>
      <c r="H1668" s="1">
        <f t="shared" si="3456"/>
        <v>14.410670554549467</v>
      </c>
      <c r="I1668" s="1">
        <f t="shared" si="3758"/>
        <v>-7.3272457170274956</v>
      </c>
      <c r="J1668" s="1">
        <f t="shared" si="3759"/>
        <v>0</v>
      </c>
      <c r="K1668" s="1">
        <f t="shared" si="3760"/>
        <v>4.2118434772974647</v>
      </c>
      <c r="L1668" s="1">
        <f t="shared" ref="L1668:N1668" si="3778">E1668/$H1668</f>
        <v>0.86697393061025141</v>
      </c>
      <c r="M1668" s="1">
        <f t="shared" si="3778"/>
        <v>0</v>
      </c>
      <c r="N1668" s="1">
        <f t="shared" si="3778"/>
        <v>-0.4983534926557765</v>
      </c>
      <c r="O1668" s="1">
        <f t="shared" si="3458"/>
        <v>-0.4983534926557765</v>
      </c>
      <c r="P1668" s="1">
        <f t="shared" si="3762"/>
        <v>0.43205948636112562</v>
      </c>
      <c r="Q1668" s="1">
        <f t="shared" si="3763"/>
        <v>0</v>
      </c>
      <c r="R1668" s="1">
        <f t="shared" si="3764"/>
        <v>0.75164379635778888</v>
      </c>
      <c r="S1668" s="1">
        <f t="shared" si="3765"/>
        <v>0.68331421539622506</v>
      </c>
      <c r="T1668" s="1">
        <f t="shared" ref="T1668:V1668" si="3779">$S1668*P1668</f>
        <v>0.29523238892734854</v>
      </c>
      <c r="U1668" s="1">
        <f t="shared" si="3779"/>
        <v>0</v>
      </c>
      <c r="V1668" s="1">
        <f t="shared" si="3779"/>
        <v>0.51360889096566242</v>
      </c>
      <c r="W1668" s="1">
        <f t="shared" si="3767"/>
        <v>-7.0320133281001471</v>
      </c>
      <c r="X1668" s="1">
        <f t="shared" si="3768"/>
        <v>0</v>
      </c>
      <c r="Y1668" s="1">
        <f t="shared" si="3769"/>
        <v>-5.0811976317368721</v>
      </c>
    </row>
    <row r="1669" spans="1:25">
      <c r="A1669" s="1">
        <v>1.66699999999999</v>
      </c>
      <c r="B1669" s="1">
        <f t="shared" si="3770"/>
        <v>48.053158075595498</v>
      </c>
      <c r="C1669" s="1">
        <f t="shared" si="3771"/>
        <v>0</v>
      </c>
      <c r="D1669" s="1">
        <f t="shared" si="3772"/>
        <v>-4.4815125689314446</v>
      </c>
      <c r="E1669" s="1">
        <f t="shared" si="3773"/>
        <v>12.486643680079062</v>
      </c>
      <c r="F1669" s="1">
        <f t="shared" si="3774"/>
        <v>0</v>
      </c>
      <c r="G1669" s="1">
        <f t="shared" si="3775"/>
        <v>-7.1866892000032196</v>
      </c>
      <c r="H1669" s="1">
        <f t="shared" si="3456"/>
        <v>14.407108386164841</v>
      </c>
      <c r="I1669" s="1">
        <f t="shared" si="3758"/>
        <v>-7.3213114075413559</v>
      </c>
      <c r="J1669" s="1">
        <f t="shared" si="3759"/>
        <v>0</v>
      </c>
      <c r="K1669" s="1">
        <f t="shared" si="3760"/>
        <v>4.2137816190254807</v>
      </c>
      <c r="L1669" s="1">
        <f t="shared" ref="L1669:N1669" si="3780">E1669/$H1669</f>
        <v>0.8667001972491577</v>
      </c>
      <c r="M1669" s="1">
        <f t="shared" si="3780"/>
        <v>0</v>
      </c>
      <c r="N1669" s="1">
        <f t="shared" si="3780"/>
        <v>-0.49882939777871066</v>
      </c>
      <c r="O1669" s="1">
        <f t="shared" si="3458"/>
        <v>-0.49882939777871066</v>
      </c>
      <c r="P1669" s="1">
        <f t="shared" si="3762"/>
        <v>0.43233553744848707</v>
      </c>
      <c r="Q1669" s="1">
        <f t="shared" si="3763"/>
        <v>0</v>
      </c>
      <c r="R1669" s="1">
        <f t="shared" si="3764"/>
        <v>0.75116923191172891</v>
      </c>
      <c r="S1669" s="1">
        <f t="shared" si="3765"/>
        <v>0.68297644076652575</v>
      </c>
      <c r="T1669" s="1">
        <f t="shared" ref="T1669:V1669" si="3781">$S1669*P1669</f>
        <v>0.29527498658345069</v>
      </c>
      <c r="U1669" s="1">
        <f t="shared" si="3781"/>
        <v>0</v>
      </c>
      <c r="V1669" s="1">
        <f t="shared" si="3781"/>
        <v>0.51303088842439759</v>
      </c>
      <c r="W1669" s="1">
        <f t="shared" si="3767"/>
        <v>-7.0260364209579054</v>
      </c>
      <c r="X1669" s="1">
        <f t="shared" si="3768"/>
        <v>0</v>
      </c>
      <c r="Y1669" s="1">
        <f t="shared" si="3769"/>
        <v>-5.0798374925501211</v>
      </c>
    </row>
    <row r="1670" spans="1:25">
      <c r="A1670" s="1">
        <v>1.6679999999999899</v>
      </c>
      <c r="B1670" s="1">
        <f t="shared" si="3770"/>
        <v>48.065637693239154</v>
      </c>
      <c r="C1670" s="1">
        <f t="shared" si="3771"/>
        <v>0</v>
      </c>
      <c r="D1670" s="1">
        <f t="shared" si="3772"/>
        <v>-4.4887043379689402</v>
      </c>
      <c r="E1670" s="1">
        <f t="shared" si="3773"/>
        <v>12.479617643658104</v>
      </c>
      <c r="F1670" s="1">
        <f t="shared" si="3774"/>
        <v>0</v>
      </c>
      <c r="G1670" s="1">
        <f t="shared" si="3775"/>
        <v>-7.1917690374957699</v>
      </c>
      <c r="H1670" s="1">
        <f t="shared" si="3456"/>
        <v>14.403555061879185</v>
      </c>
      <c r="I1670" s="1">
        <f t="shared" si="3758"/>
        <v>-7.3153871323197635</v>
      </c>
      <c r="J1670" s="1">
        <f t="shared" si="3759"/>
        <v>0</v>
      </c>
      <c r="K1670" s="1">
        <f t="shared" si="3760"/>
        <v>4.2157200787516036</v>
      </c>
      <c r="L1670" s="1">
        <f t="shared" ref="L1670:N1670" si="3782">E1670/$H1670</f>
        <v>0.8664262114487955</v>
      </c>
      <c r="M1670" s="1">
        <f t="shared" si="3782"/>
        <v>0</v>
      </c>
      <c r="N1670" s="1">
        <f t="shared" si="3782"/>
        <v>-0.49930513728028775</v>
      </c>
      <c r="O1670" s="1">
        <f t="shared" si="3458"/>
        <v>-0.49930513728028775</v>
      </c>
      <c r="P1670" s="1">
        <f t="shared" si="3762"/>
        <v>0.43261105845068049</v>
      </c>
      <c r="Q1670" s="1">
        <f t="shared" si="3763"/>
        <v>0</v>
      </c>
      <c r="R1670" s="1">
        <f t="shared" si="3764"/>
        <v>0.75069437988551302</v>
      </c>
      <c r="S1670" s="1">
        <f t="shared" si="3765"/>
        <v>0.68263958795265922</v>
      </c>
      <c r="T1670" s="1">
        <f t="shared" ref="T1670:V1670" si="3783">$S1670*P1670</f>
        <v>0.29531743468453631</v>
      </c>
      <c r="U1670" s="1">
        <f t="shared" si="3783"/>
        <v>0</v>
      </c>
      <c r="V1670" s="1">
        <f t="shared" si="3783"/>
        <v>0.51245370216342367</v>
      </c>
      <c r="W1670" s="1">
        <f t="shared" si="3767"/>
        <v>-7.0200696976352273</v>
      </c>
      <c r="X1670" s="1">
        <f t="shared" si="3768"/>
        <v>0</v>
      </c>
      <c r="Y1670" s="1">
        <f t="shared" si="3769"/>
        <v>-5.0784762190849726</v>
      </c>
    </row>
    <row r="1671" spans="1:25">
      <c r="A1671" s="1">
        <v>1.66899999999999</v>
      </c>
      <c r="B1671" s="1">
        <f t="shared" si="3770"/>
        <v>48.078110290813115</v>
      </c>
      <c r="C1671" s="1">
        <f t="shared" si="3771"/>
        <v>0</v>
      </c>
      <c r="D1671" s="1">
        <f t="shared" si="3772"/>
        <v>-4.4959011854826549</v>
      </c>
      <c r="E1671" s="1">
        <f t="shared" si="3773"/>
        <v>12.472597573960469</v>
      </c>
      <c r="F1671" s="1">
        <f t="shared" si="3774"/>
        <v>0</v>
      </c>
      <c r="G1671" s="1">
        <f t="shared" si="3775"/>
        <v>-7.1968475137148546</v>
      </c>
      <c r="H1671" s="1">
        <f t="shared" si="3456"/>
        <v>14.40001056866377</v>
      </c>
      <c r="I1671" s="1">
        <f t="shared" si="3758"/>
        <v>-7.3094728686015058</v>
      </c>
      <c r="J1671" s="1">
        <f t="shared" si="3759"/>
        <v>0</v>
      </c>
      <c r="K1671" s="1">
        <f t="shared" si="3760"/>
        <v>4.217658858070334</v>
      </c>
      <c r="L1671" s="1">
        <f t="shared" ref="L1671:N1671" si="3784">E1671/$H1671</f>
        <v>0.86615197360357543</v>
      </c>
      <c r="M1671" s="1">
        <f t="shared" si="3784"/>
        <v>0</v>
      </c>
      <c r="N1671" s="1">
        <f t="shared" si="3784"/>
        <v>-0.49978071053476153</v>
      </c>
      <c r="O1671" s="1">
        <f t="shared" si="3458"/>
        <v>-0.49978071053476153</v>
      </c>
      <c r="P1671" s="1">
        <f t="shared" si="3762"/>
        <v>0.43288604879868092</v>
      </c>
      <c r="Q1671" s="1">
        <f t="shared" si="3763"/>
        <v>0</v>
      </c>
      <c r="R1671" s="1">
        <f t="shared" si="3764"/>
        <v>0.75021924137736895</v>
      </c>
      <c r="S1671" s="1">
        <f t="shared" si="3765"/>
        <v>0.68230365509953828</v>
      </c>
      <c r="T1671" s="1">
        <f t="shared" ref="T1671:V1671" si="3785">$S1671*P1671</f>
        <v>0.2953597333369371</v>
      </c>
      <c r="U1671" s="1">
        <f t="shared" si="3785"/>
        <v>0</v>
      </c>
      <c r="V1671" s="1">
        <f t="shared" si="3785"/>
        <v>0.51187733051778161</v>
      </c>
      <c r="W1671" s="1">
        <f t="shared" si="3767"/>
        <v>-7.0141131352645685</v>
      </c>
      <c r="X1671" s="1">
        <f t="shared" si="3768"/>
        <v>0</v>
      </c>
      <c r="Y1671" s="1">
        <f t="shared" si="3769"/>
        <v>-5.0771138114118841</v>
      </c>
    </row>
    <row r="1672" spans="1:25">
      <c r="A1672" s="1">
        <v>1.6699999999999899</v>
      </c>
      <c r="B1672" s="1">
        <f t="shared" si="3770"/>
        <v>48.090575874273938</v>
      </c>
      <c r="C1672" s="1">
        <f t="shared" si="3771"/>
        <v>0</v>
      </c>
      <c r="D1672" s="1">
        <f t="shared" si="3772"/>
        <v>-4.5031031101101808</v>
      </c>
      <c r="E1672" s="1">
        <f t="shared" si="3773"/>
        <v>12.465583460825204</v>
      </c>
      <c r="F1672" s="1">
        <f t="shared" si="3774"/>
        <v>0</v>
      </c>
      <c r="G1672" s="1">
        <f t="shared" si="3775"/>
        <v>-7.2019246275262665</v>
      </c>
      <c r="H1672" s="1">
        <f t="shared" si="3456"/>
        <v>14.396474893506682</v>
      </c>
      <c r="I1672" s="1">
        <f t="shared" si="3758"/>
        <v>-7.3035685936809402</v>
      </c>
      <c r="J1672" s="1">
        <f t="shared" si="3759"/>
        <v>0</v>
      </c>
      <c r="K1672" s="1">
        <f t="shared" si="3760"/>
        <v>4.2195979585680874</v>
      </c>
      <c r="L1672" s="1">
        <f t="shared" ref="L1672:N1672" si="3786">E1672/$H1672</f>
        <v>0.86587748410880938</v>
      </c>
      <c r="M1672" s="1">
        <f t="shared" si="3786"/>
        <v>0</v>
      </c>
      <c r="N1672" s="1">
        <f t="shared" si="3786"/>
        <v>-0.50025611691752325</v>
      </c>
      <c r="O1672" s="1">
        <f t="shared" si="3458"/>
        <v>-0.50025611691752325</v>
      </c>
      <c r="P1672" s="1">
        <f t="shared" si="3762"/>
        <v>0.43316050792658745</v>
      </c>
      <c r="Q1672" s="1">
        <f t="shared" si="3763"/>
        <v>0</v>
      </c>
      <c r="R1672" s="1">
        <f t="shared" si="3764"/>
        <v>0.74974381748660135</v>
      </c>
      <c r="S1672" s="1">
        <f t="shared" si="3765"/>
        <v>0.68196864035642546</v>
      </c>
      <c r="T1672" s="1">
        <f t="shared" ref="T1672:V1672" si="3787">$S1672*P1672</f>
        <v>0.29540188264679351</v>
      </c>
      <c r="U1672" s="1">
        <f t="shared" si="3787"/>
        <v>0</v>
      </c>
      <c r="V1672" s="1">
        <f t="shared" si="3787"/>
        <v>0.51130177182697356</v>
      </c>
      <c r="W1672" s="1">
        <f t="shared" si="3767"/>
        <v>-7.0081667110341463</v>
      </c>
      <c r="X1672" s="1">
        <f t="shared" si="3768"/>
        <v>0</v>
      </c>
      <c r="Y1672" s="1">
        <f t="shared" si="3769"/>
        <v>-5.0757502696049386</v>
      </c>
    </row>
    <row r="1673" spans="1:25">
      <c r="A1673" s="1">
        <v>1.67099999999999</v>
      </c>
      <c r="B1673" s="1">
        <f t="shared" si="3770"/>
        <v>48.10303444956805</v>
      </c>
      <c r="C1673" s="1">
        <f t="shared" si="3771"/>
        <v>0</v>
      </c>
      <c r="D1673" s="1">
        <f t="shared" si="3772"/>
        <v>-4.5103101104879766</v>
      </c>
      <c r="E1673" s="1">
        <f t="shared" si="3773"/>
        <v>12.458575294114171</v>
      </c>
      <c r="F1673" s="1">
        <f t="shared" si="3774"/>
        <v>0</v>
      </c>
      <c r="G1673" s="1">
        <f t="shared" si="3775"/>
        <v>-7.2070003777958718</v>
      </c>
      <c r="H1673" s="1">
        <f t="shared" si="3456"/>
        <v>14.39294802341278</v>
      </c>
      <c r="I1673" s="1">
        <f t="shared" si="3758"/>
        <v>-7.2976742849078411</v>
      </c>
      <c r="J1673" s="1">
        <f t="shared" si="3759"/>
        <v>0</v>
      </c>
      <c r="K1673" s="1">
        <f t="shared" si="3760"/>
        <v>4.2215373818232074</v>
      </c>
      <c r="L1673" s="1">
        <f t="shared" ref="L1673:N1673" si="3788">E1673/$H1673</f>
        <v>0.86560274336070719</v>
      </c>
      <c r="M1673" s="1">
        <f t="shared" si="3788"/>
        <v>0</v>
      </c>
      <c r="N1673" s="1">
        <f t="shared" si="3788"/>
        <v>-0.50073135580510386</v>
      </c>
      <c r="O1673" s="1">
        <f t="shared" si="3458"/>
        <v>-0.50073135580510386</v>
      </c>
      <c r="P1673" s="1">
        <f t="shared" si="3762"/>
        <v>0.43343443527162429</v>
      </c>
      <c r="Q1673" s="1">
        <f t="shared" si="3763"/>
        <v>0</v>
      </c>
      <c r="R1673" s="1">
        <f t="shared" si="3764"/>
        <v>0.74926810931358245</v>
      </c>
      <c r="S1673" s="1">
        <f t="shared" si="3765"/>
        <v>0.68163454187691996</v>
      </c>
      <c r="T1673" s="1">
        <f t="shared" ref="T1673:V1673" si="3789">$S1673*P1673</f>
        <v>0.29544388272005512</v>
      </c>
      <c r="U1673" s="1">
        <f t="shared" si="3789"/>
        <v>0</v>
      </c>
      <c r="V1673" s="1">
        <f t="shared" si="3789"/>
        <v>0.51072702443494977</v>
      </c>
      <c r="W1673" s="1">
        <f t="shared" si="3767"/>
        <v>-7.0022304021877861</v>
      </c>
      <c r="X1673" s="1">
        <f t="shared" si="3768"/>
        <v>0</v>
      </c>
      <c r="Y1673" s="1">
        <f t="shared" si="3769"/>
        <v>-5.0743855937418427</v>
      </c>
    </row>
    <row r="1674" spans="1:25">
      <c r="A1674" s="1">
        <v>1.6719999999999899</v>
      </c>
      <c r="B1674" s="1">
        <f t="shared" si="3770"/>
        <v>48.115486022631764</v>
      </c>
      <c r="C1674" s="1">
        <f t="shared" si="3771"/>
        <v>0</v>
      </c>
      <c r="D1674" s="1">
        <f t="shared" si="3772"/>
        <v>-4.5175221852513658</v>
      </c>
      <c r="E1674" s="1">
        <f t="shared" si="3773"/>
        <v>12.451573063711983</v>
      </c>
      <c r="F1674" s="1">
        <f t="shared" si="3774"/>
        <v>0</v>
      </c>
      <c r="G1674" s="1">
        <f t="shared" si="3775"/>
        <v>-7.2120747633896132</v>
      </c>
      <c r="H1674" s="1">
        <f t="shared" si="3456"/>
        <v>14.389429945403645</v>
      </c>
      <c r="I1674" s="1">
        <f t="shared" si="3758"/>
        <v>-7.291789919687222</v>
      </c>
      <c r="J1674" s="1">
        <f t="shared" si="3759"/>
        <v>0</v>
      </c>
      <c r="K1674" s="1">
        <f t="shared" si="3760"/>
        <v>4.2234771294059703</v>
      </c>
      <c r="L1674" s="1">
        <f t="shared" ref="L1674:N1674" si="3790">E1674/$H1674</f>
        <v>0.86532775175637422</v>
      </c>
      <c r="M1674" s="1">
        <f t="shared" si="3790"/>
        <v>0</v>
      </c>
      <c r="N1674" s="1">
        <f t="shared" si="3790"/>
        <v>-0.50120642657517755</v>
      </c>
      <c r="O1674" s="1">
        <f t="shared" si="3458"/>
        <v>-0.50120642657517755</v>
      </c>
      <c r="P1674" s="1">
        <f t="shared" si="3762"/>
        <v>0.43370783027414467</v>
      </c>
      <c r="Q1674" s="1">
        <f t="shared" si="3763"/>
        <v>0</v>
      </c>
      <c r="R1674" s="1">
        <f t="shared" si="3764"/>
        <v>0.74879211795974121</v>
      </c>
      <c r="S1674" s="1">
        <f t="shared" si="3765"/>
        <v>0.68130135781894274</v>
      </c>
      <c r="T1674" s="1">
        <f t="shared" ref="T1674:V1674" si="3791">$S1674*P1674</f>
        <v>0.29548573366248232</v>
      </c>
      <c r="U1674" s="1">
        <f t="shared" si="3791"/>
        <v>0</v>
      </c>
      <c r="V1674" s="1">
        <f t="shared" si="3791"/>
        <v>0.51015308669009363</v>
      </c>
      <c r="W1674" s="1">
        <f t="shared" si="3767"/>
        <v>-6.9963041860247399</v>
      </c>
      <c r="X1674" s="1">
        <f t="shared" si="3768"/>
        <v>0</v>
      </c>
      <c r="Y1674" s="1">
        <f t="shared" si="3769"/>
        <v>-5.0730197839039359</v>
      </c>
    </row>
    <row r="1675" spans="1:25">
      <c r="A1675" s="1">
        <v>1.6729999999999901</v>
      </c>
      <c r="B1675" s="1">
        <f t="shared" si="3770"/>
        <v>48.127930599391291</v>
      </c>
      <c r="C1675" s="1">
        <f t="shared" si="3771"/>
        <v>0</v>
      </c>
      <c r="D1675" s="1">
        <f t="shared" si="3772"/>
        <v>-4.5247393330345398</v>
      </c>
      <c r="E1675" s="1">
        <f t="shared" si="3773"/>
        <v>12.444576759525958</v>
      </c>
      <c r="F1675" s="1">
        <f t="shared" si="3774"/>
        <v>0</v>
      </c>
      <c r="G1675" s="1">
        <f t="shared" si="3775"/>
        <v>-7.2171477831735169</v>
      </c>
      <c r="H1675" s="1">
        <f t="shared" si="3456"/>
        <v>14.385920646517553</v>
      </c>
      <c r="I1675" s="1">
        <f t="shared" si="3758"/>
        <v>-7.2859154754791913</v>
      </c>
      <c r="J1675" s="1">
        <f t="shared" si="3759"/>
        <v>0</v>
      </c>
      <c r="K1675" s="1">
        <f t="shared" si="3760"/>
        <v>4.2254172028786048</v>
      </c>
      <c r="L1675" s="1">
        <f t="shared" ref="L1675:N1675" si="3792">E1675/$H1675</f>
        <v>0.86505250969380665</v>
      </c>
      <c r="M1675" s="1">
        <f t="shared" si="3792"/>
        <v>0</v>
      </c>
      <c r="N1675" s="1">
        <f t="shared" si="3792"/>
        <v>-0.50168132860656334</v>
      </c>
      <c r="O1675" s="1">
        <f t="shared" si="3458"/>
        <v>-0.50168132860656334</v>
      </c>
      <c r="P1675" s="1">
        <f t="shared" si="3762"/>
        <v>0.43398069237763093</v>
      </c>
      <c r="Q1675" s="1">
        <f t="shared" si="3763"/>
        <v>0</v>
      </c>
      <c r="R1675" s="1">
        <f t="shared" si="3764"/>
        <v>0.7483158445275534</v>
      </c>
      <c r="S1675" s="1">
        <f t="shared" si="3765"/>
        <v>0.68096908634472475</v>
      </c>
      <c r="T1675" s="1">
        <f t="shared" ref="T1675:V1675" si="3793">$S1675*P1675</f>
        <v>0.29552743557964639</v>
      </c>
      <c r="U1675" s="1">
        <f t="shared" si="3793"/>
        <v>0</v>
      </c>
      <c r="V1675" s="1">
        <f t="shared" si="3793"/>
        <v>0.50957995694520908</v>
      </c>
      <c r="W1675" s="1">
        <f t="shared" si="3767"/>
        <v>-6.9903880398995453</v>
      </c>
      <c r="X1675" s="1">
        <f t="shared" si="3768"/>
        <v>0</v>
      </c>
      <c r="Y1675" s="1">
        <f t="shared" si="3769"/>
        <v>-5.0716528401761858</v>
      </c>
    </row>
    <row r="1676" spans="1:25">
      <c r="A1676" s="1">
        <v>1.6739999999999899</v>
      </c>
      <c r="B1676" s="1">
        <f t="shared" si="3770"/>
        <v>48.140368185762775</v>
      </c>
      <c r="C1676" s="1">
        <f t="shared" si="3771"/>
        <v>0</v>
      </c>
      <c r="D1676" s="1">
        <f t="shared" si="3772"/>
        <v>-4.5319615524705537</v>
      </c>
      <c r="E1676" s="1">
        <f t="shared" si="3773"/>
        <v>12.437586371486059</v>
      </c>
      <c r="F1676" s="1">
        <f t="shared" si="3774"/>
        <v>0</v>
      </c>
      <c r="G1676" s="1">
        <f t="shared" si="3775"/>
        <v>-7.2222194360136927</v>
      </c>
      <c r="H1676" s="1">
        <f t="shared" si="3456"/>
        <v>14.382420113809419</v>
      </c>
      <c r="I1676" s="1">
        <f t="shared" si="3758"/>
        <v>-7.2800509297987777</v>
      </c>
      <c r="J1676" s="1">
        <f t="shared" si="3759"/>
        <v>0</v>
      </c>
      <c r="K1676" s="1">
        <f t="shared" si="3760"/>
        <v>4.2273576037952925</v>
      </c>
      <c r="L1676" s="1">
        <f t="shared" ref="L1676:N1676" si="3794">E1676/$H1676</f>
        <v>0.86477701757188918</v>
      </c>
      <c r="M1676" s="1">
        <f t="shared" si="3794"/>
        <v>0</v>
      </c>
      <c r="N1676" s="1">
        <f t="shared" si="3794"/>
        <v>-0.50215606127922863</v>
      </c>
      <c r="O1676" s="1">
        <f t="shared" si="3458"/>
        <v>-0.50215606127922863</v>
      </c>
      <c r="P1676" s="1">
        <f t="shared" si="3762"/>
        <v>0.43425302102869817</v>
      </c>
      <c r="Q1676" s="1">
        <f t="shared" si="3763"/>
        <v>0</v>
      </c>
      <c r="R1676" s="1">
        <f t="shared" si="3764"/>
        <v>0.74783929012053152</v>
      </c>
      <c r="S1676" s="1">
        <f t="shared" si="3765"/>
        <v>0.68063772562079272</v>
      </c>
      <c r="T1676" s="1">
        <f t="shared" ref="T1676:V1676" si="3795">$S1676*P1676</f>
        <v>0.29556898857693142</v>
      </c>
      <c r="U1676" s="1">
        <f t="shared" si="3795"/>
        <v>0</v>
      </c>
      <c r="V1676" s="1">
        <f t="shared" si="3795"/>
        <v>0.50900763355750678</v>
      </c>
      <c r="W1676" s="1">
        <f t="shared" si="3767"/>
        <v>-6.984481941221846</v>
      </c>
      <c r="X1676" s="1">
        <f t="shared" si="3768"/>
        <v>0</v>
      </c>
      <c r="Y1676" s="1">
        <f t="shared" si="3769"/>
        <v>-5.0702847626472005</v>
      </c>
    </row>
    <row r="1677" spans="1:25">
      <c r="A1677" s="1">
        <v>1.6749999999999901</v>
      </c>
      <c r="B1677" s="1">
        <f t="shared" si="3770"/>
        <v>48.152798787652323</v>
      </c>
      <c r="C1677" s="1">
        <f t="shared" si="3771"/>
        <v>0</v>
      </c>
      <c r="D1677" s="1">
        <f t="shared" si="3772"/>
        <v>-4.5391888421913302</v>
      </c>
      <c r="E1677" s="1">
        <f t="shared" si="3773"/>
        <v>12.430601889544837</v>
      </c>
      <c r="F1677" s="1">
        <f t="shared" si="3774"/>
        <v>0</v>
      </c>
      <c r="G1677" s="1">
        <f t="shared" si="3775"/>
        <v>-7.2272897207763398</v>
      </c>
      <c r="H1677" s="1">
        <f t="shared" si="3456"/>
        <v>14.378928334350757</v>
      </c>
      <c r="I1677" s="1">
        <f t="shared" si="3758"/>
        <v>-7.2741962602157777</v>
      </c>
      <c r="J1677" s="1">
        <f t="shared" si="3759"/>
        <v>0</v>
      </c>
      <c r="K1677" s="1">
        <f t="shared" si="3760"/>
        <v>4.2292983337021823</v>
      </c>
      <c r="L1677" s="1">
        <f t="shared" ref="L1677:N1677" si="3796">E1677/$H1677</f>
        <v>0.86450127579039138</v>
      </c>
      <c r="M1677" s="1">
        <f t="shared" si="3796"/>
        <v>0</v>
      </c>
      <c r="N1677" s="1">
        <f t="shared" si="3796"/>
        <v>-0.50263062397429137</v>
      </c>
      <c r="O1677" s="1">
        <f t="shared" si="3458"/>
        <v>-0.50263062397429137</v>
      </c>
      <c r="P1677" s="1">
        <f t="shared" si="3762"/>
        <v>0.43452481567709539</v>
      </c>
      <c r="Q1677" s="1">
        <f t="shared" si="3763"/>
        <v>0</v>
      </c>
      <c r="R1677" s="1">
        <f t="shared" si="3764"/>
        <v>0.74736245584321459</v>
      </c>
      <c r="S1677" s="1">
        <f t="shared" si="3765"/>
        <v>0.68030727381795519</v>
      </c>
      <c r="T1677" s="1">
        <f t="shared" ref="T1677:V1677" si="3797">$S1677*P1677</f>
        <v>0.29561039275953427</v>
      </c>
      <c r="U1677" s="1">
        <f t="shared" si="3797"/>
        <v>0</v>
      </c>
      <c r="V1677" s="1">
        <f t="shared" si="3797"/>
        <v>0.5084361148885892</v>
      </c>
      <c r="W1677" s="1">
        <f t="shared" si="3767"/>
        <v>-6.9785858674562435</v>
      </c>
      <c r="X1677" s="1">
        <f t="shared" si="3768"/>
        <v>0</v>
      </c>
      <c r="Y1677" s="1">
        <f t="shared" si="3769"/>
        <v>-5.0689155514092281</v>
      </c>
    </row>
    <row r="1678" spans="1:25">
      <c r="A1678" s="1">
        <v>1.6759999999999899</v>
      </c>
      <c r="B1678" s="1">
        <f t="shared" si="3770"/>
        <v>48.165222410955998</v>
      </c>
      <c r="C1678" s="1">
        <f t="shared" si="3771"/>
        <v>0</v>
      </c>
      <c r="D1678" s="1">
        <f t="shared" si="3772"/>
        <v>-4.5464212008276581</v>
      </c>
      <c r="E1678" s="1">
        <f t="shared" si="3773"/>
        <v>12.423623303677381</v>
      </c>
      <c r="F1678" s="1">
        <f t="shared" si="3774"/>
        <v>0</v>
      </c>
      <c r="G1678" s="1">
        <f t="shared" si="3775"/>
        <v>-7.2323586363277492</v>
      </c>
      <c r="H1678" s="1">
        <f t="shared" si="3456"/>
        <v>14.37544529522965</v>
      </c>
      <c r="I1678" s="1">
        <f t="shared" si="3758"/>
        <v>-7.268351444354594</v>
      </c>
      <c r="J1678" s="1">
        <f t="shared" si="3759"/>
        <v>0</v>
      </c>
      <c r="K1678" s="1">
        <f t="shared" si="3760"/>
        <v>4.231239394137404</v>
      </c>
      <c r="L1678" s="1">
        <f t="shared" ref="L1678:N1678" si="3798">E1678/$H1678</f>
        <v>0.86422528474996452</v>
      </c>
      <c r="M1678" s="1">
        <f t="shared" si="3798"/>
        <v>0</v>
      </c>
      <c r="N1678" s="1">
        <f t="shared" si="3798"/>
        <v>-0.50310501607402291</v>
      </c>
      <c r="O1678" s="1">
        <f t="shared" si="3458"/>
        <v>-0.50310501607402291</v>
      </c>
      <c r="P1678" s="1">
        <f t="shared" si="3762"/>
        <v>0.43479607577570795</v>
      </c>
      <c r="Q1678" s="1">
        <f t="shared" si="3763"/>
        <v>0</v>
      </c>
      <c r="R1678" s="1">
        <f t="shared" si="3764"/>
        <v>0.74688534280115715</v>
      </c>
      <c r="S1678" s="1">
        <f t="shared" si="3765"/>
        <v>0.67997772911129073</v>
      </c>
      <c r="T1678" s="1">
        <f t="shared" ref="T1678:V1678" si="3799">$S1678*P1678</f>
        <v>0.29565164823246659</v>
      </c>
      <c r="U1678" s="1">
        <f t="shared" si="3799"/>
        <v>0</v>
      </c>
      <c r="V1678" s="1">
        <f t="shared" si="3799"/>
        <v>0.50786539930443875</v>
      </c>
      <c r="W1678" s="1">
        <f t="shared" si="3767"/>
        <v>-6.9726997961221278</v>
      </c>
      <c r="X1678" s="1">
        <f t="shared" si="3768"/>
        <v>0</v>
      </c>
      <c r="Y1678" s="1">
        <f t="shared" si="3769"/>
        <v>-5.0675452065581563</v>
      </c>
    </row>
    <row r="1679" spans="1:25">
      <c r="A1679" s="1">
        <v>1.6769999999999901</v>
      </c>
      <c r="B1679" s="1">
        <f t="shared" si="3770"/>
        <v>48.17763906155988</v>
      </c>
      <c r="C1679" s="1">
        <f t="shared" si="3771"/>
        <v>0</v>
      </c>
      <c r="D1679" s="1">
        <f t="shared" si="3772"/>
        <v>-4.5536586270091925</v>
      </c>
      <c r="E1679" s="1">
        <f t="shared" si="3773"/>
        <v>12.416650603881259</v>
      </c>
      <c r="F1679" s="1">
        <f t="shared" si="3774"/>
        <v>0</v>
      </c>
      <c r="G1679" s="1">
        <f t="shared" si="3775"/>
        <v>-7.2374261815343077</v>
      </c>
      <c r="H1679" s="1">
        <f t="shared" si="3456"/>
        <v>14.371970983550694</v>
      </c>
      <c r="I1679" s="1">
        <f t="shared" si="3758"/>
        <v>-7.2625164598940719</v>
      </c>
      <c r="J1679" s="1">
        <f t="shared" si="3759"/>
        <v>0</v>
      </c>
      <c r="K1679" s="1">
        <f t="shared" si="3760"/>
        <v>4.2331807866310696</v>
      </c>
      <c r="L1679" s="1">
        <f t="shared" ref="L1679:N1679" si="3800">E1679/$H1679</f>
        <v>0.86394904485213753</v>
      </c>
      <c r="M1679" s="1">
        <f t="shared" si="3800"/>
        <v>0</v>
      </c>
      <c r="N1679" s="1">
        <f t="shared" si="3800"/>
        <v>-0.50357923696185003</v>
      </c>
      <c r="O1679" s="1">
        <f t="shared" si="3458"/>
        <v>-0.50357923696185003</v>
      </c>
      <c r="P1679" s="1">
        <f t="shared" si="3762"/>
        <v>0.43506680078055854</v>
      </c>
      <c r="Q1679" s="1">
        <f t="shared" si="3763"/>
        <v>0</v>
      </c>
      <c r="R1679" s="1">
        <f t="shared" si="3764"/>
        <v>0.74640795210092092</v>
      </c>
      <c r="S1679" s="1">
        <f t="shared" si="3765"/>
        <v>0.67964908968013338</v>
      </c>
      <c r="T1679" s="1">
        <f t="shared" ref="T1679:V1679" si="3801">$S1679*P1679</f>
        <v>0.29569275510055454</v>
      </c>
      <c r="U1679" s="1">
        <f t="shared" si="3801"/>
        <v>0</v>
      </c>
      <c r="V1679" s="1">
        <f t="shared" si="3801"/>
        <v>0.50729548517540346</v>
      </c>
      <c r="W1679" s="1">
        <f t="shared" si="3767"/>
        <v>-6.9668237047935175</v>
      </c>
      <c r="X1679" s="1">
        <f t="shared" si="3768"/>
        <v>0</v>
      </c>
      <c r="Y1679" s="1">
        <f t="shared" si="3769"/>
        <v>-5.066173728193526</v>
      </c>
    </row>
    <row r="1680" spans="1:25">
      <c r="A1680" s="1">
        <v>1.6779999999999899</v>
      </c>
      <c r="B1680" s="1">
        <f t="shared" si="3770"/>
        <v>48.190048745340057</v>
      </c>
      <c r="C1680" s="1">
        <f t="shared" si="3771"/>
        <v>0</v>
      </c>
      <c r="D1680" s="1">
        <f t="shared" si="3772"/>
        <v>-4.5609011193644546</v>
      </c>
      <c r="E1680" s="1">
        <f t="shared" si="3773"/>
        <v>12.409683780176465</v>
      </c>
      <c r="F1680" s="1">
        <f t="shared" si="3774"/>
        <v>0</v>
      </c>
      <c r="G1680" s="1">
        <f t="shared" si="3775"/>
        <v>-7.2424923552625016</v>
      </c>
      <c r="H1680" s="1">
        <f t="shared" si="3456"/>
        <v>14.368505386434967</v>
      </c>
      <c r="I1680" s="1">
        <f t="shared" si="3758"/>
        <v>-7.2566912845673492</v>
      </c>
      <c r="J1680" s="1">
        <f t="shared" si="3759"/>
        <v>0</v>
      </c>
      <c r="K1680" s="1">
        <f t="shared" si="3760"/>
        <v>4.2351225127052912</v>
      </c>
      <c r="L1680" s="1">
        <f t="shared" ref="L1680:N1680" si="3802">E1680/$H1680</f>
        <v>0.86367255649931496</v>
      </c>
      <c r="M1680" s="1">
        <f t="shared" si="3802"/>
        <v>0</v>
      </c>
      <c r="N1680" s="1">
        <f t="shared" si="3802"/>
        <v>-0.50405328602235844</v>
      </c>
      <c r="O1680" s="1">
        <f t="shared" si="3458"/>
        <v>-0.50405328602235844</v>
      </c>
      <c r="P1680" s="1">
        <f t="shared" si="3762"/>
        <v>0.43533699015081073</v>
      </c>
      <c r="Q1680" s="1">
        <f t="shared" si="3763"/>
        <v>0</v>
      </c>
      <c r="R1680" s="1">
        <f t="shared" si="3764"/>
        <v>0.74593028485006252</v>
      </c>
      <c r="S1680" s="1">
        <f t="shared" si="3765"/>
        <v>0.67932135370805991</v>
      </c>
      <c r="T1680" s="1">
        <f t="shared" ref="T1680:V1680" si="3803">$S1680*P1680</f>
        <v>0.29573371346844107</v>
      </c>
      <c r="U1680" s="1">
        <f t="shared" si="3803"/>
        <v>0</v>
      </c>
      <c r="V1680" s="1">
        <f t="shared" si="3803"/>
        <v>0.50672637087618322</v>
      </c>
      <c r="W1680" s="1">
        <f t="shared" si="3767"/>
        <v>-6.9609575710989082</v>
      </c>
      <c r="X1680" s="1">
        <f t="shared" si="3768"/>
        <v>0</v>
      </c>
      <c r="Y1680" s="1">
        <f t="shared" si="3769"/>
        <v>-5.0648011164185247</v>
      </c>
    </row>
    <row r="1681" spans="1:25">
      <c r="A1681" s="1">
        <v>1.6789999999999901</v>
      </c>
      <c r="B1681" s="1">
        <f t="shared" si="3770"/>
        <v>48.202451468162664</v>
      </c>
      <c r="C1681" s="1">
        <f t="shared" si="3771"/>
        <v>0</v>
      </c>
      <c r="D1681" s="1">
        <f t="shared" si="3772"/>
        <v>-4.5681486765208339</v>
      </c>
      <c r="E1681" s="1">
        <f t="shared" si="3773"/>
        <v>12.402722822605366</v>
      </c>
      <c r="F1681" s="1">
        <f t="shared" si="3774"/>
        <v>0</v>
      </c>
      <c r="G1681" s="1">
        <f t="shared" si="3775"/>
        <v>-7.2475571563789201</v>
      </c>
      <c r="H1681" s="1">
        <f t="shared" si="3456"/>
        <v>14.365048491019976</v>
      </c>
      <c r="I1681" s="1">
        <f t="shared" si="3758"/>
        <v>-7.2508758961616877</v>
      </c>
      <c r="J1681" s="1">
        <f t="shared" si="3759"/>
        <v>0</v>
      </c>
      <c r="K1681" s="1">
        <f t="shared" si="3760"/>
        <v>4.2370645738741866</v>
      </c>
      <c r="L1681" s="1">
        <f t="shared" ref="L1681:N1681" si="3804">E1681/$H1681</f>
        <v>0.86339582009477245</v>
      </c>
      <c r="M1681" s="1">
        <f t="shared" si="3804"/>
        <v>0</v>
      </c>
      <c r="N1681" s="1">
        <f t="shared" si="3804"/>
        <v>-0.5045271626412946</v>
      </c>
      <c r="O1681" s="1">
        <f t="shared" si="3458"/>
        <v>-0.5045271626412946</v>
      </c>
      <c r="P1681" s="1">
        <f t="shared" si="3762"/>
        <v>0.4356066433487692</v>
      </c>
      <c r="Q1681" s="1">
        <f t="shared" si="3763"/>
        <v>0</v>
      </c>
      <c r="R1681" s="1">
        <f t="shared" si="3764"/>
        <v>0.74545234215712464</v>
      </c>
      <c r="S1681" s="1">
        <f t="shared" si="3765"/>
        <v>0.67899451938287625</v>
      </c>
      <c r="T1681" s="1">
        <f t="shared" ref="T1681:V1681" si="3805">$S1681*P1681</f>
        <v>0.29577452344058552</v>
      </c>
      <c r="U1681" s="1">
        <f t="shared" si="3805"/>
        <v>0</v>
      </c>
      <c r="V1681" s="1">
        <f t="shared" si="3805"/>
        <v>0.50615805478581621</v>
      </c>
      <c r="W1681" s="1">
        <f t="shared" si="3767"/>
        <v>-6.955101372721102</v>
      </c>
      <c r="X1681" s="1">
        <f t="shared" si="3768"/>
        <v>0</v>
      </c>
      <c r="Y1681" s="1">
        <f t="shared" si="3769"/>
        <v>-5.0634273713399969</v>
      </c>
    </row>
    <row r="1682" spans="1:25">
      <c r="A1682" s="1">
        <v>1.6799999999999899</v>
      </c>
      <c r="B1682" s="1">
        <f t="shared" si="3770"/>
        <v>48.214847235883894</v>
      </c>
      <c r="C1682" s="1">
        <f t="shared" si="3771"/>
        <v>0</v>
      </c>
      <c r="D1682" s="1">
        <f t="shared" si="3772"/>
        <v>-4.5754012971045839</v>
      </c>
      <c r="E1682" s="1">
        <f t="shared" si="3773"/>
        <v>12.395767721232644</v>
      </c>
      <c r="F1682" s="1">
        <f t="shared" si="3774"/>
        <v>0</v>
      </c>
      <c r="G1682" s="1">
        <f t="shared" si="3775"/>
        <v>-7.25262058375026</v>
      </c>
      <c r="H1682" s="1">
        <f t="shared" si="3456"/>
        <v>14.361600284459637</v>
      </c>
      <c r="I1682" s="1">
        <f t="shared" si="3758"/>
        <v>-7.2450702725183262</v>
      </c>
      <c r="J1682" s="1">
        <f t="shared" si="3759"/>
        <v>0</v>
      </c>
      <c r="K1682" s="1">
        <f t="shared" si="3760"/>
        <v>4.2390069716438941</v>
      </c>
      <c r="L1682" s="1">
        <f t="shared" ref="L1682:N1682" si="3806">E1682/$H1682</f>
        <v>0.8631188360426536</v>
      </c>
      <c r="M1682" s="1">
        <f t="shared" si="3806"/>
        <v>0</v>
      </c>
      <c r="N1682" s="1">
        <f t="shared" si="3806"/>
        <v>-0.50500086620556883</v>
      </c>
      <c r="O1682" s="1">
        <f t="shared" si="3458"/>
        <v>-0.50500086620556883</v>
      </c>
      <c r="P1682" s="1">
        <f t="shared" si="3762"/>
        <v>0.43587575983988242</v>
      </c>
      <c r="Q1682" s="1">
        <f t="shared" si="3763"/>
        <v>0</v>
      </c>
      <c r="R1682" s="1">
        <f t="shared" si="3764"/>
        <v>0.74497412513162509</v>
      </c>
      <c r="S1682" s="1">
        <f t="shared" si="3765"/>
        <v>0.67866858489660575</v>
      </c>
      <c r="T1682" s="1">
        <f t="shared" ref="T1682:V1682" si="3807">$S1682*P1682</f>
        <v>0.29581518512126576</v>
      </c>
      <c r="U1682" s="1">
        <f t="shared" si="3807"/>
        <v>0</v>
      </c>
      <c r="V1682" s="1">
        <f t="shared" si="3807"/>
        <v>0.50559053528766684</v>
      </c>
      <c r="W1682" s="1">
        <f t="shared" si="3767"/>
        <v>-6.9492550873970602</v>
      </c>
      <c r="X1682" s="1">
        <f t="shared" si="3768"/>
        <v>0</v>
      </c>
      <c r="Y1682" s="1">
        <f t="shared" si="3769"/>
        <v>-5.062052493068439</v>
      </c>
    </row>
    <row r="1683" spans="1:25">
      <c r="A1683" s="1">
        <v>1.6809999999999901</v>
      </c>
      <c r="B1683" s="1">
        <f t="shared" si="3770"/>
        <v>48.227236054350037</v>
      </c>
      <c r="C1683" s="1">
        <f t="shared" si="3771"/>
        <v>0</v>
      </c>
      <c r="D1683" s="1">
        <f t="shared" si="3772"/>
        <v>-4.5826589797408275</v>
      </c>
      <c r="E1683" s="1">
        <f t="shared" si="3773"/>
        <v>12.388818466145247</v>
      </c>
      <c r="F1683" s="1">
        <f t="shared" si="3774"/>
        <v>0</v>
      </c>
      <c r="G1683" s="1">
        <f t="shared" si="3775"/>
        <v>-7.2576826362433282</v>
      </c>
      <c r="H1683" s="1">
        <f t="shared" si="3456"/>
        <v>14.358160753924208</v>
      </c>
      <c r="I1683" s="1">
        <f t="shared" si="3758"/>
        <v>-7.2392743915323159</v>
      </c>
      <c r="J1683" s="1">
        <f t="shared" si="3759"/>
        <v>0</v>
      </c>
      <c r="K1683" s="1">
        <f t="shared" si="3760"/>
        <v>4.2409497075125753</v>
      </c>
      <c r="L1683" s="1">
        <f t="shared" ref="L1683:N1683" si="3808">E1683/$H1683</f>
        <v>0.86284160474796723</v>
      </c>
      <c r="M1683" s="1">
        <f t="shared" si="3808"/>
        <v>0</v>
      </c>
      <c r="N1683" s="1">
        <f t="shared" si="3808"/>
        <v>-0.50547439610325728</v>
      </c>
      <c r="O1683" s="1">
        <f t="shared" si="3458"/>
        <v>-0.50547439610325728</v>
      </c>
      <c r="P1683" s="1">
        <f t="shared" si="3762"/>
        <v>0.43614433909274414</v>
      </c>
      <c r="Q1683" s="1">
        <f t="shared" si="3763"/>
        <v>0</v>
      </c>
      <c r="R1683" s="1">
        <f t="shared" si="3764"/>
        <v>0.74449563488404735</v>
      </c>
      <c r="S1683" s="1">
        <f t="shared" si="3765"/>
        <v>0.67834354844547418</v>
      </c>
      <c r="T1683" s="1">
        <f t="shared" ref="T1683:V1683" si="3809">$S1683*P1683</f>
        <v>0.29585569861457822</v>
      </c>
      <c r="U1683" s="1">
        <f t="shared" si="3809"/>
        <v>0</v>
      </c>
      <c r="V1683" s="1">
        <f t="shared" si="3809"/>
        <v>0.50502381076941083</v>
      </c>
      <c r="W1683" s="1">
        <f t="shared" si="3767"/>
        <v>-6.9434186929177377</v>
      </c>
      <c r="X1683" s="1">
        <f t="shared" si="3768"/>
        <v>0</v>
      </c>
      <c r="Y1683" s="1">
        <f t="shared" si="3769"/>
        <v>-5.060676481718013</v>
      </c>
    </row>
    <row r="1684" spans="1:25">
      <c r="A1684" s="1">
        <v>1.6819999999999899</v>
      </c>
      <c r="B1684" s="1">
        <f t="shared" si="3770"/>
        <v>48.23961792939749</v>
      </c>
      <c r="C1684" s="1">
        <f t="shared" si="3771"/>
        <v>0</v>
      </c>
      <c r="D1684" s="1">
        <f t="shared" si="3772"/>
        <v>-4.5899217230535525</v>
      </c>
      <c r="E1684" s="1">
        <f t="shared" si="3773"/>
        <v>12.381875047452329</v>
      </c>
      <c r="F1684" s="1">
        <f t="shared" si="3774"/>
        <v>0</v>
      </c>
      <c r="G1684" s="1">
        <f t="shared" si="3775"/>
        <v>-7.2627433127250463</v>
      </c>
      <c r="H1684" s="1">
        <f t="shared" si="3456"/>
        <v>14.354729886600269</v>
      </c>
      <c r="I1684" s="1">
        <f t="shared" si="3758"/>
        <v>-7.2334882311523652</v>
      </c>
      <c r="J1684" s="1">
        <f t="shared" si="3759"/>
        <v>0</v>
      </c>
      <c r="K1684" s="1">
        <f t="shared" si="3760"/>
        <v>4.2428927829704319</v>
      </c>
      <c r="L1684" s="1">
        <f t="shared" ref="L1684:N1684" si="3810">E1684/$H1684</f>
        <v>0.86256412661658344</v>
      </c>
      <c r="M1684" s="1">
        <f t="shared" si="3810"/>
        <v>0</v>
      </c>
      <c r="N1684" s="1">
        <f t="shared" si="3810"/>
        <v>-0.50594775172360507</v>
      </c>
      <c r="O1684" s="1">
        <f t="shared" si="3458"/>
        <v>-0.50594775172360507</v>
      </c>
      <c r="P1684" s="1">
        <f t="shared" si="3762"/>
        <v>0.43641238057909543</v>
      </c>
      <c r="Q1684" s="1">
        <f t="shared" si="3763"/>
        <v>0</v>
      </c>
      <c r="R1684" s="1">
        <f t="shared" si="3764"/>
        <v>0.74401687252582926</v>
      </c>
      <c r="S1684" s="1">
        <f t="shared" si="3765"/>
        <v>0.67801940822989792</v>
      </c>
      <c r="T1684" s="1">
        <f t="shared" ref="T1684:V1684" si="3811">$S1684*P1684</f>
        <v>0.2958960640244393</v>
      </c>
      <c r="U1684" s="1">
        <f t="shared" si="3811"/>
        <v>0</v>
      </c>
      <c r="V1684" s="1">
        <f t="shared" si="3811"/>
        <v>0.50445787962302213</v>
      </c>
      <c r="W1684" s="1">
        <f t="shared" si="3767"/>
        <v>-6.9375921671279261</v>
      </c>
      <c r="X1684" s="1">
        <f t="shared" si="3768"/>
        <v>0</v>
      </c>
      <c r="Y1684" s="1">
        <f t="shared" si="3769"/>
        <v>-5.0592993374065456</v>
      </c>
    </row>
    <row r="1685" spans="1:25">
      <c r="A1685" s="1">
        <v>1.6829999999999901</v>
      </c>
      <c r="B1685" s="1">
        <f t="shared" si="3770"/>
        <v>48.251992866852774</v>
      </c>
      <c r="C1685" s="1">
        <f t="shared" si="3771"/>
        <v>0</v>
      </c>
      <c r="D1685" s="1">
        <f t="shared" si="3772"/>
        <v>-4.5971895256656152</v>
      </c>
      <c r="E1685" s="1">
        <f t="shared" si="3773"/>
        <v>12.374937455285201</v>
      </c>
      <c r="F1685" s="1">
        <f t="shared" si="3774"/>
        <v>0</v>
      </c>
      <c r="G1685" s="1">
        <f t="shared" si="3775"/>
        <v>-7.2678026120624528</v>
      </c>
      <c r="H1685" s="1">
        <f t="shared" si="3456"/>
        <v>14.351307669690675</v>
      </c>
      <c r="I1685" s="1">
        <f t="shared" si="3758"/>
        <v>-7.2277117693806909</v>
      </c>
      <c r="J1685" s="1">
        <f t="shared" si="3759"/>
        <v>0</v>
      </c>
      <c r="K1685" s="1">
        <f t="shared" si="3760"/>
        <v>4.2448361994997166</v>
      </c>
      <c r="L1685" s="1">
        <f t="shared" ref="L1685:N1685" si="3812">E1685/$H1685</f>
        <v>0.86228640205523011</v>
      </c>
      <c r="M1685" s="1">
        <f t="shared" si="3812"/>
        <v>0</v>
      </c>
      <c r="N1685" s="1">
        <f t="shared" si="3812"/>
        <v>-0.50642093245702824</v>
      </c>
      <c r="O1685" s="1">
        <f t="shared" si="3458"/>
        <v>-0.50642093245702824</v>
      </c>
      <c r="P1685" s="1">
        <f t="shared" si="3762"/>
        <v>0.43667988377382561</v>
      </c>
      <c r="Q1685" s="1">
        <f t="shared" si="3763"/>
        <v>0</v>
      </c>
      <c r="R1685" s="1">
        <f t="shared" si="3764"/>
        <v>0.74353783916935412</v>
      </c>
      <c r="S1685" s="1">
        <f t="shared" si="3765"/>
        <v>0.67769616245447106</v>
      </c>
      <c r="T1685" s="1">
        <f t="shared" ref="T1685:V1685" si="3813">$S1685*P1685</f>
        <v>0.29593628145458606</v>
      </c>
      <c r="U1685" s="1">
        <f t="shared" si="3813"/>
        <v>0</v>
      </c>
      <c r="V1685" s="1">
        <f t="shared" si="3813"/>
        <v>0.50389274024476094</v>
      </c>
      <c r="W1685" s="1">
        <f t="shared" si="3767"/>
        <v>-6.9317754879261049</v>
      </c>
      <c r="X1685" s="1">
        <f t="shared" si="3768"/>
        <v>0</v>
      </c>
      <c r="Y1685" s="1">
        <f t="shared" si="3769"/>
        <v>-5.0579210602555218</v>
      </c>
    </row>
    <row r="1686" spans="1:25">
      <c r="A1686" s="1">
        <v>1.6839999999999899</v>
      </c>
      <c r="B1686" s="1">
        <f t="shared" si="3770"/>
        <v>48.264360872532571</v>
      </c>
      <c r="C1686" s="1">
        <f t="shared" si="3771"/>
        <v>0</v>
      </c>
      <c r="D1686" s="1">
        <f t="shared" si="3772"/>
        <v>-4.6044623861987377</v>
      </c>
      <c r="E1686" s="1">
        <f t="shared" si="3773"/>
        <v>12.368005679797275</v>
      </c>
      <c r="F1686" s="1">
        <f t="shared" si="3774"/>
        <v>0</v>
      </c>
      <c r="G1686" s="1">
        <f t="shared" si="3775"/>
        <v>-7.2728605331227083</v>
      </c>
      <c r="H1686" s="1">
        <f t="shared" si="3456"/>
        <v>14.347894090414508</v>
      </c>
      <c r="I1686" s="1">
        <f t="shared" si="3758"/>
        <v>-7.2219449842728496</v>
      </c>
      <c r="J1686" s="1">
        <f t="shared" si="3759"/>
        <v>0</v>
      </c>
      <c r="K1686" s="1">
        <f t="shared" si="3760"/>
        <v>4.2467799585747308</v>
      </c>
      <c r="L1686" s="1">
        <f t="shared" ref="L1686:N1686" si="3814">E1686/$H1686</f>
        <v>0.86200843147149031</v>
      </c>
      <c r="M1686" s="1">
        <f t="shared" si="3814"/>
        <v>0</v>
      </c>
      <c r="N1686" s="1">
        <f t="shared" si="3814"/>
        <v>-0.50689393769511693</v>
      </c>
      <c r="O1686" s="1">
        <f t="shared" si="3458"/>
        <v>-0.50689393769511693</v>
      </c>
      <c r="P1686" s="1">
        <f t="shared" si="3762"/>
        <v>0.43694684815497509</v>
      </c>
      <c r="Q1686" s="1">
        <f t="shared" si="3763"/>
        <v>0</v>
      </c>
      <c r="R1686" s="1">
        <f t="shared" si="3764"/>
        <v>0.74305853592793891</v>
      </c>
      <c r="S1686" s="1">
        <f t="shared" si="3765"/>
        <v>0.67737380932795177</v>
      </c>
      <c r="T1686" s="1">
        <f t="shared" ref="T1686:V1686" si="3815">$S1686*P1686</f>
        <v>0.29597635100857761</v>
      </c>
      <c r="U1686" s="1">
        <f t="shared" si="3815"/>
        <v>0</v>
      </c>
      <c r="V1686" s="1">
        <f t="shared" si="3815"/>
        <v>0.5033283910351587</v>
      </c>
      <c r="W1686" s="1">
        <f t="shared" si="3767"/>
        <v>-6.9259686332642723</v>
      </c>
      <c r="X1686" s="1">
        <f t="shared" si="3768"/>
        <v>0</v>
      </c>
      <c r="Y1686" s="1">
        <f t="shared" si="3769"/>
        <v>-5.0565416503901099</v>
      </c>
    </row>
    <row r="1687" spans="1:25">
      <c r="A1687" s="1">
        <v>1.6849999999999901</v>
      </c>
      <c r="B1687" s="1">
        <f t="shared" si="3770"/>
        <v>48.276721952243733</v>
      </c>
      <c r="C1687" s="1">
        <f t="shared" si="3771"/>
        <v>0</v>
      </c>
      <c r="D1687" s="1">
        <f t="shared" si="3772"/>
        <v>-4.6117403032735105</v>
      </c>
      <c r="E1687" s="1">
        <f t="shared" si="3773"/>
        <v>12.36107971116401</v>
      </c>
      <c r="F1687" s="1">
        <f t="shared" si="3774"/>
        <v>0</v>
      </c>
      <c r="G1687" s="1">
        <f t="shared" si="3775"/>
        <v>-7.2779170747730983</v>
      </c>
      <c r="H1687" s="1">
        <f t="shared" si="3456"/>
        <v>14.344489136007052</v>
      </c>
      <c r="I1687" s="1">
        <f t="shared" si="3758"/>
        <v>-7.2161878539375994</v>
      </c>
      <c r="J1687" s="1">
        <f t="shared" si="3759"/>
        <v>0</v>
      </c>
      <c r="K1687" s="1">
        <f t="shared" si="3760"/>
        <v>4.2487240616618545</v>
      </c>
      <c r="L1687" s="1">
        <f t="shared" ref="L1687:N1687" si="3816">E1687/$H1687</f>
        <v>0.86173021527379767</v>
      </c>
      <c r="M1687" s="1">
        <f t="shared" si="3816"/>
        <v>0</v>
      </c>
      <c r="N1687" s="1">
        <f t="shared" si="3816"/>
        <v>-0.50736676683063719</v>
      </c>
      <c r="O1687" s="1">
        <f t="shared" si="3458"/>
        <v>-0.50736676683063719</v>
      </c>
      <c r="P1687" s="1">
        <f t="shared" si="3762"/>
        <v>0.43721327320373571</v>
      </c>
      <c r="Q1687" s="1">
        <f t="shared" si="3763"/>
        <v>0</v>
      </c>
      <c r="R1687" s="1">
        <f t="shared" si="3764"/>
        <v>0.74257896391582578</v>
      </c>
      <c r="S1687" s="1">
        <f t="shared" si="3765"/>
        <v>0.67705234706324968</v>
      </c>
      <c r="T1687" s="1">
        <f t="shared" ref="T1687:V1687" si="3817">$S1687*P1687</f>
        <v>0.29601627278979509</v>
      </c>
      <c r="U1687" s="1">
        <f t="shared" si="3817"/>
        <v>0</v>
      </c>
      <c r="V1687" s="1">
        <f t="shared" si="3817"/>
        <v>0.50276483039900599</v>
      </c>
      <c r="W1687" s="1">
        <f t="shared" si="3767"/>
        <v>-6.9201715811478044</v>
      </c>
      <c r="X1687" s="1">
        <f t="shared" si="3768"/>
        <v>0</v>
      </c>
      <c r="Y1687" s="1">
        <f t="shared" si="3769"/>
        <v>-5.0551611079391385</v>
      </c>
    </row>
    <row r="1688" spans="1:25">
      <c r="A1688" s="1">
        <v>1.68599999999999</v>
      </c>
      <c r="B1688" s="1">
        <f t="shared" si="3770"/>
        <v>48.289076111783316</v>
      </c>
      <c r="C1688" s="1">
        <f t="shared" si="3771"/>
        <v>0</v>
      </c>
      <c r="D1688" s="1">
        <f t="shared" si="3772"/>
        <v>-4.6190232755093916</v>
      </c>
      <c r="E1688" s="1">
        <f t="shared" si="3773"/>
        <v>12.354159539582861</v>
      </c>
      <c r="F1688" s="1">
        <f t="shared" si="3774"/>
        <v>0</v>
      </c>
      <c r="G1688" s="1">
        <f t="shared" si="3775"/>
        <v>-7.2829722358810374</v>
      </c>
      <c r="H1688" s="1">
        <f t="shared" si="3456"/>
        <v>14.34109279371974</v>
      </c>
      <c r="I1688" s="1">
        <f t="shared" si="3758"/>
        <v>-7.210440356536731</v>
      </c>
      <c r="J1688" s="1">
        <f t="shared" si="3759"/>
        <v>0</v>
      </c>
      <c r="K1688" s="1">
        <f t="shared" si="3760"/>
        <v>4.2506685102195387</v>
      </c>
      <c r="L1688" s="1">
        <f t="shared" ref="L1688:N1688" si="3818">E1688/$H1688</f>
        <v>0.86145175387143458</v>
      </c>
      <c r="M1688" s="1">
        <f t="shared" si="3818"/>
        <v>0</v>
      </c>
      <c r="N1688" s="1">
        <f t="shared" si="3818"/>
        <v>-0.50783941925753395</v>
      </c>
      <c r="O1688" s="1">
        <f t="shared" si="3458"/>
        <v>-0.50783941925753395</v>
      </c>
      <c r="P1688" s="1">
        <f t="shared" si="3762"/>
        <v>0.43747915840445339</v>
      </c>
      <c r="Q1688" s="1">
        <f t="shared" si="3763"/>
        <v>0</v>
      </c>
      <c r="R1688" s="1">
        <f t="shared" si="3764"/>
        <v>0.74209912424817071</v>
      </c>
      <c r="S1688" s="1">
        <f t="shared" si="3765"/>
        <v>0.67673177387741368</v>
      </c>
      <c r="T1688" s="1">
        <f t="shared" ref="T1688:V1688" si="3819">$S1688*P1688</f>
        <v>0.29605604690144377</v>
      </c>
      <c r="U1688" s="1">
        <f t="shared" si="3819"/>
        <v>0</v>
      </c>
      <c r="V1688" s="1">
        <f t="shared" si="3819"/>
        <v>0.5022020567453398</v>
      </c>
      <c r="W1688" s="1">
        <f t="shared" si="3767"/>
        <v>-6.9143843096352873</v>
      </c>
      <c r="X1688" s="1">
        <f t="shared" si="3768"/>
        <v>0</v>
      </c>
      <c r="Y1688" s="1">
        <f t="shared" si="3769"/>
        <v>-5.0537794330351211</v>
      </c>
    </row>
    <row r="1689" spans="1:25">
      <c r="A1689" s="1">
        <v>1.6869999999999901</v>
      </c>
      <c r="B1689" s="1">
        <f t="shared" si="3770"/>
        <v>48.301423356938592</v>
      </c>
      <c r="C1689" s="1">
        <f t="shared" si="3771"/>
        <v>0</v>
      </c>
      <c r="D1689" s="1">
        <f t="shared" si="3772"/>
        <v>-4.6263113015247059</v>
      </c>
      <c r="E1689" s="1">
        <f t="shared" si="3773"/>
        <v>12.347245155273226</v>
      </c>
      <c r="F1689" s="1">
        <f t="shared" si="3774"/>
        <v>0</v>
      </c>
      <c r="G1689" s="1">
        <f t="shared" si="3775"/>
        <v>-7.2880260153140721</v>
      </c>
      <c r="H1689" s="1">
        <f t="shared" si="3456"/>
        <v>14.337705050820123</v>
      </c>
      <c r="I1689" s="1">
        <f t="shared" si="3758"/>
        <v>-7.2047024702849249</v>
      </c>
      <c r="J1689" s="1">
        <f t="shared" si="3759"/>
        <v>0</v>
      </c>
      <c r="K1689" s="1">
        <f t="shared" si="3760"/>
        <v>4.2526133056983237</v>
      </c>
      <c r="L1689" s="1">
        <f t="shared" ref="L1689:N1689" si="3820">E1689/$H1689</f>
        <v>0.86117304767452718</v>
      </c>
      <c r="M1689" s="1">
        <f t="shared" si="3820"/>
        <v>0</v>
      </c>
      <c r="N1689" s="1">
        <f t="shared" si="3820"/>
        <v>-0.50831189437093305</v>
      </c>
      <c r="O1689" s="1">
        <f t="shared" si="3458"/>
        <v>-0.50831189437093305</v>
      </c>
      <c r="P1689" s="1">
        <f t="shared" si="3762"/>
        <v>0.43774450324462877</v>
      </c>
      <c r="Q1689" s="1">
        <f t="shared" si="3763"/>
        <v>0</v>
      </c>
      <c r="R1689" s="1">
        <f t="shared" si="3764"/>
        <v>0.74161901804103336</v>
      </c>
      <c r="S1689" s="1">
        <f t="shared" si="3765"/>
        <v>0.67641208799161812</v>
      </c>
      <c r="T1689" s="1">
        <f t="shared" ref="T1689:V1689" si="3821">$S1689*P1689</f>
        <v>0.29609567344655302</v>
      </c>
      <c r="U1689" s="1">
        <f t="shared" si="3821"/>
        <v>0</v>
      </c>
      <c r="V1689" s="1">
        <f t="shared" si="3821"/>
        <v>0.50164006848742893</v>
      </c>
      <c r="W1689" s="1">
        <f t="shared" si="3767"/>
        <v>-6.908606796838372</v>
      </c>
      <c r="X1689" s="1">
        <f t="shared" si="3768"/>
        <v>0</v>
      </c>
      <c r="Y1689" s="1">
        <f t="shared" si="3769"/>
        <v>-5.0523966258142465</v>
      </c>
    </row>
    <row r="1690" spans="1:25">
      <c r="A1690" s="1">
        <v>1.68799999999999</v>
      </c>
      <c r="B1690" s="1">
        <f t="shared" si="3770"/>
        <v>48.313763693487068</v>
      </c>
      <c r="C1690" s="1">
        <f t="shared" si="3771"/>
        <v>0</v>
      </c>
      <c r="D1690" s="1">
        <f t="shared" si="3772"/>
        <v>-4.6336043799366458</v>
      </c>
      <c r="E1690" s="1">
        <f t="shared" si="3773"/>
        <v>12.340336548476389</v>
      </c>
      <c r="F1690" s="1">
        <f t="shared" si="3774"/>
        <v>0</v>
      </c>
      <c r="G1690" s="1">
        <f t="shared" si="3775"/>
        <v>-7.2930784119398862</v>
      </c>
      <c r="H1690" s="1">
        <f t="shared" si="3456"/>
        <v>14.334325894591826</v>
      </c>
      <c r="I1690" s="1">
        <f t="shared" si="3758"/>
        <v>-7.198974173449594</v>
      </c>
      <c r="J1690" s="1">
        <f t="shared" si="3759"/>
        <v>0</v>
      </c>
      <c r="K1690" s="1">
        <f t="shared" si="3760"/>
        <v>4.2545584495408528</v>
      </c>
      <c r="L1690" s="1">
        <f t="shared" ref="L1690:N1690" si="3822">E1690/$H1690</f>
        <v>0.86089409709404285</v>
      </c>
      <c r="M1690" s="1">
        <f t="shared" si="3822"/>
        <v>0</v>
      </c>
      <c r="N1690" s="1">
        <f t="shared" si="3822"/>
        <v>-0.50878419156714438</v>
      </c>
      <c r="O1690" s="1">
        <f t="shared" si="3458"/>
        <v>-0.50878419156714438</v>
      </c>
      <c r="P1690" s="1">
        <f t="shared" si="3762"/>
        <v>0.43800930721491932</v>
      </c>
      <c r="Q1690" s="1">
        <f t="shared" si="3763"/>
        <v>0</v>
      </c>
      <c r="R1690" s="1">
        <f t="shared" si="3764"/>
        <v>0.7411386464113674</v>
      </c>
      <c r="S1690" s="1">
        <f t="shared" si="3765"/>
        <v>0.67609328763115106</v>
      </c>
      <c r="T1690" s="1">
        <f t="shared" ref="T1690:V1690" si="3823">$S1690*P1690</f>
        <v>0.29613515252797767</v>
      </c>
      <c r="U1690" s="1">
        <f t="shared" si="3823"/>
        <v>0</v>
      </c>
      <c r="V1690" s="1">
        <f t="shared" si="3823"/>
        <v>0.50107886404276258</v>
      </c>
      <c r="W1690" s="1">
        <f t="shared" si="3767"/>
        <v>-6.9028390209216166</v>
      </c>
      <c r="X1690" s="1">
        <f t="shared" si="3768"/>
        <v>0</v>
      </c>
      <c r="Y1690" s="1">
        <f t="shared" si="3769"/>
        <v>-5.0510126864163842</v>
      </c>
    </row>
    <row r="1691" spans="1:25">
      <c r="A1691" s="1">
        <v>1.6889999999999901</v>
      </c>
      <c r="B1691" s="1">
        <f t="shared" si="3770"/>
        <v>48.326097127196526</v>
      </c>
      <c r="C1691" s="1">
        <f t="shared" si="3771"/>
        <v>0</v>
      </c>
      <c r="D1691" s="1">
        <f t="shared" si="3772"/>
        <v>-4.6409025093612719</v>
      </c>
      <c r="E1691" s="1">
        <f t="shared" si="3773"/>
        <v>12.333433709455466</v>
      </c>
      <c r="F1691" s="1">
        <f t="shared" si="3774"/>
        <v>0</v>
      </c>
      <c r="G1691" s="1">
        <f t="shared" si="3775"/>
        <v>-7.2981294246263024</v>
      </c>
      <c r="H1691" s="1">
        <f t="shared" si="3456"/>
        <v>14.330955312334508</v>
      </c>
      <c r="I1691" s="1">
        <f t="shared" si="3758"/>
        <v>-7.1932554443507275</v>
      </c>
      <c r="J1691" s="1">
        <f t="shared" si="3759"/>
        <v>0</v>
      </c>
      <c r="K1691" s="1">
        <f t="shared" si="3760"/>
        <v>4.2565039431818708</v>
      </c>
      <c r="L1691" s="1">
        <f t="shared" ref="L1691:N1691" si="3824">E1691/$H1691</f>
        <v>0.86061490254178696</v>
      </c>
      <c r="M1691" s="1">
        <f t="shared" si="3824"/>
        <v>0</v>
      </c>
      <c r="N1691" s="1">
        <f t="shared" si="3824"/>
        <v>-0.50925631024366369</v>
      </c>
      <c r="O1691" s="1">
        <f t="shared" si="3458"/>
        <v>-0.50925631024366369</v>
      </c>
      <c r="P1691" s="1">
        <f t="shared" si="3762"/>
        <v>0.43827356980914067</v>
      </c>
      <c r="Q1691" s="1">
        <f t="shared" si="3763"/>
        <v>0</v>
      </c>
      <c r="R1691" s="1">
        <f t="shared" si="3764"/>
        <v>0.7406580104770093</v>
      </c>
      <c r="S1691" s="1">
        <f t="shared" si="3765"/>
        <v>0.67577537102540075</v>
      </c>
      <c r="T1691" s="1">
        <f t="shared" ref="T1691:V1691" si="3825">$S1691*P1691</f>
        <v>0.29617448424839893</v>
      </c>
      <c r="U1691" s="1">
        <f t="shared" si="3825"/>
        <v>0</v>
      </c>
      <c r="V1691" s="1">
        <f t="shared" si="3825"/>
        <v>0.50051844183303607</v>
      </c>
      <c r="W1691" s="1">
        <f t="shared" si="3767"/>
        <v>-6.8970809601023282</v>
      </c>
      <c r="X1691" s="1">
        <f t="shared" si="3768"/>
        <v>0</v>
      </c>
      <c r="Y1691" s="1">
        <f t="shared" si="3769"/>
        <v>-5.0496276149850923</v>
      </c>
    </row>
    <row r="1692" spans="1:25">
      <c r="A1692" s="1">
        <v>1.68999999999999</v>
      </c>
      <c r="B1692" s="1">
        <f t="shared" si="3770"/>
        <v>48.338423663825019</v>
      </c>
      <c r="C1692" s="1">
        <f t="shared" si="3771"/>
        <v>0</v>
      </c>
      <c r="D1692" s="1">
        <f t="shared" si="3772"/>
        <v>-4.6482056884135128</v>
      </c>
      <c r="E1692" s="1">
        <f t="shared" si="3773"/>
        <v>12.326536628495363</v>
      </c>
      <c r="F1692" s="1">
        <f t="shared" si="3774"/>
        <v>0</v>
      </c>
      <c r="G1692" s="1">
        <f t="shared" si="3775"/>
        <v>-7.3031790522412878</v>
      </c>
      <c r="H1692" s="1">
        <f t="shared" si="3456"/>
        <v>14.327593291363828</v>
      </c>
      <c r="I1692" s="1">
        <f t="shared" si="3758"/>
        <v>-7.1875462613607501</v>
      </c>
      <c r="J1692" s="1">
        <f t="shared" si="3759"/>
        <v>0</v>
      </c>
      <c r="K1692" s="1">
        <f t="shared" si="3760"/>
        <v>4.258449788048245</v>
      </c>
      <c r="L1692" s="1">
        <f t="shared" ref="L1692:N1692" si="3826">E1692/$H1692</f>
        <v>0.86033546443039866</v>
      </c>
      <c r="M1692" s="1">
        <f t="shared" si="3826"/>
        <v>0</v>
      </c>
      <c r="N1692" s="1">
        <f t="shared" si="3826"/>
        <v>-0.50972824979917519</v>
      </c>
      <c r="O1692" s="1">
        <f t="shared" si="3458"/>
        <v>-0.50972824979917519</v>
      </c>
      <c r="P1692" s="1">
        <f t="shared" si="3762"/>
        <v>0.43853729052426765</v>
      </c>
      <c r="Q1692" s="1">
        <f t="shared" si="3763"/>
        <v>0</v>
      </c>
      <c r="R1692" s="1">
        <f t="shared" si="3764"/>
        <v>0.74017711135666964</v>
      </c>
      <c r="S1692" s="1">
        <f t="shared" si="3765"/>
        <v>0.67545833640784347</v>
      </c>
      <c r="T1692" s="1">
        <f t="shared" ref="T1692:V1692" si="3827">$S1692*P1692</f>
        <v>0.29621366871032495</v>
      </c>
      <c r="U1692" s="1">
        <f t="shared" si="3827"/>
        <v>0</v>
      </c>
      <c r="V1692" s="1">
        <f t="shared" si="3827"/>
        <v>0.49995880028413919</v>
      </c>
      <c r="W1692" s="1">
        <f t="shared" si="3767"/>
        <v>-6.891332592650425</v>
      </c>
      <c r="X1692" s="1">
        <f t="shared" si="3768"/>
        <v>0</v>
      </c>
      <c r="Y1692" s="1">
        <f t="shared" si="3769"/>
        <v>-5.0482414116676155</v>
      </c>
    </row>
    <row r="1693" spans="1:25">
      <c r="A1693" s="1">
        <v>1.6909999999999901</v>
      </c>
      <c r="B1693" s="1">
        <f t="shared" si="3770"/>
        <v>48.350743309120922</v>
      </c>
      <c r="C1693" s="1">
        <f t="shared" si="3771"/>
        <v>0</v>
      </c>
      <c r="D1693" s="1">
        <f t="shared" si="3772"/>
        <v>-4.6555139157071661</v>
      </c>
      <c r="E1693" s="1">
        <f t="shared" si="3773"/>
        <v>12.319645295902713</v>
      </c>
      <c r="F1693" s="1">
        <f t="shared" si="3774"/>
        <v>0</v>
      </c>
      <c r="G1693" s="1">
        <f t="shared" si="3775"/>
        <v>-7.3082272936529558</v>
      </c>
      <c r="H1693" s="1">
        <f t="shared" si="3456"/>
        <v>14.324239819011403</v>
      </c>
      <c r="I1693" s="1">
        <f t="shared" si="3758"/>
        <v>-7.1818466029043595</v>
      </c>
      <c r="J1693" s="1">
        <f t="shared" si="3759"/>
        <v>0</v>
      </c>
      <c r="K1693" s="1">
        <f t="shared" si="3760"/>
        <v>4.2603959855589721</v>
      </c>
      <c r="L1693" s="1">
        <f t="shared" ref="L1693:N1693" si="3828">E1693/$H1693</f>
        <v>0.8600557831733483</v>
      </c>
      <c r="M1693" s="1">
        <f t="shared" si="3828"/>
        <v>0</v>
      </c>
      <c r="N1693" s="1">
        <f t="shared" si="3828"/>
        <v>-0.51020000963355405</v>
      </c>
      <c r="O1693" s="1">
        <f t="shared" si="3458"/>
        <v>-0.51020000963355405</v>
      </c>
      <c r="P1693" s="1">
        <f t="shared" si="3762"/>
        <v>0.43880046886043617</v>
      </c>
      <c r="Q1693" s="1">
        <f t="shared" si="3763"/>
        <v>0</v>
      </c>
      <c r="R1693" s="1">
        <f t="shared" si="3764"/>
        <v>0.7396959501699214</v>
      </c>
      <c r="S1693" s="1">
        <f t="shared" si="3765"/>
        <v>0.67514218201603116</v>
      </c>
      <c r="T1693" s="1">
        <f t="shared" ref="T1693:V1693" si="3829">$S1693*P1693</f>
        <v>0.29625270601609238</v>
      </c>
      <c r="U1693" s="1">
        <f t="shared" si="3829"/>
        <v>0</v>
      </c>
      <c r="V1693" s="1">
        <f t="shared" si="3829"/>
        <v>0.49939993782614217</v>
      </c>
      <c r="W1693" s="1">
        <f t="shared" si="3767"/>
        <v>-6.8855938968882668</v>
      </c>
      <c r="X1693" s="1">
        <f t="shared" si="3768"/>
        <v>0</v>
      </c>
      <c r="Y1693" s="1">
        <f t="shared" si="3769"/>
        <v>-5.0468540766148848</v>
      </c>
    </row>
    <row r="1694" spans="1:25">
      <c r="A1694" s="1">
        <v>1.69199999999999</v>
      </c>
      <c r="B1694" s="1">
        <f t="shared" si="3770"/>
        <v>48.363056068822928</v>
      </c>
      <c r="C1694" s="1">
        <f t="shared" si="3771"/>
        <v>0</v>
      </c>
      <c r="D1694" s="1">
        <f t="shared" si="3772"/>
        <v>-4.6628271898548954</v>
      </c>
      <c r="E1694" s="1">
        <f t="shared" si="3773"/>
        <v>12.312759702005826</v>
      </c>
      <c r="F1694" s="1">
        <f t="shared" si="3774"/>
        <v>0</v>
      </c>
      <c r="G1694" s="1">
        <f t="shared" si="3775"/>
        <v>-7.3132741477295706</v>
      </c>
      <c r="H1694" s="1">
        <f t="shared" si="3456"/>
        <v>14.320894882624767</v>
      </c>
      <c r="I1694" s="1">
        <f t="shared" si="3758"/>
        <v>-7.1761564474583812</v>
      </c>
      <c r="J1694" s="1">
        <f t="shared" si="3759"/>
        <v>0</v>
      </c>
      <c r="K1694" s="1">
        <f t="shared" si="3760"/>
        <v>4.2623425371251855</v>
      </c>
      <c r="L1694" s="1">
        <f t="shared" ref="L1694:N1694" si="3830">E1694/$H1694</f>
        <v>0.85977585918493349</v>
      </c>
      <c r="M1694" s="1">
        <f t="shared" si="3830"/>
        <v>0</v>
      </c>
      <c r="N1694" s="1">
        <f t="shared" si="3830"/>
        <v>-0.5106715891478687</v>
      </c>
      <c r="O1694" s="1">
        <f t="shared" si="3458"/>
        <v>-0.5106715891478687</v>
      </c>
      <c r="P1694" s="1">
        <f t="shared" si="3762"/>
        <v>0.43906310432094414</v>
      </c>
      <c r="Q1694" s="1">
        <f t="shared" si="3763"/>
        <v>0</v>
      </c>
      <c r="R1694" s="1">
        <f t="shared" si="3764"/>
        <v>0.73921452803719045</v>
      </c>
      <c r="S1694" s="1">
        <f t="shared" si="3765"/>
        <v>0.67482690609157792</v>
      </c>
      <c r="T1694" s="1">
        <f t="shared" ref="T1694:V1694" si="3831">$S1694*P1694</f>
        <v>0.29629159626786644</v>
      </c>
      <c r="U1694" s="1">
        <f t="shared" si="3831"/>
        <v>0</v>
      </c>
      <c r="V1694" s="1">
        <f t="shared" si="3831"/>
        <v>0.4988418528932832</v>
      </c>
      <c r="W1694" s="1">
        <f t="shared" si="3767"/>
        <v>-6.8798648511905149</v>
      </c>
      <c r="X1694" s="1">
        <f t="shared" si="3768"/>
        <v>0</v>
      </c>
      <c r="Y1694" s="1">
        <f t="shared" si="3769"/>
        <v>-5.0454656099815303</v>
      </c>
    </row>
    <row r="1695" spans="1:25">
      <c r="A1695" s="1">
        <v>1.6929999999999901</v>
      </c>
      <c r="B1695" s="1">
        <f t="shared" si="3770"/>
        <v>48.375361948660085</v>
      </c>
      <c r="C1695" s="1">
        <f t="shared" si="3771"/>
        <v>0</v>
      </c>
      <c r="D1695" s="1">
        <f t="shared" si="3772"/>
        <v>-4.6701455094682354</v>
      </c>
      <c r="E1695" s="1">
        <f t="shared" si="3773"/>
        <v>12.305879837154635</v>
      </c>
      <c r="F1695" s="1">
        <f t="shared" si="3774"/>
        <v>0</v>
      </c>
      <c r="G1695" s="1">
        <f t="shared" si="3775"/>
        <v>-7.3183196133395523</v>
      </c>
      <c r="H1695" s="1">
        <f t="shared" si="3456"/>
        <v>14.317558469567336</v>
      </c>
      <c r="I1695" s="1">
        <f t="shared" si="3758"/>
        <v>-7.1704757735516189</v>
      </c>
      <c r="J1695" s="1">
        <f t="shared" si="3759"/>
        <v>0</v>
      </c>
      <c r="K1695" s="1">
        <f t="shared" si="3760"/>
        <v>4.2642894441501689</v>
      </c>
      <c r="L1695" s="1">
        <f t="shared" ref="L1695:N1695" si="3832">E1695/$H1695</f>
        <v>0.8594956928802755</v>
      </c>
      <c r="M1695" s="1">
        <f t="shared" si="3832"/>
        <v>0</v>
      </c>
      <c r="N1695" s="1">
        <f t="shared" si="3832"/>
        <v>-0.5111429877443836</v>
      </c>
      <c r="O1695" s="1">
        <f t="shared" si="3458"/>
        <v>-0.5111429877443836</v>
      </c>
      <c r="P1695" s="1">
        <f t="shared" si="3762"/>
        <v>0.43932519641225315</v>
      </c>
      <c r="Q1695" s="1">
        <f t="shared" si="3763"/>
        <v>0</v>
      </c>
      <c r="R1695" s="1">
        <f t="shared" si="3764"/>
        <v>0.73873284607974488</v>
      </c>
      <c r="S1695" s="1">
        <f t="shared" si="3765"/>
        <v>0.67451250688014863</v>
      </c>
      <c r="T1695" s="1">
        <f t="shared" ref="T1695:V1695" si="3833">$S1695*P1695</f>
        <v>0.29633033956764254</v>
      </c>
      <c r="U1695" s="1">
        <f t="shared" si="3833"/>
        <v>0</v>
      </c>
      <c r="V1695" s="1">
        <f t="shared" si="3833"/>
        <v>0.49828454392395571</v>
      </c>
      <c r="W1695" s="1">
        <f t="shared" si="3767"/>
        <v>-6.8741454339839763</v>
      </c>
      <c r="X1695" s="1">
        <f t="shared" si="3768"/>
        <v>0</v>
      </c>
      <c r="Y1695" s="1">
        <f t="shared" si="3769"/>
        <v>-5.044076011925875</v>
      </c>
    </row>
    <row r="1696" spans="1:25">
      <c r="A1696" s="1">
        <v>1.69399999999999</v>
      </c>
      <c r="B1696" s="1">
        <f t="shared" si="3770"/>
        <v>48.387660954351809</v>
      </c>
      <c r="C1696" s="1">
        <f t="shared" si="3771"/>
        <v>0</v>
      </c>
      <c r="D1696" s="1">
        <f t="shared" si="3772"/>
        <v>-4.6774688731575864</v>
      </c>
      <c r="E1696" s="1">
        <f t="shared" si="3773"/>
        <v>12.29900569172065</v>
      </c>
      <c r="F1696" s="1">
        <f t="shared" si="3774"/>
        <v>0</v>
      </c>
      <c r="G1696" s="1">
        <f t="shared" si="3775"/>
        <v>-7.3233636893514777</v>
      </c>
      <c r="H1696" s="1">
        <f t="shared" si="3456"/>
        <v>14.314230567218367</v>
      </c>
      <c r="I1696" s="1">
        <f t="shared" si="3758"/>
        <v>-7.1648045597647014</v>
      </c>
      <c r="J1696" s="1">
        <f t="shared" si="3759"/>
        <v>0</v>
      </c>
      <c r="K1696" s="1">
        <f t="shared" si="3760"/>
        <v>4.2662367080293642</v>
      </c>
      <c r="L1696" s="1">
        <f t="shared" ref="L1696:N1696" si="3834">E1696/$H1696</f>
        <v>0.85921528467531672</v>
      </c>
      <c r="M1696" s="1">
        <f t="shared" si="3834"/>
        <v>0</v>
      </c>
      <c r="N1696" s="1">
        <f t="shared" si="3834"/>
        <v>-0.51161420482656095</v>
      </c>
      <c r="O1696" s="1">
        <f t="shared" si="3458"/>
        <v>-0.51161420482656095</v>
      </c>
      <c r="P1696" s="1">
        <f t="shared" si="3762"/>
        <v>0.43958674464398934</v>
      </c>
      <c r="Q1696" s="1">
        <f t="shared" si="3763"/>
        <v>0</v>
      </c>
      <c r="R1696" s="1">
        <f t="shared" si="3764"/>
        <v>0.73825090541968574</v>
      </c>
      <c r="S1696" s="1">
        <f t="shared" si="3765"/>
        <v>0.67419898263144551</v>
      </c>
      <c r="T1696" s="1">
        <f t="shared" ref="T1696:V1696" si="3835">$S1696*P1696</f>
        <v>0.29636893601724662</v>
      </c>
      <c r="U1696" s="1">
        <f t="shared" si="3835"/>
        <v>0</v>
      </c>
      <c r="V1696" s="1">
        <f t="shared" si="3835"/>
        <v>0.49772800936069561</v>
      </c>
      <c r="W1696" s="1">
        <f t="shared" si="3767"/>
        <v>-6.8684356237474544</v>
      </c>
      <c r="X1696" s="1">
        <f t="shared" si="3768"/>
        <v>0</v>
      </c>
      <c r="Y1696" s="1">
        <f t="shared" si="3769"/>
        <v>-5.0426852826099395</v>
      </c>
    </row>
    <row r="1697" spans="1:25">
      <c r="A1697" s="1">
        <v>1.6949999999999901</v>
      </c>
      <c r="B1697" s="1">
        <f t="shared" si="3770"/>
        <v>48.399953091607905</v>
      </c>
      <c r="C1697" s="1">
        <f t="shared" si="3771"/>
        <v>0</v>
      </c>
      <c r="D1697" s="1">
        <f t="shared" si="3772"/>
        <v>-4.6847972795322201</v>
      </c>
      <c r="E1697" s="1">
        <f t="shared" si="3773"/>
        <v>12.292137256096902</v>
      </c>
      <c r="F1697" s="1">
        <f t="shared" si="3774"/>
        <v>0</v>
      </c>
      <c r="G1697" s="1">
        <f t="shared" si="3775"/>
        <v>-7.3284063746340875</v>
      </c>
      <c r="H1697" s="1">
        <f t="shared" si="3456"/>
        <v>14.310911162972923</v>
      </c>
      <c r="I1697" s="1">
        <f t="shared" si="3758"/>
        <v>-7.1591427847299371</v>
      </c>
      <c r="J1697" s="1">
        <f t="shared" si="3759"/>
        <v>0</v>
      </c>
      <c r="K1697" s="1">
        <f t="shared" si="3760"/>
        <v>4.2681843301503815</v>
      </c>
      <c r="L1697" s="1">
        <f t="shared" ref="L1697:N1697" si="3836">E1697/$H1697</f>
        <v>0.85893463498681633</v>
      </c>
      <c r="M1697" s="1">
        <f t="shared" si="3836"/>
        <v>0</v>
      </c>
      <c r="N1697" s="1">
        <f t="shared" si="3836"/>
        <v>-0.51208523979906373</v>
      </c>
      <c r="O1697" s="1">
        <f t="shared" si="3458"/>
        <v>-0.51208523979906373</v>
      </c>
      <c r="P1697" s="1">
        <f t="shared" si="3762"/>
        <v>0.43984774852894509</v>
      </c>
      <c r="Q1697" s="1">
        <f t="shared" si="3763"/>
        <v>0</v>
      </c>
      <c r="R1697" s="1">
        <f t="shared" si="3764"/>
        <v>0.73776870717993548</v>
      </c>
      <c r="S1697" s="1">
        <f t="shared" si="3765"/>
        <v>0.67388633159919686</v>
      </c>
      <c r="T1697" s="1">
        <f t="shared" ref="T1697:V1697" si="3837">$S1697*P1697</f>
        <v>0.29640738571833686</v>
      </c>
      <c r="U1697" s="1">
        <f t="shared" si="3837"/>
        <v>0</v>
      </c>
      <c r="V1697" s="1">
        <f t="shared" si="3837"/>
        <v>0.49717224765016876</v>
      </c>
      <c r="W1697" s="1">
        <f t="shared" si="3767"/>
        <v>-6.8627353990116005</v>
      </c>
      <c r="X1697" s="1">
        <f t="shared" si="3768"/>
        <v>0</v>
      </c>
      <c r="Y1697" s="1">
        <f t="shared" si="3769"/>
        <v>-5.0412934221994492</v>
      </c>
    </row>
    <row r="1698" spans="1:25">
      <c r="A1698" s="1">
        <v>1.69599999999999</v>
      </c>
      <c r="B1698" s="1">
        <f t="shared" si="3770"/>
        <v>48.412238366128605</v>
      </c>
      <c r="C1698" s="1">
        <f t="shared" si="3771"/>
        <v>0</v>
      </c>
      <c r="D1698" s="1">
        <f t="shared" si="3772"/>
        <v>-4.6921307272002766</v>
      </c>
      <c r="E1698" s="1">
        <f t="shared" si="3773"/>
        <v>12.285274520697891</v>
      </c>
      <c r="F1698" s="1">
        <f t="shared" si="3774"/>
        <v>0</v>
      </c>
      <c r="G1698" s="1">
        <f t="shared" si="3775"/>
        <v>-7.3334476680562872</v>
      </c>
      <c r="H1698" s="1">
        <f t="shared" si="3456"/>
        <v>14.307600244241835</v>
      </c>
      <c r="I1698" s="1">
        <f t="shared" si="3758"/>
        <v>-7.1534904271311648</v>
      </c>
      <c r="J1698" s="1">
        <f t="shared" si="3759"/>
        <v>0</v>
      </c>
      <c r="K1698" s="1">
        <f t="shared" si="3760"/>
        <v>4.270132311893013</v>
      </c>
      <c r="L1698" s="1">
        <f t="shared" ref="L1698:N1698" si="3838">E1698/$H1698</f>
        <v>0.85865374423234686</v>
      </c>
      <c r="M1698" s="1">
        <f t="shared" si="3838"/>
        <v>0</v>
      </c>
      <c r="N1698" s="1">
        <f t="shared" si="3838"/>
        <v>-0.51255609206775743</v>
      </c>
      <c r="O1698" s="1">
        <f t="shared" si="3458"/>
        <v>-0.51255609206775743</v>
      </c>
      <c r="P1698" s="1">
        <f t="shared" si="3762"/>
        <v>0.44010820758307939</v>
      </c>
      <c r="Q1698" s="1">
        <f t="shared" si="3763"/>
        <v>0</v>
      </c>
      <c r="R1698" s="1">
        <f t="shared" si="3764"/>
        <v>0.73728625248422852</v>
      </c>
      <c r="S1698" s="1">
        <f t="shared" si="3765"/>
        <v>0.67357455204114369</v>
      </c>
      <c r="T1698" s="1">
        <f t="shared" ref="T1698:V1698" si="3839">$S1698*P1698</f>
        <v>0.2964456887724034</v>
      </c>
      <c r="U1698" s="1">
        <f t="shared" si="3839"/>
        <v>0</v>
      </c>
      <c r="V1698" s="1">
        <f t="shared" si="3839"/>
        <v>0.49661725724315781</v>
      </c>
      <c r="W1698" s="1">
        <f t="shared" si="3767"/>
        <v>-6.8570447383587609</v>
      </c>
      <c r="X1698" s="1">
        <f t="shared" si="3768"/>
        <v>0</v>
      </c>
      <c r="Y1698" s="1">
        <f t="shared" si="3769"/>
        <v>-5.0399004308638284</v>
      </c>
    </row>
    <row r="1699" spans="1:25">
      <c r="A1699" s="1">
        <v>1.6969999999999901</v>
      </c>
      <c r="B1699" s="1">
        <f t="shared" si="3770"/>
        <v>48.424516783604567</v>
      </c>
      <c r="C1699" s="1">
        <f t="shared" si="3771"/>
        <v>0</v>
      </c>
      <c r="D1699" s="1">
        <f t="shared" si="3772"/>
        <v>-4.6994692147687633</v>
      </c>
      <c r="E1699" s="1">
        <f t="shared" si="3773"/>
        <v>12.278417475959532</v>
      </c>
      <c r="F1699" s="1">
        <f t="shared" si="3774"/>
        <v>0</v>
      </c>
      <c r="G1699" s="1">
        <f t="shared" si="3775"/>
        <v>-7.3384875684871513</v>
      </c>
      <c r="H1699" s="1">
        <f t="shared" si="3456"/>
        <v>14.304297798451657</v>
      </c>
      <c r="I1699" s="1">
        <f t="shared" si="3758"/>
        <v>-7.147847465703606</v>
      </c>
      <c r="J1699" s="1">
        <f t="shared" si="3759"/>
        <v>0</v>
      </c>
      <c r="K1699" s="1">
        <f t="shared" si="3760"/>
        <v>4.2720806546292396</v>
      </c>
      <c r="L1699" s="1">
        <f t="shared" ref="L1699:N1699" si="3840">E1699/$H1699</f>
        <v>0.85837261283029131</v>
      </c>
      <c r="M1699" s="1">
        <f t="shared" si="3840"/>
        <v>0</v>
      </c>
      <c r="N1699" s="1">
        <f t="shared" si="3840"/>
        <v>-0.51302676103971301</v>
      </c>
      <c r="O1699" s="1">
        <f t="shared" si="3458"/>
        <v>-0.51302676103971301</v>
      </c>
      <c r="P1699" s="1">
        <f t="shared" si="3762"/>
        <v>0.44036812132551995</v>
      </c>
      <c r="Q1699" s="1">
        <f t="shared" si="3763"/>
        <v>0</v>
      </c>
      <c r="R1699" s="1">
        <f t="shared" si="3764"/>
        <v>0.73680354245710122</v>
      </c>
      <c r="S1699" s="1">
        <f t="shared" si="3765"/>
        <v>0.67326364221902757</v>
      </c>
      <c r="T1699" s="1">
        <f t="shared" ref="T1699:V1699" si="3841">$S1699*P1699</f>
        <v>0.29648384528077021</v>
      </c>
      <c r="U1699" s="1">
        <f t="shared" si="3841"/>
        <v>0</v>
      </c>
      <c r="V1699" s="1">
        <f t="shared" si="3841"/>
        <v>0.49606303659454987</v>
      </c>
      <c r="W1699" s="1">
        <f t="shared" si="3767"/>
        <v>-6.8513636204228359</v>
      </c>
      <c r="X1699" s="1">
        <f t="shared" si="3768"/>
        <v>0</v>
      </c>
      <c r="Y1699" s="1">
        <f t="shared" si="3769"/>
        <v>-5.0385063087762099</v>
      </c>
    </row>
    <row r="1700" spans="1:25">
      <c r="A1700" s="1">
        <v>1.69799999999999</v>
      </c>
      <c r="B1700" s="1">
        <f t="shared" si="3770"/>
        <v>48.436788349716906</v>
      </c>
      <c r="C1700" s="1">
        <f t="shared" si="3771"/>
        <v>0</v>
      </c>
      <c r="D1700" s="1">
        <f t="shared" si="3772"/>
        <v>-4.7068127408435592</v>
      </c>
      <c r="E1700" s="1">
        <f t="shared" si="3773"/>
        <v>12.271566112339109</v>
      </c>
      <c r="F1700" s="1">
        <f t="shared" si="3774"/>
        <v>0</v>
      </c>
      <c r="G1700" s="1">
        <f t="shared" si="3775"/>
        <v>-7.3435260747959274</v>
      </c>
      <c r="H1700" s="1">
        <f t="shared" si="3456"/>
        <v>14.301003813044638</v>
      </c>
      <c r="I1700" s="1">
        <f t="shared" si="3758"/>
        <v>-7.1422138792337115</v>
      </c>
      <c r="J1700" s="1">
        <f t="shared" si="3759"/>
        <v>0</v>
      </c>
      <c r="K1700" s="1">
        <f t="shared" si="3760"/>
        <v>4.2740293597232402</v>
      </c>
      <c r="L1700" s="1">
        <f t="shared" ref="L1700:N1700" si="3842">E1700/$H1700</f>
        <v>0.85809124119983937</v>
      </c>
      <c r="M1700" s="1">
        <f t="shared" si="3842"/>
        <v>0</v>
      </c>
      <c r="N1700" s="1">
        <f t="shared" si="3842"/>
        <v>-0.51349724612320868</v>
      </c>
      <c r="O1700" s="1">
        <f t="shared" si="3458"/>
        <v>-0.51349724612320868</v>
      </c>
      <c r="P1700" s="1">
        <f t="shared" si="3762"/>
        <v>0.44062748927856354</v>
      </c>
      <c r="Q1700" s="1">
        <f t="shared" si="3763"/>
        <v>0</v>
      </c>
      <c r="R1700" s="1">
        <f t="shared" si="3764"/>
        <v>0.73632057822388086</v>
      </c>
      <c r="S1700" s="1">
        <f t="shared" si="3765"/>
        <v>0.67295360039857866</v>
      </c>
      <c r="T1700" s="1">
        <f t="shared" ref="T1700:V1700" si="3843">$S1700*P1700</f>
        <v>0.29652185534459546</v>
      </c>
      <c r="U1700" s="1">
        <f t="shared" si="3843"/>
        <v>0</v>
      </c>
      <c r="V1700" s="1">
        <f t="shared" si="3843"/>
        <v>0.49550958416332391</v>
      </c>
      <c r="W1700" s="1">
        <f t="shared" si="3767"/>
        <v>-6.8456920238891161</v>
      </c>
      <c r="X1700" s="1">
        <f t="shared" si="3768"/>
        <v>0</v>
      </c>
      <c r="Y1700" s="1">
        <f t="shared" si="3769"/>
        <v>-5.0371110561134351</v>
      </c>
    </row>
    <row r="1701" spans="1:25">
      <c r="A1701" s="1">
        <v>1.6989999999999901</v>
      </c>
      <c r="B1701" s="1">
        <f t="shared" si="3770"/>
        <v>48.449053070137218</v>
      </c>
      <c r="C1701" s="1">
        <f t="shared" si="3771"/>
        <v>0</v>
      </c>
      <c r="D1701" s="1">
        <f t="shared" si="3772"/>
        <v>-4.7141613040294112</v>
      </c>
      <c r="E1701" s="1">
        <f t="shared" si="3773"/>
        <v>12.26472042031522</v>
      </c>
      <c r="F1701" s="1">
        <f t="shared" si="3774"/>
        <v>0</v>
      </c>
      <c r="G1701" s="1">
        <f t="shared" si="3775"/>
        <v>-7.3485631858520408</v>
      </c>
      <c r="H1701" s="1">
        <f t="shared" si="3456"/>
        <v>14.29771827547868</v>
      </c>
      <c r="I1701" s="1">
        <f t="shared" si="3758"/>
        <v>-7.1365896465590284</v>
      </c>
      <c r="J1701" s="1">
        <f t="shared" si="3759"/>
        <v>0</v>
      </c>
      <c r="K1701" s="1">
        <f t="shared" si="3760"/>
        <v>4.2759784285314044</v>
      </c>
      <c r="L1701" s="1">
        <f t="shared" ref="L1701:N1701" si="3844">E1701/$H1701</f>
        <v>0.85780962976098396</v>
      </c>
      <c r="M1701" s="1">
        <f t="shared" si="3844"/>
        <v>0</v>
      </c>
      <c r="N1701" s="1">
        <f t="shared" si="3844"/>
        <v>-0.51396754672773237</v>
      </c>
      <c r="O1701" s="1">
        <f t="shared" si="3458"/>
        <v>-0.51396754672773237</v>
      </c>
      <c r="P1701" s="1">
        <f t="shared" si="3762"/>
        <v>0.44088631096767733</v>
      </c>
      <c r="Q1701" s="1">
        <f t="shared" si="3763"/>
        <v>0</v>
      </c>
      <c r="R1701" s="1">
        <f t="shared" si="3764"/>
        <v>0.73583736091067631</v>
      </c>
      <c r="S1701" s="1">
        <f t="shared" si="3765"/>
        <v>0.6726444248495036</v>
      </c>
      <c r="T1701" s="1">
        <f t="shared" ref="T1701:V1701" si="3845">$S1701*P1701</f>
        <v>0.29655971906487272</v>
      </c>
      <c r="U1701" s="1">
        <f t="shared" si="3845"/>
        <v>0</v>
      </c>
      <c r="V1701" s="1">
        <f t="shared" si="3845"/>
        <v>0.49495689841253848</v>
      </c>
      <c r="W1701" s="1">
        <f t="shared" si="3767"/>
        <v>-6.8400299274941556</v>
      </c>
      <c r="X1701" s="1">
        <f t="shared" si="3768"/>
        <v>0</v>
      </c>
      <c r="Y1701" s="1">
        <f t="shared" si="3769"/>
        <v>-5.0357146730560567</v>
      </c>
    </row>
    <row r="1702" spans="1:25">
      <c r="A1702" s="1">
        <v>1.69999999999999</v>
      </c>
      <c r="B1702" s="1">
        <f t="shared" si="3770"/>
        <v>48.461310950527604</v>
      </c>
      <c r="C1702" s="1">
        <f t="shared" si="3771"/>
        <v>0</v>
      </c>
      <c r="D1702" s="1">
        <f t="shared" si="3772"/>
        <v>-4.7215149029299361</v>
      </c>
      <c r="E1702" s="1">
        <f t="shared" si="3773"/>
        <v>12.257880390387726</v>
      </c>
      <c r="F1702" s="1">
        <f t="shared" si="3774"/>
        <v>0</v>
      </c>
      <c r="G1702" s="1">
        <f t="shared" si="3775"/>
        <v>-7.353598900525097</v>
      </c>
      <c r="H1702" s="1">
        <f t="shared" si="3456"/>
        <v>14.2944411732273</v>
      </c>
      <c r="I1702" s="1">
        <f t="shared" si="3758"/>
        <v>-7.1309747465680404</v>
      </c>
      <c r="J1702" s="1">
        <f t="shared" si="3759"/>
        <v>0</v>
      </c>
      <c r="K1702" s="1">
        <f t="shared" si="3760"/>
        <v>4.2779278624023442</v>
      </c>
      <c r="L1702" s="1">
        <f t="shared" ref="L1702:N1702" si="3846">E1702/$H1702</f>
        <v>0.85752777893451759</v>
      </c>
      <c r="M1702" s="1">
        <f t="shared" si="3846"/>
        <v>0</v>
      </c>
      <c r="N1702" s="1">
        <f t="shared" si="3846"/>
        <v>-0.51443766226398424</v>
      </c>
      <c r="O1702" s="1">
        <f t="shared" si="3458"/>
        <v>-0.51443766226398424</v>
      </c>
      <c r="P1702" s="1">
        <f t="shared" si="3762"/>
        <v>0.44114458592149991</v>
      </c>
      <c r="Q1702" s="1">
        <f t="shared" si="3763"/>
        <v>0</v>
      </c>
      <c r="R1702" s="1">
        <f t="shared" si="3764"/>
        <v>0.73535389164436693</v>
      </c>
      <c r="S1702" s="1">
        <f t="shared" si="3765"/>
        <v>0.67233611384547309</v>
      </c>
      <c r="T1702" s="1">
        <f t="shared" ref="T1702:V1702" si="3847">$S1702*P1702</f>
        <v>0.29659743654243165</v>
      </c>
      <c r="U1702" s="1">
        <f t="shared" si="3847"/>
        <v>0</v>
      </c>
      <c r="V1702" s="1">
        <f t="shared" si="3847"/>
        <v>0.49440497780931875</v>
      </c>
      <c r="W1702" s="1">
        <f t="shared" si="3767"/>
        <v>-6.8343773100256087</v>
      </c>
      <c r="X1702" s="1">
        <f t="shared" si="3768"/>
        <v>0</v>
      </c>
      <c r="Y1702" s="1">
        <f t="shared" si="3769"/>
        <v>-5.034317159788336</v>
      </c>
    </row>
    <row r="1703" spans="1:25">
      <c r="A1703" s="1">
        <v>1.7009999999999901</v>
      </c>
      <c r="B1703" s="1">
        <f t="shared" si="3770"/>
        <v>48.473561996540681</v>
      </c>
      <c r="C1703" s="1">
        <f t="shared" si="3771"/>
        <v>0</v>
      </c>
      <c r="D1703" s="1">
        <f t="shared" si="3772"/>
        <v>-4.7288735361476206</v>
      </c>
      <c r="E1703" s="1">
        <f t="shared" si="3773"/>
        <v>12.251046013077699</v>
      </c>
      <c r="F1703" s="1">
        <f t="shared" si="3774"/>
        <v>0</v>
      </c>
      <c r="G1703" s="1">
        <f t="shared" si="3775"/>
        <v>-7.3586332176848854</v>
      </c>
      <c r="H1703" s="1">
        <f t="shared" si="3456"/>
        <v>14.291172493779591</v>
      </c>
      <c r="I1703" s="1">
        <f t="shared" si="3758"/>
        <v>-7.1253691582000238</v>
      </c>
      <c r="J1703" s="1">
        <f t="shared" si="3759"/>
        <v>0</v>
      </c>
      <c r="K1703" s="1">
        <f t="shared" si="3760"/>
        <v>4.2798776626768955</v>
      </c>
      <c r="L1703" s="1">
        <f t="shared" ref="L1703:N1703" si="3848">E1703/$H1703</f>
        <v>0.85724568914202937</v>
      </c>
      <c r="M1703" s="1">
        <f t="shared" si="3848"/>
        <v>0</v>
      </c>
      <c r="N1703" s="1">
        <f t="shared" si="3848"/>
        <v>-0.51490759214387916</v>
      </c>
      <c r="O1703" s="1">
        <f t="shared" si="3458"/>
        <v>-0.51490759214387916</v>
      </c>
      <c r="P1703" s="1">
        <f t="shared" si="3762"/>
        <v>0.44140231367184268</v>
      </c>
      <c r="Q1703" s="1">
        <f t="shared" si="3763"/>
        <v>0</v>
      </c>
      <c r="R1703" s="1">
        <f t="shared" si="3764"/>
        <v>0.7348701715525926</v>
      </c>
      <c r="S1703" s="1">
        <f t="shared" si="3765"/>
        <v>0.67202866566410879</v>
      </c>
      <c r="T1703" s="1">
        <f t="shared" ref="T1703:V1703" si="3849">$S1703*P1703</f>
        <v>0.29663500787793884</v>
      </c>
      <c r="U1703" s="1">
        <f t="shared" si="3849"/>
        <v>0</v>
      </c>
      <c r="V1703" s="1">
        <f t="shared" si="3849"/>
        <v>0.49385382082484353</v>
      </c>
      <c r="W1703" s="1">
        <f t="shared" si="3767"/>
        <v>-6.8287341503220853</v>
      </c>
      <c r="X1703" s="1">
        <f t="shared" si="3768"/>
        <v>0</v>
      </c>
      <c r="Y1703" s="1">
        <f t="shared" si="3769"/>
        <v>-5.0329185164982606</v>
      </c>
    </row>
    <row r="1704" spans="1:25">
      <c r="A1704" s="1">
        <v>1.70199999999999</v>
      </c>
      <c r="B1704" s="1">
        <f t="shared" si="3770"/>
        <v>48.485806213819608</v>
      </c>
      <c r="C1704" s="1">
        <f t="shared" si="3771"/>
        <v>0</v>
      </c>
      <c r="D1704" s="1">
        <f t="shared" si="3772"/>
        <v>-4.7362372022838217</v>
      </c>
      <c r="E1704" s="1">
        <f t="shared" si="3773"/>
        <v>12.244217278927378</v>
      </c>
      <c r="F1704" s="1">
        <f t="shared" si="3774"/>
        <v>0</v>
      </c>
      <c r="G1704" s="1">
        <f t="shared" si="3775"/>
        <v>-7.3636661362013838</v>
      </c>
      <c r="H1704" s="1">
        <f t="shared" si="3456"/>
        <v>14.287912224640197</v>
      </c>
      <c r="I1704" s="1">
        <f t="shared" si="3758"/>
        <v>-7.1197728604449146</v>
      </c>
      <c r="J1704" s="1">
        <f t="shared" si="3759"/>
        <v>0</v>
      </c>
      <c r="K1704" s="1">
        <f t="shared" si="3760"/>
        <v>4.2818278306881421</v>
      </c>
      <c r="L1704" s="1">
        <f t="shared" ref="L1704:N1704" si="3850">E1704/$H1704</f>
        <v>0.85696336080590085</v>
      </c>
      <c r="M1704" s="1">
        <f t="shared" si="3850"/>
        <v>0</v>
      </c>
      <c r="N1704" s="1">
        <f t="shared" si="3850"/>
        <v>-0.51537733578054779</v>
      </c>
      <c r="O1704" s="1">
        <f t="shared" si="3458"/>
        <v>-0.51537733578054779</v>
      </c>
      <c r="P1704" s="1">
        <f t="shared" si="3762"/>
        <v>0.44165949375368951</v>
      </c>
      <c r="Q1704" s="1">
        <f t="shared" si="3763"/>
        <v>0</v>
      </c>
      <c r="R1704" s="1">
        <f t="shared" si="3764"/>
        <v>0.73438620176374447</v>
      </c>
      <c r="S1704" s="1">
        <f t="shared" si="3765"/>
        <v>0.67172207858697397</v>
      </c>
      <c r="T1704" s="1">
        <f t="shared" ref="T1704:V1704" si="3851">$S1704*P1704</f>
        <v>0.29667243317189895</v>
      </c>
      <c r="U1704" s="1">
        <f t="shared" si="3851"/>
        <v>0</v>
      </c>
      <c r="V1704" s="1">
        <f t="shared" si="3851"/>
        <v>0.49330342593433529</v>
      </c>
      <c r="W1704" s="1">
        <f t="shared" si="3767"/>
        <v>-6.8231004272730154</v>
      </c>
      <c r="X1704" s="1">
        <f t="shared" si="3768"/>
        <v>0</v>
      </c>
      <c r="Y1704" s="1">
        <f t="shared" si="3769"/>
        <v>-5.0315187433775224</v>
      </c>
    </row>
    <row r="1705" spans="1:25">
      <c r="A1705" s="1">
        <v>1.7029999999999901</v>
      </c>
      <c r="B1705" s="1">
        <f t="shared" si="3770"/>
        <v>48.498043607998106</v>
      </c>
      <c r="C1705" s="1">
        <f t="shared" si="3771"/>
        <v>0</v>
      </c>
      <c r="D1705" s="1">
        <f t="shared" si="3772"/>
        <v>-4.7436058999387667</v>
      </c>
      <c r="E1705" s="1">
        <f t="shared" si="3773"/>
        <v>12.237394178500105</v>
      </c>
      <c r="F1705" s="1">
        <f t="shared" si="3774"/>
        <v>0</v>
      </c>
      <c r="G1705" s="1">
        <f t="shared" si="3775"/>
        <v>-7.3686976549447616</v>
      </c>
      <c r="H1705" s="1">
        <f t="shared" si="3456"/>
        <v>14.284660353329256</v>
      </c>
      <c r="I1705" s="1">
        <f t="shared" si="3758"/>
        <v>-7.1141858323431473</v>
      </c>
      <c r="J1705" s="1">
        <f t="shared" si="3759"/>
        <v>0</v>
      </c>
      <c r="K1705" s="1">
        <f t="shared" si="3760"/>
        <v>4.2837783677614132</v>
      </c>
      <c r="L1705" s="1">
        <f t="shared" ref="L1705:N1705" si="3852">E1705/$H1705</f>
        <v>0.85668079434930322</v>
      </c>
      <c r="M1705" s="1">
        <f t="shared" si="3852"/>
        <v>0</v>
      </c>
      <c r="N1705" s="1">
        <f t="shared" si="3852"/>
        <v>-0.51584689258834038</v>
      </c>
      <c r="O1705" s="1">
        <f t="shared" si="3458"/>
        <v>-0.51584689258834038</v>
      </c>
      <c r="P1705" s="1">
        <f t="shared" si="3762"/>
        <v>0.44191612570519911</v>
      </c>
      <c r="Q1705" s="1">
        <f t="shared" si="3763"/>
        <v>0</v>
      </c>
      <c r="R1705" s="1">
        <f t="shared" si="3764"/>
        <v>0.73390198340695323</v>
      </c>
      <c r="S1705" s="1">
        <f t="shared" si="3765"/>
        <v>0.67141635089955798</v>
      </c>
      <c r="T1705" s="1">
        <f t="shared" ref="T1705:V1705" si="3853">$S1705*P1705</f>
        <v>0.29670971252465517</v>
      </c>
      <c r="U1705" s="1">
        <f t="shared" si="3853"/>
        <v>0</v>
      </c>
      <c r="V1705" s="1">
        <f t="shared" si="3853"/>
        <v>0.49275379161704447</v>
      </c>
      <c r="W1705" s="1">
        <f t="shared" si="3767"/>
        <v>-6.8174761198184921</v>
      </c>
      <c r="X1705" s="1">
        <f t="shared" si="3768"/>
        <v>0</v>
      </c>
      <c r="Y1705" s="1">
        <f t="shared" si="3769"/>
        <v>-5.0301178406215419</v>
      </c>
    </row>
    <row r="1706" spans="1:25">
      <c r="A1706" s="1">
        <v>1.70399999999999</v>
      </c>
      <c r="B1706" s="1">
        <f t="shared" si="3770"/>
        <v>48.510274184700485</v>
      </c>
      <c r="C1706" s="1">
        <f t="shared" si="3771"/>
        <v>0</v>
      </c>
      <c r="D1706" s="1">
        <f t="shared" si="3772"/>
        <v>-4.7509796277115521</v>
      </c>
      <c r="E1706" s="1">
        <f t="shared" si="3773"/>
        <v>12.230576702380286</v>
      </c>
      <c r="F1706" s="1">
        <f t="shared" si="3774"/>
        <v>0</v>
      </c>
      <c r="G1706" s="1">
        <f t="shared" si="3775"/>
        <v>-7.3737277727853829</v>
      </c>
      <c r="H1706" s="1">
        <f t="shared" si="3456"/>
        <v>14.281416867382379</v>
      </c>
      <c r="I1706" s="1">
        <f t="shared" si="3758"/>
        <v>-7.1086080529855185</v>
      </c>
      <c r="J1706" s="1">
        <f t="shared" si="3759"/>
        <v>0</v>
      </c>
      <c r="K1706" s="1">
        <f t="shared" si="3760"/>
        <v>4.2857292752142984</v>
      </c>
      <c r="L1706" s="1">
        <f t="shared" ref="L1706:N1706" si="3854">E1706/$H1706</f>
        <v>0.85639799019619345</v>
      </c>
      <c r="M1706" s="1">
        <f t="shared" si="3854"/>
        <v>0</v>
      </c>
      <c r="N1706" s="1">
        <f t="shared" si="3854"/>
        <v>-0.51631626198282821</v>
      </c>
      <c r="O1706" s="1">
        <f t="shared" si="3458"/>
        <v>-0.51631626198282821</v>
      </c>
      <c r="P1706" s="1">
        <f t="shared" si="3762"/>
        <v>0.44217220906770538</v>
      </c>
      <c r="Q1706" s="1">
        <f t="shared" si="3763"/>
        <v>0</v>
      </c>
      <c r="R1706" s="1">
        <f t="shared" si="3764"/>
        <v>0.73341751761207952</v>
      </c>
      <c r="S1706" s="1">
        <f t="shared" si="3765"/>
        <v>0.67111148089126649</v>
      </c>
      <c r="T1706" s="1">
        <f t="shared" ref="T1706:V1706" si="3855">$S1706*P1706</f>
        <v>0.29674684603639045</v>
      </c>
      <c r="U1706" s="1">
        <f t="shared" si="3855"/>
        <v>0</v>
      </c>
      <c r="V1706" s="1">
        <f t="shared" si="3855"/>
        <v>0.4922049163562392</v>
      </c>
      <c r="W1706" s="1">
        <f t="shared" si="3767"/>
        <v>-6.8118612069491284</v>
      </c>
      <c r="X1706" s="1">
        <f t="shared" si="3768"/>
        <v>0</v>
      </c>
      <c r="Y1706" s="1">
        <f t="shared" si="3769"/>
        <v>-5.0287158084294621</v>
      </c>
    </row>
    <row r="1707" spans="1:25">
      <c r="A1707" s="1">
        <v>1.7049999999999901</v>
      </c>
      <c r="B1707" s="1">
        <f t="shared" si="3770"/>
        <v>48.522497949541659</v>
      </c>
      <c r="C1707" s="1">
        <f t="shared" si="3771"/>
        <v>0</v>
      </c>
      <c r="D1707" s="1">
        <f t="shared" si="3772"/>
        <v>-4.7583583842001458</v>
      </c>
      <c r="E1707" s="1">
        <f t="shared" si="3773"/>
        <v>12.223764841173338</v>
      </c>
      <c r="F1707" s="1">
        <f t="shared" si="3774"/>
        <v>0</v>
      </c>
      <c r="G1707" s="1">
        <f t="shared" si="3775"/>
        <v>-7.3787564885938126</v>
      </c>
      <c r="H1707" s="1">
        <f t="shared" si="3456"/>
        <v>14.278181754350612</v>
      </c>
      <c r="I1707" s="1">
        <f t="shared" si="3758"/>
        <v>-7.1030395015130479</v>
      </c>
      <c r="J1707" s="1">
        <f t="shared" si="3759"/>
        <v>0</v>
      </c>
      <c r="K1707" s="1">
        <f t="shared" si="3760"/>
        <v>4.287680554356661</v>
      </c>
      <c r="L1707" s="1">
        <f t="shared" ref="L1707:N1707" si="3856">E1707/$H1707</f>
        <v>0.85611494877131078</v>
      </c>
      <c r="M1707" s="1">
        <f t="shared" si="3856"/>
        <v>0</v>
      </c>
      <c r="N1707" s="1">
        <f t="shared" si="3856"/>
        <v>-0.51678544338080579</v>
      </c>
      <c r="O1707" s="1">
        <f t="shared" si="3458"/>
        <v>-0.51678544338080579</v>
      </c>
      <c r="P1707" s="1">
        <f t="shared" si="3762"/>
        <v>0.44242774338571766</v>
      </c>
      <c r="Q1707" s="1">
        <f t="shared" si="3763"/>
        <v>0</v>
      </c>
      <c r="R1707" s="1">
        <f t="shared" si="3764"/>
        <v>0.73293280550970397</v>
      </c>
      <c r="S1707" s="1">
        <f t="shared" si="3765"/>
        <v>0.67080746685540937</v>
      </c>
      <c r="T1707" s="1">
        <f t="shared" ref="T1707:V1707" si="3857">$S1707*P1707</f>
        <v>0.29678383380712836</v>
      </c>
      <c r="U1707" s="1">
        <f t="shared" si="3857"/>
        <v>0</v>
      </c>
      <c r="V1707" s="1">
        <f t="shared" si="3857"/>
        <v>0.49165679863919293</v>
      </c>
      <c r="W1707" s="1">
        <f t="shared" si="3767"/>
        <v>-6.8062556677059192</v>
      </c>
      <c r="X1707" s="1">
        <f t="shared" si="3768"/>
        <v>0</v>
      </c>
      <c r="Y1707" s="1">
        <f t="shared" si="3769"/>
        <v>-5.0273126470041456</v>
      </c>
    </row>
    <row r="1708" spans="1:25">
      <c r="A1708" s="1">
        <v>1.70599999999999</v>
      </c>
      <c r="B1708" s="1">
        <f t="shared" si="3770"/>
        <v>48.534714908127164</v>
      </c>
      <c r="C1708" s="1">
        <f t="shared" si="3771"/>
        <v>0</v>
      </c>
      <c r="D1708" s="1">
        <f t="shared" si="3772"/>
        <v>-4.7657421680013865</v>
      </c>
      <c r="E1708" s="1">
        <f t="shared" si="3773"/>
        <v>12.216958585505632</v>
      </c>
      <c r="F1708" s="1">
        <f t="shared" si="3774"/>
        <v>0</v>
      </c>
      <c r="G1708" s="1">
        <f t="shared" si="3775"/>
        <v>-7.383783801240817</v>
      </c>
      <c r="H1708" s="1">
        <f t="shared" si="3456"/>
        <v>14.274955001800393</v>
      </c>
      <c r="I1708" s="1">
        <f t="shared" si="3758"/>
        <v>-7.0974801571168253</v>
      </c>
      <c r="J1708" s="1">
        <f t="shared" si="3759"/>
        <v>0</v>
      </c>
      <c r="K1708" s="1">
        <f t="shared" si="3760"/>
        <v>4.2896322064906443</v>
      </c>
      <c r="L1708" s="1">
        <f t="shared" ref="L1708:N1708" si="3858">E1708/$H1708</f>
        <v>0.85583167050017306</v>
      </c>
      <c r="M1708" s="1">
        <f t="shared" si="3858"/>
        <v>0</v>
      </c>
      <c r="N1708" s="1">
        <f t="shared" si="3858"/>
        <v>-0.5172544362002931</v>
      </c>
      <c r="O1708" s="1">
        <f t="shared" si="3458"/>
        <v>-0.5172544362002931</v>
      </c>
      <c r="P1708" s="1">
        <f t="shared" si="3762"/>
        <v>0.442682728206922</v>
      </c>
      <c r="Q1708" s="1">
        <f t="shared" si="3763"/>
        <v>0</v>
      </c>
      <c r="R1708" s="1">
        <f t="shared" si="3764"/>
        <v>0.73244784823111697</v>
      </c>
      <c r="S1708" s="1">
        <f t="shared" si="3765"/>
        <v>0.67050430708918807</v>
      </c>
      <c r="T1708" s="1">
        <f t="shared" ref="T1708:V1708" si="3859">$S1708*P1708</f>
        <v>0.29682067593673361</v>
      </c>
      <c r="U1708" s="1">
        <f t="shared" si="3859"/>
        <v>0</v>
      </c>
      <c r="V1708" s="1">
        <f t="shared" si="3859"/>
        <v>0.49110943695717185</v>
      </c>
      <c r="W1708" s="1">
        <f t="shared" si="3767"/>
        <v>-6.8006594811800918</v>
      </c>
      <c r="X1708" s="1">
        <f t="shared" si="3768"/>
        <v>0</v>
      </c>
      <c r="Y1708" s="1">
        <f t="shared" si="3769"/>
        <v>-5.0259083565521836</v>
      </c>
    </row>
    <row r="1709" spans="1:25">
      <c r="A1709" s="1">
        <v>1.7069999999999901</v>
      </c>
      <c r="B1709" s="1">
        <f t="shared" si="3770"/>
        <v>48.546925066053191</v>
      </c>
      <c r="C1709" s="1">
        <f t="shared" si="3771"/>
        <v>0</v>
      </c>
      <c r="D1709" s="1">
        <f t="shared" si="3772"/>
        <v>-4.7731309777109843</v>
      </c>
      <c r="E1709" s="1">
        <f t="shared" si="3773"/>
        <v>12.210157926024451</v>
      </c>
      <c r="F1709" s="1">
        <f t="shared" si="3774"/>
        <v>0</v>
      </c>
      <c r="G1709" s="1">
        <f t="shared" si="3775"/>
        <v>-7.3888097095973695</v>
      </c>
      <c r="H1709" s="1">
        <f t="shared" si="3456"/>
        <v>14.27173659731352</v>
      </c>
      <c r="I1709" s="1">
        <f t="shared" si="3758"/>
        <v>-7.0919299990378768</v>
      </c>
      <c r="J1709" s="1">
        <f t="shared" si="3759"/>
        <v>0</v>
      </c>
      <c r="K1709" s="1">
        <f t="shared" si="3760"/>
        <v>4.2915842329106821</v>
      </c>
      <c r="L1709" s="1">
        <f t="shared" ref="L1709:N1709" si="3860">E1709/$H1709</f>
        <v>0.85554815580907395</v>
      </c>
      <c r="M1709" s="1">
        <f t="shared" si="3860"/>
        <v>0</v>
      </c>
      <c r="N1709" s="1">
        <f t="shared" si="3860"/>
        <v>-0.51772323986053825</v>
      </c>
      <c r="O1709" s="1">
        <f t="shared" si="3458"/>
        <v>-0.51772323986053825</v>
      </c>
      <c r="P1709" s="1">
        <f t="shared" si="3762"/>
        <v>0.44293716308218234</v>
      </c>
      <c r="Q1709" s="1">
        <f t="shared" si="3763"/>
        <v>0</v>
      </c>
      <c r="R1709" s="1">
        <f t="shared" si="3764"/>
        <v>0.73196264690830759</v>
      </c>
      <c r="S1709" s="1">
        <f t="shared" si="3765"/>
        <v>0.67020199989368368</v>
      </c>
      <c r="T1709" s="1">
        <f t="shared" ref="T1709:V1709" si="3861">$S1709*P1709</f>
        <v>0.29685737252491334</v>
      </c>
      <c r="U1709" s="1">
        <f t="shared" si="3861"/>
        <v>0</v>
      </c>
      <c r="V1709" s="1">
        <f t="shared" si="3861"/>
        <v>0.49056282980542198</v>
      </c>
      <c r="W1709" s="1">
        <f t="shared" si="3767"/>
        <v>-6.7950726265129635</v>
      </c>
      <c r="X1709" s="1">
        <f t="shared" si="3768"/>
        <v>0</v>
      </c>
      <c r="Y1709" s="1">
        <f t="shared" si="3769"/>
        <v>-5.024502937283895</v>
      </c>
    </row>
    <row r="1710" spans="1:25">
      <c r="A1710" s="1">
        <v>1.70799999999999</v>
      </c>
      <c r="B1710" s="1">
        <f t="shared" si="3770"/>
        <v>48.55912842890659</v>
      </c>
      <c r="C1710" s="1">
        <f t="shared" si="3771"/>
        <v>0</v>
      </c>
      <c r="D1710" s="1">
        <f t="shared" si="3772"/>
        <v>-4.7805248119235193</v>
      </c>
      <c r="E1710" s="1">
        <f t="shared" si="3773"/>
        <v>12.203362853397937</v>
      </c>
      <c r="F1710" s="1">
        <f t="shared" si="3774"/>
        <v>0</v>
      </c>
      <c r="G1710" s="1">
        <f t="shared" si="3775"/>
        <v>-7.393834212534653</v>
      </c>
      <c r="H1710" s="1">
        <f t="shared" si="3456"/>
        <v>14.268526528487115</v>
      </c>
      <c r="I1710" s="1">
        <f t="shared" si="3758"/>
        <v>-7.0863890065670159</v>
      </c>
      <c r="J1710" s="1">
        <f t="shared" si="3759"/>
        <v>0</v>
      </c>
      <c r="K1710" s="1">
        <f t="shared" si="3760"/>
        <v>4.293536634903508</v>
      </c>
      <c r="L1710" s="1">
        <f t="shared" ref="L1710:N1710" si="3862">E1710/$H1710</f>
        <v>0.85526440512507873</v>
      </c>
      <c r="M1710" s="1">
        <f t="shared" si="3862"/>
        <v>0</v>
      </c>
      <c r="N1710" s="1">
        <f t="shared" si="3862"/>
        <v>-0.51819185378201893</v>
      </c>
      <c r="O1710" s="1">
        <f t="shared" si="3458"/>
        <v>-0.51819185378201893</v>
      </c>
      <c r="P1710" s="1">
        <f t="shared" si="3762"/>
        <v>0.44319104756554017</v>
      </c>
      <c r="Q1710" s="1">
        <f t="shared" si="3763"/>
        <v>0</v>
      </c>
      <c r="R1710" s="1">
        <f t="shared" si="3764"/>
        <v>0.73147720267395466</v>
      </c>
      <c r="S1710" s="1">
        <f t="shared" si="3765"/>
        <v>0.6699005435738461</v>
      </c>
      <c r="T1710" s="1">
        <f t="shared" ref="T1710:V1710" si="3863">$S1710*P1710</f>
        <v>0.29689392367121764</v>
      </c>
      <c r="U1710" s="1">
        <f t="shared" si="3863"/>
        <v>0</v>
      </c>
      <c r="V1710" s="1">
        <f t="shared" si="3863"/>
        <v>0.49001697568315861</v>
      </c>
      <c r="W1710" s="1">
        <f t="shared" si="3767"/>
        <v>-6.7894950828957983</v>
      </c>
      <c r="X1710" s="1">
        <f t="shared" si="3768"/>
        <v>0</v>
      </c>
      <c r="Y1710" s="1">
        <f t="shared" si="3769"/>
        <v>-5.0230963894133325</v>
      </c>
    </row>
    <row r="1711" spans="1:25">
      <c r="A1711" s="1">
        <v>1.7089999999999901</v>
      </c>
      <c r="B1711" s="1">
        <f t="shared" si="3770"/>
        <v>48.571325002264906</v>
      </c>
      <c r="C1711" s="1">
        <f t="shared" si="3771"/>
        <v>0</v>
      </c>
      <c r="D1711" s="1">
        <f t="shared" si="3772"/>
        <v>-4.7879236692324429</v>
      </c>
      <c r="E1711" s="1">
        <f t="shared" si="3773"/>
        <v>12.196573358315042</v>
      </c>
      <c r="F1711" s="1">
        <f t="shared" si="3774"/>
        <v>0</v>
      </c>
      <c r="G1711" s="1">
        <f t="shared" si="3775"/>
        <v>-7.3988573089240663</v>
      </c>
      <c r="H1711" s="1">
        <f t="shared" si="3456"/>
        <v>14.265324782933593</v>
      </c>
      <c r="I1711" s="1">
        <f t="shared" si="3758"/>
        <v>-7.0808571590447116</v>
      </c>
      <c r="J1711" s="1">
        <f t="shared" si="3759"/>
        <v>0</v>
      </c>
      <c r="K1711" s="1">
        <f t="shared" si="3760"/>
        <v>4.2954894137481725</v>
      </c>
      <c r="L1711" s="1">
        <f t="shared" ref="L1711:N1711" si="3864">E1711/$H1711</f>
        <v>0.85498041887602072</v>
      </c>
      <c r="M1711" s="1">
        <f t="shared" si="3864"/>
        <v>0</v>
      </c>
      <c r="N1711" s="1">
        <f t="shared" si="3864"/>
        <v>-0.51866027738644505</v>
      </c>
      <c r="O1711" s="1">
        <f t="shared" si="3458"/>
        <v>-0.51866027738644505</v>
      </c>
      <c r="P1711" s="1">
        <f t="shared" si="3762"/>
        <v>0.44344438121421587</v>
      </c>
      <c r="Q1711" s="1">
        <f t="shared" si="3763"/>
        <v>0</v>
      </c>
      <c r="R1711" s="1">
        <f t="shared" si="3764"/>
        <v>0.73099151666141582</v>
      </c>
      <c r="S1711" s="1">
        <f t="shared" si="3765"/>
        <v>0.66959993643848159</v>
      </c>
      <c r="T1711" s="1">
        <f t="shared" ref="T1711:V1711" si="3865">$S1711*P1711</f>
        <v>0.29693032947504072</v>
      </c>
      <c r="U1711" s="1">
        <f t="shared" si="3865"/>
        <v>0</v>
      </c>
      <c r="V1711" s="1">
        <f t="shared" si="3865"/>
        <v>0.48947187309355328</v>
      </c>
      <c r="W1711" s="1">
        <f t="shared" si="3767"/>
        <v>-6.7839268295696709</v>
      </c>
      <c r="X1711" s="1">
        <f t="shared" si="3768"/>
        <v>0</v>
      </c>
      <c r="Y1711" s="1">
        <f t="shared" si="3769"/>
        <v>-5.0216887131582739</v>
      </c>
    </row>
    <row r="1712" spans="1:25">
      <c r="A1712" s="1">
        <v>1.70999999999999</v>
      </c>
      <c r="B1712" s="1">
        <f t="shared" si="3770"/>
        <v>48.583514791696395</v>
      </c>
      <c r="C1712" s="1">
        <f t="shared" si="3771"/>
        <v>0</v>
      </c>
      <c r="D1712" s="1">
        <f t="shared" si="3772"/>
        <v>-4.7953275482300803</v>
      </c>
      <c r="E1712" s="1">
        <f t="shared" si="3773"/>
        <v>12.189789431485472</v>
      </c>
      <c r="F1712" s="1">
        <f t="shared" si="3774"/>
        <v>0</v>
      </c>
      <c r="G1712" s="1">
        <f t="shared" si="3775"/>
        <v>-7.403878997637225</v>
      </c>
      <c r="H1712" s="1">
        <f t="shared" si="3456"/>
        <v>14.262131348280612</v>
      </c>
      <c r="I1712" s="1">
        <f t="shared" si="3758"/>
        <v>-7.0753344358609302</v>
      </c>
      <c r="J1712" s="1">
        <f t="shared" si="3759"/>
        <v>0</v>
      </c>
      <c r="K1712" s="1">
        <f t="shared" si="3760"/>
        <v>4.2974425707160417</v>
      </c>
      <c r="L1712" s="1">
        <f t="shared" ref="L1712:N1712" si="3866">E1712/$H1712</f>
        <v>0.8546961974904983</v>
      </c>
      <c r="M1712" s="1">
        <f t="shared" si="3866"/>
        <v>0</v>
      </c>
      <c r="N1712" s="1">
        <f t="shared" si="3866"/>
        <v>-0.51912851009676109</v>
      </c>
      <c r="O1712" s="1">
        <f t="shared" si="3458"/>
        <v>-0.51912851009676109</v>
      </c>
      <c r="P1712" s="1">
        <f t="shared" si="3762"/>
        <v>0.44369716358860944</v>
      </c>
      <c r="Q1712" s="1">
        <f t="shared" si="3763"/>
        <v>0</v>
      </c>
      <c r="R1712" s="1">
        <f t="shared" si="3764"/>
        <v>0.73050559000471704</v>
      </c>
      <c r="S1712" s="1">
        <f t="shared" si="3765"/>
        <v>0.66930017680024034</v>
      </c>
      <c r="T1712" s="1">
        <f t="shared" ref="T1712:V1712" si="3867">$S1712*P1712</f>
        <v>0.29696659003562148</v>
      </c>
      <c r="U1712" s="1">
        <f t="shared" si="3867"/>
        <v>0</v>
      </c>
      <c r="V1712" s="1">
        <f t="shared" si="3867"/>
        <v>0.48892752054372102</v>
      </c>
      <c r="W1712" s="1">
        <f t="shared" si="3767"/>
        <v>-6.7783678458253087</v>
      </c>
      <c r="X1712" s="1">
        <f t="shared" si="3768"/>
        <v>0</v>
      </c>
      <c r="Y1712" s="1">
        <f t="shared" si="3769"/>
        <v>-5.0202799087402363</v>
      </c>
    </row>
    <row r="1713" spans="1:25">
      <c r="A1713" s="1">
        <v>1.7109999999999901</v>
      </c>
      <c r="B1713" s="1">
        <f t="shared" si="3770"/>
        <v>48.595697802760036</v>
      </c>
      <c r="C1713" s="1">
        <f t="shared" si="3771"/>
        <v>0</v>
      </c>
      <c r="D1713" s="1">
        <f t="shared" si="3772"/>
        <v>-4.802736447507626</v>
      </c>
      <c r="E1713" s="1">
        <f t="shared" si="3773"/>
        <v>12.183011063639647</v>
      </c>
      <c r="F1713" s="1">
        <f t="shared" si="3774"/>
        <v>0</v>
      </c>
      <c r="G1713" s="1">
        <f t="shared" si="3775"/>
        <v>-7.4088992775459657</v>
      </c>
      <c r="H1713" s="1">
        <f t="shared" si="3456"/>
        <v>14.258946212171052</v>
      </c>
      <c r="I1713" s="1">
        <f t="shared" si="3758"/>
        <v>-7.069820816455012</v>
      </c>
      <c r="J1713" s="1">
        <f t="shared" si="3759"/>
        <v>0</v>
      </c>
      <c r="K1713" s="1">
        <f t="shared" si="3760"/>
        <v>4.2993961070708151</v>
      </c>
      <c r="L1713" s="1">
        <f t="shared" ref="L1713:N1713" si="3868">E1713/$H1713</f>
        <v>0.85441174139787113</v>
      </c>
      <c r="M1713" s="1">
        <f t="shared" si="3868"/>
        <v>0</v>
      </c>
      <c r="N1713" s="1">
        <f t="shared" si="3868"/>
        <v>-0.51959655133714777</v>
      </c>
      <c r="O1713" s="1">
        <f t="shared" si="3458"/>
        <v>-0.51959655133714777</v>
      </c>
      <c r="P1713" s="1">
        <f t="shared" si="3762"/>
        <v>0.44394939425230079</v>
      </c>
      <c r="Q1713" s="1">
        <f t="shared" si="3763"/>
        <v>0</v>
      </c>
      <c r="R1713" s="1">
        <f t="shared" si="3764"/>
        <v>0.73001942383854268</v>
      </c>
      <c r="S1713" s="1">
        <f t="shared" si="3765"/>
        <v>0.66900126297560614</v>
      </c>
      <c r="T1713" s="1">
        <f t="shared" ref="T1713:V1713" si="3869">$S1713*P1713</f>
        <v>0.29700270545204455</v>
      </c>
      <c r="U1713" s="1">
        <f t="shared" si="3869"/>
        <v>0</v>
      </c>
      <c r="V1713" s="1">
        <f t="shared" si="3869"/>
        <v>0.48838391654470936</v>
      </c>
      <c r="W1713" s="1">
        <f t="shared" si="3767"/>
        <v>-6.7728181110029677</v>
      </c>
      <c r="X1713" s="1">
        <f t="shared" si="3768"/>
        <v>0</v>
      </c>
      <c r="Y1713" s="1">
        <f t="shared" si="3769"/>
        <v>-5.0188699763844751</v>
      </c>
    </row>
    <row r="1714" spans="1:25">
      <c r="A1714" s="1">
        <v>1.71199999999999</v>
      </c>
      <c r="B1714" s="1">
        <f t="shared" si="3770"/>
        <v>48.607874041005566</v>
      </c>
      <c r="C1714" s="1">
        <f t="shared" si="3771"/>
        <v>0</v>
      </c>
      <c r="D1714" s="1">
        <f t="shared" si="3772"/>
        <v>-4.8101503656551481</v>
      </c>
      <c r="E1714" s="1">
        <f t="shared" si="3773"/>
        <v>12.176238245528644</v>
      </c>
      <c r="F1714" s="1">
        <f t="shared" si="3774"/>
        <v>0</v>
      </c>
      <c r="G1714" s="1">
        <f t="shared" si="3775"/>
        <v>-7.4139181475223506</v>
      </c>
      <c r="H1714" s="1">
        <f t="shared" si="3456"/>
        <v>14.255769362262976</v>
      </c>
      <c r="I1714" s="1">
        <f t="shared" si="3758"/>
        <v>-7.0643162803155271</v>
      </c>
      <c r="J1714" s="1">
        <f t="shared" si="3759"/>
        <v>0</v>
      </c>
      <c r="K1714" s="1">
        <f t="shared" si="3760"/>
        <v>4.3013500240685367</v>
      </c>
      <c r="L1714" s="1">
        <f t="shared" ref="L1714:N1714" si="3870">E1714/$H1714</f>
        <v>0.85412705102825648</v>
      </c>
      <c r="M1714" s="1">
        <f t="shared" si="3870"/>
        <v>0</v>
      </c>
      <c r="N1714" s="1">
        <f t="shared" si="3870"/>
        <v>-0.52006440053302438</v>
      </c>
      <c r="O1714" s="1">
        <f t="shared" si="3458"/>
        <v>-0.52006440053302438</v>
      </c>
      <c r="P1714" s="1">
        <f t="shared" si="3762"/>
        <v>0.44420107277205012</v>
      </c>
      <c r="Q1714" s="1">
        <f t="shared" si="3763"/>
        <v>0</v>
      </c>
      <c r="R1714" s="1">
        <f t="shared" si="3764"/>
        <v>0.729533019298226</v>
      </c>
      <c r="S1714" s="1">
        <f t="shared" si="3765"/>
        <v>0.66870319328488359</v>
      </c>
      <c r="T1714" s="1">
        <f t="shared" ref="T1714:V1714" si="3871">$S1714*P1714</f>
        <v>0.29703867582324089</v>
      </c>
      <c r="U1714" s="1">
        <f t="shared" si="3871"/>
        <v>0</v>
      </c>
      <c r="V1714" s="1">
        <f t="shared" si="3871"/>
        <v>0.48784105961148633</v>
      </c>
      <c r="W1714" s="1">
        <f t="shared" si="3767"/>
        <v>-6.7672776044922864</v>
      </c>
      <c r="X1714" s="1">
        <f t="shared" si="3768"/>
        <v>0</v>
      </c>
      <c r="Y1714" s="1">
        <f t="shared" si="3769"/>
        <v>-5.0174589163199768</v>
      </c>
    </row>
    <row r="1715" spans="1:25">
      <c r="A1715" s="1">
        <v>1.7129999999999901</v>
      </c>
      <c r="B1715" s="1">
        <f t="shared" si="3770"/>
        <v>48.620043511973492</v>
      </c>
      <c r="C1715" s="1">
        <f t="shared" si="3771"/>
        <v>0</v>
      </c>
      <c r="D1715" s="1">
        <f t="shared" si="3772"/>
        <v>-4.817569301261587</v>
      </c>
      <c r="E1715" s="1">
        <f t="shared" si="3773"/>
        <v>12.169470967924152</v>
      </c>
      <c r="F1715" s="1">
        <f t="shared" si="3774"/>
        <v>0</v>
      </c>
      <c r="G1715" s="1">
        <f t="shared" si="3775"/>
        <v>-7.4189356064386702</v>
      </c>
      <c r="H1715" s="1">
        <f t="shared" si="3456"/>
        <v>14.252600786229589</v>
      </c>
      <c r="I1715" s="1">
        <f t="shared" si="3758"/>
        <v>-7.0588208069801288</v>
      </c>
      <c r="J1715" s="1">
        <f t="shared" si="3759"/>
        <v>0</v>
      </c>
      <c r="K1715" s="1">
        <f t="shared" si="3760"/>
        <v>4.3033043229576009</v>
      </c>
      <c r="L1715" s="1">
        <f t="shared" ref="L1715:N1715" si="3872">E1715/$H1715</f>
        <v>0.85384212681252591</v>
      </c>
      <c r="M1715" s="1">
        <f t="shared" si="3872"/>
        <v>0</v>
      </c>
      <c r="N1715" s="1">
        <f t="shared" si="3872"/>
        <v>-0.52053205711105099</v>
      </c>
      <c r="O1715" s="1">
        <f t="shared" si="3458"/>
        <v>-0.52053205711105099</v>
      </c>
      <c r="P1715" s="1">
        <f t="shared" si="3762"/>
        <v>0.44445219871779901</v>
      </c>
      <c r="Q1715" s="1">
        <f t="shared" si="3763"/>
        <v>0</v>
      </c>
      <c r="R1715" s="1">
        <f t="shared" si="3764"/>
        <v>0.72904637751973755</v>
      </c>
      <c r="S1715" s="1">
        <f t="shared" si="3765"/>
        <v>0.66840596605218727</v>
      </c>
      <c r="T1715" s="1">
        <f t="shared" ref="T1715:V1715" si="3873">$S1715*P1715</f>
        <v>0.29707450124798918</v>
      </c>
      <c r="U1715" s="1">
        <f t="shared" si="3873"/>
        <v>0</v>
      </c>
      <c r="V1715" s="1">
        <f t="shared" si="3873"/>
        <v>0.4872989482629278</v>
      </c>
      <c r="W1715" s="1">
        <f t="shared" si="3767"/>
        <v>-6.7617463057321396</v>
      </c>
      <c r="X1715" s="1">
        <f t="shared" si="3768"/>
        <v>0</v>
      </c>
      <c r="Y1715" s="1">
        <f t="shared" si="3769"/>
        <v>-5.0160467287794708</v>
      </c>
    </row>
    <row r="1716" spans="1:25">
      <c r="A1716" s="1">
        <v>1.71399999999999</v>
      </c>
      <c r="B1716" s="1">
        <f t="shared" si="3770"/>
        <v>48.632206221195112</v>
      </c>
      <c r="C1716" s="1">
        <f t="shared" si="3771"/>
        <v>0</v>
      </c>
      <c r="D1716" s="1">
        <f t="shared" si="3772"/>
        <v>-4.8249932529147541</v>
      </c>
      <c r="E1716" s="1">
        <f t="shared" si="3773"/>
        <v>12.162709221618419</v>
      </c>
      <c r="F1716" s="1">
        <f t="shared" si="3774"/>
        <v>0</v>
      </c>
      <c r="G1716" s="1">
        <f t="shared" si="3775"/>
        <v>-7.4239516531674496</v>
      </c>
      <c r="H1716" s="1">
        <f t="shared" si="3456"/>
        <v>14.249440471759213</v>
      </c>
      <c r="I1716" s="1">
        <f t="shared" si="3758"/>
        <v>-7.053334376035421</v>
      </c>
      <c r="J1716" s="1">
        <f t="shared" si="3759"/>
        <v>0</v>
      </c>
      <c r="K1716" s="1">
        <f t="shared" si="3760"/>
        <v>4.3052590049787645</v>
      </c>
      <c r="L1716" s="1">
        <f t="shared" ref="L1716:N1716" si="3874">E1716/$H1716</f>
        <v>0.85355696918230162</v>
      </c>
      <c r="M1716" s="1">
        <f t="shared" si="3874"/>
        <v>0</v>
      </c>
      <c r="N1716" s="1">
        <f t="shared" si="3874"/>
        <v>-0.52099952049913023</v>
      </c>
      <c r="O1716" s="1">
        <f t="shared" si="3458"/>
        <v>-0.52099952049913023</v>
      </c>
      <c r="P1716" s="1">
        <f t="shared" si="3762"/>
        <v>0.44470277166267003</v>
      </c>
      <c r="Q1716" s="1">
        <f t="shared" si="3763"/>
        <v>0</v>
      </c>
      <c r="R1716" s="1">
        <f t="shared" si="3764"/>
        <v>0.72855949963967637</v>
      </c>
      <c r="S1716" s="1">
        <f t="shared" si="3765"/>
        <v>0.66810957960542972</v>
      </c>
      <c r="T1716" s="1">
        <f t="shared" ref="T1716:V1716" si="3875">$S1716*P1716</f>
        <v>0.29711018182491589</v>
      </c>
      <c r="U1716" s="1">
        <f t="shared" si="3875"/>
        <v>0</v>
      </c>
      <c r="V1716" s="1">
        <f t="shared" si="3875"/>
        <v>0.48675758102180638</v>
      </c>
      <c r="W1716" s="1">
        <f t="shared" si="3767"/>
        <v>-6.756224194210505</v>
      </c>
      <c r="X1716" s="1">
        <f t="shared" si="3768"/>
        <v>0</v>
      </c>
      <c r="Y1716" s="1">
        <f t="shared" si="3769"/>
        <v>-5.0146334139994284</v>
      </c>
    </row>
    <row r="1717" spans="1:25">
      <c r="A1717" s="1">
        <v>1.7149999999999801</v>
      </c>
      <c r="B1717" s="1">
        <f t="shared" si="3770"/>
        <v>48.644362174192537</v>
      </c>
      <c r="C1717" s="1">
        <f t="shared" si="3771"/>
        <v>0</v>
      </c>
      <c r="D1717" s="1">
        <f t="shared" si="3772"/>
        <v>-4.8324222192013355</v>
      </c>
      <c r="E1717" s="1">
        <f t="shared" si="3773"/>
        <v>12.155952997424208</v>
      </c>
      <c r="F1717" s="1">
        <f t="shared" si="3774"/>
        <v>0</v>
      </c>
      <c r="G1717" s="1">
        <f t="shared" si="3775"/>
        <v>-7.4289662865814492</v>
      </c>
      <c r="H1717" s="1">
        <f t="shared" si="3456"/>
        <v>14.246288406555244</v>
      </c>
      <c r="I1717" s="1">
        <f t="shared" si="3758"/>
        <v>-7.0478569671168199</v>
      </c>
      <c r="J1717" s="1">
        <f t="shared" si="3759"/>
        <v>0</v>
      </c>
      <c r="K1717" s="1">
        <f t="shared" si="3760"/>
        <v>4.3072140713651592</v>
      </c>
      <c r="L1717" s="1">
        <f t="shared" ref="L1717:N1717" si="3876">E1717/$H1717</f>
        <v>0.85327157856995262</v>
      </c>
      <c r="M1717" s="1">
        <f t="shared" si="3876"/>
        <v>0</v>
      </c>
      <c r="N1717" s="1">
        <f t="shared" si="3876"/>
        <v>-0.52146679012640984</v>
      </c>
      <c r="O1717" s="1">
        <f t="shared" si="3458"/>
        <v>-0.52146679012640984</v>
      </c>
      <c r="P1717" s="1">
        <f t="shared" si="3762"/>
        <v>0.44495279118296793</v>
      </c>
      <c r="Q1717" s="1">
        <f t="shared" si="3763"/>
        <v>0</v>
      </c>
      <c r="R1717" s="1">
        <f t="shared" si="3764"/>
        <v>0.72807238679525876</v>
      </c>
      <c r="S1717" s="1">
        <f t="shared" si="3765"/>
        <v>0.66781403227631031</v>
      </c>
      <c r="T1717" s="1">
        <f t="shared" ref="T1717:V1717" si="3877">$S1717*P1717</f>
        <v>0.29714571765249692</v>
      </c>
      <c r="U1717" s="1">
        <f t="shared" si="3877"/>
        <v>0</v>
      </c>
      <c r="V1717" s="1">
        <f t="shared" si="3877"/>
        <v>0.48621695641477924</v>
      </c>
      <c r="W1717" s="1">
        <f t="shared" si="3767"/>
        <v>-6.7507112494643229</v>
      </c>
      <c r="X1717" s="1">
        <f t="shared" si="3768"/>
        <v>0</v>
      </c>
      <c r="Y1717" s="1">
        <f t="shared" si="3769"/>
        <v>-5.0132189722200611</v>
      </c>
    </row>
    <row r="1718" spans="1:25">
      <c r="A1718" s="1">
        <v>1.71599999999999</v>
      </c>
      <c r="B1718" s="1">
        <f t="shared" si="3770"/>
        <v>48.656511376478711</v>
      </c>
      <c r="C1718" s="1">
        <f t="shared" si="3771"/>
        <v>0</v>
      </c>
      <c r="D1718" s="1">
        <f t="shared" si="3772"/>
        <v>-4.8398561987068893</v>
      </c>
      <c r="E1718" s="1">
        <f t="shared" si="3773"/>
        <v>12.149202286174743</v>
      </c>
      <c r="F1718" s="1">
        <f t="shared" si="3774"/>
        <v>0</v>
      </c>
      <c r="G1718" s="1">
        <f t="shared" si="3775"/>
        <v>-7.433979505553669</v>
      </c>
      <c r="H1718" s="1">
        <f t="shared" si="3456"/>
        <v>14.243144578336119</v>
      </c>
      <c r="I1718" s="1">
        <f t="shared" si="3758"/>
        <v>-7.0423885599084111</v>
      </c>
      <c r="J1718" s="1">
        <f t="shared" si="3759"/>
        <v>0</v>
      </c>
      <c r="K1718" s="1">
        <f t="shared" si="3760"/>
        <v>4.3091695233422955</v>
      </c>
      <c r="L1718" s="1">
        <f t="shared" ref="L1718:N1718" si="3878">E1718/$H1718</f>
        <v>0.85298595540859212</v>
      </c>
      <c r="M1718" s="1">
        <f t="shared" si="3878"/>
        <v>0</v>
      </c>
      <c r="N1718" s="1">
        <f t="shared" si="3878"/>
        <v>-0.52193386542328457</v>
      </c>
      <c r="O1718" s="1">
        <f t="shared" si="3458"/>
        <v>-0.52193386542328457</v>
      </c>
      <c r="P1718" s="1">
        <f t="shared" si="3762"/>
        <v>0.44520225685817993</v>
      </c>
      <c r="Q1718" s="1">
        <f t="shared" si="3763"/>
        <v>0</v>
      </c>
      <c r="R1718" s="1">
        <f t="shared" si="3764"/>
        <v>0.72758504012430869</v>
      </c>
      <c r="S1718" s="1">
        <f t="shared" si="3765"/>
        <v>0.66751932240030287</v>
      </c>
      <c r="T1718" s="1">
        <f t="shared" ref="T1718:V1718" si="3879">$S1718*P1718</f>
        <v>0.29718110882905785</v>
      </c>
      <c r="U1718" s="1">
        <f t="shared" si="3879"/>
        <v>0</v>
      </c>
      <c r="V1718" s="1">
        <f t="shared" si="3879"/>
        <v>0.48567707297237572</v>
      </c>
      <c r="W1718" s="1">
        <f t="shared" si="3767"/>
        <v>-6.7452074510793532</v>
      </c>
      <c r="X1718" s="1">
        <f t="shared" si="3768"/>
        <v>0</v>
      </c>
      <c r="Y1718" s="1">
        <f t="shared" si="3769"/>
        <v>-5.0118034036853283</v>
      </c>
    </row>
    <row r="1719" spans="1:25">
      <c r="A1719" s="1">
        <v>1.7169999999999901</v>
      </c>
      <c r="B1719" s="1">
        <f t="shared" si="3770"/>
        <v>48.668653833557435</v>
      </c>
      <c r="C1719" s="1">
        <f t="shared" si="3771"/>
        <v>0</v>
      </c>
      <c r="D1719" s="1">
        <f t="shared" si="3772"/>
        <v>-4.8472951900158465</v>
      </c>
      <c r="E1719" s="1">
        <f t="shared" si="3773"/>
        <v>12.142457078723664</v>
      </c>
      <c r="F1719" s="1">
        <f t="shared" si="3774"/>
        <v>0</v>
      </c>
      <c r="G1719" s="1">
        <f t="shared" si="3775"/>
        <v>-7.4389913089573545</v>
      </c>
      <c r="H1719" s="1">
        <f t="shared" si="3456"/>
        <v>14.240008974835286</v>
      </c>
      <c r="I1719" s="1">
        <f t="shared" si="3758"/>
        <v>-7.0369291341428202</v>
      </c>
      <c r="J1719" s="1">
        <f t="shared" si="3759"/>
        <v>0</v>
      </c>
      <c r="K1719" s="1">
        <f t="shared" si="3760"/>
        <v>4.3111253621280818</v>
      </c>
      <c r="L1719" s="1">
        <f t="shared" ref="L1719:N1719" si="3880">E1719/$H1719</f>
        <v>0.85270010013207287</v>
      </c>
      <c r="M1719" s="1">
        <f t="shared" si="3880"/>
        <v>0</v>
      </c>
      <c r="N1719" s="1">
        <f t="shared" si="3880"/>
        <v>-0.52240074582139795</v>
      </c>
      <c r="O1719" s="1">
        <f t="shared" si="3458"/>
        <v>-0.52240074582139795</v>
      </c>
      <c r="P1719" s="1">
        <f t="shared" si="3762"/>
        <v>0.44545116827097558</v>
      </c>
      <c r="Q1719" s="1">
        <f t="shared" si="3763"/>
        <v>0</v>
      </c>
      <c r="R1719" s="1">
        <f t="shared" si="3764"/>
        <v>0.72709746076524717</v>
      </c>
      <c r="S1719" s="1">
        <f t="shared" si="3765"/>
        <v>0.66722544831664532</v>
      </c>
      <c r="T1719" s="1">
        <f t="shared" ref="T1719:V1719" si="3881">$S1719*P1719</f>
        <v>0.29721635545277508</v>
      </c>
      <c r="U1719" s="1">
        <f t="shared" si="3881"/>
        <v>0</v>
      </c>
      <c r="V1719" s="1">
        <f t="shared" si="3881"/>
        <v>0.48513792922898646</v>
      </c>
      <c r="W1719" s="1">
        <f t="shared" si="3767"/>
        <v>-6.7397127786900448</v>
      </c>
      <c r="X1719" s="1">
        <f t="shared" si="3768"/>
        <v>0</v>
      </c>
      <c r="Y1719" s="1">
        <f t="shared" si="3769"/>
        <v>-5.0103867086429315</v>
      </c>
    </row>
    <row r="1720" spans="1:25">
      <c r="A1720" s="1">
        <v>1.71799999999999</v>
      </c>
      <c r="B1720" s="1">
        <f t="shared" si="3770"/>
        <v>48.680789550923379</v>
      </c>
      <c r="C1720" s="1">
        <f t="shared" si="3771"/>
        <v>0</v>
      </c>
      <c r="D1720" s="1">
        <f t="shared" si="3772"/>
        <v>-4.8547391917115128</v>
      </c>
      <c r="E1720" s="1">
        <f t="shared" si="3773"/>
        <v>12.135717365944974</v>
      </c>
      <c r="F1720" s="1">
        <f t="shared" si="3774"/>
        <v>0</v>
      </c>
      <c r="G1720" s="1">
        <f t="shared" si="3775"/>
        <v>-7.4440016956659978</v>
      </c>
      <c r="H1720" s="1">
        <f t="shared" si="3456"/>
        <v>14.236881583801161</v>
      </c>
      <c r="I1720" s="1">
        <f t="shared" si="3758"/>
        <v>-7.0314786696010669</v>
      </c>
      <c r="J1720" s="1">
        <f t="shared" si="3759"/>
        <v>0</v>
      </c>
      <c r="K1720" s="1">
        <f t="shared" si="3760"/>
        <v>4.3130815889328256</v>
      </c>
      <c r="L1720" s="1">
        <f t="shared" ref="L1720:N1720" si="3882">E1720/$H1720</f>
        <v>0.85241401317498422</v>
      </c>
      <c r="M1720" s="1">
        <f t="shared" si="3882"/>
        <v>0</v>
      </c>
      <c r="N1720" s="1">
        <f t="shared" si="3882"/>
        <v>-0.52286743075364506</v>
      </c>
      <c r="O1720" s="1">
        <f t="shared" si="3458"/>
        <v>-0.52286743075364506</v>
      </c>
      <c r="P1720" s="1">
        <f t="shared" si="3762"/>
        <v>0.44569952500720772</v>
      </c>
      <c r="Q1720" s="1">
        <f t="shared" si="3763"/>
        <v>0</v>
      </c>
      <c r="R1720" s="1">
        <f t="shared" si="3764"/>
        <v>0.72660964985708221</v>
      </c>
      <c r="S1720" s="1">
        <f t="shared" si="3765"/>
        <v>0.66693240836832712</v>
      </c>
      <c r="T1720" s="1">
        <f t="shared" ref="T1720:V1720" si="3883">$S1720*P1720</f>
        <v>0.29725145762167648</v>
      </c>
      <c r="U1720" s="1">
        <f t="shared" si="3883"/>
        <v>0</v>
      </c>
      <c r="V1720" s="1">
        <f t="shared" si="3883"/>
        <v>0.48459952372285076</v>
      </c>
      <c r="W1720" s="1">
        <f t="shared" si="3767"/>
        <v>-6.7342272119793902</v>
      </c>
      <c r="X1720" s="1">
        <f t="shared" si="3768"/>
        <v>0</v>
      </c>
      <c r="Y1720" s="1">
        <f t="shared" si="3769"/>
        <v>-5.0089688873443228</v>
      </c>
    </row>
    <row r="1721" spans="1:25">
      <c r="A1721" s="1">
        <v>1.7189999999999801</v>
      </c>
      <c r="B1721" s="1">
        <f t="shared" si="3770"/>
        <v>48.692918534062109</v>
      </c>
      <c r="C1721" s="1">
        <f t="shared" si="3771"/>
        <v>0</v>
      </c>
      <c r="D1721" s="1">
        <f t="shared" si="3772"/>
        <v>-4.8621882023760659</v>
      </c>
      <c r="E1721" s="1">
        <f t="shared" si="3773"/>
        <v>12.128983138732995</v>
      </c>
      <c r="F1721" s="1">
        <f t="shared" si="3774"/>
        <v>0</v>
      </c>
      <c r="G1721" s="1">
        <f t="shared" si="3775"/>
        <v>-7.4490106645533425</v>
      </c>
      <c r="H1721" s="1">
        <f t="shared" si="3456"/>
        <v>14.233762392997106</v>
      </c>
      <c r="I1721" s="1">
        <f t="shared" si="3758"/>
        <v>-7.0260371461124347</v>
      </c>
      <c r="J1721" s="1">
        <f t="shared" si="3759"/>
        <v>0</v>
      </c>
      <c r="K1721" s="1">
        <f t="shared" si="3760"/>
        <v>4.3150382049592517</v>
      </c>
      <c r="L1721" s="1">
        <f t="shared" ref="L1721:N1721" si="3884">E1721/$H1721</f>
        <v>0.85212769497264862</v>
      </c>
      <c r="M1721" s="1">
        <f t="shared" si="3884"/>
        <v>0</v>
      </c>
      <c r="N1721" s="1">
        <f t="shared" si="3884"/>
        <v>-0.52333391965417342</v>
      </c>
      <c r="O1721" s="1">
        <f t="shared" si="3458"/>
        <v>-0.52333391965417342</v>
      </c>
      <c r="P1721" s="1">
        <f t="shared" si="3762"/>
        <v>0.44594732665591208</v>
      </c>
      <c r="Q1721" s="1">
        <f t="shared" si="3763"/>
        <v>0</v>
      </c>
      <c r="R1721" s="1">
        <f t="shared" si="3764"/>
        <v>0.72612160853939911</v>
      </c>
      <c r="S1721" s="1">
        <f t="shared" si="3765"/>
        <v>0.66664020090207965</v>
      </c>
      <c r="T1721" s="1">
        <f t="shared" ref="T1721:V1721" si="3885">$S1721*P1721</f>
        <v>0.29728641543364259</v>
      </c>
      <c r="U1721" s="1">
        <f t="shared" si="3885"/>
        <v>0</v>
      </c>
      <c r="V1721" s="1">
        <f t="shared" si="3885"/>
        <v>0.48406185499604626</v>
      </c>
      <c r="W1721" s="1">
        <f t="shared" si="3767"/>
        <v>-6.7287507306787919</v>
      </c>
      <c r="X1721" s="1">
        <f t="shared" si="3768"/>
        <v>0</v>
      </c>
      <c r="Y1721" s="1">
        <f t="shared" si="3769"/>
        <v>-5.0075499400447017</v>
      </c>
    </row>
    <row r="1722" spans="1:25">
      <c r="A1722" s="1">
        <v>1.71999999999998</v>
      </c>
      <c r="B1722" s="1">
        <f t="shared" si="3770"/>
        <v>48.705040788450113</v>
      </c>
      <c r="C1722" s="1">
        <f t="shared" si="3771"/>
        <v>0</v>
      </c>
      <c r="D1722" s="1">
        <f t="shared" si="3772"/>
        <v>-4.869642220590559</v>
      </c>
      <c r="E1722" s="1">
        <f t="shared" si="3773"/>
        <v>12.122254388002316</v>
      </c>
      <c r="F1722" s="1">
        <f t="shared" si="3774"/>
        <v>0</v>
      </c>
      <c r="G1722" s="1">
        <f t="shared" si="3775"/>
        <v>-7.4540182144933871</v>
      </c>
      <c r="H1722" s="1">
        <f t="shared" si="3456"/>
        <v>14.230651390201384</v>
      </c>
      <c r="I1722" s="1">
        <f t="shared" si="3758"/>
        <v>-7.0206045435543309</v>
      </c>
      <c r="J1722" s="1">
        <f t="shared" si="3759"/>
        <v>0</v>
      </c>
      <c r="K1722" s="1">
        <f t="shared" si="3760"/>
        <v>4.3169952114025056</v>
      </c>
      <c r="L1722" s="1">
        <f t="shared" ref="L1722:N1722" si="3886">E1722/$H1722</f>
        <v>0.85184114596111749</v>
      </c>
      <c r="M1722" s="1">
        <f t="shared" si="3886"/>
        <v>0</v>
      </c>
      <c r="N1722" s="1">
        <f t="shared" si="3886"/>
        <v>-0.52380021195838611</v>
      </c>
      <c r="O1722" s="1">
        <f t="shared" si="3458"/>
        <v>-0.52380021195838611</v>
      </c>
      <c r="P1722" s="1">
        <f t="shared" si="3762"/>
        <v>0.44619457280930785</v>
      </c>
      <c r="Q1722" s="1">
        <f t="shared" si="3763"/>
        <v>0</v>
      </c>
      <c r="R1722" s="1">
        <f t="shared" si="3764"/>
        <v>0.72563333795234986</v>
      </c>
      <c r="S1722" s="1">
        <f t="shared" si="3765"/>
        <v>0.66634882426836295</v>
      </c>
      <c r="T1722" s="1">
        <f t="shared" ref="T1722:V1722" si="3887">$S1722*P1722</f>
        <v>0.29732122898640678</v>
      </c>
      <c r="U1722" s="1">
        <f t="shared" si="3887"/>
        <v>0</v>
      </c>
      <c r="V1722" s="1">
        <f t="shared" si="3887"/>
        <v>0.48352492159447602</v>
      </c>
      <c r="W1722" s="1">
        <f t="shared" si="3767"/>
        <v>-6.7232833145679241</v>
      </c>
      <c r="X1722" s="1">
        <f t="shared" si="3768"/>
        <v>0</v>
      </c>
      <c r="Y1722" s="1">
        <f t="shared" si="3769"/>
        <v>-5.0061298670030174</v>
      </c>
    </row>
    <row r="1723" spans="1:25">
      <c r="A1723" s="1">
        <v>1.7209999999999801</v>
      </c>
      <c r="B1723" s="1">
        <f t="shared" si="3770"/>
        <v>48.717156319554803</v>
      </c>
      <c r="C1723" s="1">
        <f t="shared" si="3771"/>
        <v>0</v>
      </c>
      <c r="D1723" s="1">
        <f t="shared" si="3772"/>
        <v>-4.8771012449349191</v>
      </c>
      <c r="E1723" s="1">
        <f t="shared" si="3773"/>
        <v>12.115531104687749</v>
      </c>
      <c r="F1723" s="1">
        <f t="shared" si="3774"/>
        <v>0</v>
      </c>
      <c r="G1723" s="1">
        <f t="shared" si="3775"/>
        <v>-7.4590243443603903</v>
      </c>
      <c r="H1723" s="1">
        <f t="shared" si="3456"/>
        <v>14.227548563207131</v>
      </c>
      <c r="I1723" s="1">
        <f t="shared" si="3758"/>
        <v>-7.0151808418521577</v>
      </c>
      <c r="J1723" s="1">
        <f t="shared" si="3759"/>
        <v>0</v>
      </c>
      <c r="K1723" s="1">
        <f t="shared" si="3760"/>
        <v>4.3189526094501707</v>
      </c>
      <c r="L1723" s="1">
        <f t="shared" ref="L1723:N1723" si="3888">E1723/$H1723</f>
        <v>0.85155436657716821</v>
      </c>
      <c r="M1723" s="1">
        <f t="shared" si="3888"/>
        <v>0</v>
      </c>
      <c r="N1723" s="1">
        <f t="shared" si="3888"/>
        <v>-0.52426630710294331</v>
      </c>
      <c r="O1723" s="1">
        <f t="shared" si="3458"/>
        <v>-0.52426630710294331</v>
      </c>
      <c r="P1723" s="1">
        <f t="shared" si="3762"/>
        <v>0.44644126306279802</v>
      </c>
      <c r="Q1723" s="1">
        <f t="shared" si="3763"/>
        <v>0</v>
      </c>
      <c r="R1723" s="1">
        <f t="shared" si="3764"/>
        <v>0.72514483923664241</v>
      </c>
      <c r="S1723" s="1">
        <f t="shared" si="3765"/>
        <v>0.66605827682135521</v>
      </c>
      <c r="T1723" s="1">
        <f t="shared" ref="T1723:V1723" si="3889">$S1723*P1723</f>
        <v>0.2973558983775566</v>
      </c>
      <c r="U1723" s="1">
        <f t="shared" si="3889"/>
        <v>0</v>
      </c>
      <c r="V1723" s="1">
        <f t="shared" si="3889"/>
        <v>0.4829887220678567</v>
      </c>
      <c r="W1723" s="1">
        <f t="shared" si="3767"/>
        <v>-6.7178249434746009</v>
      </c>
      <c r="X1723" s="1">
        <f t="shared" si="3768"/>
        <v>0</v>
      </c>
      <c r="Y1723" s="1">
        <f t="shared" si="3769"/>
        <v>-5.0047086684819719</v>
      </c>
    </row>
    <row r="1724" spans="1:25">
      <c r="A1724" s="1">
        <v>1.72199999999999</v>
      </c>
      <c r="B1724" s="1">
        <f t="shared" si="3770"/>
        <v>48.729265132834549</v>
      </c>
      <c r="C1724" s="1">
        <f t="shared" si="3771"/>
        <v>0</v>
      </c>
      <c r="D1724" s="1">
        <f t="shared" si="3772"/>
        <v>-4.8845652739879482</v>
      </c>
      <c r="E1724" s="1">
        <f t="shared" si="3773"/>
        <v>12.108813279744274</v>
      </c>
      <c r="F1724" s="1">
        <f t="shared" si="3774"/>
        <v>0</v>
      </c>
      <c r="G1724" s="1">
        <f t="shared" si="3775"/>
        <v>-7.464029053028872</v>
      </c>
      <c r="H1724" s="1">
        <f t="shared" si="3456"/>
        <v>14.224453899822318</v>
      </c>
      <c r="I1724" s="1">
        <f t="shared" si="3758"/>
        <v>-7.009766020979165</v>
      </c>
      <c r="J1724" s="1">
        <f t="shared" si="3759"/>
        <v>0</v>
      </c>
      <c r="K1724" s="1">
        <f t="shared" si="3760"/>
        <v>4.3209104002822682</v>
      </c>
      <c r="L1724" s="1">
        <f t="shared" ref="L1724:N1724" si="3890">E1724/$H1724</f>
        <v>0.85126735725830061</v>
      </c>
      <c r="M1724" s="1">
        <f t="shared" si="3890"/>
        <v>0</v>
      </c>
      <c r="N1724" s="1">
        <f t="shared" si="3890"/>
        <v>-0.52473220452576441</v>
      </c>
      <c r="O1724" s="1">
        <f t="shared" si="3458"/>
        <v>-0.52473220452576441</v>
      </c>
      <c r="P1724" s="1">
        <f t="shared" si="3762"/>
        <v>0.44668739701496957</v>
      </c>
      <c r="Q1724" s="1">
        <f t="shared" si="3763"/>
        <v>0</v>
      </c>
      <c r="R1724" s="1">
        <f t="shared" si="3764"/>
        <v>0.72465611353353132</v>
      </c>
      <c r="S1724" s="1">
        <f t="shared" si="3765"/>
        <v>0.66576855691894177</v>
      </c>
      <c r="T1724" s="1">
        <f t="shared" ref="T1724:V1724" si="3891">$S1724*P1724</f>
        <v>0.29739042370453472</v>
      </c>
      <c r="U1724" s="1">
        <f t="shared" si="3891"/>
        <v>0</v>
      </c>
      <c r="V1724" s="1">
        <f t="shared" si="3891"/>
        <v>0.48245325496970798</v>
      </c>
      <c r="W1724" s="1">
        <f t="shared" si="3767"/>
        <v>-6.7123755972746304</v>
      </c>
      <c r="X1724" s="1">
        <f t="shared" si="3768"/>
        <v>0</v>
      </c>
      <c r="Y1724" s="1">
        <f t="shared" si="3769"/>
        <v>-5.0032863447480231</v>
      </c>
    </row>
    <row r="1725" spans="1:25">
      <c r="A1725" s="1">
        <v>1.7229999999999801</v>
      </c>
      <c r="B1725" s="1">
        <f t="shared" si="3770"/>
        <v>48.741367233738693</v>
      </c>
      <c r="C1725" s="1">
        <f t="shared" si="3771"/>
        <v>0</v>
      </c>
      <c r="D1725" s="1">
        <f t="shared" si="3772"/>
        <v>-4.8920343063273215</v>
      </c>
      <c r="E1725" s="1">
        <f t="shared" si="3773"/>
        <v>12.102100904146999</v>
      </c>
      <c r="F1725" s="1">
        <f t="shared" si="3774"/>
        <v>0</v>
      </c>
      <c r="G1725" s="1">
        <f t="shared" si="3775"/>
        <v>-7.4690323393736202</v>
      </c>
      <c r="H1725" s="1">
        <f t="shared" si="3456"/>
        <v>14.221367387869726</v>
      </c>
      <c r="I1725" s="1">
        <f t="shared" si="3758"/>
        <v>-7.0043600609563308</v>
      </c>
      <c r="J1725" s="1">
        <f t="shared" si="3759"/>
        <v>0</v>
      </c>
      <c r="K1725" s="1">
        <f t="shared" si="3760"/>
        <v>4.3228685850712818</v>
      </c>
      <c r="L1725" s="1">
        <f t="shared" ref="L1725:N1725" si="3892">E1725/$H1725</f>
        <v>0.85098011844273291</v>
      </c>
      <c r="M1725" s="1">
        <f t="shared" si="3892"/>
        <v>0</v>
      </c>
      <c r="N1725" s="1">
        <f t="shared" si="3892"/>
        <v>-0.5251979036660297</v>
      </c>
      <c r="O1725" s="1">
        <f t="shared" si="3458"/>
        <v>-0.5251979036660297</v>
      </c>
      <c r="P1725" s="1">
        <f t="shared" si="3762"/>
        <v>0.44693297426759299</v>
      </c>
      <c r="Q1725" s="1">
        <f t="shared" si="3763"/>
        <v>0</v>
      </c>
      <c r="R1725" s="1">
        <f t="shared" si="3764"/>
        <v>0.72416716198480779</v>
      </c>
      <c r="S1725" s="1">
        <f t="shared" si="3765"/>
        <v>0.66547966292270411</v>
      </c>
      <c r="T1725" s="1">
        <f t="shared" ref="T1725:V1725" si="3893">$S1725*P1725</f>
        <v>0.29742480506463936</v>
      </c>
      <c r="U1725" s="1">
        <f t="shared" si="3893"/>
        <v>0</v>
      </c>
      <c r="V1725" s="1">
        <f t="shared" si="3893"/>
        <v>0.48191851885734116</v>
      </c>
      <c r="W1725" s="1">
        <f t="shared" si="3767"/>
        <v>-6.7069352558916915</v>
      </c>
      <c r="X1725" s="1">
        <f t="shared" si="3768"/>
        <v>0</v>
      </c>
      <c r="Y1725" s="1">
        <f t="shared" si="3769"/>
        <v>-5.0018628960713762</v>
      </c>
    </row>
    <row r="1726" spans="1:25">
      <c r="A1726" s="1">
        <v>1.72399999999998</v>
      </c>
      <c r="B1726" s="1">
        <f t="shared" si="3770"/>
        <v>48.753462627707584</v>
      </c>
      <c r="C1726" s="1">
        <f t="shared" si="3771"/>
        <v>0</v>
      </c>
      <c r="D1726" s="1">
        <f t="shared" si="3772"/>
        <v>-4.8995083405295912</v>
      </c>
      <c r="E1726" s="1">
        <f t="shared" si="3773"/>
        <v>12.095393968891107</v>
      </c>
      <c r="F1726" s="1">
        <f t="shared" si="3774"/>
        <v>0</v>
      </c>
      <c r="G1726" s="1">
        <f t="shared" si="3775"/>
        <v>-7.4740342022696913</v>
      </c>
      <c r="H1726" s="1">
        <f t="shared" si="3456"/>
        <v>14.218289015186903</v>
      </c>
      <c r="I1726" s="1">
        <f t="shared" si="3758"/>
        <v>-6.9989629418522172</v>
      </c>
      <c r="J1726" s="1">
        <f t="shared" si="3759"/>
        <v>0</v>
      </c>
      <c r="K1726" s="1">
        <f t="shared" si="3760"/>
        <v>4.3248271649821541</v>
      </c>
      <c r="L1726" s="1">
        <f t="shared" ref="L1726:N1726" si="3894">E1726/$H1726</f>
        <v>0.85069265056939836</v>
      </c>
      <c r="M1726" s="1">
        <f t="shared" si="3894"/>
        <v>0</v>
      </c>
      <c r="N1726" s="1">
        <f t="shared" si="3894"/>
        <v>-0.52566340396418254</v>
      </c>
      <c r="O1726" s="1">
        <f t="shared" si="3458"/>
        <v>-0.52566340396418254</v>
      </c>
      <c r="P1726" s="1">
        <f t="shared" si="3762"/>
        <v>0.44717799442562284</v>
      </c>
      <c r="Q1726" s="1">
        <f t="shared" si="3763"/>
        <v>0</v>
      </c>
      <c r="R1726" s="1">
        <f t="shared" si="3764"/>
        <v>0.72367798573278863</v>
      </c>
      <c r="S1726" s="1">
        <f t="shared" si="3765"/>
        <v>0.66519159319790766</v>
      </c>
      <c r="T1726" s="1">
        <f t="shared" ref="T1726:V1726" si="3895">$S1726*P1726</f>
        <v>0.29745904255502514</v>
      </c>
      <c r="U1726" s="1">
        <f t="shared" si="3895"/>
        <v>0</v>
      </c>
      <c r="V1726" s="1">
        <f t="shared" si="3895"/>
        <v>0.48138451229184637</v>
      </c>
      <c r="W1726" s="1">
        <f t="shared" si="3767"/>
        <v>-6.701503899297192</v>
      </c>
      <c r="X1726" s="1">
        <f t="shared" si="3768"/>
        <v>0</v>
      </c>
      <c r="Y1726" s="1">
        <f t="shared" si="3769"/>
        <v>-5.0004383227259988</v>
      </c>
    </row>
    <row r="1727" spans="1:25">
      <c r="A1727" s="1">
        <v>1.7249999999999801</v>
      </c>
      <c r="B1727" s="1">
        <f t="shared" si="3770"/>
        <v>48.765551320172577</v>
      </c>
      <c r="C1727" s="1">
        <f t="shared" si="3771"/>
        <v>0</v>
      </c>
      <c r="D1727" s="1">
        <f t="shared" si="3772"/>
        <v>-4.9069873751701838</v>
      </c>
      <c r="E1727" s="1">
        <f t="shared" si="3773"/>
        <v>12.08869246499181</v>
      </c>
      <c r="F1727" s="1">
        <f t="shared" si="3774"/>
        <v>0</v>
      </c>
      <c r="G1727" s="1">
        <f t="shared" si="3775"/>
        <v>-7.4790346405924168</v>
      </c>
      <c r="H1727" s="1">
        <f t="shared" si="3456"/>
        <v>14.215218769626134</v>
      </c>
      <c r="I1727" s="1">
        <f t="shared" si="3758"/>
        <v>-6.9935746437828401</v>
      </c>
      <c r="J1727" s="1">
        <f t="shared" si="3759"/>
        <v>0</v>
      </c>
      <c r="K1727" s="1">
        <f t="shared" si="3760"/>
        <v>4.3267861411723052</v>
      </c>
      <c r="L1727" s="1">
        <f t="shared" ref="L1727:N1727" si="3896">E1727/$H1727</f>
        <v>0.85040495407794192</v>
      </c>
      <c r="M1727" s="1">
        <f t="shared" si="3896"/>
        <v>0</v>
      </c>
      <c r="N1727" s="1">
        <f t="shared" si="3896"/>
        <v>-0.52612870486193153</v>
      </c>
      <c r="O1727" s="1">
        <f t="shared" si="3458"/>
        <v>-0.52612870486193153</v>
      </c>
      <c r="P1727" s="1">
        <f t="shared" si="3762"/>
        <v>0.44742245709719797</v>
      </c>
      <c r="Q1727" s="1">
        <f t="shared" si="3763"/>
        <v>0</v>
      </c>
      <c r="R1727" s="1">
        <f t="shared" si="3764"/>
        <v>0.72318858592030655</v>
      </c>
      <c r="S1727" s="1">
        <f t="shared" si="3765"/>
        <v>0.6649043461134917</v>
      </c>
      <c r="T1727" s="1">
        <f t="shared" ref="T1727:V1727" si="3897">$S1727*P1727</f>
        <v>0.29749313627270418</v>
      </c>
      <c r="U1727" s="1">
        <f t="shared" si="3897"/>
        <v>0</v>
      </c>
      <c r="V1727" s="1">
        <f t="shared" si="3897"/>
        <v>0.48085123383808215</v>
      </c>
      <c r="W1727" s="1">
        <f t="shared" si="3767"/>
        <v>-6.6960815075101356</v>
      </c>
      <c r="X1727" s="1">
        <f t="shared" si="3768"/>
        <v>0</v>
      </c>
      <c r="Y1727" s="1">
        <f t="shared" si="3769"/>
        <v>-4.9990126249896125</v>
      </c>
    </row>
    <row r="1728" spans="1:25">
      <c r="A1728" s="1">
        <v>1.72599999999998</v>
      </c>
      <c r="B1728" s="1">
        <f t="shared" si="3770"/>
        <v>48.777633316556063</v>
      </c>
      <c r="C1728" s="1">
        <f t="shared" si="3771"/>
        <v>0</v>
      </c>
      <c r="D1728" s="1">
        <f t="shared" si="3772"/>
        <v>-4.9144714088234016</v>
      </c>
      <c r="E1728" s="1">
        <f t="shared" si="3773"/>
        <v>12.0819963834843</v>
      </c>
      <c r="F1728" s="1">
        <f t="shared" si="3774"/>
        <v>0</v>
      </c>
      <c r="G1728" s="1">
        <f t="shared" si="3775"/>
        <v>-7.4840336532174065</v>
      </c>
      <c r="H1728" s="1">
        <f t="shared" si="3456"/>
        <v>14.212156639054411</v>
      </c>
      <c r="I1728" s="1">
        <f t="shared" si="3758"/>
        <v>-6.9881951469115346</v>
      </c>
      <c r="J1728" s="1">
        <f t="shared" si="3759"/>
        <v>0</v>
      </c>
      <c r="K1728" s="1">
        <f t="shared" si="3760"/>
        <v>4.32874551479164</v>
      </c>
      <c r="L1728" s="1">
        <f t="shared" ref="L1728:N1728" si="3898">E1728/$H1728</f>
        <v>0.85011702940871625</v>
      </c>
      <c r="M1728" s="1">
        <f t="shared" si="3898"/>
        <v>0</v>
      </c>
      <c r="N1728" s="1">
        <f t="shared" si="3898"/>
        <v>-0.52659380580225212</v>
      </c>
      <c r="O1728" s="1">
        <f t="shared" si="3458"/>
        <v>-0.52659380580225212</v>
      </c>
      <c r="P1728" s="1">
        <f t="shared" si="3762"/>
        <v>0.44766636189364101</v>
      </c>
      <c r="Q1728" s="1">
        <f t="shared" si="3763"/>
        <v>0</v>
      </c>
      <c r="R1728" s="1">
        <f t="shared" si="3764"/>
        <v>0.72269896369069997</v>
      </c>
      <c r="S1728" s="1">
        <f t="shared" si="3765"/>
        <v>0.66461792004205777</v>
      </c>
      <c r="T1728" s="1">
        <f t="shared" ref="T1728:V1728" si="3899">$S1728*P1728</f>
        <v>0.29752708631454677</v>
      </c>
      <c r="U1728" s="1">
        <f t="shared" si="3899"/>
        <v>0</v>
      </c>
      <c r="V1728" s="1">
        <f t="shared" si="3899"/>
        <v>0.48031868206466366</v>
      </c>
      <c r="W1728" s="1">
        <f t="shared" si="3767"/>
        <v>-6.6906680605969875</v>
      </c>
      <c r="X1728" s="1">
        <f t="shared" si="3768"/>
        <v>0</v>
      </c>
      <c r="Y1728" s="1">
        <f t="shared" si="3769"/>
        <v>-4.9975858031436955</v>
      </c>
    </row>
    <row r="1729" spans="1:25">
      <c r="A1729" s="1">
        <v>1.7269999999999801</v>
      </c>
      <c r="B1729" s="1">
        <f t="shared" si="3770"/>
        <v>48.789708622271483</v>
      </c>
      <c r="C1729" s="1">
        <f t="shared" si="3771"/>
        <v>0</v>
      </c>
      <c r="D1729" s="1">
        <f t="shared" si="3772"/>
        <v>-4.9219604400624224</v>
      </c>
      <c r="E1729" s="1">
        <f t="shared" si="3773"/>
        <v>12.075305715423703</v>
      </c>
      <c r="F1729" s="1">
        <f t="shared" si="3774"/>
        <v>0</v>
      </c>
      <c r="G1729" s="1">
        <f t="shared" si="3775"/>
        <v>-7.4890312390205507</v>
      </c>
      <c r="H1729" s="1">
        <f t="shared" si="3456"/>
        <v>14.209102611353401</v>
      </c>
      <c r="I1729" s="1">
        <f t="shared" si="3758"/>
        <v>-6.982824431448825</v>
      </c>
      <c r="J1729" s="1">
        <f t="shared" si="3759"/>
        <v>0</v>
      </c>
      <c r="K1729" s="1">
        <f t="shared" si="3760"/>
        <v>4.3307052869825613</v>
      </c>
      <c r="L1729" s="1">
        <f t="shared" ref="L1729:N1729" si="3900">E1729/$H1729</f>
        <v>0.84982887700277809</v>
      </c>
      <c r="M1729" s="1">
        <f t="shared" si="3900"/>
        <v>0</v>
      </c>
      <c r="N1729" s="1">
        <f t="shared" si="3900"/>
        <v>-0.52705870622938855</v>
      </c>
      <c r="O1729" s="1">
        <f t="shared" si="3458"/>
        <v>-0.52705870622938855</v>
      </c>
      <c r="P1729" s="1">
        <f t="shared" si="3762"/>
        <v>0.44790970842945838</v>
      </c>
      <c r="Q1729" s="1">
        <f t="shared" si="3763"/>
        <v>0</v>
      </c>
      <c r="R1729" s="1">
        <f t="shared" si="3764"/>
        <v>0.72220912018780314</v>
      </c>
      <c r="S1729" s="1">
        <f t="shared" si="3765"/>
        <v>0.66433231335985909</v>
      </c>
      <c r="T1729" s="1">
        <f t="shared" ref="T1729:V1729" si="3901">$S1729*P1729</f>
        <v>0.29756089277728204</v>
      </c>
      <c r="U1729" s="1">
        <f t="shared" si="3901"/>
        <v>0</v>
      </c>
      <c r="V1729" s="1">
        <f t="shared" si="3901"/>
        <v>0.47978685554395178</v>
      </c>
      <c r="W1729" s="1">
        <f t="shared" si="3767"/>
        <v>-6.6852635386715429</v>
      </c>
      <c r="X1729" s="1">
        <f t="shared" si="3768"/>
        <v>0</v>
      </c>
      <c r="Y1729" s="1">
        <f t="shared" si="3769"/>
        <v>-4.9961578574734862</v>
      </c>
    </row>
    <row r="1730" spans="1:25">
      <c r="A1730" s="1">
        <v>1.72799999999998</v>
      </c>
      <c r="B1730" s="1">
        <f t="shared" si="3770"/>
        <v>48.801777242723368</v>
      </c>
      <c r="C1730" s="1">
        <f t="shared" si="3771"/>
        <v>0</v>
      </c>
      <c r="D1730" s="1">
        <f t="shared" si="3772"/>
        <v>-4.9294544674593004</v>
      </c>
      <c r="E1730" s="1">
        <f t="shared" si="3773"/>
        <v>12.068620451885032</v>
      </c>
      <c r="F1730" s="1">
        <f t="shared" si="3774"/>
        <v>0</v>
      </c>
      <c r="G1730" s="1">
        <f t="shared" si="3775"/>
        <v>-7.4940273968780238</v>
      </c>
      <c r="H1730" s="1">
        <f t="shared" si="3456"/>
        <v>14.206056674419404</v>
      </c>
      <c r="I1730" s="1">
        <f t="shared" ref="I1730:I1793" si="3902">-K_drag*$H1730*E1730</f>
        <v>-6.9774624776522929</v>
      </c>
      <c r="J1730" s="1">
        <f t="shared" ref="J1730:J1793" si="3903">-K_drag*$H1730*F1730</f>
        <v>0</v>
      </c>
      <c r="K1730" s="1">
        <f t="shared" ref="K1730:K1793" si="3904">-K_drag*$H1730*G1730</f>
        <v>4.3326654588799736</v>
      </c>
      <c r="L1730" s="1">
        <f t="shared" ref="L1730:N1730" si="3905">E1730/$H1730</f>
        <v>0.84954049730188563</v>
      </c>
      <c r="M1730" s="1">
        <f t="shared" si="3905"/>
        <v>0</v>
      </c>
      <c r="N1730" s="1">
        <f t="shared" si="3905"/>
        <v>-0.52752340558885613</v>
      </c>
      <c r="O1730" s="1">
        <f t="shared" si="3458"/>
        <v>-0.52752340558885613</v>
      </c>
      <c r="P1730" s="1">
        <f t="shared" ref="P1730:P1793" si="3906">u_axis_f-$O1730*L1730</f>
        <v>0.44815249632234117</v>
      </c>
      <c r="Q1730" s="1">
        <f t="shared" ref="Q1730:Q1793" si="3907">u_axis_r-$O1730*M1730</f>
        <v>0</v>
      </c>
      <c r="R1730" s="1">
        <f t="shared" ref="R1730:R1793" si="3908">u_axis_u-$O1730*N1730</f>
        <v>0.72171905655593527</v>
      </c>
      <c r="S1730" s="1">
        <f t="shared" ref="S1730:S1793" si="3909">K_lift*H1730^2</f>
        <v>0.66404752444678861</v>
      </c>
      <c r="T1730" s="1">
        <f t="shared" ref="T1730:V1730" si="3910">$S1730*P1730</f>
        <v>0.29759455575749921</v>
      </c>
      <c r="U1730" s="1">
        <f t="shared" si="3910"/>
        <v>0</v>
      </c>
      <c r="V1730" s="1">
        <f t="shared" si="3910"/>
        <v>0.47925575285204064</v>
      </c>
      <c r="W1730" s="1">
        <f t="shared" ref="W1730:W1793" si="3911">I1730+T1730+g_f</f>
        <v>-6.6798679218947941</v>
      </c>
      <c r="X1730" s="1">
        <f t="shared" ref="X1730:X1793" si="3912">J1730+U1730+g_r</f>
        <v>0</v>
      </c>
      <c r="Y1730" s="1">
        <f t="shared" ref="Y1730:Y1793" si="3913">K1730+V1730+g_u</f>
        <v>-4.9947287882679854</v>
      </c>
    </row>
    <row r="1731" spans="1:25">
      <c r="A1731" s="1">
        <v>1.7289999999999801</v>
      </c>
      <c r="B1731" s="1">
        <f t="shared" ref="B1731:B1794" si="3914">B1730+E1731*dt</f>
        <v>48.81383918330733</v>
      </c>
      <c r="C1731" s="1">
        <f t="shared" ref="C1731:C1794" si="3915">C1730+F1731*dt</f>
        <v>0</v>
      </c>
      <c r="D1731" s="1">
        <f t="shared" ref="D1731:D1794" si="3916">D1730+G1731*dt</f>
        <v>-4.9369534895849663</v>
      </c>
      <c r="E1731" s="1">
        <f t="shared" ref="E1731:E1794" si="3917">E1730+W1730*dt</f>
        <v>12.061940583963137</v>
      </c>
      <c r="F1731" s="1">
        <f t="shared" ref="F1731:F1794" si="3918">F1730+X1730*dt</f>
        <v>0</v>
      </c>
      <c r="G1731" s="1">
        <f t="shared" ref="G1731:G1794" si="3919">G1730+Y1730*dt</f>
        <v>-7.4990221256662917</v>
      </c>
      <c r="H1731" s="1">
        <f t="shared" si="3456"/>
        <v>14.203018816163329</v>
      </c>
      <c r="I1731" s="1">
        <f t="shared" si="3902"/>
        <v>-6.9721092658264379</v>
      </c>
      <c r="J1731" s="1">
        <f t="shared" si="3903"/>
        <v>0</v>
      </c>
      <c r="K1731" s="1">
        <f t="shared" si="3904"/>
        <v>4.3346260316113003</v>
      </c>
      <c r="L1731" s="1">
        <f t="shared" ref="L1731:N1731" si="3920">E1731/$H1731</f>
        <v>0.8492518907484935</v>
      </c>
      <c r="M1731" s="1">
        <f t="shared" si="3920"/>
        <v>0</v>
      </c>
      <c r="N1731" s="1">
        <f t="shared" si="3920"/>
        <v>-0.52798790332744261</v>
      </c>
      <c r="O1731" s="1">
        <f t="shared" si="3458"/>
        <v>-0.52798790332744261</v>
      </c>
      <c r="P1731" s="1">
        <f t="shared" si="3906"/>
        <v>0.44839472519316342</v>
      </c>
      <c r="Q1731" s="1">
        <f t="shared" si="3907"/>
        <v>0</v>
      </c>
      <c r="R1731" s="1">
        <f t="shared" si="3908"/>
        <v>0.72122877393989104</v>
      </c>
      <c r="S1731" s="1">
        <f t="shared" si="3909"/>
        <v>0.66376355168636902</v>
      </c>
      <c r="T1731" s="1">
        <f t="shared" ref="T1731:V1731" si="3921">$S1731*P1731</f>
        <v>0.29762807535164759</v>
      </c>
      <c r="U1731" s="1">
        <f t="shared" si="3921"/>
        <v>0</v>
      </c>
      <c r="V1731" s="1">
        <f t="shared" si="3921"/>
        <v>0.47872537256874742</v>
      </c>
      <c r="W1731" s="1">
        <f t="shared" si="3911"/>
        <v>-6.6744811904747898</v>
      </c>
      <c r="X1731" s="1">
        <f t="shared" si="3912"/>
        <v>0</v>
      </c>
      <c r="Y1731" s="1">
        <f t="shared" si="3913"/>
        <v>-4.9932985958199518</v>
      </c>
    </row>
    <row r="1732" spans="1:25">
      <c r="A1732" s="1">
        <v>1.72999999999998</v>
      </c>
      <c r="B1732" s="1">
        <f t="shared" si="3914"/>
        <v>48.8258944494101</v>
      </c>
      <c r="C1732" s="1">
        <f t="shared" si="3915"/>
        <v>0</v>
      </c>
      <c r="D1732" s="1">
        <f t="shared" si="3916"/>
        <v>-4.9444575050092281</v>
      </c>
      <c r="E1732" s="1">
        <f t="shared" si="3917"/>
        <v>12.055266102772663</v>
      </c>
      <c r="F1732" s="1">
        <f t="shared" si="3918"/>
        <v>0</v>
      </c>
      <c r="G1732" s="1">
        <f t="shared" si="3919"/>
        <v>-7.5040154242621115</v>
      </c>
      <c r="H1732" s="1">
        <f t="shared" si="3456"/>
        <v>14.199989024510662</v>
      </c>
      <c r="I1732" s="1">
        <f t="shared" si="3902"/>
        <v>-6.9667647763225578</v>
      </c>
      <c r="J1732" s="1">
        <f t="shared" si="3903"/>
        <v>0</v>
      </c>
      <c r="K1732" s="1">
        <f t="shared" si="3904"/>
        <v>4.3365870062964902</v>
      </c>
      <c r="L1732" s="1">
        <f t="shared" ref="L1732:N1732" si="3922">E1732/$H1732</f>
        <v>0.8489630577857501</v>
      </c>
      <c r="M1732" s="1">
        <f t="shared" si="3922"/>
        <v>0</v>
      </c>
      <c r="N1732" s="1">
        <f t="shared" si="3922"/>
        <v>-0.52845219889321027</v>
      </c>
      <c r="O1732" s="1">
        <f t="shared" si="3458"/>
        <v>-0.52845219889321027</v>
      </c>
      <c r="P1732" s="1">
        <f t="shared" si="3906"/>
        <v>0.44863639466598315</v>
      </c>
      <c r="Q1732" s="1">
        <f t="shared" si="3907"/>
        <v>0</v>
      </c>
      <c r="R1732" s="1">
        <f t="shared" si="3908"/>
        <v>0.72073827348493091</v>
      </c>
      <c r="S1732" s="1">
        <f t="shared" si="3909"/>
        <v>0.6634803934657415</v>
      </c>
      <c r="T1732" s="1">
        <f t="shared" ref="T1732:V1732" si="3923">$S1732*P1732</f>
        <v>0.29766145165603819</v>
      </c>
      <c r="U1732" s="1">
        <f t="shared" si="3923"/>
        <v>0</v>
      </c>
      <c r="V1732" s="1">
        <f t="shared" si="3923"/>
        <v>0.47819571327760119</v>
      </c>
      <c r="W1732" s="1">
        <f t="shared" si="3911"/>
        <v>-6.6691033246665192</v>
      </c>
      <c r="X1732" s="1">
        <f t="shared" si="3912"/>
        <v>0</v>
      </c>
      <c r="Y1732" s="1">
        <f t="shared" si="3913"/>
        <v>-4.9918672804259083</v>
      </c>
    </row>
    <row r="1733" spans="1:25">
      <c r="A1733" s="1">
        <v>1.7309999999999801</v>
      </c>
      <c r="B1733" s="1">
        <f t="shared" si="3914"/>
        <v>48.837943046409549</v>
      </c>
      <c r="C1733" s="1">
        <f t="shared" si="3915"/>
        <v>0</v>
      </c>
      <c r="D1733" s="1">
        <f t="shared" si="3916"/>
        <v>-4.9519665123007703</v>
      </c>
      <c r="E1733" s="1">
        <f t="shared" si="3917"/>
        <v>12.048596999447996</v>
      </c>
      <c r="F1733" s="1">
        <f t="shared" si="3918"/>
        <v>0</v>
      </c>
      <c r="G1733" s="1">
        <f t="shared" si="3919"/>
        <v>-7.5090072915425372</v>
      </c>
      <c r="H1733" s="1">
        <f t="shared" si="3456"/>
        <v>14.196967287401428</v>
      </c>
      <c r="I1733" s="1">
        <f t="shared" si="3902"/>
        <v>-6.9614289895386126</v>
      </c>
      <c r="J1733" s="1">
        <f t="shared" si="3903"/>
        <v>0</v>
      </c>
      <c r="K1733" s="1">
        <f t="shared" si="3904"/>
        <v>4.3385483840480292</v>
      </c>
      <c r="L1733" s="1">
        <f t="shared" ref="L1733:N1733" si="3924">E1733/$H1733</f>
        <v>0.84867399885749384</v>
      </c>
      <c r="M1733" s="1">
        <f t="shared" si="3924"/>
        <v>0</v>
      </c>
      <c r="N1733" s="1">
        <f t="shared" si="3924"/>
        <v>-0.52891629173549815</v>
      </c>
      <c r="O1733" s="1">
        <f t="shared" si="3458"/>
        <v>-0.52891629173549815</v>
      </c>
      <c r="P1733" s="1">
        <f t="shared" si="3906"/>
        <v>0.44887750436804202</v>
      </c>
      <c r="Q1733" s="1">
        <f t="shared" si="3907"/>
        <v>0</v>
      </c>
      <c r="R1733" s="1">
        <f t="shared" si="3908"/>
        <v>0.7202475563367694</v>
      </c>
      <c r="S1733" s="1">
        <f t="shared" si="3909"/>
        <v>0.66319804817565464</v>
      </c>
      <c r="T1733" s="1">
        <f t="shared" ref="T1733:V1733" si="3925">$S1733*P1733</f>
        <v>0.29769468476684435</v>
      </c>
      <c r="U1733" s="1">
        <f t="shared" si="3925"/>
        <v>0</v>
      </c>
      <c r="V1733" s="1">
        <f t="shared" si="3925"/>
        <v>0.47766677356583032</v>
      </c>
      <c r="W1733" s="1">
        <f t="shared" si="3911"/>
        <v>-6.6637343047717685</v>
      </c>
      <c r="X1733" s="1">
        <f t="shared" si="3912"/>
        <v>0</v>
      </c>
      <c r="Y1733" s="1">
        <f t="shared" si="3913"/>
        <v>-4.99043484238614</v>
      </c>
    </row>
    <row r="1734" spans="1:25">
      <c r="A1734" s="1">
        <v>1.73199999999998</v>
      </c>
      <c r="B1734" s="1">
        <f t="shared" si="3914"/>
        <v>48.849984979674694</v>
      </c>
      <c r="C1734" s="1">
        <f t="shared" si="3915"/>
        <v>0</v>
      </c>
      <c r="D1734" s="1">
        <f t="shared" si="3916"/>
        <v>-4.9594805100271548</v>
      </c>
      <c r="E1734" s="1">
        <f t="shared" si="3917"/>
        <v>12.041933265143225</v>
      </c>
      <c r="F1734" s="1">
        <f t="shared" si="3918"/>
        <v>0</v>
      </c>
      <c r="G1734" s="1">
        <f t="shared" si="3919"/>
        <v>-7.5139977263849236</v>
      </c>
      <c r="H1734" s="1">
        <f t="shared" si="3456"/>
        <v>14.193953592790162</v>
      </c>
      <c r="I1734" s="1">
        <f t="shared" si="3902"/>
        <v>-6.9561018859190931</v>
      </c>
      <c r="J1734" s="1">
        <f t="shared" si="3903"/>
        <v>0</v>
      </c>
      <c r="K1734" s="1">
        <f t="shared" si="3904"/>
        <v>4.3405101659709517</v>
      </c>
      <c r="L1734" s="1">
        <f t="shared" ref="L1734:N1734" si="3926">E1734/$H1734</f>
        <v>0.84838471440824925</v>
      </c>
      <c r="M1734" s="1">
        <f t="shared" si="3926"/>
        <v>0</v>
      </c>
      <c r="N1734" s="1">
        <f t="shared" si="3926"/>
        <v>-0.52938018130492326</v>
      </c>
      <c r="O1734" s="1">
        <f t="shared" si="3458"/>
        <v>-0.52938018130492326</v>
      </c>
      <c r="P1734" s="1">
        <f t="shared" si="3906"/>
        <v>0.4491180539297645</v>
      </c>
      <c r="Q1734" s="1">
        <f t="shared" si="3907"/>
        <v>0</v>
      </c>
      <c r="R1734" s="1">
        <f t="shared" si="3908"/>
        <v>0.71975662364156656</v>
      </c>
      <c r="S1734" s="1">
        <f t="shared" si="3909"/>
        <v>0.66291651421045383</v>
      </c>
      <c r="T1734" s="1">
        <f t="shared" ref="T1734:V1734" si="3927">$S1734*P1734</f>
        <v>0.29772777478010209</v>
      </c>
      <c r="U1734" s="1">
        <f t="shared" si="3927"/>
        <v>0</v>
      </c>
      <c r="V1734" s="1">
        <f t="shared" si="3927"/>
        <v>0.47713855202435285</v>
      </c>
      <c r="W1734" s="1">
        <f t="shared" si="3911"/>
        <v>-6.6583741111389907</v>
      </c>
      <c r="X1734" s="1">
        <f t="shared" si="3912"/>
        <v>0</v>
      </c>
      <c r="Y1734" s="1">
        <f t="shared" si="3913"/>
        <v>-4.9890012820046952</v>
      </c>
    </row>
    <row r="1735" spans="1:25">
      <c r="A1735" s="1">
        <v>1.7329999999999799</v>
      </c>
      <c r="B1735" s="1">
        <f t="shared" si="3914"/>
        <v>48.862020254565728</v>
      </c>
      <c r="C1735" s="1">
        <f t="shared" si="3915"/>
        <v>0</v>
      </c>
      <c r="D1735" s="1">
        <f t="shared" si="3916"/>
        <v>-4.9669994967548217</v>
      </c>
      <c r="E1735" s="1">
        <f t="shared" si="3917"/>
        <v>12.035274891032087</v>
      </c>
      <c r="F1735" s="1">
        <f t="shared" si="3918"/>
        <v>0</v>
      </c>
      <c r="G1735" s="1">
        <f t="shared" si="3919"/>
        <v>-7.5189867276669284</v>
      </c>
      <c r="H1735" s="1">
        <f t="shared" si="3456"/>
        <v>14.190947928645882</v>
      </c>
      <c r="I1735" s="1">
        <f t="shared" si="3902"/>
        <v>-6.9507834459548921</v>
      </c>
      <c r="J1735" s="1">
        <f t="shared" si="3903"/>
        <v>0</v>
      </c>
      <c r="K1735" s="1">
        <f t="shared" si="3904"/>
        <v>4.3424723531628464</v>
      </c>
      <c r="L1735" s="1">
        <f t="shared" ref="L1735:N1735" si="3928">E1735/$H1735</f>
        <v>0.84809520488322365</v>
      </c>
      <c r="M1735" s="1">
        <f t="shared" si="3928"/>
        <v>0</v>
      </c>
      <c r="N1735" s="1">
        <f t="shared" si="3928"/>
        <v>-0.52984386705338293</v>
      </c>
      <c r="O1735" s="1">
        <f t="shared" si="3458"/>
        <v>-0.52984386705338293</v>
      </c>
      <c r="P1735" s="1">
        <f t="shared" si="3906"/>
        <v>0.44935804298475829</v>
      </c>
      <c r="Q1735" s="1">
        <f t="shared" si="3907"/>
        <v>0</v>
      </c>
      <c r="R1735" s="1">
        <f t="shared" si="3908"/>
        <v>0.71926547654591699</v>
      </c>
      <c r="S1735" s="1">
        <f t="shared" si="3909"/>
        <v>0.66263578996807049</v>
      </c>
      <c r="T1735" s="1">
        <f t="shared" ref="T1735:V1735" si="3929">$S1735*P1735</f>
        <v>0.29776072179171148</v>
      </c>
      <c r="U1735" s="1">
        <f t="shared" si="3929"/>
        <v>0</v>
      </c>
      <c r="V1735" s="1">
        <f t="shared" si="3929"/>
        <v>0.47661104724776437</v>
      </c>
      <c r="W1735" s="1">
        <f t="shared" si="3911"/>
        <v>-6.653022724163181</v>
      </c>
      <c r="X1735" s="1">
        <f t="shared" si="3912"/>
        <v>0</v>
      </c>
      <c r="Y1735" s="1">
        <f t="shared" si="3913"/>
        <v>-4.987566599589389</v>
      </c>
    </row>
    <row r="1736" spans="1:25">
      <c r="A1736" s="1">
        <v>1.73399999999998</v>
      </c>
      <c r="B1736" s="1">
        <f t="shared" si="3914"/>
        <v>48.874048876434038</v>
      </c>
      <c r="C1736" s="1">
        <f t="shared" si="3915"/>
        <v>0</v>
      </c>
      <c r="D1736" s="1">
        <f t="shared" si="3916"/>
        <v>-4.9745234710490882</v>
      </c>
      <c r="E1736" s="1">
        <f t="shared" si="3917"/>
        <v>12.028621868307923</v>
      </c>
      <c r="F1736" s="1">
        <f t="shared" si="3918"/>
        <v>0</v>
      </c>
      <c r="G1736" s="1">
        <f t="shared" si="3919"/>
        <v>-7.5239742942665178</v>
      </c>
      <c r="H1736" s="1">
        <f t="shared" si="3456"/>
        <v>14.187950282952041</v>
      </c>
      <c r="I1736" s="1">
        <f t="shared" si="3902"/>
        <v>-6.9454736501831746</v>
      </c>
      <c r="J1736" s="1">
        <f t="shared" si="3903"/>
        <v>0</v>
      </c>
      <c r="K1736" s="1">
        <f t="shared" si="3904"/>
        <v>4.3444349467138723</v>
      </c>
      <c r="L1736" s="1">
        <f t="shared" ref="L1736:N1736" si="3930">E1736/$H1736</f>
        <v>0.84780547072830359</v>
      </c>
      <c r="M1736" s="1">
        <f t="shared" si="3930"/>
        <v>0</v>
      </c>
      <c r="N1736" s="1">
        <f t="shared" si="3930"/>
        <v>-0.53030734843405647</v>
      </c>
      <c r="O1736" s="1">
        <f t="shared" si="3458"/>
        <v>-0.53030734843405647</v>
      </c>
      <c r="P1736" s="1">
        <f t="shared" si="3906"/>
        <v>0.44959747116981374</v>
      </c>
      <c r="Q1736" s="1">
        <f t="shared" si="3907"/>
        <v>0</v>
      </c>
      <c r="R1736" s="1">
        <f t="shared" si="3908"/>
        <v>0.71877411619684017</v>
      </c>
      <c r="S1736" s="1">
        <f t="shared" si="3909"/>
        <v>0.6623558738500106</v>
      </c>
      <c r="T1736" s="1">
        <f t="shared" ref="T1736:V1736" si="3931">$S1736*P1736</f>
        <v>0.29779352589743691</v>
      </c>
      <c r="U1736" s="1">
        <f t="shared" si="3931"/>
        <v>0</v>
      </c>
      <c r="V1736" s="1">
        <f t="shared" si="3931"/>
        <v>0.47608425783432712</v>
      </c>
      <c r="W1736" s="1">
        <f t="shared" si="3911"/>
        <v>-6.6476801242857375</v>
      </c>
      <c r="X1736" s="1">
        <f t="shared" si="3912"/>
        <v>0</v>
      </c>
      <c r="Y1736" s="1">
        <f t="shared" si="3913"/>
        <v>-4.9861307954517997</v>
      </c>
    </row>
    <row r="1737" spans="1:25">
      <c r="A1737" s="1">
        <v>1.7349999999999799</v>
      </c>
      <c r="B1737" s="1">
        <f t="shared" si="3914"/>
        <v>48.886070850622225</v>
      </c>
      <c r="C1737" s="1">
        <f t="shared" si="3915"/>
        <v>0</v>
      </c>
      <c r="D1737" s="1">
        <f t="shared" si="3916"/>
        <v>-4.9820524314741501</v>
      </c>
      <c r="E1737" s="1">
        <f t="shared" si="3917"/>
        <v>12.021974188183638</v>
      </c>
      <c r="F1737" s="1">
        <f t="shared" si="3918"/>
        <v>0</v>
      </c>
      <c r="G1737" s="1">
        <f t="shared" si="3919"/>
        <v>-7.5289604250619693</v>
      </c>
      <c r="H1737" s="1">
        <f t="shared" si="3456"/>
        <v>14.184960643706521</v>
      </c>
      <c r="I1737" s="1">
        <f t="shared" si="3902"/>
        <v>-6.940172479187253</v>
      </c>
      <c r="J1737" s="1">
        <f t="shared" si="3903"/>
        <v>0</v>
      </c>
      <c r="K1737" s="1">
        <f t="shared" si="3904"/>
        <v>4.3463979477067634</v>
      </c>
      <c r="L1737" s="1">
        <f t="shared" ref="L1737:N1737" si="3932">E1737/$H1737</f>
        <v>0.84751551239005085</v>
      </c>
      <c r="M1737" s="1">
        <f t="shared" si="3932"/>
        <v>0</v>
      </c>
      <c r="N1737" s="1">
        <f t="shared" si="3932"/>
        <v>-0.53077062490140658</v>
      </c>
      <c r="O1737" s="1">
        <f t="shared" si="3458"/>
        <v>-0.53077062490140658</v>
      </c>
      <c r="P1737" s="1">
        <f t="shared" si="3906"/>
        <v>0.44983633812490309</v>
      </c>
      <c r="Q1737" s="1">
        <f t="shared" si="3907"/>
        <v>0</v>
      </c>
      <c r="R1737" s="1">
        <f t="shared" si="3908"/>
        <v>0.71828254374177036</v>
      </c>
      <c r="S1737" s="1">
        <f t="shared" si="3909"/>
        <v>0.66207676426134565</v>
      </c>
      <c r="T1737" s="1">
        <f t="shared" ref="T1737:V1737" si="3933">$S1737*P1737</f>
        <v>0.29782618719290843</v>
      </c>
      <c r="U1737" s="1">
        <f t="shared" si="3933"/>
        <v>0</v>
      </c>
      <c r="V1737" s="1">
        <f t="shared" si="3933"/>
        <v>0.47555818238595982</v>
      </c>
      <c r="W1737" s="1">
        <f t="shared" si="3911"/>
        <v>-6.642346291994345</v>
      </c>
      <c r="X1737" s="1">
        <f t="shared" si="3912"/>
        <v>0</v>
      </c>
      <c r="Y1737" s="1">
        <f t="shared" si="3913"/>
        <v>-4.984693869907276</v>
      </c>
    </row>
    <row r="1738" spans="1:25">
      <c r="A1738" s="1">
        <v>1.73599999999998</v>
      </c>
      <c r="B1738" s="1">
        <f t="shared" si="3914"/>
        <v>48.89808618246412</v>
      </c>
      <c r="C1738" s="1">
        <f t="shared" si="3915"/>
        <v>0</v>
      </c>
      <c r="D1738" s="1">
        <f t="shared" si="3916"/>
        <v>-4.9895863765930821</v>
      </c>
      <c r="E1738" s="1">
        <f t="shared" si="3917"/>
        <v>12.015331841891644</v>
      </c>
      <c r="F1738" s="1">
        <f t="shared" si="3918"/>
        <v>0</v>
      </c>
      <c r="G1738" s="1">
        <f t="shared" si="3919"/>
        <v>-7.5339451189318769</v>
      </c>
      <c r="H1738" s="1">
        <f t="shared" si="3456"/>
        <v>14.181978998921579</v>
      </c>
      <c r="I1738" s="1">
        <f t="shared" si="3902"/>
        <v>-6.9348799135964558</v>
      </c>
      <c r="J1738" s="1">
        <f t="shared" si="3903"/>
        <v>0</v>
      </c>
      <c r="K1738" s="1">
        <f t="shared" si="3904"/>
        <v>4.348361357216846</v>
      </c>
      <c r="L1738" s="1">
        <f t="shared" ref="L1738:N1738" si="3934">E1738/$H1738</f>
        <v>0.84722533031569924</v>
      </c>
      <c r="M1738" s="1">
        <f t="shared" si="3934"/>
        <v>0</v>
      </c>
      <c r="N1738" s="1">
        <f t="shared" si="3934"/>
        <v>-0.53123369591118208</v>
      </c>
      <c r="O1738" s="1">
        <f t="shared" si="3458"/>
        <v>-0.53123369591118208</v>
      </c>
      <c r="P1738" s="1">
        <f t="shared" si="3906"/>
        <v>0.45007464349318094</v>
      </c>
      <c r="Q1738" s="1">
        <f t="shared" si="3907"/>
        <v>0</v>
      </c>
      <c r="R1738" s="1">
        <f t="shared" si="3908"/>
        <v>0.71779076032854572</v>
      </c>
      <c r="S1738" s="1">
        <f t="shared" si="3909"/>
        <v>0.66179845961070027</v>
      </c>
      <c r="T1738" s="1">
        <f t="shared" ref="T1738:V1738" si="3935">$S1738*P1738</f>
        <v>0.29785870577362222</v>
      </c>
      <c r="U1738" s="1">
        <f t="shared" si="3935"/>
        <v>0</v>
      </c>
      <c r="V1738" s="1">
        <f t="shared" si="3935"/>
        <v>0.4750328195082249</v>
      </c>
      <c r="W1738" s="1">
        <f t="shared" si="3911"/>
        <v>-6.6370212078228334</v>
      </c>
      <c r="X1738" s="1">
        <f t="shared" si="3912"/>
        <v>0</v>
      </c>
      <c r="Y1738" s="1">
        <f t="shared" si="3913"/>
        <v>-4.9832558232749289</v>
      </c>
    </row>
    <row r="1739" spans="1:25">
      <c r="A1739" s="1">
        <v>1.7369999999999799</v>
      </c>
      <c r="B1739" s="1">
        <f t="shared" si="3914"/>
        <v>48.910094877284806</v>
      </c>
      <c r="C1739" s="1">
        <f t="shared" si="3915"/>
        <v>0</v>
      </c>
      <c r="D1739" s="1">
        <f t="shared" si="3916"/>
        <v>-4.9971253049678372</v>
      </c>
      <c r="E1739" s="1">
        <f t="shared" si="3917"/>
        <v>12.008694820683822</v>
      </c>
      <c r="F1739" s="1">
        <f t="shared" si="3918"/>
        <v>0</v>
      </c>
      <c r="G1739" s="1">
        <f t="shared" si="3919"/>
        <v>-7.5389283747551517</v>
      </c>
      <c r="H1739" s="1">
        <f t="shared" si="3456"/>
        <v>14.17900533662382</v>
      </c>
      <c r="I1739" s="1">
        <f t="shared" si="3902"/>
        <v>-6.9295959340859943</v>
      </c>
      <c r="J1739" s="1">
        <f t="shared" si="3903"/>
        <v>0</v>
      </c>
      <c r="K1739" s="1">
        <f t="shared" si="3904"/>
        <v>4.3503251763120403</v>
      </c>
      <c r="L1739" s="1">
        <f t="shared" ref="L1739:N1739" si="3936">E1739/$H1739</f>
        <v>0.84693492495315092</v>
      </c>
      <c r="M1739" s="1">
        <f t="shared" si="3936"/>
        <v>0</v>
      </c>
      <c r="N1739" s="1">
        <f t="shared" si="3936"/>
        <v>-0.53169656092041884</v>
      </c>
      <c r="O1739" s="1">
        <f t="shared" si="3458"/>
        <v>-0.53169656092041884</v>
      </c>
      <c r="P1739" s="1">
        <f t="shared" si="3906"/>
        <v>0.45031238692098335</v>
      </c>
      <c r="Q1739" s="1">
        <f t="shared" si="3907"/>
        <v>0</v>
      </c>
      <c r="R1739" s="1">
        <f t="shared" si="3908"/>
        <v>0.71729876710539942</v>
      </c>
      <c r="S1739" s="1">
        <f t="shared" si="3909"/>
        <v>0.66152095831024138</v>
      </c>
      <c r="T1739" s="1">
        <f t="shared" ref="T1739:V1739" si="3937">$S1739*P1739</f>
        <v>0.29789108173494111</v>
      </c>
      <c r="U1739" s="1">
        <f t="shared" si="3937"/>
        <v>0</v>
      </c>
      <c r="V1739" s="1">
        <f t="shared" si="3937"/>
        <v>0.47450816781031846</v>
      </c>
      <c r="W1739" s="1">
        <f t="shared" si="3911"/>
        <v>-6.6317048523510529</v>
      </c>
      <c r="X1739" s="1">
        <f t="shared" si="3912"/>
        <v>0</v>
      </c>
      <c r="Y1739" s="1">
        <f t="shared" si="3913"/>
        <v>-4.9818166558776404</v>
      </c>
    </row>
    <row r="1740" spans="1:25">
      <c r="A1740" s="1">
        <v>1.73799999999998</v>
      </c>
      <c r="B1740" s="1">
        <f t="shared" si="3914"/>
        <v>48.922096940400635</v>
      </c>
      <c r="C1740" s="1">
        <f t="shared" si="3915"/>
        <v>0</v>
      </c>
      <c r="D1740" s="1">
        <f t="shared" si="3916"/>
        <v>-5.0046692151592485</v>
      </c>
      <c r="E1740" s="1">
        <f t="shared" si="3917"/>
        <v>12.00206311583147</v>
      </c>
      <c r="F1740" s="1">
        <f t="shared" si="3918"/>
        <v>0</v>
      </c>
      <c r="G1740" s="1">
        <f t="shared" si="3919"/>
        <v>-7.5439101914110296</v>
      </c>
      <c r="H1740" s="1">
        <f t="shared" si="3456"/>
        <v>14.17603964485418</v>
      </c>
      <c r="I1740" s="1">
        <f t="shared" si="3902"/>
        <v>-6.9243205213768473</v>
      </c>
      <c r="J1740" s="1">
        <f t="shared" si="3903"/>
        <v>0</v>
      </c>
      <c r="K1740" s="1">
        <f t="shared" si="3904"/>
        <v>4.3522894060528801</v>
      </c>
      <c r="L1740" s="1">
        <f t="shared" ref="L1740:N1740" si="3938">E1740/$H1740</f>
        <v>0.8466442967509723</v>
      </c>
      <c r="M1740" s="1">
        <f t="shared" si="3938"/>
        <v>0</v>
      </c>
      <c r="N1740" s="1">
        <f t="shared" si="3938"/>
        <v>-0.53215921938744193</v>
      </c>
      <c r="O1740" s="1">
        <f t="shared" si="3458"/>
        <v>-0.53215921938744193</v>
      </c>
      <c r="P1740" s="1">
        <f t="shared" si="3906"/>
        <v>0.45054956805782714</v>
      </c>
      <c r="Q1740" s="1">
        <f t="shared" si="3907"/>
        <v>0</v>
      </c>
      <c r="R1740" s="1">
        <f t="shared" si="3908"/>
        <v>0.71680656522094843</v>
      </c>
      <c r="S1740" s="1">
        <f t="shared" si="3909"/>
        <v>0.66124425877566995</v>
      </c>
      <c r="T1740" s="1">
        <f t="shared" ref="T1740:V1740" si="3939">$S1740*P1740</f>
        <v>0.29792331517209619</v>
      </c>
      <c r="U1740" s="1">
        <f t="shared" si="3939"/>
        <v>0</v>
      </c>
      <c r="V1740" s="1">
        <f t="shared" si="3939"/>
        <v>0.47398422590505995</v>
      </c>
      <c r="W1740" s="1">
        <f t="shared" si="3911"/>
        <v>-6.6263972062047509</v>
      </c>
      <c r="X1740" s="1">
        <f t="shared" si="3912"/>
        <v>0</v>
      </c>
      <c r="Y1740" s="1">
        <f t="shared" si="3913"/>
        <v>-4.9803763680420596</v>
      </c>
    </row>
    <row r="1741" spans="1:25">
      <c r="A1741" s="1">
        <v>1.7389999999999799</v>
      </c>
      <c r="B1741" s="1">
        <f t="shared" si="3914"/>
        <v>48.934092377119264</v>
      </c>
      <c r="C1741" s="1">
        <f t="shared" si="3915"/>
        <v>0</v>
      </c>
      <c r="D1741" s="1">
        <f t="shared" si="3916"/>
        <v>-5.0122181057270279</v>
      </c>
      <c r="E1741" s="1">
        <f t="shared" si="3917"/>
        <v>11.995436718625266</v>
      </c>
      <c r="F1741" s="1">
        <f t="shared" si="3918"/>
        <v>0</v>
      </c>
      <c r="G1741" s="1">
        <f t="shared" si="3919"/>
        <v>-7.5488905677790719</v>
      </c>
      <c r="H1741" s="1">
        <f t="shared" si="3456"/>
        <v>14.173081911667875</v>
      </c>
      <c r="I1741" s="1">
        <f t="shared" si="3902"/>
        <v>-6.9190536562356222</v>
      </c>
      <c r="J1741" s="1">
        <f t="shared" si="3903"/>
        <v>0</v>
      </c>
      <c r="K1741" s="1">
        <f t="shared" si="3904"/>
        <v>4.354254047492514</v>
      </c>
      <c r="L1741" s="1">
        <f t="shared" ref="L1741:N1741" si="3940">E1741/$H1741</f>
        <v>0.84635344615839125</v>
      </c>
      <c r="M1741" s="1">
        <f t="shared" si="3940"/>
        <v>0</v>
      </c>
      <c r="N1741" s="1">
        <f t="shared" si="3940"/>
        <v>-0.53262167077186706</v>
      </c>
      <c r="O1741" s="1">
        <f t="shared" si="3458"/>
        <v>-0.53262167077186706</v>
      </c>
      <c r="P1741" s="1">
        <f t="shared" si="3906"/>
        <v>0.45078618655640978</v>
      </c>
      <c r="Q1741" s="1">
        <f t="shared" si="3907"/>
        <v>0</v>
      </c>
      <c r="R1741" s="1">
        <f t="shared" si="3908"/>
        <v>0.71631415582418478</v>
      </c>
      <c r="S1741" s="1">
        <f t="shared" si="3909"/>
        <v>0.66096835942620757</v>
      </c>
      <c r="T1741" s="1">
        <f t="shared" ref="T1741:V1741" si="3941">$S1741*P1741</f>
        <v>0.29795540618018651</v>
      </c>
      <c r="U1741" s="1">
        <f t="shared" si="3941"/>
        <v>0</v>
      </c>
      <c r="V1741" s="1">
        <f t="shared" si="3941"/>
        <v>0.47346099240888023</v>
      </c>
      <c r="W1741" s="1">
        <f t="shared" si="3911"/>
        <v>-6.6210982500554358</v>
      </c>
      <c r="X1741" s="1">
        <f t="shared" si="3912"/>
        <v>0</v>
      </c>
      <c r="Y1741" s="1">
        <f t="shared" si="3913"/>
        <v>-4.9789349600986048</v>
      </c>
    </row>
    <row r="1742" spans="1:25">
      <c r="A1742" s="1">
        <v>1.73999999999998</v>
      </c>
      <c r="B1742" s="1">
        <f t="shared" si="3914"/>
        <v>48.946081192739641</v>
      </c>
      <c r="C1742" s="1">
        <f t="shared" si="3915"/>
        <v>0</v>
      </c>
      <c r="D1742" s="1">
        <f t="shared" si="3916"/>
        <v>-5.0197719752297667</v>
      </c>
      <c r="E1742" s="1">
        <f t="shared" si="3917"/>
        <v>11.98881562037521</v>
      </c>
      <c r="F1742" s="1">
        <f t="shared" si="3918"/>
        <v>0</v>
      </c>
      <c r="G1742" s="1">
        <f t="shared" si="3919"/>
        <v>-7.5538695027391709</v>
      </c>
      <c r="H1742" s="1">
        <f t="shared" si="3456"/>
        <v>14.170132125134385</v>
      </c>
      <c r="I1742" s="1">
        <f t="shared" si="3902"/>
        <v>-6.9137953194744357</v>
      </c>
      <c r="J1742" s="1">
        <f t="shared" si="3903"/>
        <v>0</v>
      </c>
      <c r="K1742" s="1">
        <f t="shared" si="3904"/>
        <v>4.3562191016767233</v>
      </c>
      <c r="L1742" s="1">
        <f t="shared" ref="L1742:N1742" si="3942">E1742/$H1742</f>
        <v>0.84606237362529257</v>
      </c>
      <c r="M1742" s="1">
        <f t="shared" si="3942"/>
        <v>0</v>
      </c>
      <c r="N1742" s="1">
        <f t="shared" si="3942"/>
        <v>-0.53308391453460302</v>
      </c>
      <c r="O1742" s="1">
        <f t="shared" si="3458"/>
        <v>-0.53308391453460302</v>
      </c>
      <c r="P1742" s="1">
        <f t="shared" si="3906"/>
        <v>0.45102224207260883</v>
      </c>
      <c r="Q1742" s="1">
        <f t="shared" si="3907"/>
        <v>0</v>
      </c>
      <c r="R1742" s="1">
        <f t="shared" si="3908"/>
        <v>0.71582154006446408</v>
      </c>
      <c r="S1742" s="1">
        <f t="shared" si="3909"/>
        <v>0.66069325868458784</v>
      </c>
      <c r="T1742" s="1">
        <f t="shared" ref="T1742:V1742" si="3943">$S1742*P1742</f>
        <v>0.29798735485418093</v>
      </c>
      <c r="U1742" s="1">
        <f t="shared" si="3943"/>
        <v>0</v>
      </c>
      <c r="V1742" s="1">
        <f t="shared" si="3943"/>
        <v>0.47293846594181105</v>
      </c>
      <c r="W1742" s="1">
        <f t="shared" si="3911"/>
        <v>-6.615807964620255</v>
      </c>
      <c r="X1742" s="1">
        <f t="shared" si="3912"/>
        <v>0</v>
      </c>
      <c r="Y1742" s="1">
        <f t="shared" si="3913"/>
        <v>-4.9774924323814647</v>
      </c>
    </row>
    <row r="1743" spans="1:25">
      <c r="A1743" s="1">
        <v>1.7409999999999799</v>
      </c>
      <c r="B1743" s="1">
        <f t="shared" si="3914"/>
        <v>48.958063392552049</v>
      </c>
      <c r="C1743" s="1">
        <f t="shared" si="3915"/>
        <v>0</v>
      </c>
      <c r="D1743" s="1">
        <f t="shared" si="3916"/>
        <v>-5.027330822224938</v>
      </c>
      <c r="E1743" s="1">
        <f t="shared" si="3917"/>
        <v>11.98219981241059</v>
      </c>
      <c r="F1743" s="1">
        <f t="shared" si="3918"/>
        <v>0</v>
      </c>
      <c r="G1743" s="1">
        <f t="shared" si="3919"/>
        <v>-7.5588469951715522</v>
      </c>
      <c r="H1743" s="1">
        <f t="shared" si="3456"/>
        <v>14.16719027333742</v>
      </c>
      <c r="I1743" s="1">
        <f t="shared" si="3902"/>
        <v>-6.9085454919507905</v>
      </c>
      <c r="J1743" s="1">
        <f t="shared" si="3903"/>
        <v>0</v>
      </c>
      <c r="K1743" s="1">
        <f t="shared" si="3904"/>
        <v>4.3581845696439281</v>
      </c>
      <c r="L1743" s="1">
        <f t="shared" ref="L1743:N1743" si="3944">E1743/$H1743</f>
        <v>0.84577107960221509</v>
      </c>
      <c r="M1743" s="1">
        <f t="shared" si="3944"/>
        <v>0</v>
      </c>
      <c r="N1743" s="1">
        <f t="shared" si="3944"/>
        <v>-0.53354595013785222</v>
      </c>
      <c r="O1743" s="1">
        <f t="shared" si="3458"/>
        <v>-0.53354595013785222</v>
      </c>
      <c r="P1743" s="1">
        <f t="shared" si="3906"/>
        <v>0.45125773426548088</v>
      </c>
      <c r="Q1743" s="1">
        <f t="shared" si="3907"/>
        <v>0</v>
      </c>
      <c r="R1743" s="1">
        <f t="shared" si="3908"/>
        <v>0.71532871909149653</v>
      </c>
      <c r="S1743" s="1">
        <f t="shared" si="3909"/>
        <v>0.66041895497704517</v>
      </c>
      <c r="T1743" s="1">
        <f t="shared" ref="T1743:V1743" si="3945">$S1743*P1743</f>
        <v>0.29801916128891803</v>
      </c>
      <c r="U1743" s="1">
        <f t="shared" si="3945"/>
        <v>0</v>
      </c>
      <c r="V1743" s="1">
        <f t="shared" si="3945"/>
        <v>0.47241664512747444</v>
      </c>
      <c r="W1743" s="1">
        <f t="shared" si="3911"/>
        <v>-6.6105263306618722</v>
      </c>
      <c r="X1743" s="1">
        <f t="shared" si="3912"/>
        <v>0</v>
      </c>
      <c r="Y1743" s="1">
        <f t="shared" si="3913"/>
        <v>-4.9760487852285973</v>
      </c>
    </row>
    <row r="1744" spans="1:25">
      <c r="A1744" s="1">
        <v>1.74199999999998</v>
      </c>
      <c r="B1744" s="1">
        <f t="shared" si="3914"/>
        <v>48.97003898183813</v>
      </c>
      <c r="C1744" s="1">
        <f t="shared" si="3915"/>
        <v>0</v>
      </c>
      <c r="D1744" s="1">
        <f t="shared" si="3916"/>
        <v>-5.0348946452688947</v>
      </c>
      <c r="E1744" s="1">
        <f t="shared" si="3917"/>
        <v>11.975589286079929</v>
      </c>
      <c r="F1744" s="1">
        <f t="shared" si="3918"/>
        <v>0</v>
      </c>
      <c r="G1744" s="1">
        <f t="shared" si="3919"/>
        <v>-7.5638230439567806</v>
      </c>
      <c r="H1744" s="1">
        <f t="shared" si="3456"/>
        <v>14.164256344374879</v>
      </c>
      <c r="I1744" s="1">
        <f t="shared" si="3902"/>
        <v>-6.9033041545674356</v>
      </c>
      <c r="J1744" s="1">
        <f t="shared" si="3903"/>
        <v>0</v>
      </c>
      <c r="K1744" s="1">
        <f t="shared" si="3904"/>
        <v>4.3601504524251977</v>
      </c>
      <c r="L1744" s="1">
        <f t="shared" ref="L1744:N1744" si="3946">E1744/$H1744</f>
        <v>0.84547956454034767</v>
      </c>
      <c r="M1744" s="1">
        <f t="shared" si="3946"/>
        <v>0</v>
      </c>
      <c r="N1744" s="1">
        <f t="shared" si="3946"/>
        <v>-0.53400777704511393</v>
      </c>
      <c r="O1744" s="1">
        <f t="shared" si="3458"/>
        <v>-0.53400777704511393</v>
      </c>
      <c r="P1744" s="1">
        <f t="shared" si="3906"/>
        <v>0.45149266279726197</v>
      </c>
      <c r="Q1744" s="1">
        <f t="shared" si="3907"/>
        <v>0</v>
      </c>
      <c r="R1744" s="1">
        <f t="shared" si="3908"/>
        <v>0.71483569405533587</v>
      </c>
      <c r="S1744" s="1">
        <f t="shared" si="3909"/>
        <v>0.660145446733304</v>
      </c>
      <c r="T1744" s="1">
        <f t="shared" ref="T1744:V1744" si="3947">$S1744*P1744</f>
        <v>0.2980508255791075</v>
      </c>
      <c r="U1744" s="1">
        <f t="shared" si="3947"/>
        <v>0</v>
      </c>
      <c r="V1744" s="1">
        <f t="shared" si="3947"/>
        <v>0.4718955285930711</v>
      </c>
      <c r="W1744" s="1">
        <f t="shared" si="3911"/>
        <v>-6.6052533289883284</v>
      </c>
      <c r="X1744" s="1">
        <f t="shared" si="3912"/>
        <v>0</v>
      </c>
      <c r="Y1744" s="1">
        <f t="shared" si="3913"/>
        <v>-4.9746040189817302</v>
      </c>
    </row>
    <row r="1745" spans="1:25">
      <c r="A1745" s="1">
        <v>1.7429999999999799</v>
      </c>
      <c r="B1745" s="1">
        <f t="shared" si="3914"/>
        <v>48.982007965870878</v>
      </c>
      <c r="C1745" s="1">
        <f t="shared" si="3915"/>
        <v>0</v>
      </c>
      <c r="D1745" s="1">
        <f t="shared" si="3916"/>
        <v>-5.0424634429168709</v>
      </c>
      <c r="E1745" s="1">
        <f t="shared" si="3917"/>
        <v>11.96898403275094</v>
      </c>
      <c r="F1745" s="1">
        <f t="shared" si="3918"/>
        <v>0</v>
      </c>
      <c r="G1745" s="1">
        <f t="shared" si="3919"/>
        <v>-7.5687976479757619</v>
      </c>
      <c r="H1745" s="1">
        <f t="shared" si="3456"/>
        <v>14.161330326358835</v>
      </c>
      <c r="I1745" s="1">
        <f t="shared" si="3902"/>
        <v>-6.8980712882722566</v>
      </c>
      <c r="J1745" s="1">
        <f t="shared" si="3903"/>
        <v>0</v>
      </c>
      <c r="K1745" s="1">
        <f t="shared" si="3904"/>
        <v>4.3621167510442627</v>
      </c>
      <c r="L1745" s="1">
        <f t="shared" ref="L1745:N1745" si="3948">E1745/$H1745</f>
        <v>0.84518782889152544</v>
      </c>
      <c r="M1745" s="1">
        <f t="shared" si="3948"/>
        <v>0</v>
      </c>
      <c r="N1745" s="1">
        <f t="shared" si="3948"/>
        <v>-0.5344693947211846</v>
      </c>
      <c r="O1745" s="1">
        <f t="shared" si="3458"/>
        <v>-0.5344693947211846</v>
      </c>
      <c r="P1745" s="1">
        <f t="shared" si="3906"/>
        <v>0.45172702733336573</v>
      </c>
      <c r="Q1745" s="1">
        <f t="shared" si="3907"/>
        <v>0</v>
      </c>
      <c r="R1745" s="1">
        <f t="shared" si="3908"/>
        <v>0.71434246610637064</v>
      </c>
      <c r="S1745" s="1">
        <f t="shared" si="3909"/>
        <v>0.65987273238656907</v>
      </c>
      <c r="T1745" s="1">
        <f t="shared" ref="T1745:V1745" si="3949">$S1745*P1745</f>
        <v>0.29808234781933041</v>
      </c>
      <c r="U1745" s="1">
        <f t="shared" si="3949"/>
        <v>0</v>
      </c>
      <c r="V1745" s="1">
        <f t="shared" si="3949"/>
        <v>0.4713751149693709</v>
      </c>
      <c r="W1745" s="1">
        <f t="shared" si="3911"/>
        <v>-6.5999889404529259</v>
      </c>
      <c r="X1745" s="1">
        <f t="shared" si="3912"/>
        <v>0</v>
      </c>
      <c r="Y1745" s="1">
        <f t="shared" si="3913"/>
        <v>-4.9731581339863657</v>
      </c>
    </row>
    <row r="1746" spans="1:25">
      <c r="A1746" s="1">
        <v>1.74399999999998</v>
      </c>
      <c r="B1746" s="1">
        <f t="shared" si="3914"/>
        <v>48.99397034991469</v>
      </c>
      <c r="C1746" s="1">
        <f t="shared" si="3915"/>
        <v>0</v>
      </c>
      <c r="D1746" s="1">
        <f t="shared" si="3916"/>
        <v>-5.0500372137229803</v>
      </c>
      <c r="E1746" s="1">
        <f t="shared" si="3917"/>
        <v>11.962384043810488</v>
      </c>
      <c r="F1746" s="1">
        <f t="shared" si="3918"/>
        <v>0</v>
      </c>
      <c r="G1746" s="1">
        <f t="shared" si="3919"/>
        <v>-7.5737708061097484</v>
      </c>
      <c r="H1746" s="1">
        <f t="shared" si="3456"/>
        <v>14.158412207415493</v>
      </c>
      <c r="I1746" s="1">
        <f t="shared" si="3902"/>
        <v>-6.8928468740581454</v>
      </c>
      <c r="J1746" s="1">
        <f t="shared" si="3903"/>
        <v>0</v>
      </c>
      <c r="K1746" s="1">
        <f t="shared" si="3904"/>
        <v>4.3640834665175268</v>
      </c>
      <c r="L1746" s="1">
        <f t="shared" ref="L1746:N1746" si="3950">E1746/$H1746</f>
        <v>0.84489587310822667</v>
      </c>
      <c r="M1746" s="1">
        <f t="shared" si="3950"/>
        <v>0</v>
      </c>
      <c r="N1746" s="1">
        <f t="shared" si="3950"/>
        <v>-0.53493080263216042</v>
      </c>
      <c r="O1746" s="1">
        <f t="shared" si="3458"/>
        <v>-0.53493080263216042</v>
      </c>
      <c r="P1746" s="1">
        <f t="shared" si="3906"/>
        <v>0.45196082754238365</v>
      </c>
      <c r="Q1746" s="1">
        <f t="shared" si="3907"/>
        <v>0</v>
      </c>
      <c r="R1746" s="1">
        <f t="shared" si="3908"/>
        <v>0.71384903639531272</v>
      </c>
      <c r="S1746" s="1">
        <f t="shared" si="3909"/>
        <v>0.65960081037351459</v>
      </c>
      <c r="T1746" s="1">
        <f t="shared" ref="T1746:V1746" si="3951">$S1746*P1746</f>
        <v>0.29811372810404052</v>
      </c>
      <c r="U1746" s="1">
        <f t="shared" si="3951"/>
        <v>0</v>
      </c>
      <c r="V1746" s="1">
        <f t="shared" si="3951"/>
        <v>0.47085540289070077</v>
      </c>
      <c r="W1746" s="1">
        <f t="shared" si="3911"/>
        <v>-6.5947331459541045</v>
      </c>
      <c r="X1746" s="1">
        <f t="shared" si="3912"/>
        <v>0</v>
      </c>
      <c r="Y1746" s="1">
        <f t="shared" si="3913"/>
        <v>-4.9717111305917721</v>
      </c>
    </row>
    <row r="1747" spans="1:25">
      <c r="A1747" s="1">
        <v>1.7449999999999799</v>
      </c>
      <c r="B1747" s="1">
        <f t="shared" si="3914"/>
        <v>49.005926139225352</v>
      </c>
      <c r="C1747" s="1">
        <f t="shared" si="3915"/>
        <v>0</v>
      </c>
      <c r="D1747" s="1">
        <f t="shared" si="3916"/>
        <v>-5.0576159562402205</v>
      </c>
      <c r="E1747" s="1">
        <f t="shared" si="3917"/>
        <v>11.955789310664533</v>
      </c>
      <c r="F1747" s="1">
        <f t="shared" si="3918"/>
        <v>0</v>
      </c>
      <c r="G1747" s="1">
        <f t="shared" si="3919"/>
        <v>-7.5787425172403404</v>
      </c>
      <c r="H1747" s="1">
        <f t="shared" si="3456"/>
        <v>14.155501975685171</v>
      </c>
      <c r="I1747" s="1">
        <f t="shared" si="3902"/>
        <v>-6.8876308929628713</v>
      </c>
      <c r="J1747" s="1">
        <f t="shared" si="3903"/>
        <v>0</v>
      </c>
      <c r="K1747" s="1">
        <f t="shared" si="3904"/>
        <v>4.36605059985407</v>
      </c>
      <c r="L1747" s="1">
        <f t="shared" ref="L1747:N1747" si="3952">E1747/$H1747</f>
        <v>0.84460369764356846</v>
      </c>
      <c r="M1747" s="1">
        <f t="shared" si="3952"/>
        <v>0</v>
      </c>
      <c r="N1747" s="1">
        <f t="shared" si="3952"/>
        <v>-0.53539200024543854</v>
      </c>
      <c r="O1747" s="1">
        <f t="shared" si="3458"/>
        <v>-0.53539200024543854</v>
      </c>
      <c r="P1747" s="1">
        <f t="shared" si="3906"/>
        <v>0.45219406309608368</v>
      </c>
      <c r="Q1747" s="1">
        <f t="shared" si="3907"/>
        <v>0</v>
      </c>
      <c r="R1747" s="1">
        <f t="shared" si="3908"/>
        <v>0.71335540607318837</v>
      </c>
      <c r="S1747" s="1">
        <f t="shared" si="3909"/>
        <v>0.65932967913427432</v>
      </c>
      <c r="T1747" s="1">
        <f t="shared" ref="T1747:V1747" si="3953">$S1747*P1747</f>
        <v>0.29814496652756467</v>
      </c>
      <c r="U1747" s="1">
        <f t="shared" si="3953"/>
        <v>0</v>
      </c>
      <c r="V1747" s="1">
        <f t="shared" si="3953"/>
        <v>0.47033639099493524</v>
      </c>
      <c r="W1747" s="1">
        <f t="shared" si="3911"/>
        <v>-6.589485926435307</v>
      </c>
      <c r="X1747" s="1">
        <f t="shared" si="3912"/>
        <v>0</v>
      </c>
      <c r="Y1747" s="1">
        <f t="shared" si="3913"/>
        <v>-4.9702630091509938</v>
      </c>
    </row>
    <row r="1748" spans="1:25">
      <c r="A1748" s="1">
        <v>1.74599999999998</v>
      </c>
      <c r="B1748" s="1">
        <f t="shared" si="3914"/>
        <v>49.017875339050093</v>
      </c>
      <c r="C1748" s="1">
        <f t="shared" si="3915"/>
        <v>0</v>
      </c>
      <c r="D1748" s="1">
        <f t="shared" si="3916"/>
        <v>-5.0651996690204699</v>
      </c>
      <c r="E1748" s="1">
        <f t="shared" si="3917"/>
        <v>11.949199824738098</v>
      </c>
      <c r="F1748" s="1">
        <f t="shared" si="3918"/>
        <v>0</v>
      </c>
      <c r="G1748" s="1">
        <f t="shared" si="3919"/>
        <v>-7.583712780249491</v>
      </c>
      <c r="H1748" s="1">
        <f t="shared" si="3456"/>
        <v>14.152599619322256</v>
      </c>
      <c r="I1748" s="1">
        <f t="shared" si="3902"/>
        <v>-6.8824233260689676</v>
      </c>
      <c r="J1748" s="1">
        <f t="shared" si="3903"/>
        <v>0</v>
      </c>
      <c r="K1748" s="1">
        <f t="shared" si="3904"/>
        <v>4.3680181520556696</v>
      </c>
      <c r="L1748" s="1">
        <f t="shared" ref="L1748:N1748" si="3954">E1748/$H1748</f>
        <v>0.84431130295130363</v>
      </c>
      <c r="M1748" s="1">
        <f t="shared" si="3954"/>
        <v>0</v>
      </c>
      <c r="N1748" s="1">
        <f t="shared" si="3954"/>
        <v>-0.53585298702971873</v>
      </c>
      <c r="O1748" s="1">
        <f t="shared" si="3458"/>
        <v>-0.53585298702971873</v>
      </c>
      <c r="P1748" s="1">
        <f t="shared" si="3906"/>
        <v>0.45242673366940983</v>
      </c>
      <c r="Q1748" s="1">
        <f t="shared" si="3907"/>
        <v>0</v>
      </c>
      <c r="R1748" s="1">
        <f t="shared" si="3908"/>
        <v>0.71286157629132807</v>
      </c>
      <c r="S1748" s="1">
        <f t="shared" si="3909"/>
        <v>0.65905933711243048</v>
      </c>
      <c r="T1748" s="1">
        <f t="shared" ref="T1748:V1748" si="3955">$S1748*P1748</f>
        <v>0.29817606318410339</v>
      </c>
      <c r="U1748" s="1">
        <f t="shared" si="3955"/>
        <v>0</v>
      </c>
      <c r="V1748" s="1">
        <f t="shared" si="3955"/>
        <v>0.46981807792348496</v>
      </c>
      <c r="W1748" s="1">
        <f t="shared" si="3911"/>
        <v>-6.5842472628848645</v>
      </c>
      <c r="X1748" s="1">
        <f t="shared" si="3912"/>
        <v>0</v>
      </c>
      <c r="Y1748" s="1">
        <f t="shared" si="3913"/>
        <v>-4.9688137700208452</v>
      </c>
    </row>
    <row r="1749" spans="1:25">
      <c r="A1749" s="1">
        <v>1.7469999999999799</v>
      </c>
      <c r="B1749" s="1">
        <f t="shared" si="3914"/>
        <v>49.029817954627568</v>
      </c>
      <c r="C1749" s="1">
        <f t="shared" si="3915"/>
        <v>0</v>
      </c>
      <c r="D1749" s="1">
        <f t="shared" si="3916"/>
        <v>-5.0727883506144895</v>
      </c>
      <c r="E1749" s="1">
        <f t="shared" si="3917"/>
        <v>11.942615577475214</v>
      </c>
      <c r="F1749" s="1">
        <f t="shared" si="3918"/>
        <v>0</v>
      </c>
      <c r="G1749" s="1">
        <f t="shared" si="3919"/>
        <v>-7.588681594019512</v>
      </c>
      <c r="H1749" s="1">
        <f t="shared" si="3456"/>
        <v>14.149705126495187</v>
      </c>
      <c r="I1749" s="1">
        <f t="shared" si="3902"/>
        <v>-6.8772241545035966</v>
      </c>
      <c r="J1749" s="1">
        <f t="shared" si="3903"/>
        <v>0</v>
      </c>
      <c r="K1749" s="1">
        <f t="shared" si="3904"/>
        <v>4.3699861241168012</v>
      </c>
      <c r="L1749" s="1">
        <f t="shared" ref="L1749:N1749" si="3956">E1749/$H1749</f>
        <v>0.84401868948581704</v>
      </c>
      <c r="M1749" s="1">
        <f t="shared" si="3956"/>
        <v>0</v>
      </c>
      <c r="N1749" s="1">
        <f t="shared" si="3956"/>
        <v>-0.53631376245500539</v>
      </c>
      <c r="O1749" s="1">
        <f t="shared" si="3458"/>
        <v>-0.53631376245500539</v>
      </c>
      <c r="P1749" s="1">
        <f t="shared" si="3906"/>
        <v>0.45265883894048142</v>
      </c>
      <c r="Q1749" s="1">
        <f t="shared" si="3907"/>
        <v>0</v>
      </c>
      <c r="R1749" s="1">
        <f t="shared" si="3908"/>
        <v>0.71236754820135606</v>
      </c>
      <c r="S1749" s="1">
        <f t="shared" si="3909"/>
        <v>0.65878978275500433</v>
      </c>
      <c r="T1749" s="1">
        <f t="shared" ref="T1749:V1749" si="3957">$S1749*P1749</f>
        <v>0.29820701816773226</v>
      </c>
      <c r="U1749" s="1">
        <f t="shared" si="3957"/>
        <v>0</v>
      </c>
      <c r="V1749" s="1">
        <f t="shared" si="3957"/>
        <v>0.46930046232128642</v>
      </c>
      <c r="W1749" s="1">
        <f t="shared" si="3911"/>
        <v>-6.5790171363358647</v>
      </c>
      <c r="X1749" s="1">
        <f t="shared" si="3912"/>
        <v>0</v>
      </c>
      <c r="Y1749" s="1">
        <f t="shared" si="3913"/>
        <v>-4.9673634135619116</v>
      </c>
    </row>
    <row r="1750" spans="1:25">
      <c r="A1750" s="1">
        <v>1.74799999999998</v>
      </c>
      <c r="B1750" s="1">
        <f t="shared" si="3914"/>
        <v>49.041753991187903</v>
      </c>
      <c r="C1750" s="1">
        <f t="shared" si="3915"/>
        <v>0</v>
      </c>
      <c r="D1750" s="1">
        <f t="shared" si="3916"/>
        <v>-5.0803819995719222</v>
      </c>
      <c r="E1750" s="1">
        <f t="shared" si="3917"/>
        <v>11.936036560338879</v>
      </c>
      <c r="F1750" s="1">
        <f t="shared" si="3918"/>
        <v>0</v>
      </c>
      <c r="G1750" s="1">
        <f t="shared" si="3919"/>
        <v>-7.5936489574330741</v>
      </c>
      <c r="H1750" s="1">
        <f t="shared" si="3456"/>
        <v>14.146818485386415</v>
      </c>
      <c r="I1750" s="1">
        <f t="shared" si="3902"/>
        <v>-6.8720333594384346</v>
      </c>
      <c r="J1750" s="1">
        <f t="shared" si="3903"/>
        <v>0</v>
      </c>
      <c r="K1750" s="1">
        <f t="shared" si="3904"/>
        <v>4.3719545170246539</v>
      </c>
      <c r="L1750" s="1">
        <f t="shared" ref="L1750:N1750" si="3958">E1750/$H1750</f>
        <v>0.84372585770212138</v>
      </c>
      <c r="M1750" s="1">
        <f t="shared" si="3958"/>
        <v>0</v>
      </c>
      <c r="N1750" s="1">
        <f t="shared" si="3958"/>
        <v>-0.53677432599260899</v>
      </c>
      <c r="O1750" s="1">
        <f t="shared" si="3458"/>
        <v>-0.53677432599260899</v>
      </c>
      <c r="P1750" s="1">
        <f t="shared" si="3906"/>
        <v>0.45289037859059211</v>
      </c>
      <c r="Q1750" s="1">
        <f t="shared" si="3907"/>
        <v>0</v>
      </c>
      <c r="R1750" s="1">
        <f t="shared" si="3908"/>
        <v>0.71187332295518035</v>
      </c>
      <c r="S1750" s="1">
        <f t="shared" si="3909"/>
        <v>0.65852101451244527</v>
      </c>
      <c r="T1750" s="1">
        <f t="shared" ref="T1750:V1750" si="3959">$S1750*P1750</f>
        <v>0.29823783157240213</v>
      </c>
      <c r="U1750" s="1">
        <f t="shared" si="3959"/>
        <v>0</v>
      </c>
      <c r="V1750" s="1">
        <f t="shared" si="3959"/>
        <v>0.46878354283679097</v>
      </c>
      <c r="W1750" s="1">
        <f t="shared" si="3911"/>
        <v>-6.5737955278660323</v>
      </c>
      <c r="X1750" s="1">
        <f t="shared" si="3912"/>
        <v>0</v>
      </c>
      <c r="Y1750" s="1">
        <f t="shared" si="3913"/>
        <v>-4.9659119401385547</v>
      </c>
    </row>
    <row r="1751" spans="1:25">
      <c r="A1751" s="1">
        <v>1.7489999999999799</v>
      </c>
      <c r="B1751" s="1">
        <f t="shared" si="3914"/>
        <v>49.053683453952715</v>
      </c>
      <c r="C1751" s="1">
        <f t="shared" si="3915"/>
        <v>0</v>
      </c>
      <c r="D1751" s="1">
        <f t="shared" si="3916"/>
        <v>-5.0879806144412951</v>
      </c>
      <c r="E1751" s="1">
        <f t="shared" si="3917"/>
        <v>11.929462764811014</v>
      </c>
      <c r="F1751" s="1">
        <f t="shared" si="3918"/>
        <v>0</v>
      </c>
      <c r="G1751" s="1">
        <f t="shared" si="3919"/>
        <v>-7.598614869373213</v>
      </c>
      <c r="H1751" s="1">
        <f t="shared" si="3456"/>
        <v>14.143939684192382</v>
      </c>
      <c r="I1751" s="1">
        <f t="shared" si="3902"/>
        <v>-6.8668509220895446</v>
      </c>
      <c r="J1751" s="1">
        <f t="shared" si="3903"/>
        <v>0</v>
      </c>
      <c r="K1751" s="1">
        <f t="shared" si="3904"/>
        <v>4.3739233317591379</v>
      </c>
      <c r="L1751" s="1">
        <f t="shared" ref="L1751:N1751" si="3960">E1751/$H1751</f>
        <v>0.8434328080558543</v>
      </c>
      <c r="M1751" s="1">
        <f t="shared" si="3960"/>
        <v>0</v>
      </c>
      <c r="N1751" s="1">
        <f t="shared" si="3960"/>
        <v>-0.53723467711514727</v>
      </c>
      <c r="O1751" s="1">
        <f t="shared" si="3458"/>
        <v>-0.53723467711514727</v>
      </c>
      <c r="P1751" s="1">
        <f t="shared" si="3906"/>
        <v>0.45312135230420886</v>
      </c>
      <c r="Q1751" s="1">
        <f t="shared" si="3907"/>
        <v>0</v>
      </c>
      <c r="R1751" s="1">
        <f t="shared" si="3908"/>
        <v>0.71137890170498341</v>
      </c>
      <c r="S1751" s="1">
        <f t="shared" si="3909"/>
        <v>0.65825303083862119</v>
      </c>
      <c r="T1751" s="1">
        <f t="shared" ref="T1751:V1751" si="3961">$S1751*P1751</f>
        <v>0.29826850349194012</v>
      </c>
      <c r="U1751" s="1">
        <f t="shared" si="3961"/>
        <v>0</v>
      </c>
      <c r="V1751" s="1">
        <f t="shared" si="3961"/>
        <v>0.46826731812195493</v>
      </c>
      <c r="W1751" s="1">
        <f t="shared" si="3911"/>
        <v>-6.5685824185976047</v>
      </c>
      <c r="X1751" s="1">
        <f t="shared" si="3912"/>
        <v>0</v>
      </c>
      <c r="Y1751" s="1">
        <f t="shared" si="3913"/>
        <v>-4.9644593501189069</v>
      </c>
    </row>
    <row r="1752" spans="1:25">
      <c r="A1752" s="1">
        <v>1.74999999999998</v>
      </c>
      <c r="B1752" s="1">
        <f t="shared" si="3914"/>
        <v>49.065606348135105</v>
      </c>
      <c r="C1752" s="1">
        <f t="shared" si="3915"/>
        <v>0</v>
      </c>
      <c r="D1752" s="1">
        <f t="shared" si="3916"/>
        <v>-5.0955841937700184</v>
      </c>
      <c r="E1752" s="1">
        <f t="shared" si="3917"/>
        <v>11.922894182392415</v>
      </c>
      <c r="F1752" s="1">
        <f t="shared" si="3918"/>
        <v>0</v>
      </c>
      <c r="G1752" s="1">
        <f t="shared" si="3919"/>
        <v>-7.603579328723332</v>
      </c>
      <c r="H1752" s="1">
        <f t="shared" si="3456"/>
        <v>14.141068711123486</v>
      </c>
      <c r="I1752" s="1">
        <f t="shared" si="3902"/>
        <v>-6.8616768237172598</v>
      </c>
      <c r="J1752" s="1">
        <f t="shared" si="3903"/>
        <v>0</v>
      </c>
      <c r="K1752" s="1">
        <f t="shared" si="3904"/>
        <v>4.3758925692929012</v>
      </c>
      <c r="L1752" s="1">
        <f t="shared" ref="L1752:N1752" si="3962">E1752/$H1752</f>
        <v>0.84313954100327393</v>
      </c>
      <c r="M1752" s="1">
        <f t="shared" si="3962"/>
        <v>0</v>
      </c>
      <c r="N1752" s="1">
        <f t="shared" si="3962"/>
        <v>-0.53769481529654761</v>
      </c>
      <c r="O1752" s="1">
        <f t="shared" si="3458"/>
        <v>-0.53769481529654761</v>
      </c>
      <c r="P1752" s="1">
        <f t="shared" si="3906"/>
        <v>0.4533517597689713</v>
      </c>
      <c r="Q1752" s="1">
        <f t="shared" si="3907"/>
        <v>0</v>
      </c>
      <c r="R1752" s="1">
        <f t="shared" si="3908"/>
        <v>0.7108842856032116</v>
      </c>
      <c r="S1752" s="1">
        <f t="shared" si="3909"/>
        <v>0.65798583019080781</v>
      </c>
      <c r="T1752" s="1">
        <f t="shared" ref="T1752:V1752" si="3963">$S1752*P1752</f>
        <v>0.29829903402005026</v>
      </c>
      <c r="U1752" s="1">
        <f t="shared" si="3963"/>
        <v>0</v>
      </c>
      <c r="V1752" s="1">
        <f t="shared" si="3963"/>
        <v>0.46775178683222851</v>
      </c>
      <c r="W1752" s="1">
        <f t="shared" si="3911"/>
        <v>-6.5633777896972099</v>
      </c>
      <c r="X1752" s="1">
        <f t="shared" si="3912"/>
        <v>0</v>
      </c>
      <c r="Y1752" s="1">
        <f t="shared" si="3913"/>
        <v>-4.9630056438748698</v>
      </c>
    </row>
    <row r="1753" spans="1:25">
      <c r="A1753" s="1">
        <v>1.7509999999999799</v>
      </c>
      <c r="B1753" s="1">
        <f t="shared" si="3914"/>
        <v>49.077522678939708</v>
      </c>
      <c r="C1753" s="1">
        <f t="shared" si="3915"/>
        <v>0</v>
      </c>
      <c r="D1753" s="1">
        <f t="shared" si="3916"/>
        <v>-5.1031927361043854</v>
      </c>
      <c r="E1753" s="1">
        <f t="shared" si="3917"/>
        <v>11.916330804602717</v>
      </c>
      <c r="F1753" s="1">
        <f t="shared" si="3918"/>
        <v>0</v>
      </c>
      <c r="G1753" s="1">
        <f t="shared" si="3919"/>
        <v>-7.6085423343672067</v>
      </c>
      <c r="H1753" s="1">
        <f t="shared" si="3456"/>
        <v>14.138205554404054</v>
      </c>
      <c r="I1753" s="1">
        <f t="shared" si="3902"/>
        <v>-6.8565110456260561</v>
      </c>
      <c r="J1753" s="1">
        <f t="shared" si="3903"/>
        <v>0</v>
      </c>
      <c r="K1753" s="1">
        <f t="shared" si="3904"/>
        <v>4.3778622305913286</v>
      </c>
      <c r="L1753" s="1">
        <f t="shared" ref="L1753:N1753" si="3964">E1753/$H1753</f>
        <v>0.84284605700125625</v>
      </c>
      <c r="M1753" s="1">
        <f t="shared" si="3964"/>
        <v>0</v>
      </c>
      <c r="N1753" s="1">
        <f t="shared" si="3964"/>
        <v>-0.53815474001204799</v>
      </c>
      <c r="O1753" s="1">
        <f t="shared" si="3458"/>
        <v>-0.53815474001204799</v>
      </c>
      <c r="P1753" s="1">
        <f t="shared" si="3906"/>
        <v>0.45358160067569087</v>
      </c>
      <c r="Q1753" s="1">
        <f t="shared" si="3907"/>
        <v>0</v>
      </c>
      <c r="R1753" s="1">
        <f t="shared" si="3908"/>
        <v>0.71038947580256506</v>
      </c>
      <c r="S1753" s="1">
        <f t="shared" si="3909"/>
        <v>0.65771941102967901</v>
      </c>
      <c r="T1753" s="1">
        <f t="shared" ref="T1753:V1753" si="3965">$S1753*P1753</f>
        <v>0.29832942325031447</v>
      </c>
      <c r="U1753" s="1">
        <f t="shared" si="3965"/>
        <v>0</v>
      </c>
      <c r="V1753" s="1">
        <f t="shared" si="3965"/>
        <v>0.4672369476265455</v>
      </c>
      <c r="W1753" s="1">
        <f t="shared" si="3911"/>
        <v>-6.5581816223757414</v>
      </c>
      <c r="X1753" s="1">
        <f t="shared" si="3912"/>
        <v>0</v>
      </c>
      <c r="Y1753" s="1">
        <f t="shared" si="3913"/>
        <v>-4.9615508217821249</v>
      </c>
    </row>
    <row r="1754" spans="1:25">
      <c r="A1754" s="1">
        <v>1.75199999999998</v>
      </c>
      <c r="B1754" s="1">
        <f t="shared" si="3914"/>
        <v>49.089432451562686</v>
      </c>
      <c r="C1754" s="1">
        <f t="shared" si="3915"/>
        <v>0</v>
      </c>
      <c r="D1754" s="1">
        <f t="shared" si="3916"/>
        <v>-5.1108062399895742</v>
      </c>
      <c r="E1754" s="1">
        <f t="shared" si="3917"/>
        <v>11.909772622980341</v>
      </c>
      <c r="F1754" s="1">
        <f t="shared" si="3918"/>
        <v>0</v>
      </c>
      <c r="G1754" s="1">
        <f t="shared" si="3919"/>
        <v>-7.6135038851889885</v>
      </c>
      <c r="H1754" s="1">
        <f t="shared" si="3456"/>
        <v>14.13535020227231</v>
      </c>
      <c r="I1754" s="1">
        <f t="shared" si="3902"/>
        <v>-6.8513535691644361</v>
      </c>
      <c r="J1754" s="1">
        <f t="shared" si="3903"/>
        <v>0</v>
      </c>
      <c r="K1754" s="1">
        <f t="shared" si="3904"/>
        <v>4.3798323166125632</v>
      </c>
      <c r="L1754" s="1">
        <f t="shared" ref="L1754:N1754" si="3966">E1754/$H1754</f>
        <v>0.84255235650729055</v>
      </c>
      <c r="M1754" s="1">
        <f t="shared" si="3966"/>
        <v>0</v>
      </c>
      <c r="N1754" s="1">
        <f t="shared" si="3966"/>
        <v>-0.53861445073819891</v>
      </c>
      <c r="O1754" s="1">
        <f t="shared" si="3458"/>
        <v>-0.53861445073819891</v>
      </c>
      <c r="P1754" s="1">
        <f t="shared" si="3906"/>
        <v>0.45381087471834947</v>
      </c>
      <c r="Q1754" s="1">
        <f t="shared" si="3907"/>
        <v>0</v>
      </c>
      <c r="R1754" s="1">
        <f t="shared" si="3908"/>
        <v>0.70989447345598822</v>
      </c>
      <c r="S1754" s="1">
        <f t="shared" si="3909"/>
        <v>0.65745377181929598</v>
      </c>
      <c r="T1754" s="1">
        <f t="shared" ref="T1754:V1754" si="3967">$S1754*P1754</f>
        <v>0.29835967127619284</v>
      </c>
      <c r="U1754" s="1">
        <f t="shared" si="3967"/>
        <v>0</v>
      </c>
      <c r="V1754" s="1">
        <f t="shared" si="3967"/>
        <v>0.46672279916731257</v>
      </c>
      <c r="W1754" s="1">
        <f t="shared" si="3911"/>
        <v>-6.5529938978882436</v>
      </c>
      <c r="X1754" s="1">
        <f t="shared" si="3912"/>
        <v>0</v>
      </c>
      <c r="Y1754" s="1">
        <f t="shared" si="3913"/>
        <v>-4.9600948842201236</v>
      </c>
    </row>
    <row r="1755" spans="1:25">
      <c r="A1755" s="1">
        <v>1.7529999999999799</v>
      </c>
      <c r="B1755" s="1">
        <f t="shared" si="3914"/>
        <v>49.101335671191769</v>
      </c>
      <c r="C1755" s="1">
        <f t="shared" si="3915"/>
        <v>0</v>
      </c>
      <c r="D1755" s="1">
        <f t="shared" si="3916"/>
        <v>-5.1184247039696471</v>
      </c>
      <c r="E1755" s="1">
        <f t="shared" si="3917"/>
        <v>11.903219629082454</v>
      </c>
      <c r="F1755" s="1">
        <f t="shared" si="3918"/>
        <v>0</v>
      </c>
      <c r="G1755" s="1">
        <f t="shared" si="3919"/>
        <v>-7.6184639800732086</v>
      </c>
      <c r="H1755" s="1">
        <f t="shared" si="3456"/>
        <v>14.132502642980356</v>
      </c>
      <c r="I1755" s="1">
        <f t="shared" si="3902"/>
        <v>-6.8462043757248061</v>
      </c>
      <c r="J1755" s="1">
        <f t="shared" si="3903"/>
        <v>0</v>
      </c>
      <c r="K1755" s="1">
        <f t="shared" si="3904"/>
        <v>4.3818028283075146</v>
      </c>
      <c r="L1755" s="1">
        <f t="shared" ref="L1755:N1755" si="3968">E1755/$H1755</f>
        <v>0.8422584399794758</v>
      </c>
      <c r="M1755" s="1">
        <f t="shared" si="3968"/>
        <v>0</v>
      </c>
      <c r="N1755" s="1">
        <f t="shared" si="3968"/>
        <v>-0.53907394695286448</v>
      </c>
      <c r="O1755" s="1">
        <f t="shared" si="3458"/>
        <v>-0.53907394695286448</v>
      </c>
      <c r="P1755" s="1">
        <f t="shared" si="3906"/>
        <v>0.45403958159409835</v>
      </c>
      <c r="Q1755" s="1">
        <f t="shared" si="3907"/>
        <v>0</v>
      </c>
      <c r="R1755" s="1">
        <f t="shared" si="3908"/>
        <v>0.70939927971666017</v>
      </c>
      <c r="S1755" s="1">
        <f t="shared" si="3909"/>
        <v>0.65718891102709898</v>
      </c>
      <c r="T1755" s="1">
        <f t="shared" ref="T1755:V1755" si="3969">$S1755*P1755</f>
        <v>0.29838977819102513</v>
      </c>
      <c r="U1755" s="1">
        <f t="shared" si="3969"/>
        <v>0</v>
      </c>
      <c r="V1755" s="1">
        <f t="shared" si="3969"/>
        <v>0.46620934012040027</v>
      </c>
      <c r="W1755" s="1">
        <f t="shared" si="3911"/>
        <v>-6.5478145975337814</v>
      </c>
      <c r="X1755" s="1">
        <f t="shared" si="3912"/>
        <v>0</v>
      </c>
      <c r="Y1755" s="1">
        <f t="shared" si="3913"/>
        <v>-4.9586378315720845</v>
      </c>
    </row>
    <row r="1756" spans="1:25">
      <c r="A1756" s="1">
        <v>1.75399999999998</v>
      </c>
      <c r="B1756" s="1">
        <f t="shared" si="3914"/>
        <v>49.113232343006253</v>
      </c>
      <c r="C1756" s="1">
        <f t="shared" si="3915"/>
        <v>0</v>
      </c>
      <c r="D1756" s="1">
        <f t="shared" si="3916"/>
        <v>-5.1260481265875519</v>
      </c>
      <c r="E1756" s="1">
        <f t="shared" si="3917"/>
        <v>11.89667181448492</v>
      </c>
      <c r="F1756" s="1">
        <f t="shared" si="3918"/>
        <v>0</v>
      </c>
      <c r="G1756" s="1">
        <f t="shared" si="3919"/>
        <v>-7.6234226179047804</v>
      </c>
      <c r="H1756" s="1">
        <f t="shared" si="3456"/>
        <v>14.129662864794124</v>
      </c>
      <c r="I1756" s="1">
        <f t="shared" si="3902"/>
        <v>-6.8410634467433518</v>
      </c>
      <c r="J1756" s="1">
        <f t="shared" si="3903"/>
        <v>0</v>
      </c>
      <c r="K1756" s="1">
        <f t="shared" si="3904"/>
        <v>4.3837737666198624</v>
      </c>
      <c r="L1756" s="1">
        <f t="shared" ref="L1756:N1756" si="3970">E1756/$H1756</f>
        <v>0.84196430787651777</v>
      </c>
      <c r="M1756" s="1">
        <f t="shared" si="3970"/>
        <v>0</v>
      </c>
      <c r="N1756" s="1">
        <f t="shared" si="3970"/>
        <v>-0.53953322813522464</v>
      </c>
      <c r="O1756" s="1">
        <f t="shared" si="3458"/>
        <v>-0.53953322813522464</v>
      </c>
      <c r="P1756" s="1">
        <f t="shared" si="3906"/>
        <v>0.4542677210032578</v>
      </c>
      <c r="Q1756" s="1">
        <f t="shared" si="3907"/>
        <v>0</v>
      </c>
      <c r="R1756" s="1">
        <f t="shared" si="3908"/>
        <v>0.70890389573798362</v>
      </c>
      <c r="S1756" s="1">
        <f t="shared" si="3909"/>
        <v>0.65692482712389455</v>
      </c>
      <c r="T1756" s="1">
        <f t="shared" ref="T1756:V1756" si="3971">$S1756*P1756</f>
        <v>0.29841974408803068</v>
      </c>
      <c r="U1756" s="1">
        <f t="shared" si="3971"/>
        <v>0</v>
      </c>
      <c r="V1756" s="1">
        <f t="shared" si="3971"/>
        <v>0.46569656915513025</v>
      </c>
      <c r="W1756" s="1">
        <f t="shared" si="3911"/>
        <v>-6.5426437026553215</v>
      </c>
      <c r="X1756" s="1">
        <f t="shared" si="3912"/>
        <v>0</v>
      </c>
      <c r="Y1756" s="1">
        <f t="shared" si="3913"/>
        <v>-4.9571796642250066</v>
      </c>
    </row>
    <row r="1757" spans="1:25">
      <c r="A1757" s="1">
        <v>1.7549999999999799</v>
      </c>
      <c r="B1757" s="1">
        <f t="shared" si="3914"/>
        <v>49.125122472177033</v>
      </c>
      <c r="C1757" s="1">
        <f t="shared" si="3915"/>
        <v>0</v>
      </c>
      <c r="D1757" s="1">
        <f t="shared" si="3916"/>
        <v>-5.1336765063851209</v>
      </c>
      <c r="E1757" s="1">
        <f t="shared" si="3917"/>
        <v>11.890129170782265</v>
      </c>
      <c r="F1757" s="1">
        <f t="shared" si="3918"/>
        <v>0</v>
      </c>
      <c r="G1757" s="1">
        <f t="shared" si="3919"/>
        <v>-7.6283797975690053</v>
      </c>
      <c r="H1757" s="1">
        <f t="shared" si="3456"/>
        <v>14.126830855993367</v>
      </c>
      <c r="I1757" s="1">
        <f t="shared" si="3902"/>
        <v>-6.835930763699924</v>
      </c>
      <c r="J1757" s="1">
        <f t="shared" si="3903"/>
        <v>0</v>
      </c>
      <c r="K1757" s="1">
        <f t="shared" si="3904"/>
        <v>4.385745132486071</v>
      </c>
      <c r="L1757" s="1">
        <f t="shared" ref="L1757:N1757" si="3972">E1757/$H1757</f>
        <v>0.84166996065772448</v>
      </c>
      <c r="M1757" s="1">
        <f t="shared" si="3972"/>
        <v>0</v>
      </c>
      <c r="N1757" s="1">
        <f t="shared" si="3972"/>
        <v>-0.5399922937657764</v>
      </c>
      <c r="O1757" s="1">
        <f t="shared" si="3458"/>
        <v>-0.5399922937657764</v>
      </c>
      <c r="P1757" s="1">
        <f t="shared" si="3906"/>
        <v>0.45449529264931543</v>
      </c>
      <c r="Q1757" s="1">
        <f t="shared" si="3907"/>
        <v>0</v>
      </c>
      <c r="R1757" s="1">
        <f t="shared" si="3908"/>
        <v>0.70840832267357545</v>
      </c>
      <c r="S1757" s="1">
        <f t="shared" si="3909"/>
        <v>0.6566615185838478</v>
      </c>
      <c r="T1757" s="1">
        <f t="shared" ref="T1757:V1757" si="3973">$S1757*P1757</f>
        <v>0.29844956906030978</v>
      </c>
      <c r="U1757" s="1">
        <f t="shared" si="3973"/>
        <v>0</v>
      </c>
      <c r="V1757" s="1">
        <f t="shared" si="3973"/>
        <v>0.46518448494426651</v>
      </c>
      <c r="W1757" s="1">
        <f t="shared" si="3911"/>
        <v>-6.5374811946396143</v>
      </c>
      <c r="X1757" s="1">
        <f t="shared" si="3912"/>
        <v>0</v>
      </c>
      <c r="Y1757" s="1">
        <f t="shared" si="3913"/>
        <v>-4.9557203825696616</v>
      </c>
    </row>
    <row r="1758" spans="1:25">
      <c r="A1758" s="1">
        <v>1.75599999999998</v>
      </c>
      <c r="B1758" s="1">
        <f t="shared" si="3914"/>
        <v>49.137006063866622</v>
      </c>
      <c r="C1758" s="1">
        <f t="shared" si="3915"/>
        <v>0</v>
      </c>
      <c r="D1758" s="1">
        <f t="shared" si="3916"/>
        <v>-5.1413098419030723</v>
      </c>
      <c r="E1758" s="1">
        <f t="shared" si="3917"/>
        <v>11.883591689587625</v>
      </c>
      <c r="F1758" s="1">
        <f t="shared" si="3918"/>
        <v>0</v>
      </c>
      <c r="G1758" s="1">
        <f t="shared" si="3919"/>
        <v>-7.6333355179515747</v>
      </c>
      <c r="H1758" s="1">
        <f t="shared" si="3456"/>
        <v>14.124006604871619</v>
      </c>
      <c r="I1758" s="1">
        <f t="shared" si="3902"/>
        <v>-6.8308063081179204</v>
      </c>
      <c r="J1758" s="1">
        <f t="shared" si="3903"/>
        <v>0</v>
      </c>
      <c r="K1758" s="1">
        <f t="shared" si="3904"/>
        <v>4.3877169268354059</v>
      </c>
      <c r="L1758" s="1">
        <f t="shared" ref="L1758:N1758" si="3974">E1758/$H1758</f>
        <v>0.84137539878300294</v>
      </c>
      <c r="M1758" s="1">
        <f t="shared" si="3974"/>
        <v>0</v>
      </c>
      <c r="N1758" s="1">
        <f t="shared" si="3974"/>
        <v>-0.54045114332633504</v>
      </c>
      <c r="O1758" s="1">
        <f t="shared" si="3458"/>
        <v>-0.54045114332633504</v>
      </c>
      <c r="P1758" s="1">
        <f t="shared" si="3906"/>
        <v>0.45472229623892502</v>
      </c>
      <c r="Q1758" s="1">
        <f t="shared" si="3907"/>
        <v>0</v>
      </c>
      <c r="R1758" s="1">
        <f t="shared" si="3908"/>
        <v>0.70791256167725725</v>
      </c>
      <c r="S1758" s="1">
        <f t="shared" si="3909"/>
        <v>0.6563989838844716</v>
      </c>
      <c r="T1758" s="1">
        <f t="shared" ref="T1758:V1758" si="3975">$S1758*P1758</f>
        <v>0.29847925320084406</v>
      </c>
      <c r="U1758" s="1">
        <f t="shared" si="3975"/>
        <v>0</v>
      </c>
      <c r="V1758" s="1">
        <f t="shared" si="3975"/>
        <v>0.46467308616400499</v>
      </c>
      <c r="W1758" s="1">
        <f t="shared" si="3911"/>
        <v>-6.5323270549170767</v>
      </c>
      <c r="X1758" s="1">
        <f t="shared" si="3912"/>
        <v>0</v>
      </c>
      <c r="Y1758" s="1">
        <f t="shared" si="3913"/>
        <v>-4.9542599870005883</v>
      </c>
    </row>
    <row r="1759" spans="1:25">
      <c r="A1759" s="1">
        <v>1.7569999999999799</v>
      </c>
      <c r="B1759" s="1">
        <f t="shared" si="3914"/>
        <v>49.148883123229155</v>
      </c>
      <c r="C1759" s="1">
        <f t="shared" si="3915"/>
        <v>0</v>
      </c>
      <c r="D1759" s="1">
        <f t="shared" si="3916"/>
        <v>-5.1489481316810108</v>
      </c>
      <c r="E1759" s="1">
        <f t="shared" si="3917"/>
        <v>11.877059362532709</v>
      </c>
      <c r="F1759" s="1">
        <f t="shared" si="3918"/>
        <v>0</v>
      </c>
      <c r="G1759" s="1">
        <f t="shared" si="3919"/>
        <v>-7.6382897779385752</v>
      </c>
      <c r="H1759" s="1">
        <f t="shared" si="3456"/>
        <v>14.12119009973617</v>
      </c>
      <c r="I1759" s="1">
        <f t="shared" si="3902"/>
        <v>-6.825690061564158</v>
      </c>
      <c r="J1759" s="1">
        <f t="shared" si="3903"/>
        <v>0</v>
      </c>
      <c r="K1759" s="1">
        <f t="shared" si="3904"/>
        <v>4.389689150589934</v>
      </c>
      <c r="L1759" s="1">
        <f t="shared" ref="L1759:N1759" si="3976">E1759/$H1759</f>
        <v>0.84108062271285555</v>
      </c>
      <c r="M1759" s="1">
        <f t="shared" si="3976"/>
        <v>0</v>
      </c>
      <c r="N1759" s="1">
        <f t="shared" si="3976"/>
        <v>-0.540909776300036</v>
      </c>
      <c r="O1759" s="1">
        <f t="shared" si="3458"/>
        <v>-0.540909776300036</v>
      </c>
      <c r="P1759" s="1">
        <f t="shared" si="3906"/>
        <v>0.45494873148190568</v>
      </c>
      <c r="Q1759" s="1">
        <f t="shared" si="3907"/>
        <v>0</v>
      </c>
      <c r="R1759" s="1">
        <f t="shared" si="3908"/>
        <v>0.707416613903045</v>
      </c>
      <c r="S1759" s="1">
        <f t="shared" si="3909"/>
        <v>0.65613722150661669</v>
      </c>
      <c r="T1759" s="1">
        <f t="shared" ref="T1759:V1759" si="3977">$S1759*P1759</f>
        <v>0.29850879660249741</v>
      </c>
      <c r="U1759" s="1">
        <f t="shared" si="3977"/>
        <v>0</v>
      </c>
      <c r="V1759" s="1">
        <f t="shared" si="3977"/>
        <v>0.46416237149396294</v>
      </c>
      <c r="W1759" s="1">
        <f t="shared" si="3911"/>
        <v>-6.5271812649616603</v>
      </c>
      <c r="X1759" s="1">
        <f t="shared" si="3912"/>
        <v>0</v>
      </c>
      <c r="Y1759" s="1">
        <f t="shared" si="3913"/>
        <v>-4.9527984779161027</v>
      </c>
    </row>
    <row r="1760" spans="1:25">
      <c r="A1760" s="1">
        <v>1.75799999999998</v>
      </c>
      <c r="B1760" s="1">
        <f t="shared" si="3914"/>
        <v>49.160753655410424</v>
      </c>
      <c r="C1760" s="1">
        <f t="shared" si="3915"/>
        <v>0</v>
      </c>
      <c r="D1760" s="1">
        <f t="shared" si="3916"/>
        <v>-5.1565913742574274</v>
      </c>
      <c r="E1760" s="1">
        <f t="shared" si="3917"/>
        <v>11.870532181267746</v>
      </c>
      <c r="F1760" s="1">
        <f t="shared" si="3918"/>
        <v>0</v>
      </c>
      <c r="G1760" s="1">
        <f t="shared" si="3919"/>
        <v>-7.6432425764164913</v>
      </c>
      <c r="H1760" s="1">
        <f t="shared" si="3456"/>
        <v>14.118381328908034</v>
      </c>
      <c r="I1760" s="1">
        <f t="shared" si="3902"/>
        <v>-6.8205820056487614</v>
      </c>
      <c r="J1760" s="1">
        <f t="shared" si="3903"/>
        <v>0</v>
      </c>
      <c r="K1760" s="1">
        <f t="shared" si="3904"/>
        <v>4.3916618046645395</v>
      </c>
      <c r="L1760" s="1">
        <f t="shared" ref="L1760:N1760" si="3978">E1760/$H1760</f>
        <v>0.84078563290837638</v>
      </c>
      <c r="M1760" s="1">
        <f t="shared" si="3978"/>
        <v>0</v>
      </c>
      <c r="N1760" s="1">
        <f t="shared" si="3978"/>
        <v>-0.54136819217133636</v>
      </c>
      <c r="O1760" s="1">
        <f t="shared" si="3458"/>
        <v>-0.54136819217133636</v>
      </c>
      <c r="P1760" s="1">
        <f t="shared" si="3906"/>
        <v>0.45517459809124056</v>
      </c>
      <c r="Q1760" s="1">
        <f t="shared" si="3907"/>
        <v>0</v>
      </c>
      <c r="R1760" s="1">
        <f t="shared" si="3908"/>
        <v>0.706920480505139</v>
      </c>
      <c r="S1760" s="1">
        <f t="shared" si="3909"/>
        <v>0.65587622993446171</v>
      </c>
      <c r="T1760" s="1">
        <f t="shared" ref="T1760:V1760" si="3979">$S1760*P1760</f>
        <v>0.29853819935801668</v>
      </c>
      <c r="U1760" s="1">
        <f t="shared" si="3979"/>
        <v>0</v>
      </c>
      <c r="V1760" s="1">
        <f t="shared" si="3979"/>
        <v>0.46365233961716873</v>
      </c>
      <c r="W1760" s="1">
        <f t="shared" si="3911"/>
        <v>-6.5220438062907444</v>
      </c>
      <c r="X1760" s="1">
        <f t="shared" si="3912"/>
        <v>0</v>
      </c>
      <c r="Y1760" s="1">
        <f t="shared" si="3913"/>
        <v>-4.9513358557182912</v>
      </c>
    </row>
    <row r="1761" spans="1:25">
      <c r="A1761" s="1">
        <v>1.7589999999999799</v>
      </c>
      <c r="B1761" s="1">
        <f t="shared" si="3914"/>
        <v>49.172617665547882</v>
      </c>
      <c r="C1761" s="1">
        <f t="shared" si="3915"/>
        <v>0</v>
      </c>
      <c r="D1761" s="1">
        <f t="shared" si="3916"/>
        <v>-5.1642395681697</v>
      </c>
      <c r="E1761" s="1">
        <f t="shared" si="3917"/>
        <v>11.864010137461456</v>
      </c>
      <c r="F1761" s="1">
        <f t="shared" si="3918"/>
        <v>0</v>
      </c>
      <c r="G1761" s="1">
        <f t="shared" si="3919"/>
        <v>-7.6481939122722098</v>
      </c>
      <c r="H1761" s="1">
        <f t="shared" si="3456"/>
        <v>14.115580280721932</v>
      </c>
      <c r="I1761" s="1">
        <f t="shared" si="3902"/>
        <v>-6.8154821220250481</v>
      </c>
      <c r="J1761" s="1">
        <f t="shared" si="3903"/>
        <v>0</v>
      </c>
      <c r="K1761" s="1">
        <f t="shared" si="3904"/>
        <v>4.3936348899669344</v>
      </c>
      <c r="L1761" s="1">
        <f t="shared" ref="L1761:N1761" si="3980">E1761/$H1761</f>
        <v>0.84049042983124733</v>
      </c>
      <c r="M1761" s="1">
        <f t="shared" si="3980"/>
        <v>0</v>
      </c>
      <c r="N1761" s="1">
        <f t="shared" si="3980"/>
        <v>-0.54182639042601566</v>
      </c>
      <c r="O1761" s="1">
        <f t="shared" si="3458"/>
        <v>-0.54182639042601566</v>
      </c>
      <c r="P1761" s="1">
        <f t="shared" si="3906"/>
        <v>0.45539989578307516</v>
      </c>
      <c r="Q1761" s="1">
        <f t="shared" si="3907"/>
        <v>0</v>
      </c>
      <c r="R1761" s="1">
        <f t="shared" si="3908"/>
        <v>0.70642416263791485</v>
      </c>
      <c r="S1761" s="1">
        <f t="shared" si="3909"/>
        <v>0.65561600765550399</v>
      </c>
      <c r="T1761" s="1">
        <f t="shared" ref="T1761:V1761" si="3981">$S1761*P1761</f>
        <v>0.29856746156003233</v>
      </c>
      <c r="U1761" s="1">
        <f t="shared" si="3981"/>
        <v>0</v>
      </c>
      <c r="V1761" s="1">
        <f t="shared" si="3981"/>
        <v>0.4631429892200522</v>
      </c>
      <c r="W1761" s="1">
        <f t="shared" si="3911"/>
        <v>-6.5169146604650159</v>
      </c>
      <c r="X1761" s="1">
        <f t="shared" si="3912"/>
        <v>0</v>
      </c>
      <c r="Y1761" s="1">
        <f t="shared" si="3913"/>
        <v>-4.949872120813013</v>
      </c>
    </row>
    <row r="1762" spans="1:25">
      <c r="A1762" s="1">
        <v>1.75999999999998</v>
      </c>
      <c r="B1762" s="1">
        <f t="shared" si="3914"/>
        <v>49.184475158770681</v>
      </c>
      <c r="C1762" s="1">
        <f t="shared" si="3915"/>
        <v>0</v>
      </c>
      <c r="D1762" s="1">
        <f t="shared" si="3916"/>
        <v>-5.1718927119540927</v>
      </c>
      <c r="E1762" s="1">
        <f t="shared" si="3917"/>
        <v>11.857493222800992</v>
      </c>
      <c r="F1762" s="1">
        <f t="shared" si="3918"/>
        <v>0</v>
      </c>
      <c r="G1762" s="1">
        <f t="shared" si="3919"/>
        <v>-7.6531437843930226</v>
      </c>
      <c r="H1762" s="1">
        <f t="shared" si="3456"/>
        <v>14.112786943526251</v>
      </c>
      <c r="I1762" s="1">
        <f t="shared" si="3902"/>
        <v>-6.8103903923894009</v>
      </c>
      <c r="J1762" s="1">
        <f t="shared" si="3903"/>
        <v>0</v>
      </c>
      <c r="K1762" s="1">
        <f t="shared" si="3904"/>
        <v>4.3956084073976669</v>
      </c>
      <c r="L1762" s="1">
        <f t="shared" ref="L1762:N1762" si="3982">E1762/$H1762</f>
        <v>0.84019501394373441</v>
      </c>
      <c r="M1762" s="1">
        <f t="shared" si="3982"/>
        <v>0</v>
      </c>
      <c r="N1762" s="1">
        <f t="shared" si="3982"/>
        <v>-0.54228437055117851</v>
      </c>
      <c r="O1762" s="1">
        <f t="shared" si="3458"/>
        <v>-0.54228437055117851</v>
      </c>
      <c r="P1762" s="1">
        <f t="shared" si="3906"/>
        <v>0.45562462427671668</v>
      </c>
      <c r="Q1762" s="1">
        <f t="shared" si="3907"/>
        <v>0</v>
      </c>
      <c r="R1762" s="1">
        <f t="shared" si="3908"/>
        <v>0.70592766145591213</v>
      </c>
      <c r="S1762" s="1">
        <f t="shared" si="3909"/>
        <v>0.65535655316054886</v>
      </c>
      <c r="T1762" s="1">
        <f t="shared" ref="T1762:V1762" si="3983">$S1762*P1762</f>
        <v>0.2985965833010592</v>
      </c>
      <c r="U1762" s="1">
        <f t="shared" si="3983"/>
        <v>0</v>
      </c>
      <c r="V1762" s="1">
        <f t="shared" si="3983"/>
        <v>0.4626343189924334</v>
      </c>
      <c r="W1762" s="1">
        <f t="shared" si="3911"/>
        <v>-6.511793809088342</v>
      </c>
      <c r="X1762" s="1">
        <f t="shared" si="3912"/>
        <v>0</v>
      </c>
      <c r="Y1762" s="1">
        <f t="shared" si="3913"/>
        <v>-4.9484072736098987</v>
      </c>
    </row>
    <row r="1763" spans="1:25">
      <c r="A1763" s="1">
        <v>1.7609999999999799</v>
      </c>
      <c r="B1763" s="1">
        <f t="shared" si="3914"/>
        <v>49.196326140199673</v>
      </c>
      <c r="C1763" s="1">
        <f t="shared" si="3915"/>
        <v>0</v>
      </c>
      <c r="D1763" s="1">
        <f t="shared" si="3916"/>
        <v>-5.1795508041457596</v>
      </c>
      <c r="E1763" s="1">
        <f t="shared" si="3917"/>
        <v>11.850981428991904</v>
      </c>
      <c r="F1763" s="1">
        <f t="shared" si="3918"/>
        <v>0</v>
      </c>
      <c r="G1763" s="1">
        <f t="shared" si="3919"/>
        <v>-7.6580921916666327</v>
      </c>
      <c r="H1763" s="1">
        <f t="shared" si="3456"/>
        <v>14.110001305683017</v>
      </c>
      <c r="I1763" s="1">
        <f t="shared" si="3902"/>
        <v>-6.8053067984811531</v>
      </c>
      <c r="J1763" s="1">
        <f t="shared" si="3903"/>
        <v>0</v>
      </c>
      <c r="K1763" s="1">
        <f t="shared" si="3904"/>
        <v>4.3975823578501343</v>
      </c>
      <c r="L1763" s="1">
        <f t="shared" ref="L1763:N1763" si="3984">E1763/$H1763</f>
        <v>0.83989938570868461</v>
      </c>
      <c r="M1763" s="1">
        <f t="shared" si="3984"/>
        <v>0</v>
      </c>
      <c r="N1763" s="1">
        <f t="shared" si="3984"/>
        <v>-0.54274213203525501</v>
      </c>
      <c r="O1763" s="1">
        <f t="shared" si="3458"/>
        <v>-0.54274213203525501</v>
      </c>
      <c r="P1763" s="1">
        <f t="shared" si="3906"/>
        <v>0.45584878329463246</v>
      </c>
      <c r="Q1763" s="1">
        <f t="shared" si="3907"/>
        <v>0</v>
      </c>
      <c r="R1763" s="1">
        <f t="shared" si="3908"/>
        <v>0.70543097811382582</v>
      </c>
      <c r="S1763" s="1">
        <f t="shared" si="3909"/>
        <v>0.65509786494370037</v>
      </c>
      <c r="T1763" s="1">
        <f t="shared" ref="T1763:V1763" si="3985">$S1763*P1763</f>
        <v>0.29862556467349727</v>
      </c>
      <c r="U1763" s="1">
        <f t="shared" si="3985"/>
        <v>0</v>
      </c>
      <c r="V1763" s="1">
        <f t="shared" si="3985"/>
        <v>0.46212632762751354</v>
      </c>
      <c r="W1763" s="1">
        <f t="shared" si="3911"/>
        <v>-6.5066812338076554</v>
      </c>
      <c r="X1763" s="1">
        <f t="shared" si="3912"/>
        <v>0</v>
      </c>
      <c r="Y1763" s="1">
        <f t="shared" si="3913"/>
        <v>-4.946941314522352</v>
      </c>
    </row>
    <row r="1764" spans="1:25">
      <c r="A1764" s="1">
        <v>1.76199999999998</v>
      </c>
      <c r="B1764" s="1">
        <f t="shared" si="3914"/>
        <v>49.208170614947434</v>
      </c>
      <c r="C1764" s="1">
        <f t="shared" si="3915"/>
        <v>0</v>
      </c>
      <c r="D1764" s="1">
        <f t="shared" si="3916"/>
        <v>-5.1872138432787409</v>
      </c>
      <c r="E1764" s="1">
        <f t="shared" si="3917"/>
        <v>11.844474747758097</v>
      </c>
      <c r="F1764" s="1">
        <f t="shared" si="3918"/>
        <v>0</v>
      </c>
      <c r="G1764" s="1">
        <f t="shared" si="3919"/>
        <v>-7.6630391329811554</v>
      </c>
      <c r="H1764" s="1">
        <f t="shared" si="3456"/>
        <v>14.107223355567879</v>
      </c>
      <c r="I1764" s="1">
        <f t="shared" si="3902"/>
        <v>-6.8002313220824808</v>
      </c>
      <c r="J1764" s="1">
        <f t="shared" si="3903"/>
        <v>0</v>
      </c>
      <c r="K1764" s="1">
        <f t="shared" si="3904"/>
        <v>4.3995567422105912</v>
      </c>
      <c r="L1764" s="1">
        <f t="shared" ref="L1764:N1764" si="3986">E1764/$H1764</f>
        <v>0.83960354558952144</v>
      </c>
      <c r="M1764" s="1">
        <f t="shared" si="3986"/>
        <v>0</v>
      </c>
      <c r="N1764" s="1">
        <f t="shared" si="3986"/>
        <v>-0.54319967436800276</v>
      </c>
      <c r="O1764" s="1">
        <f t="shared" si="3458"/>
        <v>-0.54319967436800276</v>
      </c>
      <c r="P1764" s="1">
        <f t="shared" si="3906"/>
        <v>0.45607237256244859</v>
      </c>
      <c r="Q1764" s="1">
        <f t="shared" si="3907"/>
        <v>0</v>
      </c>
      <c r="R1764" s="1">
        <f t="shared" si="3908"/>
        <v>0.70493411376649573</v>
      </c>
      <c r="S1764" s="1">
        <f t="shared" si="3909"/>
        <v>0.65483994150235147</v>
      </c>
      <c r="T1764" s="1">
        <f t="shared" ref="T1764:V1764" si="3987">$S1764*P1764</f>
        <v>0.29865440576963248</v>
      </c>
      <c r="U1764" s="1">
        <f t="shared" si="3987"/>
        <v>0</v>
      </c>
      <c r="V1764" s="1">
        <f t="shared" si="3987"/>
        <v>0.46161901382186404</v>
      </c>
      <c r="W1764" s="1">
        <f t="shared" si="3911"/>
        <v>-6.5015769163128487</v>
      </c>
      <c r="X1764" s="1">
        <f t="shared" si="3912"/>
        <v>0</v>
      </c>
      <c r="Y1764" s="1">
        <f t="shared" si="3913"/>
        <v>-4.9454742439675439</v>
      </c>
    </row>
    <row r="1765" spans="1:25">
      <c r="A1765" s="1">
        <v>1.7629999999999799</v>
      </c>
      <c r="B1765" s="1">
        <f t="shared" si="3914"/>
        <v>49.220008588118276</v>
      </c>
      <c r="C1765" s="1">
        <f t="shared" si="3915"/>
        <v>0</v>
      </c>
      <c r="D1765" s="1">
        <f t="shared" si="3916"/>
        <v>-5.1948818278859656</v>
      </c>
      <c r="E1765" s="1">
        <f t="shared" si="3917"/>
        <v>11.837973170841785</v>
      </c>
      <c r="F1765" s="1">
        <f t="shared" si="3918"/>
        <v>0</v>
      </c>
      <c r="G1765" s="1">
        <f t="shared" si="3919"/>
        <v>-7.6679846072251232</v>
      </c>
      <c r="H1765" s="1">
        <f t="shared" si="3456"/>
        <v>14.104453081570066</v>
      </c>
      <c r="I1765" s="1">
        <f t="shared" si="3902"/>
        <v>-6.795163945018273</v>
      </c>
      <c r="J1765" s="1">
        <f t="shared" si="3903"/>
        <v>0</v>
      </c>
      <c r="K1765" s="1">
        <f t="shared" si="3904"/>
        <v>4.4015315613581611</v>
      </c>
      <c r="L1765" s="1">
        <f t="shared" ref="L1765:N1765" si="3988">E1765/$H1765</f>
        <v>0.83930749405024196</v>
      </c>
      <c r="M1765" s="1">
        <f t="shared" si="3988"/>
        <v>0</v>
      </c>
      <c r="N1765" s="1">
        <f t="shared" si="3988"/>
        <v>-0.54365699704050818</v>
      </c>
      <c r="O1765" s="1">
        <f t="shared" si="3458"/>
        <v>-0.54365699704050818</v>
      </c>
      <c r="P1765" s="1">
        <f t="shared" si="3906"/>
        <v>0.45629539180894874</v>
      </c>
      <c r="Q1765" s="1">
        <f t="shared" si="3907"/>
        <v>0</v>
      </c>
      <c r="R1765" s="1">
        <f t="shared" si="3908"/>
        <v>0.70443706956889685</v>
      </c>
      <c r="S1765" s="1">
        <f t="shared" si="3909"/>
        <v>0.65458278133717429</v>
      </c>
      <c r="T1765" s="1">
        <f t="shared" ref="T1765:V1765" si="3989">$S1765*P1765</f>
        <v>0.29868310668163733</v>
      </c>
      <c r="U1765" s="1">
        <f t="shared" si="3989"/>
        <v>0</v>
      </c>
      <c r="V1765" s="1">
        <f t="shared" si="3989"/>
        <v>0.46111237627541701</v>
      </c>
      <c r="W1765" s="1">
        <f t="shared" si="3911"/>
        <v>-6.4964808383366357</v>
      </c>
      <c r="X1765" s="1">
        <f t="shared" si="3912"/>
        <v>0</v>
      </c>
      <c r="Y1765" s="1">
        <f t="shared" si="3913"/>
        <v>-4.9440060623664213</v>
      </c>
    </row>
    <row r="1766" spans="1:25">
      <c r="A1766" s="1">
        <v>1.76399999999998</v>
      </c>
      <c r="B1766" s="1">
        <f t="shared" si="3914"/>
        <v>49.231840064808281</v>
      </c>
      <c r="C1766" s="1">
        <f t="shared" si="3915"/>
        <v>0</v>
      </c>
      <c r="D1766" s="1">
        <f t="shared" si="3916"/>
        <v>-5.2025547564992527</v>
      </c>
      <c r="E1766" s="1">
        <f t="shared" si="3917"/>
        <v>11.831476690003448</v>
      </c>
      <c r="F1766" s="1">
        <f t="shared" si="3918"/>
        <v>0</v>
      </c>
      <c r="G1766" s="1">
        <f t="shared" si="3919"/>
        <v>-7.6729286132874899</v>
      </c>
      <c r="H1766" s="1">
        <f t="shared" si="3456"/>
        <v>14.101690472092374</v>
      </c>
      <c r="I1766" s="1">
        <f t="shared" si="3902"/>
        <v>-6.7901046491560244</v>
      </c>
      <c r="J1766" s="1">
        <f t="shared" si="3903"/>
        <v>0</v>
      </c>
      <c r="K1766" s="1">
        <f t="shared" si="3904"/>
        <v>4.4035068161648452</v>
      </c>
      <c r="L1766" s="1">
        <f t="shared" ref="L1766:N1766" si="3990">E1766/$H1766</f>
        <v>0.83901123155541246</v>
      </c>
      <c r="M1766" s="1">
        <f t="shared" si="3990"/>
        <v>0</v>
      </c>
      <c r="N1766" s="1">
        <f t="shared" si="3990"/>
        <v>-0.5441140995451873</v>
      </c>
      <c r="O1766" s="1">
        <f t="shared" si="3458"/>
        <v>-0.5441140995451873</v>
      </c>
      <c r="P1766" s="1">
        <f t="shared" si="3906"/>
        <v>0.45651784076607188</v>
      </c>
      <c r="Q1766" s="1">
        <f t="shared" si="3907"/>
        <v>0</v>
      </c>
      <c r="R1766" s="1">
        <f t="shared" si="3908"/>
        <v>0.70393984667612997</v>
      </c>
      <c r="S1766" s="1">
        <f t="shared" si="3909"/>
        <v>0.65432638295211065</v>
      </c>
      <c r="T1766" s="1">
        <f t="shared" ref="T1766:V1766" si="3991">$S1766*P1766</f>
        <v>0.29871166750157141</v>
      </c>
      <c r="U1766" s="1">
        <f t="shared" si="3991"/>
        <v>0</v>
      </c>
      <c r="V1766" s="1">
        <f t="shared" si="3991"/>
        <v>0.4606064136914555</v>
      </c>
      <c r="W1766" s="1">
        <f t="shared" si="3911"/>
        <v>-6.4913929816544531</v>
      </c>
      <c r="X1766" s="1">
        <f t="shared" si="3912"/>
        <v>0</v>
      </c>
      <c r="Y1766" s="1">
        <f t="shared" si="3913"/>
        <v>-4.9425367701436986</v>
      </c>
    </row>
    <row r="1767" spans="1:25">
      <c r="A1767" s="1">
        <v>1.7649999999999799</v>
      </c>
      <c r="B1767" s="1">
        <f t="shared" si="3914"/>
        <v>49.243665050105307</v>
      </c>
      <c r="C1767" s="1">
        <f t="shared" si="3915"/>
        <v>0</v>
      </c>
      <c r="D1767" s="1">
        <f t="shared" si="3916"/>
        <v>-5.2102326276493107</v>
      </c>
      <c r="E1767" s="1">
        <f t="shared" si="3917"/>
        <v>11.824985297021794</v>
      </c>
      <c r="F1767" s="1">
        <f t="shared" si="3918"/>
        <v>0</v>
      </c>
      <c r="G1767" s="1">
        <f t="shared" si="3919"/>
        <v>-7.6778711500576335</v>
      </c>
      <c r="H1767" s="1">
        <f t="shared" si="3456"/>
        <v>14.098935515551128</v>
      </c>
      <c r="I1767" s="1">
        <f t="shared" si="3902"/>
        <v>-6.7850534164057184</v>
      </c>
      <c r="J1767" s="1">
        <f t="shared" si="3903"/>
        <v>0</v>
      </c>
      <c r="K1767" s="1">
        <f t="shared" si="3904"/>
        <v>4.4054825074955382</v>
      </c>
      <c r="L1767" s="1">
        <f t="shared" ref="L1767:N1767" si="3992">E1767/$H1767</f>
        <v>0.83871475857016531</v>
      </c>
      <c r="M1767" s="1">
        <f t="shared" si="3992"/>
        <v>0</v>
      </c>
      <c r="N1767" s="1">
        <f t="shared" si="3992"/>
        <v>-0.5445709813757883</v>
      </c>
      <c r="O1767" s="1">
        <f t="shared" si="3458"/>
        <v>-0.5445709813757883</v>
      </c>
      <c r="P1767" s="1">
        <f t="shared" si="3906"/>
        <v>0.45673971916891226</v>
      </c>
      <c r="Q1767" s="1">
        <f t="shared" si="3907"/>
        <v>0</v>
      </c>
      <c r="R1767" s="1">
        <f t="shared" si="3908"/>
        <v>0.70344244624341079</v>
      </c>
      <c r="S1767" s="1">
        <f t="shared" si="3909"/>
        <v>0.65407074485436234</v>
      </c>
      <c r="T1767" s="1">
        <f t="shared" ref="T1767:V1767" si="3993">$S1767*P1767</f>
        <v>0.29874008832138271</v>
      </c>
      <c r="U1767" s="1">
        <f t="shared" si="3993"/>
        <v>0</v>
      </c>
      <c r="V1767" s="1">
        <f t="shared" si="3993"/>
        <v>0.46010112477660242</v>
      </c>
      <c r="W1767" s="1">
        <f t="shared" si="3911"/>
        <v>-6.4863133280843357</v>
      </c>
      <c r="X1767" s="1">
        <f t="shared" si="3912"/>
        <v>0</v>
      </c>
      <c r="Y1767" s="1">
        <f t="shared" si="3913"/>
        <v>-4.941066367727859</v>
      </c>
    </row>
    <row r="1768" spans="1:25">
      <c r="A1768" s="1">
        <v>1.76599999999998</v>
      </c>
      <c r="B1768" s="1">
        <f t="shared" si="3914"/>
        <v>49.255483549089</v>
      </c>
      <c r="C1768" s="1">
        <f t="shared" si="3915"/>
        <v>0</v>
      </c>
      <c r="D1768" s="1">
        <f t="shared" si="3916"/>
        <v>-5.2179154398657364</v>
      </c>
      <c r="E1768" s="1">
        <f t="shared" si="3917"/>
        <v>11.81849898369371</v>
      </c>
      <c r="F1768" s="1">
        <f t="shared" si="3918"/>
        <v>0</v>
      </c>
      <c r="G1768" s="1">
        <f t="shared" si="3919"/>
        <v>-7.6828122164253614</v>
      </c>
      <c r="H1768" s="1">
        <f t="shared" si="3456"/>
        <v>14.096188200376158</v>
      </c>
      <c r="I1768" s="1">
        <f t="shared" si="3902"/>
        <v>-6.7800102287197088</v>
      </c>
      <c r="J1768" s="1">
        <f t="shared" si="3903"/>
        <v>0</v>
      </c>
      <c r="K1768" s="1">
        <f t="shared" si="3904"/>
        <v>4.4074586362080312</v>
      </c>
      <c r="L1768" s="1">
        <f t="shared" ref="L1768:N1768" si="3994">E1768/$H1768</f>
        <v>0.83841807556019521</v>
      </c>
      <c r="M1768" s="1">
        <f t="shared" si="3994"/>
        <v>0</v>
      </c>
      <c r="N1768" s="1">
        <f t="shared" si="3994"/>
        <v>-0.54502764202739185</v>
      </c>
      <c r="O1768" s="1">
        <f t="shared" si="3458"/>
        <v>-0.54502764202739185</v>
      </c>
      <c r="P1768" s="1">
        <f t="shared" si="3906"/>
        <v>0.45696102675571681</v>
      </c>
      <c r="Q1768" s="1">
        <f t="shared" si="3907"/>
        <v>0</v>
      </c>
      <c r="R1768" s="1">
        <f t="shared" si="3908"/>
        <v>0.70294486942606116</v>
      </c>
      <c r="S1768" s="1">
        <f t="shared" si="3909"/>
        <v>0.65381586555438098</v>
      </c>
      <c r="T1768" s="1">
        <f t="shared" ref="T1768:V1768" si="3995">$S1768*P1768</f>
        <v>0.29876836923290762</v>
      </c>
      <c r="U1768" s="1">
        <f t="shared" si="3995"/>
        <v>0</v>
      </c>
      <c r="V1768" s="1">
        <f t="shared" si="3995"/>
        <v>0.4595965082408115</v>
      </c>
      <c r="W1768" s="1">
        <f t="shared" si="3911"/>
        <v>-6.4812418594868015</v>
      </c>
      <c r="X1768" s="1">
        <f t="shared" si="3912"/>
        <v>0</v>
      </c>
      <c r="Y1768" s="1">
        <f t="shared" si="3913"/>
        <v>-4.9395948555511566</v>
      </c>
    </row>
    <row r="1769" spans="1:25">
      <c r="A1769" s="1">
        <v>1.7669999999999799</v>
      </c>
      <c r="B1769" s="1">
        <f t="shared" si="3914"/>
        <v>49.267295566830832</v>
      </c>
      <c r="C1769" s="1">
        <f t="shared" si="3915"/>
        <v>0</v>
      </c>
      <c r="D1769" s="1">
        <f t="shared" si="3916"/>
        <v>-5.2256031916770169</v>
      </c>
      <c r="E1769" s="1">
        <f t="shared" si="3917"/>
        <v>11.812017741834223</v>
      </c>
      <c r="F1769" s="1">
        <f t="shared" si="3918"/>
        <v>0</v>
      </c>
      <c r="G1769" s="1">
        <f t="shared" si="3919"/>
        <v>-7.6877518112809122</v>
      </c>
      <c r="H1769" s="1">
        <f t="shared" si="3456"/>
        <v>14.093448515010776</v>
      </c>
      <c r="I1769" s="1">
        <f t="shared" si="3902"/>
        <v>-6.7749750680926057</v>
      </c>
      <c r="J1769" s="1">
        <f t="shared" si="3903"/>
        <v>0</v>
      </c>
      <c r="K1769" s="1">
        <f t="shared" si="3904"/>
        <v>4.4094352031530271</v>
      </c>
      <c r="L1769" s="1">
        <f t="shared" ref="L1769:N1769" si="3996">E1769/$H1769</f>
        <v>0.83812118299175498</v>
      </c>
      <c r="M1769" s="1">
        <f t="shared" si="3996"/>
        <v>0</v>
      </c>
      <c r="N1769" s="1">
        <f t="shared" si="3996"/>
        <v>-0.54548408099641288</v>
      </c>
      <c r="O1769" s="1">
        <f t="shared" si="3458"/>
        <v>-0.54548408099641288</v>
      </c>
      <c r="P1769" s="1">
        <f t="shared" si="3906"/>
        <v>0.45718176326788385</v>
      </c>
      <c r="Q1769" s="1">
        <f t="shared" si="3907"/>
        <v>0</v>
      </c>
      <c r="R1769" s="1">
        <f t="shared" si="3908"/>
        <v>0.70244711737949883</v>
      </c>
      <c r="S1769" s="1">
        <f t="shared" si="3909"/>
        <v>0.65356174356585972</v>
      </c>
      <c r="T1769" s="1">
        <f t="shared" ref="T1769:V1769" si="3997">$S1769*P1769</f>
        <v>0.2987965103278723</v>
      </c>
      <c r="U1769" s="1">
        <f t="shared" si="3997"/>
        <v>0</v>
      </c>
      <c r="V1769" s="1">
        <f t="shared" si="3997"/>
        <v>0.45909256279735738</v>
      </c>
      <c r="W1769" s="1">
        <f t="shared" si="3911"/>
        <v>-6.4761785577647331</v>
      </c>
      <c r="X1769" s="1">
        <f t="shared" si="3912"/>
        <v>0</v>
      </c>
      <c r="Y1769" s="1">
        <f t="shared" si="3913"/>
        <v>-4.9381222340496151</v>
      </c>
    </row>
    <row r="1770" spans="1:25">
      <c r="A1770" s="1">
        <v>1.76799999999998</v>
      </c>
      <c r="B1770" s="1">
        <f t="shared" si="3914"/>
        <v>49.279101108394109</v>
      </c>
      <c r="C1770" s="1">
        <f t="shared" si="3915"/>
        <v>0</v>
      </c>
      <c r="D1770" s="1">
        <f t="shared" si="3916"/>
        <v>-5.2332958816105322</v>
      </c>
      <c r="E1770" s="1">
        <f t="shared" si="3917"/>
        <v>11.805541563276458</v>
      </c>
      <c r="F1770" s="1">
        <f t="shared" si="3918"/>
        <v>0</v>
      </c>
      <c r="G1770" s="1">
        <f t="shared" si="3919"/>
        <v>-7.6926899335149619</v>
      </c>
      <c r="H1770" s="1">
        <f t="shared" si="3456"/>
        <v>14.090716447911738</v>
      </c>
      <c r="I1770" s="1">
        <f t="shared" si="3902"/>
        <v>-6.7699479165611622</v>
      </c>
      <c r="J1770" s="1">
        <f t="shared" si="3903"/>
        <v>0</v>
      </c>
      <c r="K1770" s="1">
        <f t="shared" si="3904"/>
        <v>4.4114122091741494</v>
      </c>
      <c r="L1770" s="1">
        <f t="shared" ref="L1770:N1770" si="3998">E1770/$H1770</f>
        <v>0.83782408133165254</v>
      </c>
      <c r="M1770" s="1">
        <f t="shared" si="3998"/>
        <v>0</v>
      </c>
      <c r="N1770" s="1">
        <f t="shared" si="3998"/>
        <v>-0.54594029778060205</v>
      </c>
      <c r="O1770" s="1">
        <f t="shared" si="3458"/>
        <v>-0.54594029778060205</v>
      </c>
      <c r="P1770" s="1">
        <f t="shared" si="3906"/>
        <v>0.45740192844996175</v>
      </c>
      <c r="Q1770" s="1">
        <f t="shared" si="3907"/>
        <v>0</v>
      </c>
      <c r="R1770" s="1">
        <f t="shared" si="3908"/>
        <v>0.7019491912592275</v>
      </c>
      <c r="S1770" s="1">
        <f t="shared" si="3909"/>
        <v>0.65330837740572201</v>
      </c>
      <c r="T1770" s="1">
        <f t="shared" ref="T1770:V1770" si="3999">$S1770*P1770</f>
        <v>0.29882451169789265</v>
      </c>
      <c r="U1770" s="1">
        <f t="shared" si="3999"/>
        <v>0</v>
      </c>
      <c r="V1770" s="1">
        <f t="shared" si="3999"/>
        <v>0.45858928716282477</v>
      </c>
      <c r="W1770" s="1">
        <f t="shared" si="3911"/>
        <v>-6.4711234048632695</v>
      </c>
      <c r="X1770" s="1">
        <f t="shared" si="3912"/>
        <v>0</v>
      </c>
      <c r="Y1770" s="1">
        <f t="shared" si="3913"/>
        <v>-4.936648503663025</v>
      </c>
    </row>
    <row r="1771" spans="1:25">
      <c r="A1771" s="1">
        <v>1.7689999999999799</v>
      </c>
      <c r="B1771" s="1">
        <f t="shared" si="3914"/>
        <v>49.290900178833979</v>
      </c>
      <c r="C1771" s="1">
        <f t="shared" si="3915"/>
        <v>0</v>
      </c>
      <c r="D1771" s="1">
        <f t="shared" si="3916"/>
        <v>-5.2409935081925507</v>
      </c>
      <c r="E1771" s="1">
        <f t="shared" si="3917"/>
        <v>11.799070439871596</v>
      </c>
      <c r="F1771" s="1">
        <f t="shared" si="3918"/>
        <v>0</v>
      </c>
      <c r="G1771" s="1">
        <f t="shared" si="3919"/>
        <v>-7.6976265820186249</v>
      </c>
      <c r="H1771" s="1">
        <f t="shared" si="3456"/>
        <v>14.087991987549234</v>
      </c>
      <c r="I1771" s="1">
        <f t="shared" si="3902"/>
        <v>-6.7649287562041636</v>
      </c>
      <c r="J1771" s="1">
        <f t="shared" si="3903"/>
        <v>0</v>
      </c>
      <c r="K1771" s="1">
        <f t="shared" si="3904"/>
        <v>4.413389655107955</v>
      </c>
      <c r="L1771" s="1">
        <f t="shared" ref="L1771:N1771" si="4000">E1771/$H1771</f>
        <v>0.83752677104724682</v>
      </c>
      <c r="M1771" s="1">
        <f t="shared" si="4000"/>
        <v>0</v>
      </c>
      <c r="N1771" s="1">
        <f t="shared" si="4000"/>
        <v>-0.54639629187904681</v>
      </c>
      <c r="O1771" s="1">
        <f t="shared" si="3458"/>
        <v>-0.54639629187904681</v>
      </c>
      <c r="P1771" s="1">
        <f t="shared" si="3906"/>
        <v>0.45762152204964707</v>
      </c>
      <c r="Q1771" s="1">
        <f t="shared" si="3907"/>
        <v>0</v>
      </c>
      <c r="R1771" s="1">
        <f t="shared" si="3908"/>
        <v>0.70145109222082747</v>
      </c>
      <c r="S1771" s="1">
        <f t="shared" si="3909"/>
        <v>0.65305576559411394</v>
      </c>
      <c r="T1771" s="1">
        <f t="shared" ref="T1771:V1771" si="4001">$S1771*P1771</f>
        <v>0.29885237343447596</v>
      </c>
      <c r="U1771" s="1">
        <f t="shared" si="4001"/>
        <v>0</v>
      </c>
      <c r="V1771" s="1">
        <f t="shared" si="4001"/>
        <v>0.4580866800570999</v>
      </c>
      <c r="W1771" s="1">
        <f t="shared" si="3911"/>
        <v>-6.4660763827696872</v>
      </c>
      <c r="X1771" s="1">
        <f t="shared" si="3912"/>
        <v>0</v>
      </c>
      <c r="Y1771" s="1">
        <f t="shared" si="3913"/>
        <v>-4.9351736648349442</v>
      </c>
    </row>
    <row r="1772" spans="1:25">
      <c r="A1772" s="1">
        <v>1.76999999999998</v>
      </c>
      <c r="B1772" s="1">
        <f t="shared" si="3914"/>
        <v>49.302692783197465</v>
      </c>
      <c r="C1772" s="1">
        <f t="shared" si="3915"/>
        <v>0</v>
      </c>
      <c r="D1772" s="1">
        <f t="shared" si="3916"/>
        <v>-5.2486960699482346</v>
      </c>
      <c r="E1772" s="1">
        <f t="shared" si="3917"/>
        <v>11.792604363488826</v>
      </c>
      <c r="F1772" s="1">
        <f t="shared" si="3918"/>
        <v>0</v>
      </c>
      <c r="G1772" s="1">
        <f t="shared" si="3919"/>
        <v>-7.70256175568346</v>
      </c>
      <c r="H1772" s="1">
        <f t="shared" si="3456"/>
        <v>14.085275122406845</v>
      </c>
      <c r="I1772" s="1">
        <f t="shared" si="3902"/>
        <v>-6.7599175691423055</v>
      </c>
      <c r="J1772" s="1">
        <f t="shared" si="3903"/>
        <v>0</v>
      </c>
      <c r="K1772" s="1">
        <f t="shared" si="3904"/>
        <v>4.4153675417839402</v>
      </c>
      <c r="L1772" s="1">
        <f t="shared" ref="L1772:N1772" si="4002">E1772/$H1772</f>
        <v>0.83722925260644432</v>
      </c>
      <c r="M1772" s="1">
        <f t="shared" si="4002"/>
        <v>0</v>
      </c>
      <c r="N1772" s="1">
        <f t="shared" si="4002"/>
        <v>-0.54685206279217302</v>
      </c>
      <c r="O1772" s="1">
        <f t="shared" si="3458"/>
        <v>-0.54685206279217302</v>
      </c>
      <c r="P1772" s="1">
        <f t="shared" si="3906"/>
        <v>0.45784054381778339</v>
      </c>
      <c r="Q1772" s="1">
        <f t="shared" si="3907"/>
        <v>0</v>
      </c>
      <c r="R1772" s="1">
        <f t="shared" si="3908"/>
        <v>0.70095282141994519</v>
      </c>
      <c r="S1772" s="1">
        <f t="shared" si="3909"/>
        <v>0.65280390665439325</v>
      </c>
      <c r="T1772" s="1">
        <f t="shared" ref="T1772:V1772" si="4003">$S1772*P1772</f>
        <v>0.2988800956290209</v>
      </c>
      <c r="U1772" s="1">
        <f t="shared" si="4003"/>
        <v>0</v>
      </c>
      <c r="V1772" s="1">
        <f t="shared" si="4003"/>
        <v>0.45758474020335949</v>
      </c>
      <c r="W1772" s="1">
        <f t="shared" si="3911"/>
        <v>-6.4610374735132847</v>
      </c>
      <c r="X1772" s="1">
        <f t="shared" si="3912"/>
        <v>0</v>
      </c>
      <c r="Y1772" s="1">
        <f t="shared" si="3913"/>
        <v>-4.9336977180126995</v>
      </c>
    </row>
    <row r="1773" spans="1:25">
      <c r="A1773" s="1">
        <v>1.7709999999999799</v>
      </c>
      <c r="B1773" s="1">
        <f t="shared" si="3914"/>
        <v>49.314478926523478</v>
      </c>
      <c r="C1773" s="1">
        <f t="shared" si="3915"/>
        <v>0</v>
      </c>
      <c r="D1773" s="1">
        <f t="shared" si="3916"/>
        <v>-5.2564035654016363</v>
      </c>
      <c r="E1773" s="1">
        <f t="shared" si="3917"/>
        <v>11.786143326015312</v>
      </c>
      <c r="F1773" s="1">
        <f t="shared" si="3918"/>
        <v>0</v>
      </c>
      <c r="G1773" s="1">
        <f t="shared" si="3919"/>
        <v>-7.7074954534014726</v>
      </c>
      <c r="H1773" s="1">
        <f t="shared" si="3456"/>
        <v>14.082565840981523</v>
      </c>
      <c r="I1773" s="1">
        <f t="shared" si="3902"/>
        <v>-6.7549143375380867</v>
      </c>
      <c r="J1773" s="1">
        <f t="shared" si="3903"/>
        <v>0</v>
      </c>
      <c r="K1773" s="1">
        <f t="shared" si="3904"/>
        <v>4.4173458700245565</v>
      </c>
      <c r="L1773" s="1">
        <f t="shared" ref="L1773:N1773" si="4004">E1773/$H1773</f>
        <v>0.83693152647769509</v>
      </c>
      <c r="M1773" s="1">
        <f t="shared" si="4004"/>
        <v>0</v>
      </c>
      <c r="N1773" s="1">
        <f t="shared" si="4004"/>
        <v>-0.54730761002174566</v>
      </c>
      <c r="O1773" s="1">
        <f t="shared" si="3458"/>
        <v>-0.54730761002174566</v>
      </c>
      <c r="P1773" s="1">
        <f t="shared" si="3906"/>
        <v>0.45805899350835866</v>
      </c>
      <c r="Q1773" s="1">
        <f t="shared" si="3907"/>
        <v>0</v>
      </c>
      <c r="R1773" s="1">
        <f t="shared" si="3908"/>
        <v>0.70045438001228477</v>
      </c>
      <c r="S1773" s="1">
        <f t="shared" si="3909"/>
        <v>0.6525527991131207</v>
      </c>
      <c r="T1773" s="1">
        <f t="shared" ref="T1773:V1773" si="4005">$S1773*P1773</f>
        <v>0.29890767837281823</v>
      </c>
      <c r="U1773" s="1">
        <f t="shared" si="4005"/>
        <v>0</v>
      </c>
      <c r="V1773" s="1">
        <f t="shared" si="4005"/>
        <v>0.45708346632806196</v>
      </c>
      <c r="W1773" s="1">
        <f t="shared" si="3911"/>
        <v>-6.4560066591652685</v>
      </c>
      <c r="X1773" s="1">
        <f t="shared" si="3912"/>
        <v>0</v>
      </c>
      <c r="Y1773" s="1">
        <f t="shared" si="3913"/>
        <v>-4.9322206636473807</v>
      </c>
    </row>
    <row r="1774" spans="1:25">
      <c r="A1774" s="1">
        <v>1.77199999999998</v>
      </c>
      <c r="B1774" s="1">
        <f t="shared" si="3914"/>
        <v>49.326258613842832</v>
      </c>
      <c r="C1774" s="1">
        <f t="shared" si="3915"/>
        <v>0</v>
      </c>
      <c r="D1774" s="1">
        <f t="shared" si="3916"/>
        <v>-5.2641159930757011</v>
      </c>
      <c r="E1774" s="1">
        <f t="shared" si="3917"/>
        <v>11.779687319356146</v>
      </c>
      <c r="F1774" s="1">
        <f t="shared" si="3918"/>
        <v>0</v>
      </c>
      <c r="G1774" s="1">
        <f t="shared" si="3919"/>
        <v>-7.7124276740651201</v>
      </c>
      <c r="H1774" s="1">
        <f t="shared" si="3456"/>
        <v>14.07986413178357</v>
      </c>
      <c r="I1774" s="1">
        <f t="shared" si="3902"/>
        <v>-6.7499190435956953</v>
      </c>
      <c r="J1774" s="1">
        <f t="shared" si="3903"/>
        <v>0</v>
      </c>
      <c r="K1774" s="1">
        <f t="shared" si="3904"/>
        <v>4.4193246406452165</v>
      </c>
      <c r="L1774" s="1">
        <f t="shared" ref="L1774:N1774" si="4006">E1774/$H1774</f>
        <v>0.83663359312998942</v>
      </c>
      <c r="M1774" s="1">
        <f t="shared" si="4006"/>
        <v>0</v>
      </c>
      <c r="N1774" s="1">
        <f t="shared" si="4006"/>
        <v>-0.54776293307087098</v>
      </c>
      <c r="O1774" s="1">
        <f t="shared" si="3458"/>
        <v>-0.54776293307087098</v>
      </c>
      <c r="P1774" s="1">
        <f t="shared" si="3906"/>
        <v>0.45827687087850472</v>
      </c>
      <c r="Q1774" s="1">
        <f t="shared" si="3907"/>
        <v>0</v>
      </c>
      <c r="R1774" s="1">
        <f t="shared" si="3908"/>
        <v>0.69995576915359647</v>
      </c>
      <c r="S1774" s="1">
        <f t="shared" si="3909"/>
        <v>0.65230244150005046</v>
      </c>
      <c r="T1774" s="1">
        <f t="shared" ref="T1774:V1774" si="4007">$S1774*P1774</f>
        <v>0.298935121757052</v>
      </c>
      <c r="U1774" s="1">
        <f t="shared" si="4007"/>
        <v>0</v>
      </c>
      <c r="V1774" s="1">
        <f t="shared" si="4007"/>
        <v>0.45658285716093666</v>
      </c>
      <c r="W1774" s="1">
        <f t="shared" si="3911"/>
        <v>-6.4509839218386436</v>
      </c>
      <c r="X1774" s="1">
        <f t="shared" si="3912"/>
        <v>0</v>
      </c>
      <c r="Y1774" s="1">
        <f t="shared" si="3913"/>
        <v>-4.930742502193846</v>
      </c>
    </row>
    <row r="1775" spans="1:25">
      <c r="A1775" s="1">
        <v>1.7729999999999799</v>
      </c>
      <c r="B1775" s="1">
        <f t="shared" si="3914"/>
        <v>49.338031850178268</v>
      </c>
      <c r="C1775" s="1">
        <f t="shared" si="3915"/>
        <v>0</v>
      </c>
      <c r="D1775" s="1">
        <f t="shared" si="3916"/>
        <v>-5.2718333514922682</v>
      </c>
      <c r="E1775" s="1">
        <f t="shared" si="3917"/>
        <v>11.773236335434307</v>
      </c>
      <c r="F1775" s="1">
        <f t="shared" si="3918"/>
        <v>0</v>
      </c>
      <c r="G1775" s="1">
        <f t="shared" si="3919"/>
        <v>-7.7173584165673139</v>
      </c>
      <c r="H1775" s="1">
        <f t="shared" si="3456"/>
        <v>14.077169983336601</v>
      </c>
      <c r="I1775" s="1">
        <f t="shared" si="3902"/>
        <v>-6.7449316695608958</v>
      </c>
      <c r="J1775" s="1">
        <f t="shared" si="3903"/>
        <v>0</v>
      </c>
      <c r="K1775" s="1">
        <f t="shared" si="3904"/>
        <v>4.4213038544543073</v>
      </c>
      <c r="L1775" s="1">
        <f t="shared" ref="L1775:N1775" si="4008">E1775/$H1775</f>
        <v>0.83633545303285373</v>
      </c>
      <c r="M1775" s="1">
        <f t="shared" si="4008"/>
        <v>0</v>
      </c>
      <c r="N1775" s="1">
        <f t="shared" si="4008"/>
        <v>-0.54821803144399683</v>
      </c>
      <c r="O1775" s="1">
        <f t="shared" si="3458"/>
        <v>-0.54821803144399683</v>
      </c>
      <c r="P1775" s="1">
        <f t="shared" si="3906"/>
        <v>0.45849417568849432</v>
      </c>
      <c r="Q1775" s="1">
        <f t="shared" si="3907"/>
        <v>0</v>
      </c>
      <c r="R1775" s="1">
        <f t="shared" si="3908"/>
        <v>0.69945698999966888</v>
      </c>
      <c r="S1775" s="1">
        <f t="shared" si="3909"/>
        <v>0.65205283234812117</v>
      </c>
      <c r="T1775" s="1">
        <f t="shared" ref="T1775:V1775" si="4009">$S1775*P1775</f>
        <v>0.29896242587279981</v>
      </c>
      <c r="U1775" s="1">
        <f t="shared" si="4009"/>
        <v>0</v>
      </c>
      <c r="V1775" s="1">
        <f t="shared" si="4009"/>
        <v>0.45608291143497554</v>
      </c>
      <c r="W1775" s="1">
        <f t="shared" si="3911"/>
        <v>-6.4459692436880962</v>
      </c>
      <c r="X1775" s="1">
        <f t="shared" si="3912"/>
        <v>0</v>
      </c>
      <c r="Y1775" s="1">
        <f t="shared" si="3913"/>
        <v>-4.9292632341107163</v>
      </c>
    </row>
    <row r="1776" spans="1:25">
      <c r="A1776" s="1">
        <v>1.77399999999998</v>
      </c>
      <c r="B1776" s="1">
        <f t="shared" si="3914"/>
        <v>49.349798640544456</v>
      </c>
      <c r="C1776" s="1">
        <f t="shared" si="3915"/>
        <v>0</v>
      </c>
      <c r="D1776" s="1">
        <f t="shared" si="3916"/>
        <v>-5.2795556391720693</v>
      </c>
      <c r="E1776" s="1">
        <f t="shared" si="3917"/>
        <v>11.766790366190619</v>
      </c>
      <c r="F1776" s="1">
        <f t="shared" si="3918"/>
        <v>0</v>
      </c>
      <c r="G1776" s="1">
        <f t="shared" si="3919"/>
        <v>-7.7222876798014246</v>
      </c>
      <c r="H1776" s="1">
        <f t="shared" si="3456"/>
        <v>14.074483384177524</v>
      </c>
      <c r="I1776" s="1">
        <f t="shared" si="3902"/>
        <v>-6.7399521977209149</v>
      </c>
      <c r="J1776" s="1">
        <f t="shared" si="3903"/>
        <v>0</v>
      </c>
      <c r="K1776" s="1">
        <f t="shared" si="3904"/>
        <v>4.4232835122531995</v>
      </c>
      <c r="L1776" s="1">
        <f t="shared" ref="L1776:N1776" si="4010">E1776/$H1776</f>
        <v>0.83603710665634778</v>
      </c>
      <c r="M1776" s="1">
        <f t="shared" si="4010"/>
        <v>0</v>
      </c>
      <c r="N1776" s="1">
        <f t="shared" si="4010"/>
        <v>-0.54867290464691498</v>
      </c>
      <c r="O1776" s="1">
        <f t="shared" si="3458"/>
        <v>-0.54867290464691498</v>
      </c>
      <c r="P1776" s="1">
        <f t="shared" si="3906"/>
        <v>0.458710907701741</v>
      </c>
      <c r="Q1776" s="1">
        <f t="shared" si="3907"/>
        <v>0</v>
      </c>
      <c r="R1776" s="1">
        <f t="shared" si="3908"/>
        <v>0.69895804370631731</v>
      </c>
      <c r="S1776" s="1">
        <f t="shared" si="3909"/>
        <v>0.65180397019344538</v>
      </c>
      <c r="T1776" s="1">
        <f t="shared" ref="T1776:V1776" si="4011">$S1776*P1776</f>
        <v>0.29898959081103388</v>
      </c>
      <c r="U1776" s="1">
        <f t="shared" si="4011"/>
        <v>0</v>
      </c>
      <c r="V1776" s="1">
        <f t="shared" si="4011"/>
        <v>0.45558362788642132</v>
      </c>
      <c r="W1776" s="1">
        <f t="shared" si="3911"/>
        <v>-6.4409626069098813</v>
      </c>
      <c r="X1776" s="1">
        <f t="shared" si="3912"/>
        <v>0</v>
      </c>
      <c r="Y1776" s="1">
        <f t="shared" si="3913"/>
        <v>-4.927782859860379</v>
      </c>
    </row>
    <row r="1777" spans="1:25">
      <c r="A1777" s="1">
        <v>1.7749999999999799</v>
      </c>
      <c r="B1777" s="1">
        <f t="shared" si="3914"/>
        <v>49.361558989948037</v>
      </c>
      <c r="C1777" s="1">
        <f t="shared" si="3915"/>
        <v>0</v>
      </c>
      <c r="D1777" s="1">
        <f t="shared" si="3916"/>
        <v>-5.2872828546347304</v>
      </c>
      <c r="E1777" s="1">
        <f t="shared" si="3917"/>
        <v>11.76034940358371</v>
      </c>
      <c r="F1777" s="1">
        <f t="shared" si="3918"/>
        <v>0</v>
      </c>
      <c r="G1777" s="1">
        <f t="shared" si="3919"/>
        <v>-7.7272154626612846</v>
      </c>
      <c r="H1777" s="1">
        <f t="shared" si="3456"/>
        <v>14.071804322856517</v>
      </c>
      <c r="I1777" s="1">
        <f t="shared" si="3902"/>
        <v>-6.7349806104043344</v>
      </c>
      <c r="J1777" s="1">
        <f t="shared" si="3903"/>
        <v>0</v>
      </c>
      <c r="K1777" s="1">
        <f t="shared" si="3904"/>
        <v>4.4252636148362603</v>
      </c>
      <c r="L1777" s="1">
        <f t="shared" ref="L1777:N1777" si="4012">E1777/$H1777</f>
        <v>0.83573855447105938</v>
      </c>
      <c r="M1777" s="1">
        <f t="shared" si="4012"/>
        <v>0</v>
      </c>
      <c r="N1777" s="1">
        <f t="shared" si="4012"/>
        <v>-0.54912755218676124</v>
      </c>
      <c r="O1777" s="1">
        <f t="shared" si="3458"/>
        <v>-0.54912755218676124</v>
      </c>
      <c r="P1777" s="1">
        <f t="shared" si="3906"/>
        <v>0.45892706668479505</v>
      </c>
      <c r="Q1777" s="1">
        <f t="shared" si="3907"/>
        <v>0</v>
      </c>
      <c r="R1777" s="1">
        <f t="shared" si="3908"/>
        <v>0.69845893142937587</v>
      </c>
      <c r="S1777" s="1">
        <f t="shared" si="3909"/>
        <v>0.65155585357530221</v>
      </c>
      <c r="T1777" s="1">
        <f t="shared" ref="T1777:V1777" si="4013">$S1777*P1777</f>
        <v>0.2990166166626213</v>
      </c>
      <c r="U1777" s="1">
        <f t="shared" si="4013"/>
        <v>0</v>
      </c>
      <c r="V1777" s="1">
        <f t="shared" si="4013"/>
        <v>0.45508500525476048</v>
      </c>
      <c r="W1777" s="1">
        <f t="shared" si="3911"/>
        <v>-6.435963993741713</v>
      </c>
      <c r="X1777" s="1">
        <f t="shared" si="3912"/>
        <v>0</v>
      </c>
      <c r="Y1777" s="1">
        <f t="shared" si="3913"/>
        <v>-4.9263013799089785</v>
      </c>
    </row>
    <row r="1778" spans="1:25">
      <c r="A1778" s="1">
        <v>1.77599999999998</v>
      </c>
      <c r="B1778" s="1">
        <f t="shared" si="3914"/>
        <v>49.373312903387628</v>
      </c>
      <c r="C1778" s="1">
        <f t="shared" si="3915"/>
        <v>0</v>
      </c>
      <c r="D1778" s="1">
        <f t="shared" si="3916"/>
        <v>-5.2950149963987716</v>
      </c>
      <c r="E1778" s="1">
        <f t="shared" si="3917"/>
        <v>11.753913439589969</v>
      </c>
      <c r="F1778" s="1">
        <f t="shared" si="3918"/>
        <v>0</v>
      </c>
      <c r="G1778" s="1">
        <f t="shared" si="3919"/>
        <v>-7.7321417640411934</v>
      </c>
      <c r="H1778" s="1">
        <f t="shared" si="3456"/>
        <v>14.069132787936994</v>
      </c>
      <c r="I1778" s="1">
        <f t="shared" si="3902"/>
        <v>-6.730016889980976</v>
      </c>
      <c r="J1778" s="1">
        <f t="shared" si="3903"/>
        <v>0</v>
      </c>
      <c r="K1778" s="1">
        <f t="shared" si="3904"/>
        <v>4.4272441629908617</v>
      </c>
      <c r="L1778" s="1">
        <f t="shared" ref="L1778:N1778" si="4014">E1778/$H1778</f>
        <v>0.83543979694810222</v>
      </c>
      <c r="M1778" s="1">
        <f t="shared" si="4014"/>
        <v>0</v>
      </c>
      <c r="N1778" s="1">
        <f t="shared" si="4014"/>
        <v>-0.54958197357201743</v>
      </c>
      <c r="O1778" s="1">
        <f t="shared" si="3458"/>
        <v>-0.54958197357201743</v>
      </c>
      <c r="P1778" s="1">
        <f t="shared" si="3906"/>
        <v>0.45914265240734353</v>
      </c>
      <c r="Q1778" s="1">
        <f t="shared" si="3907"/>
        <v>0</v>
      </c>
      <c r="R1778" s="1">
        <f t="shared" si="3908"/>
        <v>0.69795965432468632</v>
      </c>
      <c r="S1778" s="1">
        <f t="shared" si="3909"/>
        <v>0.65130848103612604</v>
      </c>
      <c r="T1778" s="1">
        <f t="shared" ref="T1778:V1778" si="4015">$S1778*P1778</f>
        <v>0.29904350351832493</v>
      </c>
      <c r="U1778" s="1">
        <f t="shared" si="4015"/>
        <v>0</v>
      </c>
      <c r="V1778" s="1">
        <f t="shared" si="4015"/>
        <v>0.45458704228271107</v>
      </c>
      <c r="W1778" s="1">
        <f t="shared" si="3911"/>
        <v>-6.430973386462651</v>
      </c>
      <c r="X1778" s="1">
        <f t="shared" si="3912"/>
        <v>0</v>
      </c>
      <c r="Y1778" s="1">
        <f t="shared" si="3913"/>
        <v>-4.924818794726427</v>
      </c>
    </row>
    <row r="1779" spans="1:25">
      <c r="A1779" s="1">
        <v>1.7769999999999799</v>
      </c>
      <c r="B1779" s="1">
        <f t="shared" si="3914"/>
        <v>49.385060385853834</v>
      </c>
      <c r="C1779" s="1">
        <f t="shared" si="3915"/>
        <v>0</v>
      </c>
      <c r="D1779" s="1">
        <f t="shared" si="3916"/>
        <v>-5.3027520629816074</v>
      </c>
      <c r="E1779" s="1">
        <f t="shared" si="3917"/>
        <v>11.747482466203506</v>
      </c>
      <c r="F1779" s="1">
        <f t="shared" si="3918"/>
        <v>0</v>
      </c>
      <c r="G1779" s="1">
        <f t="shared" si="3919"/>
        <v>-7.7370665828359195</v>
      </c>
      <c r="H1779" s="1">
        <f t="shared" si="3456"/>
        <v>14.06646876799558</v>
      </c>
      <c r="I1779" s="1">
        <f t="shared" si="3902"/>
        <v>-6.7250610188617861</v>
      </c>
      <c r="J1779" s="1">
        <f t="shared" si="3903"/>
        <v>0</v>
      </c>
      <c r="K1779" s="1">
        <f t="shared" si="3904"/>
        <v>4.4292251574973864</v>
      </c>
      <c r="L1779" s="1">
        <f t="shared" ref="L1779:N1779" si="4016">E1779/$H1779</f>
        <v>0.83514083455911148</v>
      </c>
      <c r="M1779" s="1">
        <f t="shared" si="4016"/>
        <v>0</v>
      </c>
      <c r="N1779" s="1">
        <f t="shared" si="4016"/>
        <v>-0.55003616831251267</v>
      </c>
      <c r="O1779" s="1">
        <f t="shared" si="3458"/>
        <v>-0.55003616831251267</v>
      </c>
      <c r="P1779" s="1">
        <f t="shared" si="3906"/>
        <v>0.45935766464220773</v>
      </c>
      <c r="Q1779" s="1">
        <f t="shared" si="3907"/>
        <v>0</v>
      </c>
      <c r="R1779" s="1">
        <f t="shared" si="3908"/>
        <v>0.69746021354808918</v>
      </c>
      <c r="S1779" s="1">
        <f t="shared" si="3909"/>
        <v>0.65106185112149839</v>
      </c>
      <c r="T1779" s="1">
        <f t="shared" ref="T1779:V1779" si="4017">$S1779*P1779</f>
        <v>0.29907025146880423</v>
      </c>
      <c r="U1779" s="1">
        <f t="shared" si="4017"/>
        <v>0</v>
      </c>
      <c r="V1779" s="1">
        <f t="shared" si="4017"/>
        <v>0.45408973771621453</v>
      </c>
      <c r="W1779" s="1">
        <f t="shared" si="3911"/>
        <v>-6.4259907673929817</v>
      </c>
      <c r="X1779" s="1">
        <f t="shared" si="3912"/>
        <v>0</v>
      </c>
      <c r="Y1779" s="1">
        <f t="shared" si="3913"/>
        <v>-4.923335104786398</v>
      </c>
    </row>
    <row r="1780" spans="1:25">
      <c r="A1780" s="1">
        <v>1.77799999999998</v>
      </c>
      <c r="B1780" s="1">
        <f t="shared" si="3914"/>
        <v>49.39680144232927</v>
      </c>
      <c r="C1780" s="1">
        <f t="shared" si="3915"/>
        <v>0</v>
      </c>
      <c r="D1780" s="1">
        <f t="shared" si="3916"/>
        <v>-5.3104940528995481</v>
      </c>
      <c r="E1780" s="1">
        <f t="shared" si="3917"/>
        <v>11.741056475436112</v>
      </c>
      <c r="F1780" s="1">
        <f t="shared" si="3918"/>
        <v>0</v>
      </c>
      <c r="G1780" s="1">
        <f t="shared" si="3919"/>
        <v>-7.7419899179407059</v>
      </c>
      <c r="H1780" s="1">
        <f t="shared" si="3456"/>
        <v>14.063812251622098</v>
      </c>
      <c r="I1780" s="1">
        <f t="shared" si="3902"/>
        <v>-6.7201129794987393</v>
      </c>
      <c r="J1780" s="1">
        <f t="shared" si="3903"/>
        <v>0</v>
      </c>
      <c r="K1780" s="1">
        <f t="shared" si="3904"/>
        <v>4.4312065991292506</v>
      </c>
      <c r="L1780" s="1">
        <f t="shared" ref="L1780:N1780" si="4018">E1780/$H1780</f>
        <v>0.83484166777624025</v>
      </c>
      <c r="M1780" s="1">
        <f t="shared" si="4018"/>
        <v>0</v>
      </c>
      <c r="N1780" s="1">
        <f t="shared" si="4018"/>
        <v>-0.55049013591942375</v>
      </c>
      <c r="O1780" s="1">
        <f t="shared" si="3458"/>
        <v>-0.55049013591942375</v>
      </c>
      <c r="P1780" s="1">
        <f t="shared" si="3906"/>
        <v>0.45957210316534092</v>
      </c>
      <c r="Q1780" s="1">
        <f t="shared" si="3907"/>
        <v>0</v>
      </c>
      <c r="R1780" s="1">
        <f t="shared" si="3908"/>
        <v>0.69696061025541445</v>
      </c>
      <c r="S1780" s="1">
        <f t="shared" si="3909"/>
        <v>0.65081596238013917</v>
      </c>
      <c r="T1780" s="1">
        <f t="shared" ref="T1780:V1780" si="4019">$S1780*P1780</f>
        <v>0.29909686060461593</v>
      </c>
      <c r="U1780" s="1">
        <f t="shared" si="4019"/>
        <v>0</v>
      </c>
      <c r="V1780" s="1">
        <f t="shared" si="4019"/>
        <v>0.45359309030442663</v>
      </c>
      <c r="W1780" s="1">
        <f t="shared" si="3911"/>
        <v>-6.4210161188941237</v>
      </c>
      <c r="X1780" s="1">
        <f t="shared" si="3912"/>
        <v>0</v>
      </c>
      <c r="Y1780" s="1">
        <f t="shared" si="3913"/>
        <v>-4.9218503105663221</v>
      </c>
    </row>
    <row r="1781" spans="1:25">
      <c r="A1781" s="1">
        <v>1.7789999999999799</v>
      </c>
      <c r="B1781" s="1">
        <f t="shared" si="3914"/>
        <v>49.40853607778859</v>
      </c>
      <c r="C1781" s="1">
        <f t="shared" si="3915"/>
        <v>0</v>
      </c>
      <c r="D1781" s="1">
        <f t="shared" si="3916"/>
        <v>-5.3182409646677993</v>
      </c>
      <c r="E1781" s="1">
        <f t="shared" si="3917"/>
        <v>11.734635459317218</v>
      </c>
      <c r="F1781" s="1">
        <f t="shared" si="3918"/>
        <v>0</v>
      </c>
      <c r="G1781" s="1">
        <f t="shared" si="3919"/>
        <v>-7.7469117682512723</v>
      </c>
      <c r="H1781" s="1">
        <f t="shared" si="3456"/>
        <v>14.061163227419524</v>
      </c>
      <c r="I1781" s="1">
        <f t="shared" si="3902"/>
        <v>-6.7151727543847146</v>
      </c>
      <c r="J1781" s="1">
        <f t="shared" si="3903"/>
        <v>0</v>
      </c>
      <c r="K1781" s="1">
        <f t="shared" si="3904"/>
        <v>4.4331884886529025</v>
      </c>
      <c r="L1781" s="1">
        <f t="shared" ref="L1781:N1781" si="4020">E1781/$H1781</f>
        <v>0.83454229707215588</v>
      </c>
      <c r="M1781" s="1">
        <f t="shared" si="4020"/>
        <v>0</v>
      </c>
      <c r="N1781" s="1">
        <f t="shared" si="4020"/>
        <v>-0.55094387590527738</v>
      </c>
      <c r="O1781" s="1">
        <f t="shared" si="3458"/>
        <v>-0.55094387590527738</v>
      </c>
      <c r="P1781" s="1">
        <f t="shared" si="3906"/>
        <v>0.45978596775582697</v>
      </c>
      <c r="Q1781" s="1">
        <f t="shared" si="3907"/>
        <v>0</v>
      </c>
      <c r="R1781" s="1">
        <f t="shared" si="3908"/>
        <v>0.69646084560247035</v>
      </c>
      <c r="S1781" s="1">
        <f t="shared" si="3909"/>
        <v>0.65057081336389622</v>
      </c>
      <c r="T1781" s="1">
        <f t="shared" ref="T1781:V1781" si="4021">$S1781*P1781</f>
        <v>0.29912333101621452</v>
      </c>
      <c r="U1781" s="1">
        <f t="shared" si="4021"/>
        <v>0</v>
      </c>
      <c r="V1781" s="1">
        <f t="shared" si="4021"/>
        <v>0.45309709879970606</v>
      </c>
      <c r="W1781" s="1">
        <f t="shared" si="3911"/>
        <v>-6.4160494233685004</v>
      </c>
      <c r="X1781" s="1">
        <f t="shared" si="3912"/>
        <v>0</v>
      </c>
      <c r="Y1781" s="1">
        <f t="shared" si="3913"/>
        <v>-4.9203644125473911</v>
      </c>
    </row>
    <row r="1782" spans="1:25">
      <c r="A1782" s="1">
        <v>1.77999999999998</v>
      </c>
      <c r="B1782" s="1">
        <f t="shared" si="3914"/>
        <v>49.420264297198486</v>
      </c>
      <c r="C1782" s="1">
        <f t="shared" si="3915"/>
        <v>0</v>
      </c>
      <c r="D1782" s="1">
        <f t="shared" si="3916"/>
        <v>-5.3259927968004632</v>
      </c>
      <c r="E1782" s="1">
        <f t="shared" si="3917"/>
        <v>11.72821940989385</v>
      </c>
      <c r="F1782" s="1">
        <f t="shared" si="3918"/>
        <v>0</v>
      </c>
      <c r="G1782" s="1">
        <f t="shared" si="3919"/>
        <v>-7.7518321326638198</v>
      </c>
      <c r="H1782" s="1">
        <f t="shared" si="3456"/>
        <v>14.058521684003981</v>
      </c>
      <c r="I1782" s="1">
        <f t="shared" si="3902"/>
        <v>-6.7102403260533956</v>
      </c>
      <c r="J1782" s="1">
        <f t="shared" si="3903"/>
        <v>0</v>
      </c>
      <c r="K1782" s="1">
        <f t="shared" si="3904"/>
        <v>4.4351708268278429</v>
      </c>
      <c r="L1782" s="1">
        <f t="shared" ref="L1782:N1782" si="4022">E1782/$H1782</f>
        <v>0.83424272292003587</v>
      </c>
      <c r="M1782" s="1">
        <f t="shared" si="4022"/>
        <v>0</v>
      </c>
      <c r="N1782" s="1">
        <f t="shared" si="4022"/>
        <v>-0.55139738778395053</v>
      </c>
      <c r="O1782" s="1">
        <f t="shared" si="3458"/>
        <v>-0.55139738778395053</v>
      </c>
      <c r="P1782" s="1">
        <f t="shared" si="3906"/>
        <v>0.45999925819587784</v>
      </c>
      <c r="Q1782" s="1">
        <f t="shared" si="3907"/>
        <v>0</v>
      </c>
      <c r="R1782" s="1">
        <f t="shared" si="3908"/>
        <v>0.69596092074503568</v>
      </c>
      <c r="S1782" s="1">
        <f t="shared" si="3909"/>
        <v>0.65032640262773755</v>
      </c>
      <c r="T1782" s="1">
        <f t="shared" ref="T1782:V1782" si="4023">$S1782*P1782</f>
        <v>0.29914966279395305</v>
      </c>
      <c r="U1782" s="1">
        <f t="shared" si="4023"/>
        <v>0</v>
      </c>
      <c r="V1782" s="1">
        <f t="shared" si="4023"/>
        <v>0.45260176195760704</v>
      </c>
      <c r="W1782" s="1">
        <f t="shared" si="3911"/>
        <v>-6.4110906632594427</v>
      </c>
      <c r="X1782" s="1">
        <f t="shared" si="3912"/>
        <v>0</v>
      </c>
      <c r="Y1782" s="1">
        <f t="shared" si="3913"/>
        <v>-4.9188774112145497</v>
      </c>
    </row>
    <row r="1783" spans="1:25">
      <c r="A1783" s="1">
        <v>1.7809999999999799</v>
      </c>
      <c r="B1783" s="1">
        <f t="shared" si="3914"/>
        <v>49.431986105517716</v>
      </c>
      <c r="C1783" s="1">
        <f t="shared" si="3915"/>
        <v>0</v>
      </c>
      <c r="D1783" s="1">
        <f t="shared" si="3916"/>
        <v>-5.3337495478105383</v>
      </c>
      <c r="E1783" s="1">
        <f t="shared" si="3917"/>
        <v>11.72180831923059</v>
      </c>
      <c r="F1783" s="1">
        <f t="shared" si="3918"/>
        <v>0</v>
      </c>
      <c r="G1783" s="1">
        <f t="shared" si="3919"/>
        <v>-7.7567510100750345</v>
      </c>
      <c r="H1783" s="1">
        <f t="shared" si="3456"/>
        <v>14.055887610004698</v>
      </c>
      <c r="I1783" s="1">
        <f t="shared" si="3902"/>
        <v>-6.705315677079148</v>
      </c>
      <c r="J1783" s="1">
        <f t="shared" si="3903"/>
        <v>0</v>
      </c>
      <c r="K1783" s="1">
        <f t="shared" si="3904"/>
        <v>4.4371536144066237</v>
      </c>
      <c r="L1783" s="1">
        <f t="shared" ref="L1783:N1783" si="4024">E1783/$H1783</f>
        <v>0.83394294579356498</v>
      </c>
      <c r="M1783" s="1">
        <f t="shared" si="4024"/>
        <v>0</v>
      </c>
      <c r="N1783" s="1">
        <f t="shared" si="4024"/>
        <v>-0.55185067107067187</v>
      </c>
      <c r="O1783" s="1">
        <f t="shared" si="3458"/>
        <v>-0.55185067107067187</v>
      </c>
      <c r="P1783" s="1">
        <f t="shared" si="3906"/>
        <v>0.46021197427083177</v>
      </c>
      <c r="Q1783" s="1">
        <f t="shared" si="3907"/>
        <v>0</v>
      </c>
      <c r="R1783" s="1">
        <f t="shared" si="3908"/>
        <v>0.69546083683884907</v>
      </c>
      <c r="S1783" s="1">
        <f t="shared" si="3909"/>
        <v>0.65008272872974093</v>
      </c>
      <c r="T1783" s="1">
        <f t="shared" ref="T1783:V1783" si="4025">$S1783*P1783</f>
        <v>0.29917585602808366</v>
      </c>
      <c r="U1783" s="1">
        <f t="shared" si="4025"/>
        <v>0</v>
      </c>
      <c r="V1783" s="1">
        <f t="shared" si="4025"/>
        <v>0.45210707853686816</v>
      </c>
      <c r="W1783" s="1">
        <f t="shared" si="3911"/>
        <v>-6.4061398210510641</v>
      </c>
      <c r="X1783" s="1">
        <f t="shared" si="3912"/>
        <v>0</v>
      </c>
      <c r="Y1783" s="1">
        <f t="shared" si="3913"/>
        <v>-4.9173893070565073</v>
      </c>
    </row>
    <row r="1784" spans="1:25">
      <c r="A1784" s="1">
        <v>1.78199999999998</v>
      </c>
      <c r="B1784" s="1">
        <f t="shared" si="3914"/>
        <v>49.443701507697128</v>
      </c>
      <c r="C1784" s="1">
        <f t="shared" si="3915"/>
        <v>0</v>
      </c>
      <c r="D1784" s="1">
        <f t="shared" si="3916"/>
        <v>-5.3415112162099208</v>
      </c>
      <c r="E1784" s="1">
        <f t="shared" si="3917"/>
        <v>11.715402179409539</v>
      </c>
      <c r="F1784" s="1">
        <f t="shared" si="3918"/>
        <v>0</v>
      </c>
      <c r="G1784" s="1">
        <f t="shared" si="3919"/>
        <v>-7.7616683993820912</v>
      </c>
      <c r="H1784" s="1">
        <f t="shared" si="3456"/>
        <v>14.053260994063987</v>
      </c>
      <c r="I1784" s="1">
        <f t="shared" si="3902"/>
        <v>-6.7003987900769229</v>
      </c>
      <c r="J1784" s="1">
        <f t="shared" si="3903"/>
        <v>0</v>
      </c>
      <c r="K1784" s="1">
        <f t="shared" si="3904"/>
        <v>4.4391368521348697</v>
      </c>
      <c r="L1784" s="1">
        <f t="shared" ref="L1784:N1784" si="4026">E1784/$H1784</f>
        <v>0.83364296616693123</v>
      </c>
      <c r="M1784" s="1">
        <f t="shared" si="4026"/>
        <v>0</v>
      </c>
      <c r="N1784" s="1">
        <f t="shared" si="4026"/>
        <v>-0.55230372528202343</v>
      </c>
      <c r="O1784" s="1">
        <f t="shared" si="3458"/>
        <v>-0.55230372528202343</v>
      </c>
      <c r="P1784" s="1">
        <f t="shared" si="3906"/>
        <v>0.46042411576915193</v>
      </c>
      <c r="Q1784" s="1">
        <f t="shared" si="3907"/>
        <v>0</v>
      </c>
      <c r="R1784" s="1">
        <f t="shared" si="3908"/>
        <v>0.69496059503959917</v>
      </c>
      <c r="S1784" s="1">
        <f t="shared" si="3909"/>
        <v>0.6498397902310854</v>
      </c>
      <c r="T1784" s="1">
        <f t="shared" ref="T1784:V1784" si="4027">$S1784*P1784</f>
        <v>0.29920191080875869</v>
      </c>
      <c r="U1784" s="1">
        <f t="shared" si="4027"/>
        <v>0</v>
      </c>
      <c r="V1784" s="1">
        <f t="shared" si="4027"/>
        <v>0.45161304729940344</v>
      </c>
      <c r="W1784" s="1">
        <f t="shared" si="3911"/>
        <v>-6.4011968792681646</v>
      </c>
      <c r="X1784" s="1">
        <f t="shared" si="3912"/>
        <v>0</v>
      </c>
      <c r="Y1784" s="1">
        <f t="shared" si="3913"/>
        <v>-4.9159001005657261</v>
      </c>
    </row>
    <row r="1785" spans="1:25">
      <c r="A1785" s="1">
        <v>1.7829999999999799</v>
      </c>
      <c r="B1785" s="1">
        <f t="shared" si="3914"/>
        <v>49.455410508679655</v>
      </c>
      <c r="C1785" s="1">
        <f t="shared" si="3915"/>
        <v>0</v>
      </c>
      <c r="D1785" s="1">
        <f t="shared" si="3916"/>
        <v>-5.3492778005094035</v>
      </c>
      <c r="E1785" s="1">
        <f t="shared" si="3917"/>
        <v>11.70900098253027</v>
      </c>
      <c r="F1785" s="1">
        <f t="shared" si="3918"/>
        <v>0</v>
      </c>
      <c r="G1785" s="1">
        <f t="shared" si="3919"/>
        <v>-7.7665842994826573</v>
      </c>
      <c r="H1785" s="1">
        <f t="shared" si="3456"/>
        <v>14.050641824837232</v>
      </c>
      <c r="I1785" s="1">
        <f t="shared" si="3902"/>
        <v>-6.6954896477021464</v>
      </c>
      <c r="J1785" s="1">
        <f t="shared" si="3903"/>
        <v>0</v>
      </c>
      <c r="K1785" s="1">
        <f t="shared" si="3904"/>
        <v>4.4411205407512853</v>
      </c>
      <c r="L1785" s="1">
        <f t="shared" ref="L1785:N1785" si="4028">E1785/$H1785</f>
        <v>0.83334278451482136</v>
      </c>
      <c r="M1785" s="1">
        <f t="shared" si="4028"/>
        <v>0</v>
      </c>
      <c r="N1785" s="1">
        <f t="shared" si="4028"/>
        <v>-0.55275654993594059</v>
      </c>
      <c r="O1785" s="1">
        <f t="shared" si="3458"/>
        <v>-0.55275654993594059</v>
      </c>
      <c r="P1785" s="1">
        <f t="shared" si="3906"/>
        <v>0.46063568248242265</v>
      </c>
      <c r="Q1785" s="1">
        <f t="shared" si="3907"/>
        <v>0</v>
      </c>
      <c r="R1785" s="1">
        <f t="shared" si="3908"/>
        <v>0.69446019650291602</v>
      </c>
      <c r="S1785" s="1">
        <f t="shared" si="3909"/>
        <v>0.6495975856960432</v>
      </c>
      <c r="T1785" s="1">
        <f t="shared" ref="T1785:V1785" si="4029">$S1785*P1785</f>
        <v>0.29922782722603092</v>
      </c>
      <c r="U1785" s="1">
        <f t="shared" si="4029"/>
        <v>0</v>
      </c>
      <c r="V1785" s="1">
        <f t="shared" si="4029"/>
        <v>0.45111966701029399</v>
      </c>
      <c r="W1785" s="1">
        <f t="shared" si="3911"/>
        <v>-6.3962618204761155</v>
      </c>
      <c r="X1785" s="1">
        <f t="shared" si="3912"/>
        <v>0</v>
      </c>
      <c r="Y1785" s="1">
        <f t="shared" si="3913"/>
        <v>-4.9144097922384198</v>
      </c>
    </row>
    <row r="1786" spans="1:25">
      <c r="A1786" s="1">
        <v>1.78399999999998</v>
      </c>
      <c r="B1786" s="1">
        <f t="shared" si="3914"/>
        <v>49.467113113400366</v>
      </c>
      <c r="C1786" s="1">
        <f t="shared" si="3915"/>
        <v>0</v>
      </c>
      <c r="D1786" s="1">
        <f t="shared" si="3916"/>
        <v>-5.3570492992186782</v>
      </c>
      <c r="E1786" s="1">
        <f t="shared" si="3917"/>
        <v>11.702604720709793</v>
      </c>
      <c r="F1786" s="1">
        <f t="shared" si="3918"/>
        <v>0</v>
      </c>
      <c r="G1786" s="1">
        <f t="shared" si="3919"/>
        <v>-7.7714987092748959</v>
      </c>
      <c r="H1786" s="1">
        <f t="shared" si="3456"/>
        <v>14.048030090992848</v>
      </c>
      <c r="I1786" s="1">
        <f t="shared" si="3902"/>
        <v>-6.6905882326506063</v>
      </c>
      <c r="J1786" s="1">
        <f t="shared" si="3903"/>
        <v>0</v>
      </c>
      <c r="K1786" s="1">
        <f t="shared" si="3904"/>
        <v>4.4431046809876618</v>
      </c>
      <c r="L1786" s="1">
        <f t="shared" ref="L1786:N1786" si="4030">E1786/$H1786</f>
        <v>0.83304240131241836</v>
      </c>
      <c r="M1786" s="1">
        <f t="shared" si="4030"/>
        <v>0</v>
      </c>
      <c r="N1786" s="1">
        <f t="shared" si="4030"/>
        <v>-0.55320914455171444</v>
      </c>
      <c r="O1786" s="1">
        <f t="shared" si="3458"/>
        <v>-0.55320914455171444</v>
      </c>
      <c r="P1786" s="1">
        <f t="shared" si="3906"/>
        <v>0.46084667420534897</v>
      </c>
      <c r="Q1786" s="1">
        <f t="shared" si="3907"/>
        <v>0</v>
      </c>
      <c r="R1786" s="1">
        <f t="shared" si="3908"/>
        <v>0.69395964238436036</v>
      </c>
      <c r="S1786" s="1">
        <f t="shared" si="3909"/>
        <v>0.64935611369196888</v>
      </c>
      <c r="T1786" s="1">
        <f t="shared" ref="T1786:V1786" si="4031">$S1786*P1786</f>
        <v>0.29925360536985435</v>
      </c>
      <c r="U1786" s="1">
        <f t="shared" si="4031"/>
        <v>0</v>
      </c>
      <c r="V1786" s="1">
        <f t="shared" si="4031"/>
        <v>0.45062693643777679</v>
      </c>
      <c r="W1786" s="1">
        <f t="shared" si="3911"/>
        <v>-6.3913346272807523</v>
      </c>
      <c r="X1786" s="1">
        <f t="shared" si="3912"/>
        <v>0</v>
      </c>
      <c r="Y1786" s="1">
        <f t="shared" si="3913"/>
        <v>-4.9129183825745608</v>
      </c>
    </row>
    <row r="1787" spans="1:25">
      <c r="A1787" s="1">
        <v>1.7849999999999799</v>
      </c>
      <c r="B1787" s="1">
        <f t="shared" si="3914"/>
        <v>49.478809326786447</v>
      </c>
      <c r="C1787" s="1">
        <f t="shared" si="3915"/>
        <v>0</v>
      </c>
      <c r="D1787" s="1">
        <f t="shared" si="3916"/>
        <v>-5.3648257108463353</v>
      </c>
      <c r="E1787" s="1">
        <f t="shared" si="3917"/>
        <v>11.696213386082512</v>
      </c>
      <c r="F1787" s="1">
        <f t="shared" si="3918"/>
        <v>0</v>
      </c>
      <c r="G1787" s="1">
        <f t="shared" si="3919"/>
        <v>-7.7764116276574704</v>
      </c>
      <c r="H1787" s="1">
        <f t="shared" ref="H1787:H2000" si="4032">SQRT(E1787^2+F1787^2+G1787^2)</f>
        <v>14.045425781212261</v>
      </c>
      <c r="I1787" s="1">
        <f t="shared" si="3902"/>
        <v>-6.6856945276583462</v>
      </c>
      <c r="J1787" s="1">
        <f t="shared" si="3903"/>
        <v>0</v>
      </c>
      <c r="K1787" s="1">
        <f t="shared" si="3904"/>
        <v>4.4450892735688941</v>
      </c>
      <c r="L1787" s="1">
        <f t="shared" ref="L1787:N1787" si="4033">E1787/$H1787</f>
        <v>0.83274181703539729</v>
      </c>
      <c r="M1787" s="1">
        <f t="shared" si="4033"/>
        <v>0</v>
      </c>
      <c r="N1787" s="1">
        <f t="shared" si="4033"/>
        <v>-0.55366150864999186</v>
      </c>
      <c r="O1787" s="1">
        <f t="shared" ref="O1787:O2000" si="4034">N1787</f>
        <v>-0.55366150864999186</v>
      </c>
      <c r="P1787" s="1">
        <f t="shared" si="3906"/>
        <v>0.46105709073575357</v>
      </c>
      <c r="Q1787" s="1">
        <f t="shared" si="3907"/>
        <v>0</v>
      </c>
      <c r="R1787" s="1">
        <f t="shared" si="3908"/>
        <v>0.69345893383941504</v>
      </c>
      <c r="S1787" s="1">
        <f t="shared" si="3909"/>
        <v>0.64911537278929188</v>
      </c>
      <c r="T1787" s="1">
        <f t="shared" ref="T1787:V1787" si="4035">$S1787*P1787</f>
        <v>0.29927924533008504</v>
      </c>
      <c r="U1787" s="1">
        <f t="shared" si="4035"/>
        <v>0</v>
      </c>
      <c r="V1787" s="1">
        <f t="shared" si="4035"/>
        <v>0.4501348543532368</v>
      </c>
      <c r="W1787" s="1">
        <f t="shared" si="3911"/>
        <v>-6.3864152823282607</v>
      </c>
      <c r="X1787" s="1">
        <f t="shared" si="3912"/>
        <v>0</v>
      </c>
      <c r="Y1787" s="1">
        <f t="shared" si="3913"/>
        <v>-4.911425872077869</v>
      </c>
    </row>
    <row r="1788" spans="1:25">
      <c r="A1788" s="1">
        <v>1.78599999999998</v>
      </c>
      <c r="B1788" s="1">
        <f t="shared" si="3914"/>
        <v>49.490499153757249</v>
      </c>
      <c r="C1788" s="1">
        <f t="shared" si="3915"/>
        <v>0</v>
      </c>
      <c r="D1788" s="1">
        <f t="shared" si="3916"/>
        <v>-5.3726070338998646</v>
      </c>
      <c r="E1788" s="1">
        <f t="shared" si="3917"/>
        <v>11.689826970800183</v>
      </c>
      <c r="F1788" s="1">
        <f t="shared" si="3918"/>
        <v>0</v>
      </c>
      <c r="G1788" s="1">
        <f t="shared" si="3919"/>
        <v>-7.7813230535295483</v>
      </c>
      <c r="H1788" s="1">
        <f t="shared" si="4032"/>
        <v>14.042828884189888</v>
      </c>
      <c r="I1788" s="1">
        <f t="shared" si="3902"/>
        <v>-6.6808085155015604</v>
      </c>
      <c r="J1788" s="1">
        <f t="shared" si="3903"/>
        <v>0</v>
      </c>
      <c r="K1788" s="1">
        <f t="shared" si="3904"/>
        <v>4.4470743192129847</v>
      </c>
      <c r="L1788" s="1">
        <f t="shared" ref="L1788:N1788" si="4036">E1788/$H1788</f>
        <v>0.83244103215992116</v>
      </c>
      <c r="M1788" s="1">
        <f t="shared" si="4036"/>
        <v>0</v>
      </c>
      <c r="N1788" s="1">
        <f t="shared" si="4036"/>
        <v>-0.55411364175277722</v>
      </c>
      <c r="O1788" s="1">
        <f t="shared" si="4034"/>
        <v>-0.55411364175277722</v>
      </c>
      <c r="P1788" s="1">
        <f t="shared" si="3906"/>
        <v>0.46126693187457463</v>
      </c>
      <c r="Q1788" s="1">
        <f t="shared" si="3907"/>
        <v>0</v>
      </c>
      <c r="R1788" s="1">
        <f t="shared" si="3908"/>
        <v>0.69295807202347492</v>
      </c>
      <c r="S1788" s="1">
        <f t="shared" si="3909"/>
        <v>0.64887536156150682</v>
      </c>
      <c r="T1788" s="1">
        <f t="shared" ref="T1788:V1788" si="4037">$S1788*P1788</f>
        <v>0.29930474719648154</v>
      </c>
      <c r="U1788" s="1">
        <f t="shared" si="4037"/>
        <v>0</v>
      </c>
      <c r="V1788" s="1">
        <f t="shared" si="4037"/>
        <v>0.44964341953119696</v>
      </c>
      <c r="W1788" s="1">
        <f t="shared" si="3911"/>
        <v>-6.3815037683050786</v>
      </c>
      <c r="X1788" s="1">
        <f t="shared" si="3912"/>
        <v>0</v>
      </c>
      <c r="Y1788" s="1">
        <f t="shared" si="3913"/>
        <v>-4.9099322612558174</v>
      </c>
    </row>
    <row r="1789" spans="1:25">
      <c r="A1789" s="1">
        <v>1.7869999999999799</v>
      </c>
      <c r="B1789" s="1">
        <f t="shared" si="3914"/>
        <v>49.502182599224284</v>
      </c>
      <c r="C1789" s="1">
        <f t="shared" si="3915"/>
        <v>0</v>
      </c>
      <c r="D1789" s="1">
        <f t="shared" si="3916"/>
        <v>-5.3803932668856556</v>
      </c>
      <c r="E1789" s="1">
        <f t="shared" si="3917"/>
        <v>11.683445467031879</v>
      </c>
      <c r="F1789" s="1">
        <f t="shared" si="3918"/>
        <v>0</v>
      </c>
      <c r="G1789" s="1">
        <f t="shared" si="3919"/>
        <v>-7.7862329857908046</v>
      </c>
      <c r="H1789" s="1">
        <f t="shared" si="4032"/>
        <v>14.040239388633108</v>
      </c>
      <c r="I1789" s="1">
        <f t="shared" si="3902"/>
        <v>-6.6759301789964853</v>
      </c>
      <c r="J1789" s="1">
        <f t="shared" si="3903"/>
        <v>0</v>
      </c>
      <c r="K1789" s="1">
        <f t="shared" si="3904"/>
        <v>4.4490598186310608</v>
      </c>
      <c r="L1789" s="1">
        <f t="shared" ref="L1789:N1789" si="4038">E1789/$H1789</f>
        <v>0.83214004716263779</v>
      </c>
      <c r="M1789" s="1">
        <f t="shared" si="4038"/>
        <v>0</v>
      </c>
      <c r="N1789" s="1">
        <f t="shared" si="4038"/>
        <v>-0.55456554338343345</v>
      </c>
      <c r="O1789" s="1">
        <f t="shared" si="4034"/>
        <v>-0.55456554338343345</v>
      </c>
      <c r="P1789" s="1">
        <f t="shared" si="3906"/>
        <v>0.46147619742586415</v>
      </c>
      <c r="Q1789" s="1">
        <f t="shared" si="3907"/>
        <v>0</v>
      </c>
      <c r="R1789" s="1">
        <f t="shared" si="3908"/>
        <v>0.69245705809183722</v>
      </c>
      <c r="S1789" s="1">
        <f t="shared" si="3909"/>
        <v>0.64863607858516514</v>
      </c>
      <c r="T1789" s="1">
        <f t="shared" ref="T1789:V1789" si="4039">$S1789*P1789</f>
        <v>0.29933011105870599</v>
      </c>
      <c r="U1789" s="1">
        <f t="shared" si="4039"/>
        <v>0</v>
      </c>
      <c r="V1789" s="1">
        <f t="shared" si="4039"/>
        <v>0.44915263074930917</v>
      </c>
      <c r="W1789" s="1">
        <f t="shared" si="3911"/>
        <v>-6.3766000679377797</v>
      </c>
      <c r="X1789" s="1">
        <f t="shared" si="3912"/>
        <v>0</v>
      </c>
      <c r="Y1789" s="1">
        <f t="shared" si="3913"/>
        <v>-4.9084375506196292</v>
      </c>
    </row>
    <row r="1790" spans="1:25">
      <c r="A1790" s="1">
        <v>1.78799999999998</v>
      </c>
      <c r="B1790" s="1">
        <f t="shared" si="3914"/>
        <v>49.51385966809125</v>
      </c>
      <c r="C1790" s="1">
        <f t="shared" si="3915"/>
        <v>0</v>
      </c>
      <c r="D1790" s="1">
        <f t="shared" si="3916"/>
        <v>-5.3881844083089971</v>
      </c>
      <c r="E1790" s="1">
        <f t="shared" si="3917"/>
        <v>11.677068866963941</v>
      </c>
      <c r="F1790" s="1">
        <f t="shared" si="3918"/>
        <v>0</v>
      </c>
      <c r="G1790" s="1">
        <f t="shared" si="3919"/>
        <v>-7.7911414233414238</v>
      </c>
      <c r="H1790" s="1">
        <f t="shared" si="4032"/>
        <v>14.037657283262231</v>
      </c>
      <c r="I1790" s="1">
        <f t="shared" si="3902"/>
        <v>-6.6710595009992879</v>
      </c>
      <c r="J1790" s="1">
        <f t="shared" si="3903"/>
        <v>0</v>
      </c>
      <c r="K1790" s="1">
        <f t="shared" si="3904"/>
        <v>4.4510457725273795</v>
      </c>
      <c r="L1790" s="1">
        <f t="shared" ref="L1790:N1790" si="4040">E1790/$H1790</f>
        <v>0.83183886252067629</v>
      </c>
      <c r="M1790" s="1">
        <f t="shared" si="4040"/>
        <v>0</v>
      </c>
      <c r="N1790" s="1">
        <f t="shared" si="4040"/>
        <v>-0.55501721306668272</v>
      </c>
      <c r="O1790" s="1">
        <f t="shared" si="4034"/>
        <v>-0.55501721306668272</v>
      </c>
      <c r="P1790" s="1">
        <f t="shared" si="3906"/>
        <v>0.46168488719678519</v>
      </c>
      <c r="Q1790" s="1">
        <f t="shared" si="3907"/>
        <v>0</v>
      </c>
      <c r="R1790" s="1">
        <f t="shared" si="3908"/>
        <v>0.69195589319969253</v>
      </c>
      <c r="S1790" s="1">
        <f t="shared" si="3909"/>
        <v>0.64839752243986504</v>
      </c>
      <c r="T1790" s="1">
        <f t="shared" ref="T1790:V1790" si="4041">$S1790*P1790</f>
        <v>0.29935533700632411</v>
      </c>
      <c r="U1790" s="1">
        <f t="shared" si="4041"/>
        <v>0</v>
      </c>
      <c r="V1790" s="1">
        <f t="shared" si="4041"/>
        <v>0.44866248678834447</v>
      </c>
      <c r="W1790" s="1">
        <f t="shared" si="3911"/>
        <v>-6.3717041639929635</v>
      </c>
      <c r="X1790" s="1">
        <f t="shared" si="3912"/>
        <v>0</v>
      </c>
      <c r="Y1790" s="1">
        <f t="shared" si="3913"/>
        <v>-4.9069417406842755</v>
      </c>
    </row>
    <row r="1791" spans="1:25">
      <c r="A1791" s="1">
        <v>1.7889999999999799</v>
      </c>
      <c r="B1791" s="1">
        <f t="shared" si="3914"/>
        <v>49.525530365254049</v>
      </c>
      <c r="C1791" s="1">
        <f t="shared" si="3915"/>
        <v>0</v>
      </c>
      <c r="D1791" s="1">
        <f t="shared" si="3916"/>
        <v>-5.3959804566740797</v>
      </c>
      <c r="E1791" s="1">
        <f t="shared" si="3917"/>
        <v>11.670697162799948</v>
      </c>
      <c r="F1791" s="1">
        <f t="shared" si="3918"/>
        <v>0</v>
      </c>
      <c r="G1791" s="1">
        <f t="shared" si="3919"/>
        <v>-7.7960483650821084</v>
      </c>
      <c r="H1791" s="1">
        <f t="shared" si="4032"/>
        <v>14.035082556810494</v>
      </c>
      <c r="I1791" s="1">
        <f t="shared" si="3902"/>
        <v>-6.6661964644059708</v>
      </c>
      <c r="J1791" s="1">
        <f t="shared" si="3903"/>
        <v>0</v>
      </c>
      <c r="K1791" s="1">
        <f t="shared" si="3904"/>
        <v>4.4530321815993412</v>
      </c>
      <c r="L1791" s="1">
        <f t="shared" ref="L1791:N1791" si="4042">E1791/$H1791</f>
        <v>0.8315374787116423</v>
      </c>
      <c r="M1791" s="1">
        <f t="shared" si="4042"/>
        <v>0</v>
      </c>
      <c r="N1791" s="1">
        <f t="shared" si="4042"/>
        <v>-0.55546865032860759</v>
      </c>
      <c r="O1791" s="1">
        <f t="shared" si="4034"/>
        <v>-0.55546865032860759</v>
      </c>
      <c r="P1791" s="1">
        <f t="shared" si="3906"/>
        <v>0.46189300099760922</v>
      </c>
      <c r="Q1791" s="1">
        <f t="shared" si="3907"/>
        <v>0</v>
      </c>
      <c r="R1791" s="1">
        <f t="shared" si="3908"/>
        <v>0.69145457850211511</v>
      </c>
      <c r="S1791" s="1">
        <f t="shared" si="3909"/>
        <v>0.64815969170824461</v>
      </c>
      <c r="T1791" s="1">
        <f t="shared" ref="T1791:V1791" si="4043">$S1791*P1791</f>
        <v>0.2993804251288063</v>
      </c>
      <c r="U1791" s="1">
        <f t="shared" si="4043"/>
        <v>0</v>
      </c>
      <c r="V1791" s="1">
        <f t="shared" si="4043"/>
        <v>0.44817298643218517</v>
      </c>
      <c r="W1791" s="1">
        <f t="shared" si="3911"/>
        <v>-6.3668160392771647</v>
      </c>
      <c r="X1791" s="1">
        <f t="shared" si="3912"/>
        <v>0</v>
      </c>
      <c r="Y1791" s="1">
        <f t="shared" si="3913"/>
        <v>-4.9054448319684729</v>
      </c>
    </row>
    <row r="1792" spans="1:25">
      <c r="A1792" s="1">
        <v>1.7899999999999801</v>
      </c>
      <c r="B1792" s="1">
        <f t="shared" si="3914"/>
        <v>49.53719469560081</v>
      </c>
      <c r="C1792" s="1">
        <f t="shared" si="3915"/>
        <v>0</v>
      </c>
      <c r="D1792" s="1">
        <f t="shared" si="3916"/>
        <v>-5.4037814104839939</v>
      </c>
      <c r="E1792" s="1">
        <f t="shared" si="3917"/>
        <v>11.664330346760671</v>
      </c>
      <c r="F1792" s="1">
        <f t="shared" si="3918"/>
        <v>0</v>
      </c>
      <c r="G1792" s="1">
        <f t="shared" si="3919"/>
        <v>-7.8009538099140769</v>
      </c>
      <c r="H1792" s="1">
        <f t="shared" si="4032"/>
        <v>14.032515198024011</v>
      </c>
      <c r="I1792" s="1">
        <f t="shared" si="3902"/>
        <v>-6.6613410521522534</v>
      </c>
      <c r="J1792" s="1">
        <f t="shared" si="3903"/>
        <v>0</v>
      </c>
      <c r="K1792" s="1">
        <f t="shared" si="3904"/>
        <v>4.455019046537501</v>
      </c>
      <c r="L1792" s="1">
        <f t="shared" ref="L1792:N1792" si="4044">E1792/$H1792</f>
        <v>0.8312358962136156</v>
      </c>
      <c r="M1792" s="1">
        <f t="shared" si="4044"/>
        <v>0</v>
      </c>
      <c r="N1792" s="1">
        <f t="shared" si="4044"/>
        <v>-0.5559198546966525</v>
      </c>
      <c r="O1792" s="1">
        <f t="shared" si="4034"/>
        <v>-0.5559198546966525</v>
      </c>
      <c r="P1792" s="1">
        <f t="shared" si="3906"/>
        <v>0.46210053864171491</v>
      </c>
      <c r="Q1792" s="1">
        <f t="shared" si="3907"/>
        <v>0</v>
      </c>
      <c r="R1792" s="1">
        <f t="shared" si="3908"/>
        <v>0.69095311515405278</v>
      </c>
      <c r="S1792" s="1">
        <f t="shared" si="3909"/>
        <v>0.64792258497597111</v>
      </c>
      <c r="T1792" s="1">
        <f t="shared" ref="T1792:V1792" si="4045">$S1792*P1792</f>
        <v>0.29940537551552854</v>
      </c>
      <c r="U1792" s="1">
        <f t="shared" si="4045"/>
        <v>0</v>
      </c>
      <c r="V1792" s="1">
        <f t="shared" si="4045"/>
        <v>0.44768412846781369</v>
      </c>
      <c r="W1792" s="1">
        <f t="shared" si="3911"/>
        <v>-6.3619356766367252</v>
      </c>
      <c r="X1792" s="1">
        <f t="shared" si="3912"/>
        <v>0</v>
      </c>
      <c r="Y1792" s="1">
        <f t="shared" si="3913"/>
        <v>-4.9039468249946845</v>
      </c>
    </row>
    <row r="1793" spans="1:25">
      <c r="A1793" s="1">
        <v>1.7909999999999799</v>
      </c>
      <c r="B1793" s="1">
        <f t="shared" si="3914"/>
        <v>49.548852664011896</v>
      </c>
      <c r="C1793" s="1">
        <f t="shared" si="3915"/>
        <v>0</v>
      </c>
      <c r="D1793" s="1">
        <f t="shared" si="3916"/>
        <v>-5.4115872682407327</v>
      </c>
      <c r="E1793" s="1">
        <f t="shared" si="3917"/>
        <v>11.657968411084035</v>
      </c>
      <c r="F1793" s="1">
        <f t="shared" si="3918"/>
        <v>0</v>
      </c>
      <c r="G1793" s="1">
        <f t="shared" si="3919"/>
        <v>-7.8058577567390719</v>
      </c>
      <c r="H1793" s="1">
        <f t="shared" si="4032"/>
        <v>14.029955195661772</v>
      </c>
      <c r="I1793" s="1">
        <f t="shared" si="3902"/>
        <v>-6.6564932472134757</v>
      </c>
      <c r="J1793" s="1">
        <f t="shared" si="3903"/>
        <v>0</v>
      </c>
      <c r="K1793" s="1">
        <f t="shared" si="3904"/>
        <v>4.4570063680255769</v>
      </c>
      <c r="L1793" s="1">
        <f t="shared" ref="L1793:N1793" si="4046">E1793/$H1793</f>
        <v>0.83093411550514551</v>
      </c>
      <c r="M1793" s="1">
        <f t="shared" si="4046"/>
        <v>0</v>
      </c>
      <c r="N1793" s="1">
        <f t="shared" si="4046"/>
        <v>-0.55637082569962415</v>
      </c>
      <c r="O1793" s="1">
        <f t="shared" si="4034"/>
        <v>-0.55637082569962415</v>
      </c>
      <c r="P1793" s="1">
        <f t="shared" si="3906"/>
        <v>0.46230749994558468</v>
      </c>
      <c r="Q1793" s="1">
        <f t="shared" si="3907"/>
        <v>0</v>
      </c>
      <c r="R1793" s="1">
        <f t="shared" si="3908"/>
        <v>0.69045150431031843</v>
      </c>
      <c r="S1793" s="1">
        <f t="shared" si="3909"/>
        <v>0.64768620083173345</v>
      </c>
      <c r="T1793" s="1">
        <f t="shared" ref="T1793:V1793" si="4047">$S1793*P1793</f>
        <v>0.29943018825577256</v>
      </c>
      <c r="U1793" s="1">
        <f t="shared" si="4047"/>
        <v>0</v>
      </c>
      <c r="V1793" s="1">
        <f t="shared" si="4047"/>
        <v>0.44719591168530537</v>
      </c>
      <c r="W1793" s="1">
        <f t="shared" si="3911"/>
        <v>-6.3570630589577029</v>
      </c>
      <c r="X1793" s="1">
        <f t="shared" si="3912"/>
        <v>0</v>
      </c>
      <c r="Y1793" s="1">
        <f t="shared" si="3913"/>
        <v>-4.9024477202891168</v>
      </c>
    </row>
    <row r="1794" spans="1:25">
      <c r="A1794" s="1">
        <v>1.7919999999999801</v>
      </c>
      <c r="B1794" s="1">
        <f t="shared" si="3914"/>
        <v>49.560504275359918</v>
      </c>
      <c r="C1794" s="1">
        <f t="shared" si="3915"/>
        <v>0</v>
      </c>
      <c r="D1794" s="1">
        <f t="shared" si="3916"/>
        <v>-5.4193980284451921</v>
      </c>
      <c r="E1794" s="1">
        <f t="shared" si="3917"/>
        <v>11.651611348025076</v>
      </c>
      <c r="F1794" s="1">
        <f t="shared" si="3918"/>
        <v>0</v>
      </c>
      <c r="G1794" s="1">
        <f t="shared" si="3919"/>
        <v>-7.8107602044593607</v>
      </c>
      <c r="H1794" s="1">
        <f t="shared" si="4032"/>
        <v>14.027402538495599</v>
      </c>
      <c r="I1794" s="1">
        <f t="shared" ref="I1794:I1857" si="4048">-K_drag*$H1794*E1794</f>
        <v>-6.6516530326044867</v>
      </c>
      <c r="J1794" s="1">
        <f t="shared" ref="J1794:J1857" si="4049">-K_drag*$H1794*F1794</f>
        <v>0</v>
      </c>
      <c r="K1794" s="1">
        <f t="shared" ref="K1794:K1857" si="4050">-K_drag*$H1794*G1794</f>
        <v>4.4589941467404612</v>
      </c>
      <c r="L1794" s="1">
        <f t="shared" ref="L1794:N1794" si="4051">E1794/$H1794</f>
        <v>0.83063213706524741</v>
      </c>
      <c r="M1794" s="1">
        <f t="shared" si="4051"/>
        <v>0</v>
      </c>
      <c r="N1794" s="1">
        <f t="shared" si="4051"/>
        <v>-0.5568215628676928</v>
      </c>
      <c r="O1794" s="1">
        <f t="shared" si="4034"/>
        <v>-0.5568215628676928</v>
      </c>
      <c r="P1794" s="1">
        <f t="shared" ref="P1794:P1857" si="4052">u_axis_f-$O1794*L1794</f>
        <v>0.46251388472880267</v>
      </c>
      <c r="Q1794" s="1">
        <f t="shared" ref="Q1794:Q1857" si="4053">u_axis_r-$O1794*M1794</f>
        <v>0</v>
      </c>
      <c r="R1794" s="1">
        <f t="shared" ref="R1794:R1857" si="4054">u_axis_u-$O1794*N1794</f>
        <v>0.68994974712557999</v>
      </c>
      <c r="S1794" s="1">
        <f t="shared" ref="S1794:S1857" si="4055">K_lift*H1794^2</f>
        <v>0.64745053786723239</v>
      </c>
      <c r="T1794" s="1">
        <f t="shared" ref="T1794:V1794" si="4056">$S1794*P1794</f>
        <v>0.2994548634387264</v>
      </c>
      <c r="U1794" s="1">
        <f t="shared" si="4056"/>
        <v>0</v>
      </c>
      <c r="V1794" s="1">
        <f t="shared" si="4056"/>
        <v>0.44670833487781775</v>
      </c>
      <c r="W1794" s="1">
        <f t="shared" ref="W1794:W1857" si="4057">I1794+T1794+g_f</f>
        <v>-6.3521981691657601</v>
      </c>
      <c r="X1794" s="1">
        <f t="shared" ref="X1794:X1857" si="4058">J1794+U1794+g_r</f>
        <v>0</v>
      </c>
      <c r="Y1794" s="1">
        <f t="shared" ref="Y1794:Y1857" si="4059">K1794+V1794+g_u</f>
        <v>-4.9009475183817202</v>
      </c>
    </row>
    <row r="1795" spans="1:25">
      <c r="A1795" s="1">
        <v>1.7929999999999799</v>
      </c>
      <c r="B1795" s="1">
        <f t="shared" ref="B1795:B1858" si="4060">B1794+E1795*dt</f>
        <v>49.572149534509776</v>
      </c>
      <c r="C1795" s="1">
        <f t="shared" ref="C1795:C1858" si="4061">C1794+F1795*dt</f>
        <v>0</v>
      </c>
      <c r="D1795" s="1">
        <f t="shared" ref="D1795:D1858" si="4062">D1794+G1795*dt</f>
        <v>-5.4272136895971697</v>
      </c>
      <c r="E1795" s="1">
        <f t="shared" ref="E1795:E1858" si="4063">E1794+W1794*dt</f>
        <v>11.64525914985591</v>
      </c>
      <c r="F1795" s="1">
        <f t="shared" ref="F1795:F1858" si="4064">F1794+X1794*dt</f>
        <v>0</v>
      </c>
      <c r="G1795" s="1">
        <f t="shared" ref="G1795:G1858" si="4065">G1794+Y1794*dt</f>
        <v>-7.8156611519777428</v>
      </c>
      <c r="H1795" s="1">
        <f t="shared" si="4032"/>
        <v>14.024857215310139</v>
      </c>
      <c r="I1795" s="1">
        <f t="shared" si="4048"/>
        <v>-6.6468203913795447</v>
      </c>
      <c r="J1795" s="1">
        <f t="shared" si="4049"/>
        <v>0</v>
      </c>
      <c r="K1795" s="1">
        <f t="shared" si="4050"/>
        <v>4.4609823833522322</v>
      </c>
      <c r="L1795" s="1">
        <f t="shared" ref="L1795:N1795" si="4066">E1795/$H1795</f>
        <v>0.83032996137339943</v>
      </c>
      <c r="M1795" s="1">
        <f t="shared" si="4066"/>
        <v>0</v>
      </c>
      <c r="N1795" s="1">
        <f t="shared" si="4066"/>
        <v>-0.55727206573239341</v>
      </c>
      <c r="O1795" s="1">
        <f t="shared" si="4034"/>
        <v>-0.55727206573239341</v>
      </c>
      <c r="P1795" s="1">
        <f t="shared" si="4052"/>
        <v>0.46271969281405273</v>
      </c>
      <c r="Q1795" s="1">
        <f t="shared" si="4053"/>
        <v>0</v>
      </c>
      <c r="R1795" s="1">
        <f t="shared" si="4054"/>
        <v>0.68944784475435106</v>
      </c>
      <c r="S1795" s="1">
        <f t="shared" si="4055"/>
        <v>0.64721559467717305</v>
      </c>
      <c r="T1795" s="1">
        <f t="shared" ref="T1795:V1795" si="4067">$S1795*P1795</f>
        <v>0.29947940115348598</v>
      </c>
      <c r="U1795" s="1">
        <f t="shared" si="4067"/>
        <v>0</v>
      </c>
      <c r="V1795" s="1">
        <f t="shared" si="4067"/>
        <v>0.44622139684158257</v>
      </c>
      <c r="W1795" s="1">
        <f t="shared" si="4057"/>
        <v>-6.3473409902260585</v>
      </c>
      <c r="X1795" s="1">
        <f t="shared" si="4058"/>
        <v>0</v>
      </c>
      <c r="Y1795" s="1">
        <f t="shared" si="4059"/>
        <v>-4.899446219806185</v>
      </c>
    </row>
    <row r="1796" spans="1:25">
      <c r="A1796" s="1">
        <v>1.7939999999999801</v>
      </c>
      <c r="B1796" s="1">
        <f t="shared" si="4060"/>
        <v>49.583788446318643</v>
      </c>
      <c r="C1796" s="1">
        <f t="shared" si="4061"/>
        <v>0</v>
      </c>
      <c r="D1796" s="1">
        <f t="shared" si="4062"/>
        <v>-5.4350342501953675</v>
      </c>
      <c r="E1796" s="1">
        <f t="shared" si="4063"/>
        <v>11.638911808865684</v>
      </c>
      <c r="F1796" s="1">
        <f t="shared" si="4064"/>
        <v>0</v>
      </c>
      <c r="G1796" s="1">
        <f t="shared" si="4065"/>
        <v>-7.8205605981975488</v>
      </c>
      <c r="H1796" s="1">
        <f t="shared" si="4032"/>
        <v>14.022319214902828</v>
      </c>
      <c r="I1796" s="1">
        <f t="shared" si="4048"/>
        <v>-6.6419953066322082</v>
      </c>
      <c r="J1796" s="1">
        <f t="shared" si="4049"/>
        <v>0</v>
      </c>
      <c r="K1796" s="1">
        <f t="shared" si="4050"/>
        <v>4.4629710785241627</v>
      </c>
      <c r="L1796" s="1">
        <f t="shared" ref="L1796:N1796" si="4068">E1796/$H1796</f>
        <v>0.83002758890953832</v>
      </c>
      <c r="M1796" s="1">
        <f t="shared" si="4068"/>
        <v>0</v>
      </c>
      <c r="N1796" s="1">
        <f t="shared" si="4068"/>
        <v>-0.55772233382662617</v>
      </c>
      <c r="O1796" s="1">
        <f t="shared" si="4034"/>
        <v>-0.55772233382662617</v>
      </c>
      <c r="P1796" s="1">
        <f t="shared" si="4052"/>
        <v>0.46292492402711516</v>
      </c>
      <c r="Q1796" s="1">
        <f t="shared" si="4053"/>
        <v>0</v>
      </c>
      <c r="R1796" s="1">
        <f t="shared" si="4054"/>
        <v>0.68894579835098135</v>
      </c>
      <c r="S1796" s="1">
        <f t="shared" si="4055"/>
        <v>0.64698136985925525</v>
      </c>
      <c r="T1796" s="1">
        <f t="shared" ref="T1796:V1796" si="4069">$S1796*P1796</f>
        <v>0.29950380148905464</v>
      </c>
      <c r="U1796" s="1">
        <f t="shared" si="4069"/>
        <v>0</v>
      </c>
      <c r="V1796" s="1">
        <f t="shared" si="4069"/>
        <v>0.44573509637589614</v>
      </c>
      <c r="W1796" s="1">
        <f t="shared" si="4057"/>
        <v>-6.3424915051431539</v>
      </c>
      <c r="X1796" s="1">
        <f t="shared" si="4058"/>
        <v>0</v>
      </c>
      <c r="Y1796" s="1">
        <f t="shared" si="4059"/>
        <v>-4.8979438250999401</v>
      </c>
    </row>
    <row r="1797" spans="1:25">
      <c r="A1797" s="1">
        <v>1.7949999999999799</v>
      </c>
      <c r="B1797" s="1">
        <f t="shared" si="4060"/>
        <v>49.595421015636006</v>
      </c>
      <c r="C1797" s="1">
        <f t="shared" si="4061"/>
        <v>0</v>
      </c>
      <c r="D1797" s="1">
        <f t="shared" si="4062"/>
        <v>-5.44285970873739</v>
      </c>
      <c r="E1797" s="1">
        <f t="shared" si="4063"/>
        <v>11.632569317360542</v>
      </c>
      <c r="F1797" s="1">
        <f t="shared" si="4064"/>
        <v>0</v>
      </c>
      <c r="G1797" s="1">
        <f t="shared" si="4065"/>
        <v>-7.8254585420226483</v>
      </c>
      <c r="H1797" s="1">
        <f t="shared" si="4032"/>
        <v>14.019788526083877</v>
      </c>
      <c r="I1797" s="1">
        <f t="shared" si="4048"/>
        <v>-6.6371777614952379</v>
      </c>
      <c r="J1797" s="1">
        <f t="shared" si="4049"/>
        <v>0</v>
      </c>
      <c r="K1797" s="1">
        <f t="shared" si="4050"/>
        <v>4.4649602329127358</v>
      </c>
      <c r="L1797" s="1">
        <f t="shared" ref="L1797:N1797" si="4070">E1797/$H1797</f>
        <v>0.82972502015405558</v>
      </c>
      <c r="M1797" s="1">
        <f t="shared" si="4070"/>
        <v>0</v>
      </c>
      <c r="N1797" s="1">
        <f t="shared" si="4070"/>
        <v>-0.55817236668465786</v>
      </c>
      <c r="O1797" s="1">
        <f t="shared" si="4034"/>
        <v>-0.55817236668465786</v>
      </c>
      <c r="P1797" s="1">
        <f t="shared" si="4052"/>
        <v>0.46312957819686462</v>
      </c>
      <c r="Q1797" s="1">
        <f t="shared" si="4053"/>
        <v>0</v>
      </c>
      <c r="R1797" s="1">
        <f t="shared" si="4054"/>
        <v>0.68844360906964785</v>
      </c>
      <c r="S1797" s="1">
        <f t="shared" si="4055"/>
        <v>0.64674786201416556</v>
      </c>
      <c r="T1797" s="1">
        <f t="shared" ref="T1797:V1797" si="4071">$S1797*P1797</f>
        <v>0.2995280645343445</v>
      </c>
      <c r="U1797" s="1">
        <f t="shared" si="4071"/>
        <v>0</v>
      </c>
      <c r="V1797" s="1">
        <f t="shared" si="4071"/>
        <v>0.44524943228311076</v>
      </c>
      <c r="W1797" s="1">
        <f t="shared" si="4057"/>
        <v>-6.3376496969608933</v>
      </c>
      <c r="X1797" s="1">
        <f t="shared" si="4058"/>
        <v>0</v>
      </c>
      <c r="Y1797" s="1">
        <f t="shared" si="4059"/>
        <v>-4.8964403348041525</v>
      </c>
    </row>
    <row r="1798" spans="1:25">
      <c r="A1798" s="1">
        <v>1.7959999999999801</v>
      </c>
      <c r="B1798" s="1">
        <f t="shared" si="4060"/>
        <v>49.607047247303669</v>
      </c>
      <c r="C1798" s="1">
        <f t="shared" si="4061"/>
        <v>0</v>
      </c>
      <c r="D1798" s="1">
        <f t="shared" si="4062"/>
        <v>-5.4506900637197475</v>
      </c>
      <c r="E1798" s="1">
        <f t="shared" si="4063"/>
        <v>11.62623166766358</v>
      </c>
      <c r="F1798" s="1">
        <f t="shared" si="4064"/>
        <v>0</v>
      </c>
      <c r="G1798" s="1">
        <f t="shared" si="4065"/>
        <v>-7.8303549823574521</v>
      </c>
      <c r="H1798" s="1">
        <f t="shared" si="4032"/>
        <v>14.017265137676238</v>
      </c>
      <c r="I1798" s="1">
        <f t="shared" si="4048"/>
        <v>-6.6323677391404816</v>
      </c>
      <c r="J1798" s="1">
        <f t="shared" si="4049"/>
        <v>0</v>
      </c>
      <c r="K1798" s="1">
        <f t="shared" si="4050"/>
        <v>4.4669498471676476</v>
      </c>
      <c r="L1798" s="1">
        <f t="shared" ref="L1798:N1798" si="4072">E1798/$H1798</f>
        <v>0.82942225558779437</v>
      </c>
      <c r="M1798" s="1">
        <f t="shared" si="4072"/>
        <v>0</v>
      </c>
      <c r="N1798" s="1">
        <f t="shared" si="4072"/>
        <v>-0.55862216384212282</v>
      </c>
      <c r="O1798" s="1">
        <f t="shared" si="4034"/>
        <v>-0.55862216384212282</v>
      </c>
      <c r="P1798" s="1">
        <f t="shared" si="4052"/>
        <v>0.46333365515526792</v>
      </c>
      <c r="Q1798" s="1">
        <f t="shared" si="4053"/>
        <v>0</v>
      </c>
      <c r="R1798" s="1">
        <f t="shared" si="4054"/>
        <v>0.68794127806434446</v>
      </c>
      <c r="S1798" s="1">
        <f t="shared" si="4055"/>
        <v>0.64651506974556749</v>
      </c>
      <c r="T1798" s="1">
        <f t="shared" ref="T1798:V1798" si="4073">$S1798*P1798</f>
        <v>0.29955219037817676</v>
      </c>
      <c r="U1798" s="1">
        <f t="shared" si="4073"/>
        <v>0</v>
      </c>
      <c r="V1798" s="1">
        <f t="shared" si="4073"/>
        <v>0.44476440336862449</v>
      </c>
      <c r="W1798" s="1">
        <f t="shared" si="4057"/>
        <v>-6.332815548762305</v>
      </c>
      <c r="X1798" s="1">
        <f t="shared" si="4058"/>
        <v>0</v>
      </c>
      <c r="Y1798" s="1">
        <f t="shared" si="4059"/>
        <v>-4.8949357494637269</v>
      </c>
    </row>
    <row r="1799" spans="1:25">
      <c r="A1799" s="1">
        <v>1.7969999999999799</v>
      </c>
      <c r="B1799" s="1">
        <f t="shared" si="4060"/>
        <v>49.618667146155786</v>
      </c>
      <c r="C1799" s="1">
        <f t="shared" si="4061"/>
        <v>0</v>
      </c>
      <c r="D1799" s="1">
        <f t="shared" si="4062"/>
        <v>-5.4585253136378542</v>
      </c>
      <c r="E1799" s="1">
        <f t="shared" si="4063"/>
        <v>11.619898852114819</v>
      </c>
      <c r="F1799" s="1">
        <f t="shared" si="4064"/>
        <v>0</v>
      </c>
      <c r="G1799" s="1">
        <f t="shared" si="4065"/>
        <v>-7.835249918106916</v>
      </c>
      <c r="H1799" s="1">
        <f t="shared" si="4032"/>
        <v>14.014749038515593</v>
      </c>
      <c r="I1799" s="1">
        <f t="shared" si="4048"/>
        <v>-6.6275652227787845</v>
      </c>
      <c r="J1799" s="1">
        <f t="shared" si="4049"/>
        <v>0</v>
      </c>
      <c r="K1799" s="1">
        <f t="shared" si="4050"/>
        <v>4.4689399219318258</v>
      </c>
      <c r="L1799" s="1">
        <f t="shared" ref="L1799:N1799" si="4074">E1799/$H1799</f>
        <v>0.82911929569204545</v>
      </c>
      <c r="M1799" s="1">
        <f t="shared" si="4074"/>
        <v>0</v>
      </c>
      <c r="N1799" s="1">
        <f t="shared" si="4074"/>
        <v>-0.55907172483602363</v>
      </c>
      <c r="O1799" s="1">
        <f t="shared" si="4034"/>
        <v>-0.55907172483602363</v>
      </c>
      <c r="P1799" s="1">
        <f t="shared" si="4052"/>
        <v>0.46353715473738094</v>
      </c>
      <c r="Q1799" s="1">
        <f t="shared" si="4053"/>
        <v>0</v>
      </c>
      <c r="R1799" s="1">
        <f t="shared" si="4054"/>
        <v>0.68743880648887346</v>
      </c>
      <c r="S1799" s="1">
        <f t="shared" si="4055"/>
        <v>0.6462829916600944</v>
      </c>
      <c r="T1799" s="1">
        <f t="shared" ref="T1799:V1799" si="4075">$S1799*P1799</f>
        <v>0.29957617910928264</v>
      </c>
      <c r="U1799" s="1">
        <f t="shared" si="4075"/>
        <v>0</v>
      </c>
      <c r="V1799" s="1">
        <f t="shared" si="4075"/>
        <v>0.44428000844087384</v>
      </c>
      <c r="W1799" s="1">
        <f t="shared" si="4057"/>
        <v>-6.3279890436695014</v>
      </c>
      <c r="X1799" s="1">
        <f t="shared" si="4058"/>
        <v>0</v>
      </c>
      <c r="Y1799" s="1">
        <f t="shared" si="4059"/>
        <v>-4.8934300696272999</v>
      </c>
    </row>
    <row r="1800" spans="1:25">
      <c r="A1800" s="1">
        <v>1.7979999999999801</v>
      </c>
      <c r="B1800" s="1">
        <f t="shared" si="4060"/>
        <v>49.630280717018856</v>
      </c>
      <c r="C1800" s="1">
        <f t="shared" si="4061"/>
        <v>0</v>
      </c>
      <c r="D1800" s="1">
        <f t="shared" si="4062"/>
        <v>-5.4663654569860309</v>
      </c>
      <c r="E1800" s="1">
        <f t="shared" si="4063"/>
        <v>11.61357086307115</v>
      </c>
      <c r="F1800" s="1">
        <f t="shared" si="4064"/>
        <v>0</v>
      </c>
      <c r="G1800" s="1">
        <f t="shared" si="4065"/>
        <v>-7.840143348176543</v>
      </c>
      <c r="H1800" s="1">
        <f t="shared" si="4032"/>
        <v>14.012240217450316</v>
      </c>
      <c r="I1800" s="1">
        <f t="shared" si="4048"/>
        <v>-6.622770195659875</v>
      </c>
      <c r="J1800" s="1">
        <f t="shared" si="4049"/>
        <v>0</v>
      </c>
      <c r="K1800" s="1">
        <f t="shared" si="4050"/>
        <v>4.4709304578414342</v>
      </c>
      <c r="L1800" s="1">
        <f t="shared" ref="L1800:N1800" si="4076">E1800/$H1800</f>
        <v>0.82881614094854339</v>
      </c>
      <c r="M1800" s="1">
        <f t="shared" si="4076"/>
        <v>0</v>
      </c>
      <c r="N1800" s="1">
        <f t="shared" si="4076"/>
        <v>-0.559521049204732</v>
      </c>
      <c r="O1800" s="1">
        <f t="shared" si="4034"/>
        <v>-0.559521049204732</v>
      </c>
      <c r="P1800" s="1">
        <f t="shared" si="4052"/>
        <v>0.46374007678134604</v>
      </c>
      <c r="Q1800" s="1">
        <f t="shared" si="4053"/>
        <v>0</v>
      </c>
      <c r="R1800" s="1">
        <f t="shared" si="4054"/>
        <v>0.68693619549683582</v>
      </c>
      <c r="S1800" s="1">
        <f t="shared" si="4055"/>
        <v>0.64605162636734015</v>
      </c>
      <c r="T1800" s="1">
        <f t="shared" ref="T1800:V1800" si="4077">$S1800*P1800</f>
        <v>0.29960003081630382</v>
      </c>
      <c r="U1800" s="1">
        <f t="shared" si="4077"/>
        <v>0</v>
      </c>
      <c r="V1800" s="1">
        <f t="shared" si="4077"/>
        <v>0.44379624631132392</v>
      </c>
      <c r="W1800" s="1">
        <f t="shared" si="4057"/>
        <v>-6.323170164843571</v>
      </c>
      <c r="X1800" s="1">
        <f t="shared" si="4058"/>
        <v>0</v>
      </c>
      <c r="Y1800" s="1">
        <f t="shared" si="4059"/>
        <v>-4.8919232958472412</v>
      </c>
    </row>
    <row r="1801" spans="1:25">
      <c r="A1801" s="1">
        <v>1.7989999999999799</v>
      </c>
      <c r="B1801" s="1">
        <f t="shared" si="4060"/>
        <v>49.641887964711763</v>
      </c>
      <c r="C1801" s="1">
        <f t="shared" si="4061"/>
        <v>0</v>
      </c>
      <c r="D1801" s="1">
        <f t="shared" si="4062"/>
        <v>-5.4742104922575034</v>
      </c>
      <c r="E1801" s="1">
        <f t="shared" si="4063"/>
        <v>11.607247692906306</v>
      </c>
      <c r="F1801" s="1">
        <f t="shared" si="4064"/>
        <v>0</v>
      </c>
      <c r="G1801" s="1">
        <f t="shared" si="4065"/>
        <v>-7.8450352714723905</v>
      </c>
      <c r="H1801" s="1">
        <f t="shared" si="4032"/>
        <v>14.009738663341464</v>
      </c>
      <c r="I1801" s="1">
        <f t="shared" si="4048"/>
        <v>-6.6179826410722695</v>
      </c>
      <c r="J1801" s="1">
        <f t="shared" si="4049"/>
        <v>0</v>
      </c>
      <c r="K1801" s="1">
        <f t="shared" si="4050"/>
        <v>4.4729214555258867</v>
      </c>
      <c r="L1801" s="1">
        <f t="shared" ref="L1801:N1801" si="4078">E1801/$H1801</f>
        <v>0.82851279183946325</v>
      </c>
      <c r="M1801" s="1">
        <f t="shared" si="4078"/>
        <v>0</v>
      </c>
      <c r="N1801" s="1">
        <f t="shared" si="4078"/>
        <v>-0.55997013648798999</v>
      </c>
      <c r="O1801" s="1">
        <f t="shared" si="4034"/>
        <v>-0.55997013648798999</v>
      </c>
      <c r="P1801" s="1">
        <f t="shared" si="4052"/>
        <v>0.46394242112838985</v>
      </c>
      <c r="Q1801" s="1">
        <f t="shared" si="4053"/>
        <v>0</v>
      </c>
      <c r="R1801" s="1">
        <f t="shared" si="4054"/>
        <v>0.68643344624162184</v>
      </c>
      <c r="S1801" s="1">
        <f t="shared" si="4055"/>
        <v>0.64582097247985037</v>
      </c>
      <c r="T1801" s="1">
        <f t="shared" ref="T1801:V1801" si="4079">$S1801*P1801</f>
        <v>0.29962374558779303</v>
      </c>
      <c r="U1801" s="1">
        <f t="shared" si="4079"/>
        <v>0</v>
      </c>
      <c r="V1801" s="1">
        <f t="shared" si="4079"/>
        <v>0.44331311579445931</v>
      </c>
      <c r="W1801" s="1">
        <f t="shared" si="4057"/>
        <v>-6.3183588954844767</v>
      </c>
      <c r="X1801" s="1">
        <f t="shared" si="4058"/>
        <v>0</v>
      </c>
      <c r="Y1801" s="1">
        <f t="shared" si="4059"/>
        <v>-4.8904154286796535</v>
      </c>
    </row>
    <row r="1802" spans="1:25">
      <c r="A1802" s="1">
        <v>1.7999999999999801</v>
      </c>
      <c r="B1802" s="1">
        <f t="shared" si="4060"/>
        <v>49.653488894045772</v>
      </c>
      <c r="C1802" s="1">
        <f t="shared" si="4061"/>
        <v>0</v>
      </c>
      <c r="D1802" s="1">
        <f t="shared" si="4062"/>
        <v>-5.4820604179444041</v>
      </c>
      <c r="E1802" s="1">
        <f t="shared" si="4063"/>
        <v>11.600929334010821</v>
      </c>
      <c r="F1802" s="1">
        <f t="shared" si="4064"/>
        <v>0</v>
      </c>
      <c r="G1802" s="1">
        <f t="shared" si="4065"/>
        <v>-7.8499256869010701</v>
      </c>
      <c r="H1802" s="1">
        <f t="shared" si="4032"/>
        <v>14.007244365062745</v>
      </c>
      <c r="I1802" s="1">
        <f t="shared" si="4048"/>
        <v>-6.6132025423431644</v>
      </c>
      <c r="J1802" s="1">
        <f t="shared" si="4049"/>
        <v>0</v>
      </c>
      <c r="K1802" s="1">
        <f t="shared" si="4050"/>
        <v>4.474912915607856</v>
      </c>
      <c r="L1802" s="1">
        <f t="shared" ref="L1802:N1802" si="4080">E1802/$H1802</f>
        <v>0.82820924884741642</v>
      </c>
      <c r="M1802" s="1">
        <f t="shared" si="4080"/>
        <v>0</v>
      </c>
      <c r="N1802" s="1">
        <f t="shared" si="4080"/>
        <v>-0.56041898622691066</v>
      </c>
      <c r="O1802" s="1">
        <f t="shared" si="4034"/>
        <v>-0.56041898622691066</v>
      </c>
      <c r="P1802" s="1">
        <f t="shared" si="4052"/>
        <v>0.46414418762282028</v>
      </c>
      <c r="Q1802" s="1">
        <f t="shared" si="4053"/>
        <v>0</v>
      </c>
      <c r="R1802" s="1">
        <f t="shared" si="4054"/>
        <v>0.68593055987640172</v>
      </c>
      <c r="S1802" s="1">
        <f t="shared" si="4055"/>
        <v>0.64559102861311446</v>
      </c>
      <c r="T1802" s="1">
        <f t="shared" ref="T1802:V1802" si="4081">$S1802*P1802</f>
        <v>0.29964732351221496</v>
      </c>
      <c r="U1802" s="1">
        <f t="shared" si="4081"/>
        <v>0</v>
      </c>
      <c r="V1802" s="1">
        <f t="shared" si="4081"/>
        <v>0.44283061570777571</v>
      </c>
      <c r="W1802" s="1">
        <f t="shared" si="4057"/>
        <v>-6.3135552188309498</v>
      </c>
      <c r="X1802" s="1">
        <f t="shared" si="4058"/>
        <v>0</v>
      </c>
      <c r="Y1802" s="1">
        <f t="shared" si="4059"/>
        <v>-4.8889064686843682</v>
      </c>
    </row>
    <row r="1803" spans="1:25">
      <c r="A1803" s="1">
        <v>1.80099999999998</v>
      </c>
      <c r="B1803" s="1">
        <f t="shared" si="4060"/>
        <v>49.665083509824562</v>
      </c>
      <c r="C1803" s="1">
        <f t="shared" si="4061"/>
        <v>0</v>
      </c>
      <c r="D1803" s="1">
        <f t="shared" si="4062"/>
        <v>-5.4899152325377738</v>
      </c>
      <c r="E1803" s="1">
        <f t="shared" si="4063"/>
        <v>11.59461577879199</v>
      </c>
      <c r="F1803" s="1">
        <f t="shared" si="4064"/>
        <v>0</v>
      </c>
      <c r="G1803" s="1">
        <f t="shared" si="4065"/>
        <v>-7.8548145933697544</v>
      </c>
      <c r="H1803" s="1">
        <f t="shared" si="4032"/>
        <v>14.004757311500498</v>
      </c>
      <c r="I1803" s="1">
        <f t="shared" si="4048"/>
        <v>-6.6084298828383385</v>
      </c>
      <c r="J1803" s="1">
        <f t="shared" si="4049"/>
        <v>0</v>
      </c>
      <c r="K1803" s="1">
        <f t="shared" si="4050"/>
        <v>4.4769048387032884</v>
      </c>
      <c r="L1803" s="1">
        <f t="shared" ref="L1803:N1803" si="4082">E1803/$H1803</f>
        <v>0.82790551245544719</v>
      </c>
      <c r="M1803" s="1">
        <f t="shared" si="4082"/>
        <v>0</v>
      </c>
      <c r="N1803" s="1">
        <f t="shared" si="4082"/>
        <v>-0.56086759796397878</v>
      </c>
      <c r="O1803" s="1">
        <f t="shared" si="4034"/>
        <v>-0.56086759796397878</v>
      </c>
      <c r="P1803" s="1">
        <f t="shared" si="4052"/>
        <v>0.46434537611202359</v>
      </c>
      <c r="Q1803" s="1">
        <f t="shared" si="4053"/>
        <v>0</v>
      </c>
      <c r="R1803" s="1">
        <f t="shared" si="4054"/>
        <v>0.68542753755411667</v>
      </c>
      <c r="S1803" s="1">
        <f t="shared" si="4055"/>
        <v>0.64536179338555688</v>
      </c>
      <c r="T1803" s="1">
        <f t="shared" ref="T1803:V1803" si="4083">$S1803*P1803</f>
        <v>0.29967076467794646</v>
      </c>
      <c r="U1803" s="1">
        <f t="shared" si="4083"/>
        <v>0</v>
      </c>
      <c r="V1803" s="1">
        <f t="shared" si="4083"/>
        <v>0.44234874487177089</v>
      </c>
      <c r="W1803" s="1">
        <f t="shared" si="4057"/>
        <v>-6.3087591181603919</v>
      </c>
      <c r="X1803" s="1">
        <f t="shared" si="4058"/>
        <v>0</v>
      </c>
      <c r="Y1803" s="1">
        <f t="shared" si="4059"/>
        <v>-4.8873964164249397</v>
      </c>
    </row>
    <row r="1804" spans="1:25">
      <c r="A1804" s="1">
        <v>1.8019999999999801</v>
      </c>
      <c r="B1804" s="1">
        <f t="shared" si="4060"/>
        <v>49.676671816844234</v>
      </c>
      <c r="C1804" s="1">
        <f t="shared" si="4061"/>
        <v>0</v>
      </c>
      <c r="D1804" s="1">
        <f t="shared" si="4062"/>
        <v>-5.4977749345275599</v>
      </c>
      <c r="E1804" s="1">
        <f t="shared" si="4063"/>
        <v>11.588307019673829</v>
      </c>
      <c r="F1804" s="1">
        <f t="shared" si="4064"/>
        <v>0</v>
      </c>
      <c r="G1804" s="1">
        <f t="shared" si="4065"/>
        <v>-7.8597019897861795</v>
      </c>
      <c r="H1804" s="1">
        <f t="shared" si="4032"/>
        <v>14.00227749155367</v>
      </c>
      <c r="I1804" s="1">
        <f t="shared" si="4048"/>
        <v>-6.6036646459620476</v>
      </c>
      <c r="J1804" s="1">
        <f t="shared" si="4049"/>
        <v>0</v>
      </c>
      <c r="K1804" s="1">
        <f t="shared" si="4050"/>
        <v>4.4788972254214094</v>
      </c>
      <c r="L1804" s="1">
        <f t="shared" ref="L1804:N1804" si="4084">E1804/$H1804</f>
        <v>0.82760158314702914</v>
      </c>
      <c r="M1804" s="1">
        <f t="shared" si="4084"/>
        <v>0</v>
      </c>
      <c r="N1804" s="1">
        <f t="shared" si="4084"/>
        <v>-0.56131597124305244</v>
      </c>
      <c r="O1804" s="1">
        <f t="shared" si="4034"/>
        <v>-0.56131597124305244</v>
      </c>
      <c r="P1804" s="1">
        <f t="shared" si="4052"/>
        <v>0.4645459864464625</v>
      </c>
      <c r="Q1804" s="1">
        <f t="shared" si="4053"/>
        <v>0</v>
      </c>
      <c r="R1804" s="1">
        <f t="shared" si="4054"/>
        <v>0.68492438042746873</v>
      </c>
      <c r="S1804" s="1">
        <f t="shared" si="4055"/>
        <v>0.64513326541852856</v>
      </c>
      <c r="T1804" s="1">
        <f t="shared" ref="T1804:V1804" si="4085">$S1804*P1804</f>
        <v>0.29969406917327784</v>
      </c>
      <c r="U1804" s="1">
        <f t="shared" si="4085"/>
        <v>0</v>
      </c>
      <c r="V1804" s="1">
        <f t="shared" si="4085"/>
        <v>0.44186750210993542</v>
      </c>
      <c r="W1804" s="1">
        <f t="shared" si="4057"/>
        <v>-6.3039705767887702</v>
      </c>
      <c r="X1804" s="1">
        <f t="shared" si="4058"/>
        <v>0</v>
      </c>
      <c r="Y1804" s="1">
        <f t="shared" si="4059"/>
        <v>-4.8858852724686548</v>
      </c>
    </row>
    <row r="1805" spans="1:25">
      <c r="A1805" s="1">
        <v>1.80299999999998</v>
      </c>
      <c r="B1805" s="1">
        <f t="shared" si="4060"/>
        <v>49.688253819893333</v>
      </c>
      <c r="C1805" s="1">
        <f t="shared" si="4061"/>
        <v>0</v>
      </c>
      <c r="D1805" s="1">
        <f t="shared" si="4062"/>
        <v>-5.5056395224026184</v>
      </c>
      <c r="E1805" s="1">
        <f t="shared" si="4063"/>
        <v>11.58200304909704</v>
      </c>
      <c r="F1805" s="1">
        <f t="shared" si="4064"/>
        <v>0</v>
      </c>
      <c r="G1805" s="1">
        <f t="shared" si="4065"/>
        <v>-7.864587875058648</v>
      </c>
      <c r="H1805" s="1">
        <f t="shared" si="4032"/>
        <v>13.999804894133797</v>
      </c>
      <c r="I1805" s="1">
        <f t="shared" si="4048"/>
        <v>-6.5989068151569281</v>
      </c>
      <c r="J1805" s="1">
        <f t="shared" si="4049"/>
        <v>0</v>
      </c>
      <c r="K1805" s="1">
        <f t="shared" si="4050"/>
        <v>4.4808900763647372</v>
      </c>
      <c r="L1805" s="1">
        <f t="shared" ref="L1805:N1805" si="4086">E1805/$H1805</f>
        <v>0.82729746140606109</v>
      </c>
      <c r="M1805" s="1">
        <f t="shared" si="4086"/>
        <v>0</v>
      </c>
      <c r="N1805" s="1">
        <f t="shared" si="4086"/>
        <v>-0.56176410560936241</v>
      </c>
      <c r="O1805" s="1">
        <f t="shared" si="4034"/>
        <v>-0.56176410560936241</v>
      </c>
      <c r="P1805" s="1">
        <f t="shared" si="4052"/>
        <v>0.4647460184796719</v>
      </c>
      <c r="Q1805" s="1">
        <f t="shared" si="4053"/>
        <v>0</v>
      </c>
      <c r="R1805" s="1">
        <f t="shared" si="4054"/>
        <v>0.68442108964891313</v>
      </c>
      <c r="S1805" s="1">
        <f t="shared" si="4055"/>
        <v>0.64490544333629929</v>
      </c>
      <c r="T1805" s="1">
        <f t="shared" ref="T1805:V1805" si="4087">$S1805*P1805</f>
        <v>0.29971723708641274</v>
      </c>
      <c r="U1805" s="1">
        <f t="shared" si="4087"/>
        <v>0</v>
      </c>
      <c r="V1805" s="1">
        <f t="shared" si="4087"/>
        <v>0.44138688624874534</v>
      </c>
      <c r="W1805" s="1">
        <f t="shared" si="4057"/>
        <v>-6.2991895780705152</v>
      </c>
      <c r="X1805" s="1">
        <f t="shared" si="4058"/>
        <v>0</v>
      </c>
      <c r="Y1805" s="1">
        <f t="shared" si="4059"/>
        <v>-4.8843730373865171</v>
      </c>
    </row>
    <row r="1806" spans="1:25">
      <c r="A1806" s="1">
        <v>1.8039999999999801</v>
      </c>
      <c r="B1806" s="1">
        <f t="shared" si="4060"/>
        <v>49.699829523752854</v>
      </c>
      <c r="C1806" s="1">
        <f t="shared" si="4061"/>
        <v>0</v>
      </c>
      <c r="D1806" s="1">
        <f t="shared" si="4062"/>
        <v>-5.5135089946507145</v>
      </c>
      <c r="E1806" s="1">
        <f t="shared" si="4063"/>
        <v>11.575703859518969</v>
      </c>
      <c r="F1806" s="1">
        <f t="shared" si="4064"/>
        <v>0</v>
      </c>
      <c r="G1806" s="1">
        <f t="shared" si="4065"/>
        <v>-7.8694722480960344</v>
      </c>
      <c r="H1806" s="1">
        <f t="shared" si="4032"/>
        <v>13.997339508164972</v>
      </c>
      <c r="I1806" s="1">
        <f t="shared" si="4048"/>
        <v>-6.5941563739038864</v>
      </c>
      <c r="J1806" s="1">
        <f t="shared" si="4049"/>
        <v>0</v>
      </c>
      <c r="K1806" s="1">
        <f t="shared" si="4050"/>
        <v>4.482883392129092</v>
      </c>
      <c r="L1806" s="1">
        <f t="shared" ref="L1806:N1806" si="4088">E1806/$H1806</f>
        <v>0.82699314771686383</v>
      </c>
      <c r="M1806" s="1">
        <f t="shared" si="4088"/>
        <v>0</v>
      </c>
      <c r="N1806" s="1">
        <f t="shared" si="4088"/>
        <v>-0.56221200060951504</v>
      </c>
      <c r="O1806" s="1">
        <f t="shared" si="4034"/>
        <v>-0.56221200060951504</v>
      </c>
      <c r="P1806" s="1">
        <f t="shared" si="4052"/>
        <v>0.4649454720682582</v>
      </c>
      <c r="Q1806" s="1">
        <f t="shared" si="4053"/>
        <v>0</v>
      </c>
      <c r="R1806" s="1">
        <f t="shared" si="4054"/>
        <v>0.68391766637064666</v>
      </c>
      <c r="S1806" s="1">
        <f t="shared" si="4055"/>
        <v>0.64467832576604767</v>
      </c>
      <c r="T1806" s="1">
        <f t="shared" ref="T1806:V1806" si="4089">$S1806*P1806</f>
        <v>0.29974026850546936</v>
      </c>
      <c r="U1806" s="1">
        <f t="shared" si="4089"/>
        <v>0</v>
      </c>
      <c r="V1806" s="1">
        <f t="shared" si="4089"/>
        <v>0.44090689611765083</v>
      </c>
      <c r="W1806" s="1">
        <f t="shared" si="4057"/>
        <v>-6.2944161053984171</v>
      </c>
      <c r="X1806" s="1">
        <f t="shared" si="4058"/>
        <v>0</v>
      </c>
      <c r="Y1806" s="1">
        <f t="shared" si="4059"/>
        <v>-4.8828597117532562</v>
      </c>
    </row>
    <row r="1807" spans="1:25">
      <c r="A1807" s="1">
        <v>1.80499999999998</v>
      </c>
      <c r="B1807" s="1">
        <f t="shared" si="4060"/>
        <v>49.711398933196264</v>
      </c>
      <c r="C1807" s="1">
        <f t="shared" si="4061"/>
        <v>0</v>
      </c>
      <c r="D1807" s="1">
        <f t="shared" si="4062"/>
        <v>-5.5213833497585227</v>
      </c>
      <c r="E1807" s="1">
        <f t="shared" si="4063"/>
        <v>11.569409443413571</v>
      </c>
      <c r="F1807" s="1">
        <f t="shared" si="4064"/>
        <v>0</v>
      </c>
      <c r="G1807" s="1">
        <f t="shared" si="4065"/>
        <v>-7.874355107807788</v>
      </c>
      <c r="H1807" s="1">
        <f t="shared" si="4032"/>
        <v>13.994881322583829</v>
      </c>
      <c r="I1807" s="1">
        <f t="shared" si="4048"/>
        <v>-6.5894133057220143</v>
      </c>
      <c r="J1807" s="1">
        <f t="shared" si="4049"/>
        <v>0</v>
      </c>
      <c r="K1807" s="1">
        <f t="shared" si="4050"/>
        <v>4.4848771733036097</v>
      </c>
      <c r="L1807" s="1">
        <f t="shared" ref="L1807:N1807" si="4090">E1807/$H1807</f>
        <v>0.8266886425641764</v>
      </c>
      <c r="M1807" s="1">
        <f t="shared" si="4090"/>
        <v>0</v>
      </c>
      <c r="N1807" s="1">
        <f t="shared" si="4090"/>
        <v>-0.56265965579149135</v>
      </c>
      <c r="O1807" s="1">
        <f t="shared" si="4034"/>
        <v>-0.56265965579149135</v>
      </c>
      <c r="P1807" s="1">
        <f t="shared" si="4052"/>
        <v>0.46514434707189473</v>
      </c>
      <c r="Q1807" s="1">
        <f t="shared" si="4053"/>
        <v>0</v>
      </c>
      <c r="R1807" s="1">
        <f t="shared" si="4054"/>
        <v>0.68341411174460043</v>
      </c>
      <c r="S1807" s="1">
        <f t="shared" si="4055"/>
        <v>0.64445191133785451</v>
      </c>
      <c r="T1807" s="1">
        <f t="shared" ref="T1807:V1807" si="4091">$S1807*P1807</f>
        <v>0.29976316351848092</v>
      </c>
      <c r="U1807" s="1">
        <f t="shared" si="4091"/>
        <v>0</v>
      </c>
      <c r="V1807" s="1">
        <f t="shared" si="4091"/>
        <v>0.44042753054906986</v>
      </c>
      <c r="W1807" s="1">
        <f t="shared" si="4057"/>
        <v>-6.2896501422035334</v>
      </c>
      <c r="X1807" s="1">
        <f t="shared" si="4058"/>
        <v>0</v>
      </c>
      <c r="Y1807" s="1">
        <f t="shared" si="4059"/>
        <v>-4.8813452961473196</v>
      </c>
    </row>
    <row r="1808" spans="1:25">
      <c r="A1808" s="1">
        <v>1.8059999999999801</v>
      </c>
      <c r="B1808" s="1">
        <f t="shared" si="4060"/>
        <v>49.722962052989537</v>
      </c>
      <c r="C1808" s="1">
        <f t="shared" si="4061"/>
        <v>0</v>
      </c>
      <c r="D1808" s="1">
        <f t="shared" si="4062"/>
        <v>-5.5292625862116269</v>
      </c>
      <c r="E1808" s="1">
        <f t="shared" si="4063"/>
        <v>11.563119793271367</v>
      </c>
      <c r="F1808" s="1">
        <f t="shared" si="4064"/>
        <v>0</v>
      </c>
      <c r="G1808" s="1">
        <f t="shared" si="4065"/>
        <v>-7.8792364531039354</v>
      </c>
      <c r="H1808" s="1">
        <f t="shared" si="4032"/>
        <v>13.992430326339523</v>
      </c>
      <c r="I1808" s="1">
        <f t="shared" si="4048"/>
        <v>-6.5846775941684692</v>
      </c>
      <c r="J1808" s="1">
        <f t="shared" si="4049"/>
        <v>0</v>
      </c>
      <c r="K1808" s="1">
        <f t="shared" si="4050"/>
        <v>4.4868714204707478</v>
      </c>
      <c r="L1808" s="1">
        <f t="shared" ref="L1808:N1808" si="4092">E1808/$H1808</f>
        <v>0.82638394643315161</v>
      </c>
      <c r="M1808" s="1">
        <f t="shared" si="4092"/>
        <v>0</v>
      </c>
      <c r="N1808" s="1">
        <f t="shared" si="4092"/>
        <v>-0.56310707070464838</v>
      </c>
      <c r="O1808" s="1">
        <f t="shared" si="4034"/>
        <v>-0.56310707070464838</v>
      </c>
      <c r="P1808" s="1">
        <f t="shared" si="4052"/>
        <v>0.46534264335331904</v>
      </c>
      <c r="Q1808" s="1">
        <f t="shared" si="4053"/>
        <v>0</v>
      </c>
      <c r="R1808" s="1">
        <f t="shared" si="4054"/>
        <v>0.6829104269224302</v>
      </c>
      <c r="S1808" s="1">
        <f t="shared" si="4055"/>
        <v>0.64422619868469355</v>
      </c>
      <c r="T1808" s="1">
        <f t="shared" ref="T1808:V1808" si="4093">$S1808*P1808</f>
        <v>0.29978592221339578</v>
      </c>
      <c r="U1808" s="1">
        <f t="shared" si="4093"/>
        <v>0</v>
      </c>
      <c r="V1808" s="1">
        <f t="shared" si="4093"/>
        <v>0.43994878837837842</v>
      </c>
      <c r="W1808" s="1">
        <f t="shared" si="4057"/>
        <v>-6.2848916719550738</v>
      </c>
      <c r="X1808" s="1">
        <f t="shared" si="4058"/>
        <v>0</v>
      </c>
      <c r="Y1808" s="1">
        <f t="shared" si="4059"/>
        <v>-4.8798297911508728</v>
      </c>
    </row>
    <row r="1809" spans="1:25">
      <c r="A1809" s="1">
        <v>1.80699999999998</v>
      </c>
      <c r="B1809" s="1">
        <f t="shared" si="4060"/>
        <v>49.734518887891134</v>
      </c>
      <c r="C1809" s="1">
        <f t="shared" si="4061"/>
        <v>0</v>
      </c>
      <c r="D1809" s="1">
        <f t="shared" si="4062"/>
        <v>-5.537146702494522</v>
      </c>
      <c r="E1809" s="1">
        <f t="shared" si="4063"/>
        <v>11.556834901599412</v>
      </c>
      <c r="F1809" s="1">
        <f t="shared" si="4064"/>
        <v>0</v>
      </c>
      <c r="G1809" s="1">
        <f t="shared" si="4065"/>
        <v>-7.8841162828950866</v>
      </c>
      <c r="H1809" s="1">
        <f t="shared" si="4032"/>
        <v>13.989986508393699</v>
      </c>
      <c r="I1809" s="1">
        <f t="shared" si="4048"/>
        <v>-6.5799492228383869</v>
      </c>
      <c r="J1809" s="1">
        <f t="shared" si="4049"/>
        <v>0</v>
      </c>
      <c r="K1809" s="1">
        <f t="shared" si="4050"/>
        <v>4.4888661342063001</v>
      </c>
      <c r="L1809" s="1">
        <f t="shared" ref="L1809:N1809" si="4094">E1809/$H1809</f>
        <v>0.82607905980935392</v>
      </c>
      <c r="M1809" s="1">
        <f t="shared" si="4094"/>
        <v>0</v>
      </c>
      <c r="N1809" s="1">
        <f t="shared" si="4094"/>
        <v>-0.56355424489972039</v>
      </c>
      <c r="O1809" s="1">
        <f t="shared" si="4034"/>
        <v>-0.56355424489972039</v>
      </c>
      <c r="P1809" s="1">
        <f t="shared" si="4052"/>
        <v>0.46554036077833139</v>
      </c>
      <c r="Q1809" s="1">
        <f t="shared" si="4053"/>
        <v>0</v>
      </c>
      <c r="R1809" s="1">
        <f t="shared" si="4054"/>
        <v>0.68240661305550598</v>
      </c>
      <c r="S1809" s="1">
        <f t="shared" si="4055"/>
        <v>0.6440011864424231</v>
      </c>
      <c r="T1809" s="1">
        <f t="shared" ref="T1809:V1809" si="4095">$S1809*P1809</f>
        <v>0.2998085446780791</v>
      </c>
      <c r="U1809" s="1">
        <f t="shared" si="4095"/>
        <v>0</v>
      </c>
      <c r="V1809" s="1">
        <f t="shared" si="4095"/>
        <v>0.43947066844390137</v>
      </c>
      <c r="W1809" s="1">
        <f t="shared" si="4057"/>
        <v>-6.2801406781603077</v>
      </c>
      <c r="X1809" s="1">
        <f t="shared" si="4058"/>
        <v>0</v>
      </c>
      <c r="Y1809" s="1">
        <f t="shared" si="4059"/>
        <v>-4.8783131973497982</v>
      </c>
    </row>
    <row r="1810" spans="1:25">
      <c r="A1810" s="1">
        <v>1.8079999999999801</v>
      </c>
      <c r="B1810" s="1">
        <f t="shared" si="4060"/>
        <v>49.746069442652058</v>
      </c>
      <c r="C1810" s="1">
        <f t="shared" si="4061"/>
        <v>0</v>
      </c>
      <c r="D1810" s="1">
        <f t="shared" si="4062"/>
        <v>-5.5450356970906141</v>
      </c>
      <c r="E1810" s="1">
        <f t="shared" si="4063"/>
        <v>11.550554760921251</v>
      </c>
      <c r="F1810" s="1">
        <f t="shared" si="4064"/>
        <v>0</v>
      </c>
      <c r="G1810" s="1">
        <f t="shared" si="4065"/>
        <v>-7.8889945960924361</v>
      </c>
      <c r="H1810" s="1">
        <f t="shared" si="4032"/>
        <v>13.987549857720481</v>
      </c>
      <c r="I1810" s="1">
        <f t="shared" si="4048"/>
        <v>-6.5752281753647832</v>
      </c>
      <c r="J1810" s="1">
        <f t="shared" si="4049"/>
        <v>0</v>
      </c>
      <c r="K1810" s="1">
        <f t="shared" si="4050"/>
        <v>4.4908613150794059</v>
      </c>
      <c r="L1810" s="1">
        <f t="shared" ref="L1810:N1810" si="4096">E1810/$H1810</f>
        <v>0.82577398317875372</v>
      </c>
      <c r="M1810" s="1">
        <f t="shared" si="4096"/>
        <v>0</v>
      </c>
      <c r="N1810" s="1">
        <f t="shared" si="4096"/>
        <v>-0.56400117792881899</v>
      </c>
      <c r="O1810" s="1">
        <f t="shared" si="4034"/>
        <v>-0.56400117792881899</v>
      </c>
      <c r="P1810" s="1">
        <f t="shared" si="4052"/>
        <v>0.46573749921578983</v>
      </c>
      <c r="Q1810" s="1">
        <f t="shared" si="4053"/>
        <v>0</v>
      </c>
      <c r="R1810" s="1">
        <f t="shared" si="4054"/>
        <v>0.68190267129490467</v>
      </c>
      <c r="S1810" s="1">
        <f t="shared" si="4055"/>
        <v>0.64377687324977884</v>
      </c>
      <c r="T1810" s="1">
        <f t="shared" ref="T1810:V1810" si="4097">$S1810*P1810</f>
        <v>0.2998310310003125</v>
      </c>
      <c r="U1810" s="1">
        <f t="shared" si="4097"/>
        <v>0</v>
      </c>
      <c r="V1810" s="1">
        <f t="shared" si="4097"/>
        <v>0.43899316958690543</v>
      </c>
      <c r="W1810" s="1">
        <f t="shared" si="4057"/>
        <v>-6.2753971443644705</v>
      </c>
      <c r="X1810" s="1">
        <f t="shared" si="4058"/>
        <v>0</v>
      </c>
      <c r="Y1810" s="1">
        <f t="shared" si="4059"/>
        <v>-4.8767955153336882</v>
      </c>
    </row>
    <row r="1811" spans="1:25">
      <c r="A1811" s="1">
        <v>1.80899999999998</v>
      </c>
      <c r="B1811" s="1">
        <f t="shared" si="4060"/>
        <v>49.757613722015833</v>
      </c>
      <c r="C1811" s="1">
        <f t="shared" si="4061"/>
        <v>0</v>
      </c>
      <c r="D1811" s="1">
        <f t="shared" si="4062"/>
        <v>-5.552929568482222</v>
      </c>
      <c r="E1811" s="1">
        <f t="shared" si="4063"/>
        <v>11.544279363776887</v>
      </c>
      <c r="F1811" s="1">
        <f t="shared" si="4064"/>
        <v>0</v>
      </c>
      <c r="G1811" s="1">
        <f t="shared" si="4065"/>
        <v>-7.8938713916077701</v>
      </c>
      <c r="H1811" s="1">
        <f t="shared" si="4032"/>
        <v>13.985120363306441</v>
      </c>
      <c r="I1811" s="1">
        <f t="shared" si="4048"/>
        <v>-6.5705144354184473</v>
      </c>
      <c r="J1811" s="1">
        <f t="shared" si="4049"/>
        <v>0</v>
      </c>
      <c r="K1811" s="1">
        <f t="shared" si="4050"/>
        <v>4.4928569636525619</v>
      </c>
      <c r="L1811" s="1">
        <f t="shared" ref="L1811:N1811" si="4098">E1811/$H1811</f>
        <v>0.82546871702772562</v>
      </c>
      <c r="M1811" s="1">
        <f t="shared" si="4098"/>
        <v>0</v>
      </c>
      <c r="N1811" s="1">
        <f t="shared" si="4098"/>
        <v>-0.56444786934543456</v>
      </c>
      <c r="O1811" s="1">
        <f t="shared" si="4034"/>
        <v>-0.56444786934543456</v>
      </c>
      <c r="P1811" s="1">
        <f t="shared" si="4052"/>
        <v>0.46593405853760916</v>
      </c>
      <c r="Q1811" s="1">
        <f t="shared" si="4053"/>
        <v>0</v>
      </c>
      <c r="R1811" s="1">
        <f t="shared" si="4054"/>
        <v>0.68139860279139919</v>
      </c>
      <c r="S1811" s="1">
        <f t="shared" si="4055"/>
        <v>0.64355325774836403</v>
      </c>
      <c r="T1811" s="1">
        <f t="shared" ref="T1811:V1811" si="4099">$S1811*P1811</f>
        <v>0.29985338126779532</v>
      </c>
      <c r="U1811" s="1">
        <f t="shared" si="4099"/>
        <v>0</v>
      </c>
      <c r="V1811" s="1">
        <f t="shared" si="4099"/>
        <v>0.43851629065158843</v>
      </c>
      <c r="W1811" s="1">
        <f t="shared" si="4057"/>
        <v>-6.2706610541506516</v>
      </c>
      <c r="X1811" s="1">
        <f t="shared" si="4058"/>
        <v>0</v>
      </c>
      <c r="Y1811" s="1">
        <f t="shared" si="4059"/>
        <v>-4.8752767456958495</v>
      </c>
    </row>
    <row r="1812" spans="1:25">
      <c r="A1812" s="1">
        <v>1.8099999999999801</v>
      </c>
      <c r="B1812" s="1">
        <f t="shared" si="4060"/>
        <v>49.769151730718555</v>
      </c>
      <c r="C1812" s="1">
        <f t="shared" si="4061"/>
        <v>0</v>
      </c>
      <c r="D1812" s="1">
        <f t="shared" si="4062"/>
        <v>-5.5608283151505757</v>
      </c>
      <c r="E1812" s="1">
        <f t="shared" si="4063"/>
        <v>11.538008702722736</v>
      </c>
      <c r="F1812" s="1">
        <f t="shared" si="4064"/>
        <v>0</v>
      </c>
      <c r="G1812" s="1">
        <f t="shared" si="4065"/>
        <v>-7.8987466683534659</v>
      </c>
      <c r="H1812" s="1">
        <f t="shared" si="4032"/>
        <v>13.98269801415058</v>
      </c>
      <c r="I1812" s="1">
        <f t="shared" si="4048"/>
        <v>-6.5658079867078438</v>
      </c>
      <c r="J1812" s="1">
        <f t="shared" si="4049"/>
        <v>0</v>
      </c>
      <c r="K1812" s="1">
        <f t="shared" si="4050"/>
        <v>4.4948530804816311</v>
      </c>
      <c r="L1812" s="1">
        <f t="shared" ref="L1812:N1812" si="4100">E1812/$H1812</f>
        <v>0.82516326184304323</v>
      </c>
      <c r="M1812" s="1">
        <f t="shared" si="4100"/>
        <v>0</v>
      </c>
      <c r="N1812" s="1">
        <f t="shared" si="4100"/>
        <v>-0.56489431870443629</v>
      </c>
      <c r="O1812" s="1">
        <f t="shared" si="4034"/>
        <v>-0.56489431870443629</v>
      </c>
      <c r="P1812" s="1">
        <f t="shared" si="4052"/>
        <v>0.46613003861875629</v>
      </c>
      <c r="Q1812" s="1">
        <f t="shared" si="4053"/>
        <v>0</v>
      </c>
      <c r="R1812" s="1">
        <f t="shared" si="4054"/>
        <v>0.6808944086954507</v>
      </c>
      <c r="S1812" s="1">
        <f t="shared" si="4055"/>
        <v>0.64333033858264232</v>
      </c>
      <c r="T1812" s="1">
        <f t="shared" ref="T1812:V1812" si="4101">$S1812*P1812</f>
        <v>0.29987559556814464</v>
      </c>
      <c r="U1812" s="1">
        <f t="shared" si="4101"/>
        <v>0</v>
      </c>
      <c r="V1812" s="1">
        <f t="shared" si="4101"/>
        <v>0.43804003048507234</v>
      </c>
      <c r="W1812" s="1">
        <f t="shared" si="4057"/>
        <v>-6.2659323911396996</v>
      </c>
      <c r="X1812" s="1">
        <f t="shared" si="4058"/>
        <v>0</v>
      </c>
      <c r="Y1812" s="1">
        <f t="shared" si="4059"/>
        <v>-4.8737568890332961</v>
      </c>
    </row>
    <row r="1813" spans="1:25">
      <c r="A1813" s="1">
        <v>1.81099999999998</v>
      </c>
      <c r="B1813" s="1">
        <f t="shared" si="4060"/>
        <v>49.780683473488885</v>
      </c>
      <c r="C1813" s="1">
        <f t="shared" si="4061"/>
        <v>0</v>
      </c>
      <c r="D1813" s="1">
        <f t="shared" si="4062"/>
        <v>-5.5687319355758182</v>
      </c>
      <c r="E1813" s="1">
        <f t="shared" si="4063"/>
        <v>11.531742770331597</v>
      </c>
      <c r="F1813" s="1">
        <f t="shared" si="4064"/>
        <v>0</v>
      </c>
      <c r="G1813" s="1">
        <f t="shared" si="4065"/>
        <v>-7.9036204252424991</v>
      </c>
      <c r="H1813" s="1">
        <f t="shared" si="4032"/>
        <v>13.980282799264307</v>
      </c>
      <c r="I1813" s="1">
        <f t="shared" si="4048"/>
        <v>-6.5611088129790183</v>
      </c>
      <c r="J1813" s="1">
        <f t="shared" si="4049"/>
        <v>0</v>
      </c>
      <c r="K1813" s="1">
        <f t="shared" si="4050"/>
        <v>4.4968496661158524</v>
      </c>
      <c r="L1813" s="1">
        <f t="shared" ref="L1813:N1813" si="4102">E1813/$H1813</f>
        <v>0.82485761811187674</v>
      </c>
      <c r="M1813" s="1">
        <f t="shared" si="4102"/>
        <v>0</v>
      </c>
      <c r="N1813" s="1">
        <f t="shared" si="4102"/>
        <v>-0.56534052556207348</v>
      </c>
      <c r="O1813" s="1">
        <f t="shared" si="4034"/>
        <v>-0.56534052556207348</v>
      </c>
      <c r="P1813" s="1">
        <f t="shared" si="4052"/>
        <v>0.46632543933724852</v>
      </c>
      <c r="Q1813" s="1">
        <f t="shared" si="4053"/>
        <v>0</v>
      </c>
      <c r="R1813" s="1">
        <f t="shared" si="4054"/>
        <v>0.68039009015719853</v>
      </c>
      <c r="S1813" s="1">
        <f t="shared" si="4055"/>
        <v>0.64310811439992943</v>
      </c>
      <c r="T1813" s="1">
        <f t="shared" ref="T1813:V1813" si="4103">$S1813*P1813</f>
        <v>0.29989767398889655</v>
      </c>
      <c r="U1813" s="1">
        <f t="shared" si="4103"/>
        <v>0</v>
      </c>
      <c r="V1813" s="1">
        <f t="shared" si="4103"/>
        <v>0.43756438793739394</v>
      </c>
      <c r="W1813" s="1">
        <f t="shared" si="4057"/>
        <v>-6.2612111389901219</v>
      </c>
      <c r="X1813" s="1">
        <f t="shared" si="4058"/>
        <v>0</v>
      </c>
      <c r="Y1813" s="1">
        <f t="shared" si="4059"/>
        <v>-4.8722359459467528</v>
      </c>
    </row>
    <row r="1814" spans="1:25">
      <c r="A1814" s="1">
        <v>1.8119999999999801</v>
      </c>
      <c r="B1814" s="1">
        <f t="shared" si="4060"/>
        <v>49.792208955048075</v>
      </c>
      <c r="C1814" s="1">
        <f t="shared" si="4061"/>
        <v>0</v>
      </c>
      <c r="D1814" s="1">
        <f t="shared" si="4062"/>
        <v>-5.576640428237007</v>
      </c>
      <c r="E1814" s="1">
        <f t="shared" si="4063"/>
        <v>11.525481559192608</v>
      </c>
      <c r="F1814" s="1">
        <f t="shared" si="4064"/>
        <v>0</v>
      </c>
      <c r="G1814" s="1">
        <f t="shared" si="4065"/>
        <v>-7.9084926611884461</v>
      </c>
      <c r="H1814" s="1">
        <f t="shared" si="4032"/>
        <v>13.977874707671418</v>
      </c>
      <c r="I1814" s="1">
        <f t="shared" si="4048"/>
        <v>-6.5564168980154998</v>
      </c>
      <c r="J1814" s="1">
        <f t="shared" si="4049"/>
        <v>0</v>
      </c>
      <c r="K1814" s="1">
        <f t="shared" si="4050"/>
        <v>4.4988467210978582</v>
      </c>
      <c r="L1814" s="1">
        <f t="shared" ref="L1814:N1814" si="4104">E1814/$H1814</f>
        <v>0.82455178632178794</v>
      </c>
      <c r="M1814" s="1">
        <f t="shared" si="4104"/>
        <v>0</v>
      </c>
      <c r="N1814" s="1">
        <f t="shared" si="4104"/>
        <v>-0.56578648947597598</v>
      </c>
      <c r="O1814" s="1">
        <f t="shared" si="4034"/>
        <v>-0.56578648947597598</v>
      </c>
      <c r="P1814" s="1">
        <f t="shared" si="4052"/>
        <v>0.46652026057414947</v>
      </c>
      <c r="Q1814" s="1">
        <f t="shared" si="4053"/>
        <v>0</v>
      </c>
      <c r="R1814" s="1">
        <f t="shared" si="4054"/>
        <v>0.67988564832645126</v>
      </c>
      <c r="S1814" s="1">
        <f t="shared" si="4055"/>
        <v>0.64288658385038489</v>
      </c>
      <c r="T1814" s="1">
        <f t="shared" ref="T1814:V1814" si="4105">$S1814*P1814</f>
        <v>0.29991961661750632</v>
      </c>
      <c r="U1814" s="1">
        <f t="shared" si="4105"/>
        <v>0</v>
      </c>
      <c r="V1814" s="1">
        <f t="shared" si="4105"/>
        <v>0.43708936186149638</v>
      </c>
      <c r="W1814" s="1">
        <f t="shared" si="4057"/>
        <v>-6.2564972813979933</v>
      </c>
      <c r="X1814" s="1">
        <f t="shared" si="4058"/>
        <v>0</v>
      </c>
      <c r="Y1814" s="1">
        <f t="shared" si="4059"/>
        <v>-4.8707139170406446</v>
      </c>
    </row>
    <row r="1815" spans="1:25">
      <c r="A1815" s="1">
        <v>1.81299999999998</v>
      </c>
      <c r="B1815" s="1">
        <f t="shared" si="4060"/>
        <v>49.803728180109985</v>
      </c>
      <c r="C1815" s="1">
        <f t="shared" si="4061"/>
        <v>0</v>
      </c>
      <c r="D1815" s="1">
        <f t="shared" si="4062"/>
        <v>-5.5845537916121124</v>
      </c>
      <c r="E1815" s="1">
        <f t="shared" si="4063"/>
        <v>11.519225061911209</v>
      </c>
      <c r="F1815" s="1">
        <f t="shared" si="4064"/>
        <v>0</v>
      </c>
      <c r="G1815" s="1">
        <f t="shared" si="4065"/>
        <v>-7.9133633751054866</v>
      </c>
      <c r="H1815" s="1">
        <f t="shared" si="4032"/>
        <v>13.975473728408073</v>
      </c>
      <c r="I1815" s="1">
        <f t="shared" si="4048"/>
        <v>-6.5517322256381965</v>
      </c>
      <c r="J1815" s="1">
        <f t="shared" si="4049"/>
        <v>0</v>
      </c>
      <c r="K1815" s="1">
        <f t="shared" si="4050"/>
        <v>4.5008442459636786</v>
      </c>
      <c r="L1815" s="1">
        <f t="shared" ref="L1815:N1815" si="4106">E1815/$H1815</f>
        <v>0.82424576696072749</v>
      </c>
      <c r="M1815" s="1">
        <f t="shared" si="4106"/>
        <v>0</v>
      </c>
      <c r="N1815" s="1">
        <f t="shared" si="4106"/>
        <v>-0.566232210005155</v>
      </c>
      <c r="O1815" s="1">
        <f t="shared" si="4034"/>
        <v>-0.566232210005155</v>
      </c>
      <c r="P1815" s="1">
        <f t="shared" si="4052"/>
        <v>0.4667145022135667</v>
      </c>
      <c r="Q1815" s="1">
        <f t="shared" si="4053"/>
        <v>0</v>
      </c>
      <c r="R1815" s="1">
        <f t="shared" si="4054"/>
        <v>0.67938108435267797</v>
      </c>
      <c r="S1815" s="1">
        <f t="shared" si="4055"/>
        <v>0.64266574558700396</v>
      </c>
      <c r="T1815" s="1">
        <f t="shared" ref="T1815:V1815" si="4107">$S1815*P1815</f>
        <v>0.29994142354134923</v>
      </c>
      <c r="U1815" s="1">
        <f t="shared" si="4107"/>
        <v>0</v>
      </c>
      <c r="V1815" s="1">
        <f t="shared" si="4107"/>
        <v>0.43661495111322102</v>
      </c>
      <c r="W1815" s="1">
        <f t="shared" si="4057"/>
        <v>-6.2517908020968473</v>
      </c>
      <c r="X1815" s="1">
        <f t="shared" si="4058"/>
        <v>0</v>
      </c>
      <c r="Y1815" s="1">
        <f t="shared" si="4059"/>
        <v>-4.8691908029231001</v>
      </c>
    </row>
    <row r="1816" spans="1:25">
      <c r="A1816" s="1">
        <v>1.8139999999999801</v>
      </c>
      <c r="B1816" s="1">
        <f t="shared" si="4060"/>
        <v>49.815241153381095</v>
      </c>
      <c r="C1816" s="1">
        <f t="shared" si="4061"/>
        <v>0</v>
      </c>
      <c r="D1816" s="1">
        <f t="shared" si="4062"/>
        <v>-5.5924720241780213</v>
      </c>
      <c r="E1816" s="1">
        <f t="shared" si="4063"/>
        <v>11.512973271109113</v>
      </c>
      <c r="F1816" s="1">
        <f t="shared" si="4064"/>
        <v>0</v>
      </c>
      <c r="G1816" s="1">
        <f t="shared" si="4065"/>
        <v>-7.9182325659084096</v>
      </c>
      <c r="H1816" s="1">
        <f t="shared" si="4032"/>
        <v>13.973079850522767</v>
      </c>
      <c r="I1816" s="1">
        <f t="shared" si="4048"/>
        <v>-6.5470547797053014</v>
      </c>
      <c r="J1816" s="1">
        <f t="shared" si="4049"/>
        <v>0</v>
      </c>
      <c r="K1816" s="1">
        <f t="shared" si="4050"/>
        <v>4.5028422412427496</v>
      </c>
      <c r="L1816" s="1">
        <f t="shared" ref="L1816:N1816" si="4108">E1816/$H1816</f>
        <v>0.82393956051703121</v>
      </c>
      <c r="M1816" s="1">
        <f t="shared" si="4108"/>
        <v>0</v>
      </c>
      <c r="N1816" s="1">
        <f t="shared" si="4108"/>
        <v>-0.56667768671000396</v>
      </c>
      <c r="O1816" s="1">
        <f t="shared" si="4034"/>
        <v>-0.56667768671000396</v>
      </c>
      <c r="P1816" s="1">
        <f t="shared" si="4052"/>
        <v>0.46690816414264857</v>
      </c>
      <c r="Q1816" s="1">
        <f t="shared" si="4053"/>
        <v>0</v>
      </c>
      <c r="R1816" s="1">
        <f t="shared" si="4054"/>
        <v>0.67887639938499866</v>
      </c>
      <c r="S1816" s="1">
        <f t="shared" si="4055"/>
        <v>0.64244559826560887</v>
      </c>
      <c r="T1816" s="1">
        <f t="shared" ref="T1816:V1816" si="4109">$S1816*P1816</f>
        <v>0.29996309484772099</v>
      </c>
      <c r="U1816" s="1">
        <f t="shared" si="4109"/>
        <v>0</v>
      </c>
      <c r="V1816" s="1">
        <f t="shared" si="4109"/>
        <v>0.43614115455129787</v>
      </c>
      <c r="W1816" s="1">
        <f t="shared" si="4057"/>
        <v>-6.2470916848575806</v>
      </c>
      <c r="X1816" s="1">
        <f t="shared" si="4058"/>
        <v>0</v>
      </c>
      <c r="Y1816" s="1">
        <f t="shared" si="4059"/>
        <v>-4.8676666042059518</v>
      </c>
    </row>
    <row r="1817" spans="1:25">
      <c r="A1817" s="1">
        <v>1.81499999999998</v>
      </c>
      <c r="B1817" s="1">
        <f t="shared" si="4060"/>
        <v>49.826747879560521</v>
      </c>
      <c r="C1817" s="1">
        <f t="shared" si="4061"/>
        <v>0</v>
      </c>
      <c r="D1817" s="1">
        <f t="shared" si="4062"/>
        <v>-5.6003951244105341</v>
      </c>
      <c r="E1817" s="1">
        <f t="shared" si="4063"/>
        <v>11.506726179424255</v>
      </c>
      <c r="F1817" s="1">
        <f t="shared" si="4064"/>
        <v>0</v>
      </c>
      <c r="G1817" s="1">
        <f t="shared" si="4065"/>
        <v>-7.9231002325126152</v>
      </c>
      <c r="H1817" s="1">
        <f t="shared" si="4032"/>
        <v>13.970693063076325</v>
      </c>
      <c r="I1817" s="1">
        <f t="shared" si="4048"/>
        <v>-6.5423845441121982</v>
      </c>
      <c r="J1817" s="1">
        <f t="shared" si="4049"/>
        <v>0</v>
      </c>
      <c r="K1817" s="1">
        <f t="shared" si="4050"/>
        <v>4.5048407074579337</v>
      </c>
      <c r="L1817" s="1">
        <f t="shared" ref="L1817:N1817" si="4110">E1817/$H1817</f>
        <v>0.82363316747941584</v>
      </c>
      <c r="M1817" s="1">
        <f t="shared" si="4110"/>
        <v>0</v>
      </c>
      <c r="N1817" s="1">
        <f t="shared" si="4110"/>
        <v>-0.56712291915229873</v>
      </c>
      <c r="O1817" s="1">
        <f t="shared" si="4034"/>
        <v>-0.56712291915229873</v>
      </c>
      <c r="P1817" s="1">
        <f t="shared" si="4052"/>
        <v>0.46710124625158045</v>
      </c>
      <c r="Q1817" s="1">
        <f t="shared" si="4053"/>
        <v>0</v>
      </c>
      <c r="R1817" s="1">
        <f t="shared" si="4054"/>
        <v>0.67837159457217522</v>
      </c>
      <c r="S1817" s="1">
        <f t="shared" si="4055"/>
        <v>0.64222614054484206</v>
      </c>
      <c r="T1817" s="1">
        <f t="shared" ref="T1817:V1817" si="4111">$S1817*P1817</f>
        <v>0.2999846306238384</v>
      </c>
      <c r="U1817" s="1">
        <f t="shared" si="4111"/>
        <v>0</v>
      </c>
      <c r="V1817" s="1">
        <f t="shared" si="4111"/>
        <v>0.4356679710373384</v>
      </c>
      <c r="W1817" s="1">
        <f t="shared" si="4057"/>
        <v>-6.2423999134883594</v>
      </c>
      <c r="X1817" s="1">
        <f t="shared" si="4058"/>
        <v>0</v>
      </c>
      <c r="Y1817" s="1">
        <f t="shared" si="4059"/>
        <v>-4.8661413215047276</v>
      </c>
    </row>
    <row r="1818" spans="1:25">
      <c r="A1818" s="1">
        <v>1.8159999999999801</v>
      </c>
      <c r="B1818" s="1">
        <f t="shared" si="4060"/>
        <v>49.838248363340035</v>
      </c>
      <c r="C1818" s="1">
        <f t="shared" si="4061"/>
        <v>0</v>
      </c>
      <c r="D1818" s="1">
        <f t="shared" si="4062"/>
        <v>-5.608323090784368</v>
      </c>
      <c r="E1818" s="1">
        <f t="shared" si="4063"/>
        <v>11.500483779510768</v>
      </c>
      <c r="F1818" s="1">
        <f t="shared" si="4064"/>
        <v>0</v>
      </c>
      <c r="G1818" s="1">
        <f t="shared" si="4065"/>
        <v>-7.9279663738341197</v>
      </c>
      <c r="H1818" s="1">
        <f t="shared" si="4032"/>
        <v>13.968313355141872</v>
      </c>
      <c r="I1818" s="1">
        <f t="shared" si="4048"/>
        <v>-6.5377215027913591</v>
      </c>
      <c r="J1818" s="1">
        <f t="shared" si="4049"/>
        <v>0</v>
      </c>
      <c r="K1818" s="1">
        <f t="shared" si="4050"/>
        <v>4.5068396451255248</v>
      </c>
      <c r="L1818" s="1">
        <f t="shared" ref="L1818:N1818" si="4112">E1818/$H1818</f>
        <v>0.82332658833697547</v>
      </c>
      <c r="M1818" s="1">
        <f t="shared" si="4112"/>
        <v>0</v>
      </c>
      <c r="N1818" s="1">
        <f t="shared" si="4112"/>
        <v>-0.56756790689519854</v>
      </c>
      <c r="O1818" s="1">
        <f t="shared" si="4034"/>
        <v>-0.56756790689519854</v>
      </c>
      <c r="P1818" s="1">
        <f t="shared" si="4052"/>
        <v>0.46729374843358196</v>
      </c>
      <c r="Q1818" s="1">
        <f t="shared" si="4053"/>
        <v>0</v>
      </c>
      <c r="R1818" s="1">
        <f t="shared" si="4054"/>
        <v>0.67786667106260323</v>
      </c>
      <c r="S1818" s="1">
        <f t="shared" si="4055"/>
        <v>0.64200737108615757</v>
      </c>
      <c r="T1818" s="1">
        <f t="shared" ref="T1818:V1818" si="4113">$S1818*P1818</f>
        <v>0.3000060309568402</v>
      </c>
      <c r="U1818" s="1">
        <f t="shared" si="4113"/>
        <v>0</v>
      </c>
      <c r="V1818" s="1">
        <f t="shared" si="4113"/>
        <v>0.43519539943582702</v>
      </c>
      <c r="W1818" s="1">
        <f t="shared" si="4057"/>
        <v>-6.2377154718345187</v>
      </c>
      <c r="X1818" s="1">
        <f t="shared" si="4058"/>
        <v>0</v>
      </c>
      <c r="Y1818" s="1">
        <f t="shared" si="4059"/>
        <v>-4.8646149554386477</v>
      </c>
    </row>
    <row r="1819" spans="1:25">
      <c r="A1819" s="1">
        <v>1.81699999999998</v>
      </c>
      <c r="B1819" s="1">
        <f t="shared" si="4060"/>
        <v>49.849742609404075</v>
      </c>
      <c r="C1819" s="1">
        <f t="shared" si="4061"/>
        <v>0</v>
      </c>
      <c r="D1819" s="1">
        <f t="shared" si="4062"/>
        <v>-5.6162559217731571</v>
      </c>
      <c r="E1819" s="1">
        <f t="shared" si="4063"/>
        <v>11.494246064038933</v>
      </c>
      <c r="F1819" s="1">
        <f t="shared" si="4064"/>
        <v>0</v>
      </c>
      <c r="G1819" s="1">
        <f t="shared" si="4065"/>
        <v>-7.9328309887895587</v>
      </c>
      <c r="H1819" s="1">
        <f t="shared" si="4032"/>
        <v>13.965940715804805</v>
      </c>
      <c r="I1819" s="1">
        <f t="shared" si="4048"/>
        <v>-6.5330656397122526</v>
      </c>
      <c r="J1819" s="1">
        <f t="shared" si="4049"/>
        <v>0</v>
      </c>
      <c r="K1819" s="1">
        <f t="shared" si="4050"/>
        <v>4.5088390547552573</v>
      </c>
      <c r="L1819" s="1">
        <f t="shared" ref="L1819:N1819" si="4114">E1819/$H1819</f>
        <v>0.82301982357917824</v>
      </c>
      <c r="M1819" s="1">
        <f t="shared" si="4114"/>
        <v>0</v>
      </c>
      <c r="N1819" s="1">
        <f t="shared" si="4114"/>
        <v>-0.56801264950324681</v>
      </c>
      <c r="O1819" s="1">
        <f t="shared" si="4034"/>
        <v>-0.56801264950324681</v>
      </c>
      <c r="P1819" s="1">
        <f t="shared" si="4052"/>
        <v>0.46748567058490381</v>
      </c>
      <c r="Q1819" s="1">
        <f t="shared" si="4053"/>
        <v>0</v>
      </c>
      <c r="R1819" s="1">
        <f t="shared" si="4054"/>
        <v>0.67736163000430172</v>
      </c>
      <c r="S1819" s="1">
        <f t="shared" si="4055"/>
        <v>0.64178928855381256</v>
      </c>
      <c r="T1819" s="1">
        <f t="shared" ref="T1819:V1819" si="4115">$S1819*P1819</f>
        <v>0.30002729593378741</v>
      </c>
      <c r="U1819" s="1">
        <f t="shared" si="4115"/>
        <v>0</v>
      </c>
      <c r="V1819" s="1">
        <f t="shared" si="4115"/>
        <v>0.43472343861411161</v>
      </c>
      <c r="W1819" s="1">
        <f t="shared" si="4057"/>
        <v>-6.2330383437784649</v>
      </c>
      <c r="X1819" s="1">
        <f t="shared" si="4058"/>
        <v>0</v>
      </c>
      <c r="Y1819" s="1">
        <f t="shared" si="4059"/>
        <v>-4.8630875066306309</v>
      </c>
    </row>
    <row r="1820" spans="1:25">
      <c r="A1820" s="1">
        <v>1.8179999999999801</v>
      </c>
      <c r="B1820" s="1">
        <f t="shared" si="4060"/>
        <v>49.861230622429773</v>
      </c>
      <c r="C1820" s="1">
        <f t="shared" si="4061"/>
        <v>0</v>
      </c>
      <c r="D1820" s="1">
        <f t="shared" si="4062"/>
        <v>-5.6241936158494532</v>
      </c>
      <c r="E1820" s="1">
        <f t="shared" si="4063"/>
        <v>11.488013025695155</v>
      </c>
      <c r="F1820" s="1">
        <f t="shared" si="4064"/>
        <v>0</v>
      </c>
      <c r="G1820" s="1">
        <f t="shared" si="4065"/>
        <v>-7.9376940762961894</v>
      </c>
      <c r="H1820" s="1">
        <f t="shared" si="4032"/>
        <v>13.963575134162781</v>
      </c>
      <c r="I1820" s="1">
        <f t="shared" si="4048"/>
        <v>-6.5284169388812421</v>
      </c>
      <c r="J1820" s="1">
        <f t="shared" si="4049"/>
        <v>0</v>
      </c>
      <c r="K1820" s="1">
        <f t="shared" si="4050"/>
        <v>4.5108389368503179</v>
      </c>
      <c r="L1820" s="1">
        <f t="shared" ref="L1820:N1820" si="4116">E1820/$H1820</f>
        <v>0.82271287369586288</v>
      </c>
      <c r="M1820" s="1">
        <f t="shared" si="4116"/>
        <v>0</v>
      </c>
      <c r="N1820" s="1">
        <f t="shared" si="4116"/>
        <v>-0.56845714654237167</v>
      </c>
      <c r="O1820" s="1">
        <f t="shared" si="4034"/>
        <v>-0.56845714654237167</v>
      </c>
      <c r="P1820" s="1">
        <f t="shared" si="4052"/>
        <v>0.46767701260482486</v>
      </c>
      <c r="Q1820" s="1">
        <f t="shared" si="4053"/>
        <v>0</v>
      </c>
      <c r="R1820" s="1">
        <f t="shared" si="4054"/>
        <v>0.67685647254490455</v>
      </c>
      <c r="S1820" s="1">
        <f t="shared" si="4055"/>
        <v>0.64157189161485917</v>
      </c>
      <c r="T1820" s="1">
        <f t="shared" ref="T1820:V1820" si="4117">$S1820*P1820</f>
        <v>0.30004842564166384</v>
      </c>
      <c r="U1820" s="1">
        <f t="shared" si="4117"/>
        <v>0</v>
      </c>
      <c r="V1820" s="1">
        <f t="shared" si="4117"/>
        <v>0.43425208744239541</v>
      </c>
      <c r="W1820" s="1">
        <f t="shared" si="4057"/>
        <v>-6.2283685132395785</v>
      </c>
      <c r="X1820" s="1">
        <f t="shared" si="4058"/>
        <v>0</v>
      </c>
      <c r="Y1820" s="1">
        <f t="shared" si="4059"/>
        <v>-4.8615589757072861</v>
      </c>
    </row>
    <row r="1821" spans="1:25">
      <c r="A1821" s="1">
        <v>1.81899999999998</v>
      </c>
      <c r="B1821" s="1">
        <f t="shared" si="4060"/>
        <v>49.872712407086958</v>
      </c>
      <c r="C1821" s="1">
        <f t="shared" si="4061"/>
        <v>0</v>
      </c>
      <c r="D1821" s="1">
        <f t="shared" si="4062"/>
        <v>-5.6321361714847251</v>
      </c>
      <c r="E1821" s="1">
        <f t="shared" si="4063"/>
        <v>11.481784657181915</v>
      </c>
      <c r="F1821" s="1">
        <f t="shared" si="4064"/>
        <v>0</v>
      </c>
      <c r="G1821" s="1">
        <f t="shared" si="4065"/>
        <v>-7.9425556352718969</v>
      </c>
      <c r="H1821" s="1">
        <f t="shared" si="4032"/>
        <v>13.961216599325697</v>
      </c>
      <c r="I1821" s="1">
        <f t="shared" si="4048"/>
        <v>-6.5237753843414978</v>
      </c>
      <c r="J1821" s="1">
        <f t="shared" si="4049"/>
        <v>0</v>
      </c>
      <c r="K1821" s="1">
        <f t="shared" si="4050"/>
        <v>4.5128392919073619</v>
      </c>
      <c r="L1821" s="1">
        <f t="shared" ref="L1821:N1821" si="4118">E1821/$H1821</f>
        <v>0.8224057391772337</v>
      </c>
      <c r="M1821" s="1">
        <f t="shared" si="4118"/>
        <v>0</v>
      </c>
      <c r="N1821" s="1">
        <f t="shared" si="4118"/>
        <v>-0.56890139757988634</v>
      </c>
      <c r="O1821" s="1">
        <f t="shared" si="4034"/>
        <v>-0.56890139757988634</v>
      </c>
      <c r="P1821" s="1">
        <f t="shared" si="4052"/>
        <v>0.46786777439564775</v>
      </c>
      <c r="Q1821" s="1">
        <f t="shared" si="4053"/>
        <v>0</v>
      </c>
      <c r="R1821" s="1">
        <f t="shared" si="4054"/>
        <v>0.67635119983165204</v>
      </c>
      <c r="S1821" s="1">
        <f t="shared" si="4055"/>
        <v>0.6413551789391384</v>
      </c>
      <c r="T1821" s="1">
        <f t="shared" ref="T1821:V1821" si="4119">$S1821*P1821</f>
        <v>0.30006942016737709</v>
      </c>
      <c r="U1821" s="1">
        <f t="shared" si="4119"/>
        <v>0</v>
      </c>
      <c r="V1821" s="1">
        <f t="shared" si="4119"/>
        <v>0.43378134479373015</v>
      </c>
      <c r="W1821" s="1">
        <f t="shared" si="4057"/>
        <v>-6.2237059641741208</v>
      </c>
      <c r="X1821" s="1">
        <f t="shared" si="4058"/>
        <v>0</v>
      </c>
      <c r="Y1821" s="1">
        <f t="shared" si="4059"/>
        <v>-4.8600293632989073</v>
      </c>
    </row>
    <row r="1822" spans="1:25">
      <c r="A1822" s="1">
        <v>1.8199999999999801</v>
      </c>
      <c r="B1822" s="1">
        <f t="shared" si="4060"/>
        <v>49.884187968038177</v>
      </c>
      <c r="C1822" s="1">
        <f t="shared" si="4061"/>
        <v>0</v>
      </c>
      <c r="D1822" s="1">
        <f t="shared" si="4062"/>
        <v>-5.64008358714936</v>
      </c>
      <c r="E1822" s="1">
        <f t="shared" si="4063"/>
        <v>11.475560951217741</v>
      </c>
      <c r="F1822" s="1">
        <f t="shared" si="4064"/>
        <v>0</v>
      </c>
      <c r="G1822" s="1">
        <f t="shared" si="4065"/>
        <v>-7.9474156646351961</v>
      </c>
      <c r="H1822" s="1">
        <f t="shared" si="4032"/>
        <v>13.958865100415661</v>
      </c>
      <c r="I1822" s="1">
        <f t="shared" si="4048"/>
        <v>-6.5191409601728925</v>
      </c>
      <c r="J1822" s="1">
        <f t="shared" si="4049"/>
        <v>0</v>
      </c>
      <c r="K1822" s="1">
        <f t="shared" si="4050"/>
        <v>4.5148401204165163</v>
      </c>
      <c r="L1822" s="1">
        <f t="shared" ref="L1822:N1822" si="4120">E1822/$H1822</f>
        <v>0.82209842051385873</v>
      </c>
      <c r="M1822" s="1">
        <f t="shared" si="4120"/>
        <v>0</v>
      </c>
      <c r="N1822" s="1">
        <f t="shared" si="4120"/>
        <v>-0.56934540218449003</v>
      </c>
      <c r="O1822" s="1">
        <f t="shared" si="4034"/>
        <v>-0.56934540218449003</v>
      </c>
      <c r="P1822" s="1">
        <f t="shared" si="4052"/>
        <v>0.46805795586269688</v>
      </c>
      <c r="Q1822" s="1">
        <f t="shared" si="4053"/>
        <v>0</v>
      </c>
      <c r="R1822" s="1">
        <f t="shared" si="4054"/>
        <v>0.67584581301138136</v>
      </c>
      <c r="S1822" s="1">
        <f t="shared" si="4055"/>
        <v>0.64113914919926984</v>
      </c>
      <c r="T1822" s="1">
        <f t="shared" ref="T1822:V1822" si="4121">$S1822*P1822</f>
        <v>0.30009027959775886</v>
      </c>
      <c r="U1822" s="1">
        <f t="shared" si="4121"/>
        <v>0</v>
      </c>
      <c r="V1822" s="1">
        <f t="shared" si="4121"/>
        <v>0.43331120954400587</v>
      </c>
      <c r="W1822" s="1">
        <f t="shared" si="4057"/>
        <v>-6.2190506805751333</v>
      </c>
      <c r="X1822" s="1">
        <f t="shared" si="4058"/>
        <v>0</v>
      </c>
      <c r="Y1822" s="1">
        <f t="shared" si="4059"/>
        <v>-4.8584986700394772</v>
      </c>
    </row>
    <row r="1823" spans="1:25">
      <c r="A1823" s="1">
        <v>1.82099999999998</v>
      </c>
      <c r="B1823" s="1">
        <f t="shared" si="4060"/>
        <v>49.895657309938713</v>
      </c>
      <c r="C1823" s="1">
        <f t="shared" si="4061"/>
        <v>0</v>
      </c>
      <c r="D1823" s="1">
        <f t="shared" si="4062"/>
        <v>-5.6480358613126649</v>
      </c>
      <c r="E1823" s="1">
        <f t="shared" si="4063"/>
        <v>11.469341900537165</v>
      </c>
      <c r="F1823" s="1">
        <f t="shared" si="4064"/>
        <v>0</v>
      </c>
      <c r="G1823" s="1">
        <f t="shared" si="4065"/>
        <v>-7.9522741633052352</v>
      </c>
      <c r="H1823" s="1">
        <f t="shared" si="4032"/>
        <v>13.956520626566975</v>
      </c>
      <c r="I1823" s="1">
        <f t="shared" si="4048"/>
        <v>-6.5145136504919101</v>
      </c>
      <c r="J1823" s="1">
        <f t="shared" si="4049"/>
        <v>0</v>
      </c>
      <c r="K1823" s="1">
        <f t="shared" si="4050"/>
        <v>4.5168414228613933</v>
      </c>
      <c r="L1823" s="1">
        <f t="shared" ref="L1823:N1823" si="4122">E1823/$H1823</f>
        <v>0.82179091819666472</v>
      </c>
      <c r="M1823" s="1">
        <f t="shared" si="4122"/>
        <v>0</v>
      </c>
      <c r="N1823" s="1">
        <f t="shared" si="4122"/>
        <v>-0.56978915992626844</v>
      </c>
      <c r="O1823" s="1">
        <f t="shared" si="4034"/>
        <v>-0.56978915992626844</v>
      </c>
      <c r="P1823" s="1">
        <f t="shared" si="4052"/>
        <v>0.46824755691431436</v>
      </c>
      <c r="Q1823" s="1">
        <f t="shared" si="4053"/>
        <v>0</v>
      </c>
      <c r="R1823" s="1">
        <f t="shared" si="4054"/>
        <v>0.67534031323051735</v>
      </c>
      <c r="S1823" s="1">
        <f t="shared" si="4055"/>
        <v>0.64092380107064484</v>
      </c>
      <c r="T1823" s="1">
        <f t="shared" ref="T1823:V1823" si="4123">$S1823*P1823</f>
        <v>0.30011100401956547</v>
      </c>
      <c r="U1823" s="1">
        <f t="shared" si="4123"/>
        <v>0</v>
      </c>
      <c r="V1823" s="1">
        <f t="shared" si="4123"/>
        <v>0.43284168057194305</v>
      </c>
      <c r="W1823" s="1">
        <f t="shared" si="4057"/>
        <v>-6.2144026464723447</v>
      </c>
      <c r="X1823" s="1">
        <f t="shared" si="4058"/>
        <v>0</v>
      </c>
      <c r="Y1823" s="1">
        <f t="shared" si="4059"/>
        <v>-4.8569668965666626</v>
      </c>
    </row>
    <row r="1824" spans="1:25">
      <c r="A1824" s="1">
        <v>1.8219999999999801</v>
      </c>
      <c r="B1824" s="1">
        <f t="shared" si="4060"/>
        <v>49.907120437436603</v>
      </c>
      <c r="C1824" s="1">
        <f t="shared" si="4061"/>
        <v>0</v>
      </c>
      <c r="D1824" s="1">
        <f t="shared" si="4062"/>
        <v>-5.6559929924428669</v>
      </c>
      <c r="E1824" s="1">
        <f t="shared" si="4063"/>
        <v>11.463127497890692</v>
      </c>
      <c r="F1824" s="1">
        <f t="shared" si="4064"/>
        <v>0</v>
      </c>
      <c r="G1824" s="1">
        <f t="shared" si="4065"/>
        <v>-7.9571311302018017</v>
      </c>
      <c r="H1824" s="1">
        <f t="shared" si="4032"/>
        <v>13.954183166926121</v>
      </c>
      <c r="I1824" s="1">
        <f t="shared" si="4048"/>
        <v>-6.509893439451556</v>
      </c>
      <c r="J1824" s="1">
        <f t="shared" si="4049"/>
        <v>0</v>
      </c>
      <c r="K1824" s="1">
        <f t="shared" si="4050"/>
        <v>4.5188431997191065</v>
      </c>
      <c r="L1824" s="1">
        <f t="shared" ref="L1824:N1824" si="4124">E1824/$H1824</f>
        <v>0.82148323271693391</v>
      </c>
      <c r="M1824" s="1">
        <f t="shared" si="4124"/>
        <v>0</v>
      </c>
      <c r="N1824" s="1">
        <f t="shared" si="4124"/>
        <v>-0.57023267037669445</v>
      </c>
      <c r="O1824" s="1">
        <f t="shared" si="4034"/>
        <v>-0.57023267037669445</v>
      </c>
      <c r="P1824" s="1">
        <f t="shared" si="4052"/>
        <v>0.46843657746185674</v>
      </c>
      <c r="Q1824" s="1">
        <f t="shared" si="4053"/>
        <v>0</v>
      </c>
      <c r="R1824" s="1">
        <f t="shared" si="4054"/>
        <v>0.6748347016350642</v>
      </c>
      <c r="S1824" s="1">
        <f t="shared" si="4055"/>
        <v>0.64070913323141909</v>
      </c>
      <c r="T1824" s="1">
        <f t="shared" ref="T1824:V1824" si="4125">$S1824*P1824</f>
        <v>0.30013159351947877</v>
      </c>
      <c r="U1824" s="1">
        <f t="shared" si="4125"/>
        <v>0</v>
      </c>
      <c r="V1824" s="1">
        <f t="shared" si="4125"/>
        <v>0.43237275675908532</v>
      </c>
      <c r="W1824" s="1">
        <f t="shared" si="4057"/>
        <v>-6.2097618459320776</v>
      </c>
      <c r="X1824" s="1">
        <f t="shared" si="4058"/>
        <v>0</v>
      </c>
      <c r="Y1824" s="1">
        <f t="shared" si="4059"/>
        <v>-4.8554340435218073</v>
      </c>
    </row>
    <row r="1825" spans="1:25">
      <c r="A1825" s="1">
        <v>1.82299999999998</v>
      </c>
      <c r="B1825" s="1">
        <f t="shared" si="4060"/>
        <v>49.918577355172651</v>
      </c>
      <c r="C1825" s="1">
        <f t="shared" si="4061"/>
        <v>0</v>
      </c>
      <c r="D1825" s="1">
        <f t="shared" si="4062"/>
        <v>-5.6639549790071122</v>
      </c>
      <c r="E1825" s="1">
        <f t="shared" si="4063"/>
        <v>11.45691773604476</v>
      </c>
      <c r="F1825" s="1">
        <f t="shared" si="4064"/>
        <v>0</v>
      </c>
      <c r="G1825" s="1">
        <f t="shared" si="4065"/>
        <v>-7.9619865642453238</v>
      </c>
      <c r="H1825" s="1">
        <f t="shared" si="4032"/>
        <v>13.951852710651732</v>
      </c>
      <c r="I1825" s="1">
        <f t="shared" si="4048"/>
        <v>-6.5052803112412514</v>
      </c>
      <c r="J1825" s="1">
        <f t="shared" si="4049"/>
        <v>0</v>
      </c>
      <c r="K1825" s="1">
        <f t="shared" si="4050"/>
        <v>4.5208454514602732</v>
      </c>
      <c r="L1825" s="1">
        <f t="shared" ref="L1825:N1825" si="4126">E1825/$H1825</f>
        <v>0.82117536456630025</v>
      </c>
      <c r="M1825" s="1">
        <f t="shared" si="4126"/>
        <v>0</v>
      </c>
      <c r="N1825" s="1">
        <f t="shared" si="4126"/>
        <v>-0.57067593310862841</v>
      </c>
      <c r="O1825" s="1">
        <f t="shared" si="4034"/>
        <v>-0.57067593310862841</v>
      </c>
      <c r="P1825" s="1">
        <f t="shared" si="4052"/>
        <v>0.46862501741969148</v>
      </c>
      <c r="Q1825" s="1">
        <f t="shared" si="4053"/>
        <v>0</v>
      </c>
      <c r="R1825" s="1">
        <f t="shared" si="4054"/>
        <v>0.67432897937059622</v>
      </c>
      <c r="S1825" s="1">
        <f t="shared" si="4055"/>
        <v>0.64049514436250432</v>
      </c>
      <c r="T1825" s="1">
        <f t="shared" ref="T1825:V1825" si="4127">$S1825*P1825</f>
        <v>0.3001520481841064</v>
      </c>
      <c r="U1825" s="1">
        <f t="shared" si="4127"/>
        <v>0</v>
      </c>
      <c r="V1825" s="1">
        <f t="shared" si="4127"/>
        <v>0.4319044369897902</v>
      </c>
      <c r="W1825" s="1">
        <f t="shared" si="4057"/>
        <v>-6.2051282630571452</v>
      </c>
      <c r="X1825" s="1">
        <f t="shared" si="4058"/>
        <v>0</v>
      </c>
      <c r="Y1825" s="1">
        <f t="shared" si="4059"/>
        <v>-4.8539001115499358</v>
      </c>
    </row>
    <row r="1826" spans="1:25">
      <c r="A1826" s="1">
        <v>1.8239999999999801</v>
      </c>
      <c r="B1826" s="1">
        <f t="shared" si="4060"/>
        <v>49.930028067780434</v>
      </c>
      <c r="C1826" s="1">
        <f t="shared" si="4061"/>
        <v>0</v>
      </c>
      <c r="D1826" s="1">
        <f t="shared" si="4062"/>
        <v>-5.6719218194714687</v>
      </c>
      <c r="E1826" s="1">
        <f t="shared" si="4063"/>
        <v>11.450712607781703</v>
      </c>
      <c r="F1826" s="1">
        <f t="shared" si="4064"/>
        <v>0</v>
      </c>
      <c r="G1826" s="1">
        <f t="shared" si="4065"/>
        <v>-7.9668404643568733</v>
      </c>
      <c r="H1826" s="1">
        <f t="shared" si="4032"/>
        <v>13.949529246914567</v>
      </c>
      <c r="I1826" s="1">
        <f t="shared" si="4048"/>
        <v>-6.5006742500867443</v>
      </c>
      <c r="J1826" s="1">
        <f t="shared" si="4049"/>
        <v>0</v>
      </c>
      <c r="K1826" s="1">
        <f t="shared" si="4050"/>
        <v>4.522848178549026</v>
      </c>
      <c r="L1826" s="1">
        <f t="shared" ref="L1826:N1826" si="4128">E1826/$H1826</f>
        <v>0.8208673142367463</v>
      </c>
      <c r="M1826" s="1">
        <f t="shared" si="4128"/>
        <v>0</v>
      </c>
      <c r="N1826" s="1">
        <f t="shared" si="4128"/>
        <v>-0.57111894769631899</v>
      </c>
      <c r="O1826" s="1">
        <f t="shared" si="4034"/>
        <v>-0.57111894769631899</v>
      </c>
      <c r="P1826" s="1">
        <f t="shared" si="4052"/>
        <v>0.46881287670519417</v>
      </c>
      <c r="Q1826" s="1">
        <f t="shared" si="4053"/>
        <v>0</v>
      </c>
      <c r="R1826" s="1">
        <f t="shared" si="4054"/>
        <v>0.67382314758224926</v>
      </c>
      <c r="S1826" s="1">
        <f t="shared" si="4055"/>
        <v>0.64028183314755949</v>
      </c>
      <c r="T1826" s="1">
        <f t="shared" ref="T1826:V1826" si="4129">$S1826*P1826</f>
        <v>0.30017236809998249</v>
      </c>
      <c r="U1826" s="1">
        <f t="shared" si="4129"/>
        <v>0</v>
      </c>
      <c r="V1826" s="1">
        <f t="shared" si="4129"/>
        <v>0.43143672015122109</v>
      </c>
      <c r="W1826" s="1">
        <f t="shared" si="4057"/>
        <v>-6.2005018819867619</v>
      </c>
      <c r="X1826" s="1">
        <f t="shared" si="4058"/>
        <v>0</v>
      </c>
      <c r="Y1826" s="1">
        <f t="shared" si="4059"/>
        <v>-4.8523651012997524</v>
      </c>
    </row>
    <row r="1827" spans="1:25">
      <c r="A1827" s="1">
        <v>1.82499999999998</v>
      </c>
      <c r="B1827" s="1">
        <f t="shared" si="4060"/>
        <v>49.94147257988633</v>
      </c>
      <c r="C1827" s="1">
        <f t="shared" si="4061"/>
        <v>0</v>
      </c>
      <c r="D1827" s="1">
        <f t="shared" si="4062"/>
        <v>-5.6798935123009269</v>
      </c>
      <c r="E1827" s="1">
        <f t="shared" si="4063"/>
        <v>11.444512105899717</v>
      </c>
      <c r="F1827" s="1">
        <f t="shared" si="4064"/>
        <v>0</v>
      </c>
      <c r="G1827" s="1">
        <f t="shared" si="4065"/>
        <v>-7.9716928294581733</v>
      </c>
      <c r="H1827" s="1">
        <f t="shared" si="4032"/>
        <v>13.947212764897509</v>
      </c>
      <c r="I1827" s="1">
        <f t="shared" si="4048"/>
        <v>-6.4960752402500228</v>
      </c>
      <c r="J1827" s="1">
        <f t="shared" si="4049"/>
        <v>0</v>
      </c>
      <c r="K1827" s="1">
        <f t="shared" si="4050"/>
        <v>4.5248513814430362</v>
      </c>
      <c r="L1827" s="1">
        <f t="shared" ref="L1827:N1827" si="4130">E1827/$H1827</f>
        <v>0.82055908222059859</v>
      </c>
      <c r="M1827" s="1">
        <f t="shared" si="4130"/>
        <v>0</v>
      </c>
      <c r="N1827" s="1">
        <f t="shared" si="4130"/>
        <v>-0.57156171371540365</v>
      </c>
      <c r="O1827" s="1">
        <f t="shared" si="4034"/>
        <v>-0.57156171371540365</v>
      </c>
      <c r="P1827" s="1">
        <f t="shared" si="4052"/>
        <v>0.46900015523874417</v>
      </c>
      <c r="Q1827" s="1">
        <f t="shared" si="4053"/>
        <v>0</v>
      </c>
      <c r="R1827" s="1">
        <f t="shared" si="4054"/>
        <v>0.67331720741471091</v>
      </c>
      <c r="S1827" s="1">
        <f t="shared" si="4055"/>
        <v>0.64006919827298514</v>
      </c>
      <c r="T1827" s="1">
        <f t="shared" ref="T1827:V1827" si="4131">$S1827*P1827</f>
        <v>0.30019255335356854</v>
      </c>
      <c r="U1827" s="1">
        <f t="shared" si="4131"/>
        <v>0</v>
      </c>
      <c r="V1827" s="1">
        <f t="shared" si="4131"/>
        <v>0.43096960513333926</v>
      </c>
      <c r="W1827" s="1">
        <f t="shared" si="4057"/>
        <v>-6.1958826868964545</v>
      </c>
      <c r="X1827" s="1">
        <f t="shared" si="4058"/>
        <v>0</v>
      </c>
      <c r="Y1827" s="1">
        <f t="shared" si="4059"/>
        <v>-4.850829013423624</v>
      </c>
    </row>
    <row r="1828" spans="1:25">
      <c r="A1828" s="1">
        <v>1.8259999999999801</v>
      </c>
      <c r="B1828" s="1">
        <f t="shared" si="4060"/>
        <v>49.952910896109543</v>
      </c>
      <c r="C1828" s="1">
        <f t="shared" si="4061"/>
        <v>0</v>
      </c>
      <c r="D1828" s="1">
        <f t="shared" si="4062"/>
        <v>-5.6878700559593982</v>
      </c>
      <c r="E1828" s="1">
        <f t="shared" si="4063"/>
        <v>11.438316223212821</v>
      </c>
      <c r="F1828" s="1">
        <f t="shared" si="4064"/>
        <v>0</v>
      </c>
      <c r="G1828" s="1">
        <f t="shared" si="4065"/>
        <v>-7.9765436584715967</v>
      </c>
      <c r="H1828" s="1">
        <f t="shared" si="4032"/>
        <v>13.944903253795527</v>
      </c>
      <c r="I1828" s="1">
        <f t="shared" si="4048"/>
        <v>-6.4914832660292072</v>
      </c>
      <c r="J1828" s="1">
        <f t="shared" si="4049"/>
        <v>0</v>
      </c>
      <c r="K1828" s="1">
        <f t="shared" si="4050"/>
        <v>4.5268550605935065</v>
      </c>
      <c r="L1828" s="1">
        <f t="shared" ref="L1828:N1828" si="4132">E1828/$H1828</f>
        <v>0.82025066901052457</v>
      </c>
      <c r="M1828" s="1">
        <f t="shared" si="4132"/>
        <v>0</v>
      </c>
      <c r="N1828" s="1">
        <f t="shared" si="4132"/>
        <v>-0.57200423074290885</v>
      </c>
      <c r="O1828" s="1">
        <f t="shared" si="4034"/>
        <v>-0.57200423074290885</v>
      </c>
      <c r="P1828" s="1">
        <f t="shared" si="4052"/>
        <v>0.46918685294372142</v>
      </c>
      <c r="Q1828" s="1">
        <f t="shared" si="4053"/>
        <v>0</v>
      </c>
      <c r="R1828" s="1">
        <f t="shared" si="4054"/>
        <v>0.67281116001221308</v>
      </c>
      <c r="S1828" s="1">
        <f t="shared" si="4055"/>
        <v>0.63985723842791398</v>
      </c>
      <c r="T1828" s="1">
        <f t="shared" ref="T1828:V1828" si="4133">$S1828*P1828</f>
        <v>0.30021260403125338</v>
      </c>
      <c r="U1828" s="1">
        <f t="shared" si="4133"/>
        <v>0</v>
      </c>
      <c r="V1828" s="1">
        <f t="shared" si="4133"/>
        <v>0.43050309082889598</v>
      </c>
      <c r="W1828" s="1">
        <f t="shared" si="4057"/>
        <v>-6.1912706619979536</v>
      </c>
      <c r="X1828" s="1">
        <f t="shared" si="4058"/>
        <v>0</v>
      </c>
      <c r="Y1828" s="1">
        <f t="shared" si="4059"/>
        <v>-4.8492918485775967</v>
      </c>
    </row>
    <row r="1829" spans="1:25">
      <c r="A1829" s="1">
        <v>1.82699999999998</v>
      </c>
      <c r="B1829" s="1">
        <f t="shared" si="4060"/>
        <v>49.964343021062092</v>
      </c>
      <c r="C1829" s="1">
        <f t="shared" si="4061"/>
        <v>0</v>
      </c>
      <c r="D1829" s="1">
        <f t="shared" si="4062"/>
        <v>-5.6958514489097185</v>
      </c>
      <c r="E1829" s="1">
        <f t="shared" si="4063"/>
        <v>11.432124952550824</v>
      </c>
      <c r="F1829" s="1">
        <f t="shared" si="4064"/>
        <v>0</v>
      </c>
      <c r="G1829" s="1">
        <f t="shared" si="4065"/>
        <v>-7.9813929503201742</v>
      </c>
      <c r="H1829" s="1">
        <f t="shared" si="4032"/>
        <v>13.94260070281566</v>
      </c>
      <c r="I1829" s="1">
        <f t="shared" si="4048"/>
        <v>-6.4868983117584671</v>
      </c>
      <c r="J1829" s="1">
        <f t="shared" si="4049"/>
        <v>0</v>
      </c>
      <c r="K1829" s="1">
        <f t="shared" si="4050"/>
        <v>4.528859216445194</v>
      </c>
      <c r="L1829" s="1">
        <f t="shared" ref="L1829:N1829" si="4134">E1829/$H1829</f>
        <v>0.81994207509952899</v>
      </c>
      <c r="M1829" s="1">
        <f t="shared" si="4134"/>
        <v>0</v>
      </c>
      <c r="N1829" s="1">
        <f t="shared" si="4134"/>
        <v>-0.57244649835725114</v>
      </c>
      <c r="O1829" s="1">
        <f t="shared" si="4034"/>
        <v>-0.57244649835725114</v>
      </c>
      <c r="P1829" s="1">
        <f t="shared" si="4052"/>
        <v>0.46937296974650361</v>
      </c>
      <c r="Q1829" s="1">
        <f t="shared" si="4053"/>
        <v>0</v>
      </c>
      <c r="R1829" s="1">
        <f t="shared" si="4054"/>
        <v>0.67230500651852165</v>
      </c>
      <c r="S1829" s="1">
        <f t="shared" si="4055"/>
        <v>0.6396459523042034</v>
      </c>
      <c r="T1829" s="1">
        <f t="shared" ref="T1829:V1829" si="4135">$S1829*P1829</f>
        <v>0.30023252021935437</v>
      </c>
      <c r="U1829" s="1">
        <f t="shared" si="4135"/>
        <v>0</v>
      </c>
      <c r="V1829" s="1">
        <f t="shared" si="4135"/>
        <v>0.43003717613342346</v>
      </c>
      <c r="W1829" s="1">
        <f t="shared" si="4057"/>
        <v>-6.186665791539113</v>
      </c>
      <c r="X1829" s="1">
        <f t="shared" si="4058"/>
        <v>0</v>
      </c>
      <c r="Y1829" s="1">
        <f t="shared" si="4059"/>
        <v>-4.8477536074213816</v>
      </c>
    </row>
    <row r="1830" spans="1:25">
      <c r="A1830" s="1">
        <v>1.8279999999999801</v>
      </c>
      <c r="B1830" s="1">
        <f t="shared" si="4060"/>
        <v>49.975768959348848</v>
      </c>
      <c r="C1830" s="1">
        <f t="shared" si="4061"/>
        <v>0</v>
      </c>
      <c r="D1830" s="1">
        <f t="shared" si="4062"/>
        <v>-5.7038376896136462</v>
      </c>
      <c r="E1830" s="1">
        <f t="shared" si="4063"/>
        <v>11.425938286759285</v>
      </c>
      <c r="F1830" s="1">
        <f t="shared" si="4064"/>
        <v>0</v>
      </c>
      <c r="G1830" s="1">
        <f t="shared" si="4065"/>
        <v>-7.9862407039275958</v>
      </c>
      <c r="H1830" s="1">
        <f t="shared" si="4032"/>
        <v>13.940305101177005</v>
      </c>
      <c r="I1830" s="1">
        <f t="shared" si="4048"/>
        <v>-6.4823203618079237</v>
      </c>
      <c r="J1830" s="1">
        <f t="shared" si="4049"/>
        <v>0</v>
      </c>
      <c r="K1830" s="1">
        <f t="shared" si="4050"/>
        <v>4.5308638494364155</v>
      </c>
      <c r="L1830" s="1">
        <f t="shared" ref="L1830:N1830" si="4136">E1830/$H1830</f>
        <v>0.81963330098095</v>
      </c>
      <c r="M1830" s="1">
        <f t="shared" si="4136"/>
        <v>0</v>
      </c>
      <c r="N1830" s="1">
        <f t="shared" si="4136"/>
        <v>-0.57288851613823744</v>
      </c>
      <c r="O1830" s="1">
        <f t="shared" si="4034"/>
        <v>-0.57288851613823744</v>
      </c>
      <c r="P1830" s="1">
        <f t="shared" si="4052"/>
        <v>0.46955850557646178</v>
      </c>
      <c r="Q1830" s="1">
        <f t="shared" si="4053"/>
        <v>0</v>
      </c>
      <c r="R1830" s="1">
        <f t="shared" si="4054"/>
        <v>0.67179874807692852</v>
      </c>
      <c r="S1830" s="1">
        <f t="shared" si="4055"/>
        <v>0.63943533859642809</v>
      </c>
      <c r="T1830" s="1">
        <f t="shared" ref="T1830:V1830" si="4137">$S1830*P1830</f>
        <v>0.30025230200411762</v>
      </c>
      <c r="U1830" s="1">
        <f t="shared" si="4137"/>
        <v>0</v>
      </c>
      <c r="V1830" s="1">
        <f t="shared" si="4137"/>
        <v>0.42957185994522729</v>
      </c>
      <c r="W1830" s="1">
        <f t="shared" si="4057"/>
        <v>-6.1820680598038065</v>
      </c>
      <c r="X1830" s="1">
        <f t="shared" si="4058"/>
        <v>0</v>
      </c>
      <c r="Y1830" s="1">
        <f t="shared" si="4059"/>
        <v>-4.8462142906183567</v>
      </c>
    </row>
    <row r="1831" spans="1:25">
      <c r="A1831" s="1">
        <v>1.82899999999998</v>
      </c>
      <c r="B1831" s="1">
        <f t="shared" si="4060"/>
        <v>49.987188715567548</v>
      </c>
      <c r="C1831" s="1">
        <f t="shared" si="4061"/>
        <v>0</v>
      </c>
      <c r="D1831" s="1">
        <f t="shared" si="4062"/>
        <v>-5.7118287765318643</v>
      </c>
      <c r="E1831" s="1">
        <f t="shared" si="4063"/>
        <v>11.419756218699481</v>
      </c>
      <c r="F1831" s="1">
        <f t="shared" si="4064"/>
        <v>0</v>
      </c>
      <c r="G1831" s="1">
        <f t="shared" si="4065"/>
        <v>-7.9910869182182145</v>
      </c>
      <c r="H1831" s="1">
        <f t="shared" si="4032"/>
        <v>13.938016438110688</v>
      </c>
      <c r="I1831" s="1">
        <f t="shared" si="4048"/>
        <v>-6.4777494005835612</v>
      </c>
      <c r="J1831" s="1">
        <f t="shared" si="4049"/>
        <v>0</v>
      </c>
      <c r="K1831" s="1">
        <f t="shared" si="4050"/>
        <v>4.5328689599990648</v>
      </c>
      <c r="L1831" s="1">
        <f t="shared" ref="L1831:N1831" si="4138">E1831/$H1831</f>
        <v>0.81932434714845548</v>
      </c>
      <c r="M1831" s="1">
        <f t="shared" si="4138"/>
        <v>0</v>
      </c>
      <c r="N1831" s="1">
        <f t="shared" si="4138"/>
        <v>-0.57333028366706495</v>
      </c>
      <c r="O1831" s="1">
        <f t="shared" si="4034"/>
        <v>-0.57333028366706495</v>
      </c>
      <c r="P1831" s="1">
        <f t="shared" si="4052"/>
        <v>0.46974346036595677</v>
      </c>
      <c r="Q1831" s="1">
        <f t="shared" si="4053"/>
        <v>0</v>
      </c>
      <c r="R1831" s="1">
        <f t="shared" si="4054"/>
        <v>0.67129238583024287</v>
      </c>
      <c r="S1831" s="1">
        <f t="shared" si="4055"/>
        <v>0.639225396001873</v>
      </c>
      <c r="T1831" s="1">
        <f t="shared" ref="T1831:V1831" si="4139">$S1831*P1831</f>
        <v>0.30027194947171887</v>
      </c>
      <c r="U1831" s="1">
        <f t="shared" si="4139"/>
        <v>0</v>
      </c>
      <c r="V1831" s="1">
        <f t="shared" si="4139"/>
        <v>0.42910714116537912</v>
      </c>
      <c r="W1831" s="1">
        <f t="shared" si="4057"/>
        <v>-6.1774774511118427</v>
      </c>
      <c r="X1831" s="1">
        <f t="shared" si="4058"/>
        <v>0</v>
      </c>
      <c r="Y1831" s="1">
        <f t="shared" si="4059"/>
        <v>-4.8446738988355555</v>
      </c>
    </row>
    <row r="1832" spans="1:25">
      <c r="A1832" s="1">
        <v>1.8299999999999801</v>
      </c>
      <c r="B1832" s="1">
        <f t="shared" si="4060"/>
        <v>49.998602294308796</v>
      </c>
      <c r="C1832" s="1">
        <f t="shared" si="4061"/>
        <v>0</v>
      </c>
      <c r="D1832" s="1">
        <f t="shared" si="4062"/>
        <v>-5.7198247081239817</v>
      </c>
      <c r="E1832" s="1">
        <f t="shared" si="4063"/>
        <v>11.413578741248369</v>
      </c>
      <c r="F1832" s="1">
        <f t="shared" si="4064"/>
        <v>0</v>
      </c>
      <c r="G1832" s="1">
        <f t="shared" si="4065"/>
        <v>-7.9959315921170502</v>
      </c>
      <c r="H1832" s="1">
        <f t="shared" si="4032"/>
        <v>13.935734702859845</v>
      </c>
      <c r="I1832" s="1">
        <f t="shared" si="4048"/>
        <v>-6.473185412527128</v>
      </c>
      <c r="J1832" s="1">
        <f t="shared" si="4049"/>
        <v>0</v>
      </c>
      <c r="K1832" s="1">
        <f t="shared" si="4050"/>
        <v>4.5348745485586148</v>
      </c>
      <c r="L1832" s="1">
        <f t="shared" ref="L1832:N1832" si="4140">E1832/$H1832</f>
        <v>0.81901521409603983</v>
      </c>
      <c r="M1832" s="1">
        <f t="shared" si="4140"/>
        <v>0</v>
      </c>
      <c r="N1832" s="1">
        <f t="shared" si="4140"/>
        <v>-0.5737718005263226</v>
      </c>
      <c r="O1832" s="1">
        <f t="shared" si="4034"/>
        <v>-0.5737718005263226</v>
      </c>
      <c r="P1832" s="1">
        <f t="shared" si="4052"/>
        <v>0.46992783405033633</v>
      </c>
      <c r="Q1832" s="1">
        <f t="shared" si="4053"/>
        <v>0</v>
      </c>
      <c r="R1832" s="1">
        <f t="shared" si="4054"/>
        <v>0.67078592092078182</v>
      </c>
      <c r="S1832" s="1">
        <f t="shared" si="4055"/>
        <v>0.63901612322052348</v>
      </c>
      <c r="T1832" s="1">
        <f t="shared" ref="T1832:V1832" si="4141">$S1832*P1832</f>
        <v>0.30029146270826346</v>
      </c>
      <c r="U1832" s="1">
        <f t="shared" si="4141"/>
        <v>0</v>
      </c>
      <c r="V1832" s="1">
        <f t="shared" si="4141"/>
        <v>0.42864301869770666</v>
      </c>
      <c r="W1832" s="1">
        <f t="shared" si="4057"/>
        <v>-6.1728939498188646</v>
      </c>
      <c r="X1832" s="1">
        <f t="shared" si="4058"/>
        <v>0</v>
      </c>
      <c r="Y1832" s="1">
        <f t="shared" si="4059"/>
        <v>-4.843132432743678</v>
      </c>
    </row>
    <row r="1833" spans="1:25">
      <c r="A1833" s="1">
        <v>1.83099999999998</v>
      </c>
      <c r="B1833" s="1">
        <f t="shared" si="4060"/>
        <v>50.010009700156097</v>
      </c>
      <c r="C1833" s="1">
        <f t="shared" si="4061"/>
        <v>0</v>
      </c>
      <c r="D1833" s="1">
        <f t="shared" si="4062"/>
        <v>-5.7278254828485311</v>
      </c>
      <c r="E1833" s="1">
        <f t="shared" si="4063"/>
        <v>11.40740584729855</v>
      </c>
      <c r="F1833" s="1">
        <f t="shared" si="4064"/>
        <v>0</v>
      </c>
      <c r="G1833" s="1">
        <f t="shared" si="4065"/>
        <v>-8.0007747245497942</v>
      </c>
      <c r="H1833" s="1">
        <f t="shared" si="4032"/>
        <v>13.93345988467961</v>
      </c>
      <c r="I1833" s="1">
        <f t="shared" si="4048"/>
        <v>-6.4686283821160533</v>
      </c>
      <c r="J1833" s="1">
        <f t="shared" si="4049"/>
        <v>0</v>
      </c>
      <c r="K1833" s="1">
        <f t="shared" si="4050"/>
        <v>4.5368806155341357</v>
      </c>
      <c r="L1833" s="1">
        <f t="shared" ref="L1833:N1833" si="4142">E1833/$H1833</f>
        <v>0.81870590231801965</v>
      </c>
      <c r="M1833" s="1">
        <f t="shared" si="4142"/>
        <v>0</v>
      </c>
      <c r="N1833" s="1">
        <f t="shared" si="4142"/>
        <v>-0.57421306629999069</v>
      </c>
      <c r="O1833" s="1">
        <f t="shared" si="4034"/>
        <v>-0.57421306629999069</v>
      </c>
      <c r="P1833" s="1">
        <f t="shared" si="4052"/>
        <v>0.47011162656793071</v>
      </c>
      <c r="Q1833" s="1">
        <f t="shared" si="4053"/>
        <v>0</v>
      </c>
      <c r="R1833" s="1">
        <f t="shared" si="4054"/>
        <v>0.67027935449036247</v>
      </c>
      <c r="S1833" s="1">
        <f t="shared" si="4055"/>
        <v>0.6388075189550606</v>
      </c>
      <c r="T1833" s="1">
        <f t="shared" ref="T1833:V1833" si="4143">$S1833*P1833</f>
        <v>0.30031084179978779</v>
      </c>
      <c r="U1833" s="1">
        <f t="shared" si="4143"/>
        <v>0</v>
      </c>
      <c r="V1833" s="1">
        <f t="shared" si="4143"/>
        <v>0.42817949144878803</v>
      </c>
      <c r="W1833" s="1">
        <f t="shared" si="4057"/>
        <v>-6.1683175403162656</v>
      </c>
      <c r="X1833" s="1">
        <f t="shared" si="4058"/>
        <v>0</v>
      </c>
      <c r="Y1833" s="1">
        <f t="shared" si="4059"/>
        <v>-4.8415898930170753</v>
      </c>
    </row>
    <row r="1834" spans="1:25">
      <c r="A1834" s="1">
        <v>1.8319999999999801</v>
      </c>
      <c r="B1834" s="1">
        <f t="shared" si="4060"/>
        <v>50.021410937685857</v>
      </c>
      <c r="C1834" s="1">
        <f t="shared" si="4061"/>
        <v>0</v>
      </c>
      <c r="D1834" s="1">
        <f t="shared" si="4062"/>
        <v>-5.735831099162974</v>
      </c>
      <c r="E1834" s="1">
        <f t="shared" si="4063"/>
        <v>11.401237529758234</v>
      </c>
      <c r="F1834" s="1">
        <f t="shared" si="4064"/>
        <v>0</v>
      </c>
      <c r="G1834" s="1">
        <f t="shared" si="4065"/>
        <v>-8.0056163144428112</v>
      </c>
      <c r="H1834" s="1">
        <f t="shared" si="4032"/>
        <v>13.931191972837089</v>
      </c>
      <c r="I1834" s="1">
        <f t="shared" si="4048"/>
        <v>-6.4640782938633459</v>
      </c>
      <c r="J1834" s="1">
        <f t="shared" si="4049"/>
        <v>0</v>
      </c>
      <c r="K1834" s="1">
        <f t="shared" si="4050"/>
        <v>4.5388871613383008</v>
      </c>
      <c r="L1834" s="1">
        <f t="shared" ref="L1834:N1834" si="4144">E1834/$H1834</f>
        <v>0.81839641230903015</v>
      </c>
      <c r="M1834" s="1">
        <f t="shared" si="4144"/>
        <v>0</v>
      </c>
      <c r="N1834" s="1">
        <f t="shared" si="4144"/>
        <v>-0.57465408057344192</v>
      </c>
      <c r="O1834" s="1">
        <f t="shared" si="4034"/>
        <v>-0.57465408057344192</v>
      </c>
      <c r="P1834" s="1">
        <f t="shared" si="4052"/>
        <v>0.47029483786004922</v>
      </c>
      <c r="Q1834" s="1">
        <f t="shared" si="4053"/>
        <v>0</v>
      </c>
      <c r="R1834" s="1">
        <f t="shared" si="4054"/>
        <v>0.66977268768029208</v>
      </c>
      <c r="S1834" s="1">
        <f t="shared" si="4055"/>
        <v>0.63859958191085153</v>
      </c>
      <c r="T1834" s="1">
        <f t="shared" ref="T1834:V1834" si="4145">$S1834*P1834</f>
        <v>0.30033008683225915</v>
      </c>
      <c r="U1834" s="1">
        <f t="shared" si="4145"/>
        <v>0</v>
      </c>
      <c r="V1834" s="1">
        <f t="shared" si="4145"/>
        <v>0.42771655832794186</v>
      </c>
      <c r="W1834" s="1">
        <f t="shared" si="4057"/>
        <v>-6.1637482070310865</v>
      </c>
      <c r="X1834" s="1">
        <f t="shared" si="4058"/>
        <v>0</v>
      </c>
      <c r="Y1834" s="1">
        <f t="shared" si="4059"/>
        <v>-4.8400462803337572</v>
      </c>
    </row>
    <row r="1835" spans="1:25">
      <c r="A1835" s="1">
        <v>1.83299999999998</v>
      </c>
      <c r="B1835" s="1">
        <f t="shared" si="4060"/>
        <v>50.032806011467407</v>
      </c>
      <c r="C1835" s="1">
        <f t="shared" si="4061"/>
        <v>0</v>
      </c>
      <c r="D1835" s="1">
        <f t="shared" si="4062"/>
        <v>-5.743841555523697</v>
      </c>
      <c r="E1835" s="1">
        <f t="shared" si="4063"/>
        <v>11.395073781551202</v>
      </c>
      <c r="F1835" s="1">
        <f t="shared" si="4064"/>
        <v>0</v>
      </c>
      <c r="G1835" s="1">
        <f t="shared" si="4065"/>
        <v>-8.0104563607231452</v>
      </c>
      <c r="H1835" s="1">
        <f t="shared" si="4032"/>
        <v>13.928930956611334</v>
      </c>
      <c r="I1835" s="1">
        <f t="shared" si="4048"/>
        <v>-6.459535132317507</v>
      </c>
      <c r="J1835" s="1">
        <f t="shared" si="4049"/>
        <v>0</v>
      </c>
      <c r="K1835" s="1">
        <f t="shared" si="4050"/>
        <v>4.5408941863774004</v>
      </c>
      <c r="L1835" s="1">
        <f t="shared" ref="L1835:N1835" si="4146">E1835/$H1835</f>
        <v>0.81808674456402253</v>
      </c>
      <c r="M1835" s="1">
        <f t="shared" si="4146"/>
        <v>0</v>
      </c>
      <c r="N1835" s="1">
        <f t="shared" si="4146"/>
        <v>-0.57509484293344149</v>
      </c>
      <c r="O1835" s="1">
        <f t="shared" si="4034"/>
        <v>-0.57509484293344149</v>
      </c>
      <c r="P1835" s="1">
        <f t="shared" si="4052"/>
        <v>0.470477467870977</v>
      </c>
      <c r="Q1835" s="1">
        <f t="shared" si="4053"/>
        <v>0</v>
      </c>
      <c r="R1835" s="1">
        <f t="shared" si="4054"/>
        <v>0.66926592163136034</v>
      </c>
      <c r="S1835" s="1">
        <f t="shared" si="4055"/>
        <v>0.63839231079594194</v>
      </c>
      <c r="T1835" s="1">
        <f t="shared" ref="T1835:V1835" si="4147">$S1835*P1835</f>
        <v>0.30034919789157655</v>
      </c>
      <c r="U1835" s="1">
        <f t="shared" si="4147"/>
        <v>0</v>
      </c>
      <c r="V1835" s="1">
        <f t="shared" si="4147"/>
        <v>0.42725421824721993</v>
      </c>
      <c r="W1835" s="1">
        <f t="shared" si="4057"/>
        <v>-6.1591859344259303</v>
      </c>
      <c r="X1835" s="1">
        <f t="shared" si="4058"/>
        <v>0</v>
      </c>
      <c r="Y1835" s="1">
        <f t="shared" si="4059"/>
        <v>-4.8385015953753792</v>
      </c>
    </row>
    <row r="1836" spans="1:25">
      <c r="A1836" s="1">
        <v>1.8339999999999801</v>
      </c>
      <c r="B1836" s="1">
        <f t="shared" si="4060"/>
        <v>50.044194926063021</v>
      </c>
      <c r="C1836" s="1">
        <f t="shared" si="4061"/>
        <v>0</v>
      </c>
      <c r="D1836" s="1">
        <f t="shared" si="4062"/>
        <v>-5.7518568503860159</v>
      </c>
      <c r="E1836" s="1">
        <f t="shared" si="4063"/>
        <v>11.388914595616777</v>
      </c>
      <c r="F1836" s="1">
        <f t="shared" si="4064"/>
        <v>0</v>
      </c>
      <c r="G1836" s="1">
        <f t="shared" si="4065"/>
        <v>-8.0152948623185214</v>
      </c>
      <c r="H1836" s="1">
        <f t="shared" si="4032"/>
        <v>13.92667682529334</v>
      </c>
      <c r="I1836" s="1">
        <f t="shared" si="4048"/>
        <v>-6.4549988820624433</v>
      </c>
      <c r="J1836" s="1">
        <f t="shared" si="4049"/>
        <v>0</v>
      </c>
      <c r="K1836" s="1">
        <f t="shared" si="4050"/>
        <v>4.5429016910513536</v>
      </c>
      <c r="L1836" s="1">
        <f t="shared" ref="L1836:N1836" si="4148">E1836/$H1836</f>
        <v>0.81777689957825894</v>
      </c>
      <c r="M1836" s="1">
        <f t="shared" si="4148"/>
        <v>0</v>
      </c>
      <c r="N1836" s="1">
        <f t="shared" si="4148"/>
        <v>-0.5755353529681474</v>
      </c>
      <c r="O1836" s="1">
        <f t="shared" si="4034"/>
        <v>-0.5755353529681474</v>
      </c>
      <c r="P1836" s="1">
        <f t="shared" si="4052"/>
        <v>0.4706595165479705</v>
      </c>
      <c r="Q1836" s="1">
        <f t="shared" si="4053"/>
        <v>0</v>
      </c>
      <c r="R1836" s="1">
        <f t="shared" si="4054"/>
        <v>0.66875905748383002</v>
      </c>
      <c r="S1836" s="1">
        <f t="shared" si="4055"/>
        <v>0.63818570432105015</v>
      </c>
      <c r="T1836" s="1">
        <f t="shared" ref="T1836:V1836" si="4149">$S1836*P1836</f>
        <v>0.3003681750635715</v>
      </c>
      <c r="U1836" s="1">
        <f t="shared" si="4149"/>
        <v>0</v>
      </c>
      <c r="V1836" s="1">
        <f t="shared" si="4149"/>
        <v>0.4267924701213997</v>
      </c>
      <c r="W1836" s="1">
        <f t="shared" si="4057"/>
        <v>-6.1546307069988719</v>
      </c>
      <c r="X1836" s="1">
        <f t="shared" si="4058"/>
        <v>0</v>
      </c>
      <c r="Y1836" s="1">
        <f t="shared" si="4059"/>
        <v>-4.8369558388272464</v>
      </c>
    </row>
    <row r="1837" spans="1:25">
      <c r="A1837" s="1">
        <v>1.83499999999998</v>
      </c>
      <c r="B1837" s="1">
        <f t="shared" si="4060"/>
        <v>50.055577686027931</v>
      </c>
      <c r="C1837" s="1">
        <f t="shared" si="4061"/>
        <v>0</v>
      </c>
      <c r="D1837" s="1">
        <f t="shared" si="4062"/>
        <v>-5.7598769822041733</v>
      </c>
      <c r="E1837" s="1">
        <f t="shared" si="4063"/>
        <v>11.382759964909779</v>
      </c>
      <c r="F1837" s="1">
        <f t="shared" si="4064"/>
        <v>0</v>
      </c>
      <c r="G1837" s="1">
        <f t="shared" si="4065"/>
        <v>-8.0201318181573491</v>
      </c>
      <c r="H1837" s="1">
        <f t="shared" si="4032"/>
        <v>13.924429568186008</v>
      </c>
      <c r="I1837" s="1">
        <f t="shared" si="4048"/>
        <v>-6.4504695277173676</v>
      </c>
      <c r="J1837" s="1">
        <f t="shared" si="4049"/>
        <v>0</v>
      </c>
      <c r="K1837" s="1">
        <f t="shared" si="4050"/>
        <v>4.5449096757537149</v>
      </c>
      <c r="L1837" s="1">
        <f t="shared" ref="L1837:N1837" si="4150">E1837/$H1837</f>
        <v>0.81746687784730965</v>
      </c>
      <c r="M1837" s="1">
        <f t="shared" si="4150"/>
        <v>0</v>
      </c>
      <c r="N1837" s="1">
        <f t="shared" si="4150"/>
        <v>-0.57597561026711153</v>
      </c>
      <c r="O1837" s="1">
        <f t="shared" si="4034"/>
        <v>-0.57597561026711153</v>
      </c>
      <c r="P1837" s="1">
        <f t="shared" si="4052"/>
        <v>0.4708409838412545</v>
      </c>
      <c r="Q1837" s="1">
        <f t="shared" si="4053"/>
        <v>0</v>
      </c>
      <c r="R1837" s="1">
        <f t="shared" si="4054"/>
        <v>0.66825209637742844</v>
      </c>
      <c r="S1837" s="1">
        <f t="shared" si="4055"/>
        <v>0.63797976119955735</v>
      </c>
      <c r="T1837" s="1">
        <f t="shared" ref="T1837:V1837" si="4151">$S1837*P1837</f>
        <v>0.30038701843400817</v>
      </c>
      <c r="U1837" s="1">
        <f t="shared" si="4151"/>
        <v>0</v>
      </c>
      <c r="V1837" s="1">
        <f t="shared" si="4151"/>
        <v>0.42633131286797538</v>
      </c>
      <c r="W1837" s="1">
        <f t="shared" si="4057"/>
        <v>-6.1500825092833598</v>
      </c>
      <c r="X1837" s="1">
        <f t="shared" si="4058"/>
        <v>0</v>
      </c>
      <c r="Y1837" s="1">
        <f t="shared" si="4059"/>
        <v>-4.8354090113783093</v>
      </c>
    </row>
    <row r="1838" spans="1:25">
      <c r="A1838" s="1">
        <v>1.8359999999999801</v>
      </c>
      <c r="B1838" s="1">
        <f t="shared" si="4060"/>
        <v>50.066954295910328</v>
      </c>
      <c r="C1838" s="1">
        <f t="shared" si="4061"/>
        <v>0</v>
      </c>
      <c r="D1838" s="1">
        <f t="shared" si="4062"/>
        <v>-5.7679019494313417</v>
      </c>
      <c r="E1838" s="1">
        <f t="shared" si="4063"/>
        <v>11.376609882400496</v>
      </c>
      <c r="F1838" s="1">
        <f t="shared" si="4064"/>
        <v>0</v>
      </c>
      <c r="G1838" s="1">
        <f t="shared" si="4065"/>
        <v>-8.0249672271687267</v>
      </c>
      <c r="H1838" s="1">
        <f t="shared" si="4032"/>
        <v>13.922189174604142</v>
      </c>
      <c r="I1838" s="1">
        <f t="shared" si="4048"/>
        <v>-6.4459470539367123</v>
      </c>
      <c r="J1838" s="1">
        <f t="shared" si="4049"/>
        <v>0</v>
      </c>
      <c r="K1838" s="1">
        <f t="shared" si="4050"/>
        <v>4.5469181408716866</v>
      </c>
      <c r="L1838" s="1">
        <f t="shared" ref="L1838:N1838" si="4152">E1838/$H1838</f>
        <v>0.81715667986704932</v>
      </c>
      <c r="M1838" s="1">
        <f t="shared" si="4152"/>
        <v>0</v>
      </c>
      <c r="N1838" s="1">
        <f t="shared" si="4152"/>
        <v>-0.57641561442127909</v>
      </c>
      <c r="O1838" s="1">
        <f t="shared" si="4034"/>
        <v>-0.57641561442127909</v>
      </c>
      <c r="P1838" s="1">
        <f t="shared" si="4052"/>
        <v>0.47102186970401771</v>
      </c>
      <c r="Q1838" s="1">
        <f t="shared" si="4053"/>
        <v>0</v>
      </c>
      <c r="R1838" s="1">
        <f t="shared" si="4054"/>
        <v>0.66774503945133934</v>
      </c>
      <c r="S1838" s="1">
        <f t="shared" si="4055"/>
        <v>0.63777448014750204</v>
      </c>
      <c r="T1838" s="1">
        <f t="shared" ref="T1838:V1838" si="4153">$S1838*P1838</f>
        <v>0.30040572808858435</v>
      </c>
      <c r="U1838" s="1">
        <f t="shared" si="4153"/>
        <v>0</v>
      </c>
      <c r="V1838" s="1">
        <f t="shared" si="4153"/>
        <v>0.4258707454071512</v>
      </c>
      <c r="W1838" s="1">
        <f t="shared" si="4057"/>
        <v>-6.1455413258481277</v>
      </c>
      <c r="X1838" s="1">
        <f t="shared" si="4058"/>
        <v>0</v>
      </c>
      <c r="Y1838" s="1">
        <f t="shared" si="4059"/>
        <v>-4.833861113721162</v>
      </c>
    </row>
    <row r="1839" spans="1:25">
      <c r="A1839" s="1">
        <v>1.83699999999998</v>
      </c>
      <c r="B1839" s="1">
        <f t="shared" si="4060"/>
        <v>50.078324760251405</v>
      </c>
      <c r="C1839" s="1">
        <f t="shared" si="4061"/>
        <v>0</v>
      </c>
      <c r="D1839" s="1">
        <f t="shared" si="4062"/>
        <v>-5.7759317505196242</v>
      </c>
      <c r="E1839" s="1">
        <f t="shared" si="4063"/>
        <v>11.370464341074648</v>
      </c>
      <c r="F1839" s="1">
        <f t="shared" si="4064"/>
        <v>0</v>
      </c>
      <c r="G1839" s="1">
        <f t="shared" si="4065"/>
        <v>-8.0298010882824471</v>
      </c>
      <c r="H1839" s="1">
        <f t="shared" si="4032"/>
        <v>13.919955633874416</v>
      </c>
      <c r="I1839" s="1">
        <f t="shared" si="4048"/>
        <v>-6.4414314454100419</v>
      </c>
      <c r="J1839" s="1">
        <f t="shared" si="4049"/>
        <v>0</v>
      </c>
      <c r="K1839" s="1">
        <f t="shared" si="4050"/>
        <v>4.5489270867861356</v>
      </c>
      <c r="L1839" s="1">
        <f t="shared" ref="L1839:N1839" si="4154">E1839/$H1839</f>
        <v>0.81684630613365294</v>
      </c>
      <c r="M1839" s="1">
        <f t="shared" si="4154"/>
        <v>0</v>
      </c>
      <c r="N1839" s="1">
        <f t="shared" si="4154"/>
        <v>-0.57685536502298962</v>
      </c>
      <c r="O1839" s="1">
        <f t="shared" si="4034"/>
        <v>-0.57685536502298962</v>
      </c>
      <c r="P1839" s="1">
        <f t="shared" si="4052"/>
        <v>0.47120217409240911</v>
      </c>
      <c r="Q1839" s="1">
        <f t="shared" si="4053"/>
        <v>0</v>
      </c>
      <c r="R1839" s="1">
        <f t="shared" si="4054"/>
        <v>0.66723788784419336</v>
      </c>
      <c r="S1839" s="1">
        <f t="shared" si="4055"/>
        <v>0.6375698598835714</v>
      </c>
      <c r="T1839" s="1">
        <f t="shared" ref="T1839:V1839" si="4155">$S1839*P1839</f>
        <v>0.30042430411293147</v>
      </c>
      <c r="U1839" s="1">
        <f t="shared" si="4155"/>
        <v>0</v>
      </c>
      <c r="V1839" s="1">
        <f t="shared" si="4155"/>
        <v>0.42541076666183247</v>
      </c>
      <c r="W1839" s="1">
        <f t="shared" si="4057"/>
        <v>-6.1410071412971101</v>
      </c>
      <c r="X1839" s="1">
        <f t="shared" si="4058"/>
        <v>0</v>
      </c>
      <c r="Y1839" s="1">
        <f t="shared" si="4059"/>
        <v>-4.8323121465520318</v>
      </c>
    </row>
    <row r="1840" spans="1:25">
      <c r="A1840" s="1">
        <v>1.8379999999999801</v>
      </c>
      <c r="B1840" s="1">
        <f t="shared" si="4060"/>
        <v>50.089689083585341</v>
      </c>
      <c r="C1840" s="1">
        <f t="shared" si="4061"/>
        <v>0</v>
      </c>
      <c r="D1840" s="1">
        <f t="shared" si="4062"/>
        <v>-5.7839663839200535</v>
      </c>
      <c r="E1840" s="1">
        <f t="shared" si="4063"/>
        <v>11.364323333933351</v>
      </c>
      <c r="F1840" s="1">
        <f t="shared" si="4064"/>
        <v>0</v>
      </c>
      <c r="G1840" s="1">
        <f t="shared" si="4065"/>
        <v>-8.0346334004289996</v>
      </c>
      <c r="H1840" s="1">
        <f t="shared" si="4032"/>
        <v>13.917728935335367</v>
      </c>
      <c r="I1840" s="1">
        <f t="shared" si="4048"/>
        <v>-6.4369226868619611</v>
      </c>
      <c r="J1840" s="1">
        <f t="shared" si="4049"/>
        <v>0</v>
      </c>
      <c r="K1840" s="1">
        <f t="shared" si="4050"/>
        <v>4.5509365138715969</v>
      </c>
      <c r="L1840" s="1">
        <f t="shared" ref="L1840:N1840" si="4156">E1840/$H1840</f>
        <v>0.81653575714359261</v>
      </c>
      <c r="M1840" s="1">
        <f t="shared" si="4156"/>
        <v>0</v>
      </c>
      <c r="N1840" s="1">
        <f t="shared" si="4156"/>
        <v>-0.57729486166597732</v>
      </c>
      <c r="O1840" s="1">
        <f t="shared" si="4034"/>
        <v>-0.57729486166597732</v>
      </c>
      <c r="P1840" s="1">
        <f t="shared" si="4052"/>
        <v>0.47138189696553434</v>
      </c>
      <c r="Q1840" s="1">
        <f t="shared" si="4053"/>
        <v>0</v>
      </c>
      <c r="R1840" s="1">
        <f t="shared" si="4054"/>
        <v>0.66673064269406013</v>
      </c>
      <c r="S1840" s="1">
        <f t="shared" si="4055"/>
        <v>0.63736589912909469</v>
      </c>
      <c r="T1840" s="1">
        <f t="shared" ref="T1840:V1840" si="4157">$S1840*P1840</f>
        <v>0.30044274659261605</v>
      </c>
      <c r="U1840" s="1">
        <f t="shared" si="4157"/>
        <v>0</v>
      </c>
      <c r="V1840" s="1">
        <f t="shared" si="4157"/>
        <v>0.4249513755576188</v>
      </c>
      <c r="W1840" s="1">
        <f t="shared" si="4057"/>
        <v>-6.1364799402693446</v>
      </c>
      <c r="X1840" s="1">
        <f t="shared" si="4058"/>
        <v>0</v>
      </c>
      <c r="Y1840" s="1">
        <f t="shared" si="4059"/>
        <v>-4.8307621105707836</v>
      </c>
    </row>
    <row r="1841" spans="1:25">
      <c r="A1841" s="1">
        <v>1.83899999999998</v>
      </c>
      <c r="B1841" s="1">
        <f t="shared" si="4060"/>
        <v>50.101047270439331</v>
      </c>
      <c r="C1841" s="1">
        <f t="shared" si="4061"/>
        <v>0</v>
      </c>
      <c r="D1841" s="1">
        <f t="shared" si="4062"/>
        <v>-5.7920058480825931</v>
      </c>
      <c r="E1841" s="1">
        <f t="shared" si="4063"/>
        <v>11.358186853993082</v>
      </c>
      <c r="F1841" s="1">
        <f t="shared" si="4064"/>
        <v>0</v>
      </c>
      <c r="G1841" s="1">
        <f t="shared" si="4065"/>
        <v>-8.03946416253957</v>
      </c>
      <c r="H1841" s="1">
        <f t="shared" si="4032"/>
        <v>13.915509068337361</v>
      </c>
      <c r="I1841" s="1">
        <f t="shared" si="4048"/>
        <v>-6.4324207630520203</v>
      </c>
      <c r="J1841" s="1">
        <f t="shared" si="4049"/>
        <v>0</v>
      </c>
      <c r="K1841" s="1">
        <f t="shared" si="4050"/>
        <v>4.5529464224962863</v>
      </c>
      <c r="L1841" s="1">
        <f t="shared" ref="L1841:N1841" si="4158">E1841/$H1841</f>
        <v>0.81622503339363428</v>
      </c>
      <c r="M1841" s="1">
        <f t="shared" si="4158"/>
        <v>0</v>
      </c>
      <c r="N1841" s="1">
        <f t="shared" si="4158"/>
        <v>-0.57773410394537106</v>
      </c>
      <c r="O1841" s="1">
        <f t="shared" si="4034"/>
        <v>-0.57773410394537106</v>
      </c>
      <c r="P1841" s="1">
        <f t="shared" si="4052"/>
        <v>0.47156103828545187</v>
      </c>
      <c r="Q1841" s="1">
        <f t="shared" si="4053"/>
        <v>0</v>
      </c>
      <c r="R1841" s="1">
        <f t="shared" si="4054"/>
        <v>0.66622330513843919</v>
      </c>
      <c r="S1841" s="1">
        <f t="shared" si="4055"/>
        <v>0.63716259660803432</v>
      </c>
      <c r="T1841" s="1">
        <f t="shared" ref="T1841:V1841" si="4159">$S1841*P1841</f>
        <v>0.30046105561313918</v>
      </c>
      <c r="U1841" s="1">
        <f t="shared" si="4159"/>
        <v>0</v>
      </c>
      <c r="V1841" s="1">
        <f t="shared" si="4159"/>
        <v>0.4244925710227947</v>
      </c>
      <c r="W1841" s="1">
        <f t="shared" si="4057"/>
        <v>-6.131959707438881</v>
      </c>
      <c r="X1841" s="1">
        <f t="shared" si="4058"/>
        <v>0</v>
      </c>
      <c r="Y1841" s="1">
        <f t="shared" si="4059"/>
        <v>-4.8292110064809179</v>
      </c>
    </row>
    <row r="1842" spans="1:25">
      <c r="A1842" s="1">
        <v>1.8399999999999801</v>
      </c>
      <c r="B1842" s="1">
        <f t="shared" si="4060"/>
        <v>50.11239932533362</v>
      </c>
      <c r="C1842" s="1">
        <f t="shared" si="4061"/>
        <v>0</v>
      </c>
      <c r="D1842" s="1">
        <f t="shared" si="4062"/>
        <v>-5.800050141456139</v>
      </c>
      <c r="E1842" s="1">
        <f t="shared" si="4063"/>
        <v>11.352054894285644</v>
      </c>
      <c r="F1842" s="1">
        <f t="shared" si="4064"/>
        <v>0</v>
      </c>
      <c r="G1842" s="1">
        <f t="shared" si="4065"/>
        <v>-8.0442933735460507</v>
      </c>
      <c r="H1842" s="1">
        <f t="shared" si="4032"/>
        <v>13.913296022242593</v>
      </c>
      <c r="I1842" s="1">
        <f t="shared" si="4048"/>
        <v>-6.4279256587746341</v>
      </c>
      <c r="J1842" s="1">
        <f t="shared" si="4049"/>
        <v>0</v>
      </c>
      <c r="K1842" s="1">
        <f t="shared" si="4050"/>
        <v>4.5549568130221134</v>
      </c>
      <c r="L1842" s="1">
        <f t="shared" ref="L1842:N1842" si="4160">E1842/$H1842</f>
        <v>0.81591413538083268</v>
      </c>
      <c r="M1842" s="1">
        <f t="shared" si="4160"/>
        <v>0</v>
      </c>
      <c r="N1842" s="1">
        <f t="shared" si="4160"/>
        <v>-0.57817309145769502</v>
      </c>
      <c r="O1842" s="1">
        <f t="shared" si="4034"/>
        <v>-0.57817309145769502</v>
      </c>
      <c r="P1842" s="1">
        <f t="shared" si="4052"/>
        <v>0.4717395980171683</v>
      </c>
      <c r="Q1842" s="1">
        <f t="shared" si="4053"/>
        <v>0</v>
      </c>
      <c r="R1842" s="1">
        <f t="shared" si="4054"/>
        <v>0.66571587631425189</v>
      </c>
      <c r="S1842" s="1">
        <f t="shared" si="4055"/>
        <v>0.636959951046981</v>
      </c>
      <c r="T1842" s="1">
        <f t="shared" ref="T1842:V1842" si="4161">$S1842*P1842</f>
        <v>0.30047923125993803</v>
      </c>
      <c r="U1842" s="1">
        <f t="shared" si="4161"/>
        <v>0</v>
      </c>
      <c r="V1842" s="1">
        <f t="shared" si="4161"/>
        <v>0.42403435198832395</v>
      </c>
      <c r="W1842" s="1">
        <f t="shared" si="4057"/>
        <v>-6.1274464275146965</v>
      </c>
      <c r="X1842" s="1">
        <f t="shared" si="4058"/>
        <v>0</v>
      </c>
      <c r="Y1842" s="1">
        <f t="shared" si="4059"/>
        <v>-4.8276588349895624</v>
      </c>
    </row>
    <row r="1843" spans="1:25">
      <c r="A1843" s="1">
        <v>1.84099999999998</v>
      </c>
      <c r="B1843" s="1">
        <f t="shared" si="4060"/>
        <v>50.123745252781475</v>
      </c>
      <c r="C1843" s="1">
        <f t="shared" si="4061"/>
        <v>0</v>
      </c>
      <c r="D1843" s="1">
        <f t="shared" si="4062"/>
        <v>-5.8080992624885202</v>
      </c>
      <c r="E1843" s="1">
        <f t="shared" si="4063"/>
        <v>11.345927447858129</v>
      </c>
      <c r="F1843" s="1">
        <f t="shared" si="4064"/>
        <v>0</v>
      </c>
      <c r="G1843" s="1">
        <f t="shared" si="4065"/>
        <v>-8.0491210323810396</v>
      </c>
      <c r="H1843" s="1">
        <f t="shared" si="4032"/>
        <v>13.911089786425048</v>
      </c>
      <c r="I1843" s="1">
        <f t="shared" si="4048"/>
        <v>-6.423437358858985</v>
      </c>
      <c r="J1843" s="1">
        <f t="shared" si="4049"/>
        <v>0</v>
      </c>
      <c r="K1843" s="1">
        <f t="shared" si="4050"/>
        <v>4.5569676858046897</v>
      </c>
      <c r="L1843" s="1">
        <f t="shared" ref="L1843:N1843" si="4162">E1843/$H1843</f>
        <v>0.81560306360252965</v>
      </c>
      <c r="M1843" s="1">
        <f t="shared" si="4162"/>
        <v>0</v>
      </c>
      <c r="N1843" s="1">
        <f t="shared" si="4162"/>
        <v>-0.57861182380086906</v>
      </c>
      <c r="O1843" s="1">
        <f t="shared" si="4034"/>
        <v>-0.57861182380086906</v>
      </c>
      <c r="P1843" s="1">
        <f t="shared" si="4052"/>
        <v>0.47191757612863589</v>
      </c>
      <c r="Q1843" s="1">
        <f t="shared" si="4053"/>
        <v>0</v>
      </c>
      <c r="R1843" s="1">
        <f t="shared" si="4054"/>
        <v>0.66520835735783201</v>
      </c>
      <c r="S1843" s="1">
        <f t="shared" si="4055"/>
        <v>0.63675796117514361</v>
      </c>
      <c r="T1843" s="1">
        <f t="shared" ref="T1843:V1843" si="4163">$S1843*P1843</f>
        <v>0.3004972736183858</v>
      </c>
      <c r="U1843" s="1">
        <f t="shared" si="4163"/>
        <v>0</v>
      </c>
      <c r="V1843" s="1">
        <f t="shared" si="4163"/>
        <v>0.42357671738783947</v>
      </c>
      <c r="W1843" s="1">
        <f t="shared" si="4057"/>
        <v>-6.1229400852405993</v>
      </c>
      <c r="X1843" s="1">
        <f t="shared" si="4058"/>
        <v>0</v>
      </c>
      <c r="Y1843" s="1">
        <f t="shared" si="4059"/>
        <v>-4.8261055968074702</v>
      </c>
    </row>
    <row r="1844" spans="1:25">
      <c r="A1844" s="1">
        <v>1.8419999999999801</v>
      </c>
      <c r="B1844" s="1">
        <f t="shared" si="4060"/>
        <v>50.135085057289245</v>
      </c>
      <c r="C1844" s="1">
        <f t="shared" si="4061"/>
        <v>0</v>
      </c>
      <c r="D1844" s="1">
        <f t="shared" si="4062"/>
        <v>-5.8161532096264983</v>
      </c>
      <c r="E1844" s="1">
        <f t="shared" si="4063"/>
        <v>11.339804507772888</v>
      </c>
      <c r="F1844" s="1">
        <f t="shared" si="4064"/>
        <v>0</v>
      </c>
      <c r="G1844" s="1">
        <f t="shared" si="4065"/>
        <v>-8.0539471379778469</v>
      </c>
      <c r="H1844" s="1">
        <f t="shared" si="4032"/>
        <v>13.9088903502705</v>
      </c>
      <c r="I1844" s="1">
        <f t="shared" si="4048"/>
        <v>-6.4189558481689408</v>
      </c>
      <c r="J1844" s="1">
        <f t="shared" si="4049"/>
        <v>0</v>
      </c>
      <c r="K1844" s="1">
        <f t="shared" si="4050"/>
        <v>4.5589790411933446</v>
      </c>
      <c r="L1844" s="1">
        <f t="shared" ref="L1844:N1844" si="4164">E1844/$H1844</f>
        <v>0.8152918185563488</v>
      </c>
      <c r="M1844" s="1">
        <f t="shared" si="4164"/>
        <v>0</v>
      </c>
      <c r="N1844" s="1">
        <f t="shared" si="4164"/>
        <v>-0.57905030057420892</v>
      </c>
      <c r="O1844" s="1">
        <f t="shared" si="4034"/>
        <v>-0.57905030057420892</v>
      </c>
      <c r="P1844" s="1">
        <f t="shared" si="4052"/>
        <v>0.47209497259074718</v>
      </c>
      <c r="Q1844" s="1">
        <f t="shared" si="4053"/>
        <v>0</v>
      </c>
      <c r="R1844" s="1">
        <f t="shared" si="4054"/>
        <v>0.6647007494049183</v>
      </c>
      <c r="S1844" s="1">
        <f t="shared" si="4055"/>
        <v>0.63655662572434357</v>
      </c>
      <c r="T1844" s="1">
        <f t="shared" ref="T1844:V1844" si="4165">$S1844*P1844</f>
        <v>0.30051518277379247</v>
      </c>
      <c r="U1844" s="1">
        <f t="shared" si="4165"/>
        <v>0</v>
      </c>
      <c r="V1844" s="1">
        <f t="shared" si="4165"/>
        <v>0.42311966615763724</v>
      </c>
      <c r="W1844" s="1">
        <f t="shared" si="4057"/>
        <v>-6.1184406653951484</v>
      </c>
      <c r="X1844" s="1">
        <f t="shared" si="4058"/>
        <v>0</v>
      </c>
      <c r="Y1844" s="1">
        <f t="shared" si="4059"/>
        <v>-4.8245512926490175</v>
      </c>
    </row>
    <row r="1845" spans="1:25">
      <c r="A1845" s="1">
        <v>1.84299999999998</v>
      </c>
      <c r="B1845" s="1">
        <f t="shared" si="4060"/>
        <v>50.14641874335635</v>
      </c>
      <c r="C1845" s="1">
        <f t="shared" si="4061"/>
        <v>0</v>
      </c>
      <c r="D1845" s="1">
        <f t="shared" si="4062"/>
        <v>-5.8242119813157691</v>
      </c>
      <c r="E1845" s="1">
        <f t="shared" si="4063"/>
        <v>11.333686067107493</v>
      </c>
      <c r="F1845" s="1">
        <f t="shared" si="4064"/>
        <v>0</v>
      </c>
      <c r="G1845" s="1">
        <f t="shared" si="4065"/>
        <v>-8.058771689270495</v>
      </c>
      <c r="H1845" s="1">
        <f t="shared" si="4032"/>
        <v>13.906697703176485</v>
      </c>
      <c r="I1845" s="1">
        <f t="shared" si="4048"/>
        <v>-6.4144811116029654</v>
      </c>
      <c r="J1845" s="1">
        <f t="shared" si="4049"/>
        <v>0</v>
      </c>
      <c r="K1845" s="1">
        <f t="shared" si="4050"/>
        <v>4.56099087953113</v>
      </c>
      <c r="L1845" s="1">
        <f t="shared" ref="L1845:N1845" si="4166">E1845/$H1845</f>
        <v>0.81498040074019296</v>
      </c>
      <c r="M1845" s="1">
        <f t="shared" si="4166"/>
        <v>0</v>
      </c>
      <c r="N1845" s="1">
        <f t="shared" si="4166"/>
        <v>-0.57948852137842599</v>
      </c>
      <c r="O1845" s="1">
        <f t="shared" si="4034"/>
        <v>-0.57948852137842599</v>
      </c>
      <c r="P1845" s="1">
        <f t="shared" si="4052"/>
        <v>0.4722717873773315</v>
      </c>
      <c r="Q1845" s="1">
        <f t="shared" si="4053"/>
        <v>0</v>
      </c>
      <c r="R1845" s="1">
        <f t="shared" si="4054"/>
        <v>0.66419305359064551</v>
      </c>
      <c r="S1845" s="1">
        <f t="shared" si="4055"/>
        <v>0.63635594342900736</v>
      </c>
      <c r="T1845" s="1">
        <f t="shared" ref="T1845:V1845" si="4167">$S1845*P1845</f>
        <v>0.30053295881140535</v>
      </c>
      <c r="U1845" s="1">
        <f t="shared" si="4167"/>
        <v>0</v>
      </c>
      <c r="V1845" s="1">
        <f t="shared" si="4167"/>
        <v>0.42266319723666845</v>
      </c>
      <c r="W1845" s="1">
        <f t="shared" si="4057"/>
        <v>-6.1139481527915605</v>
      </c>
      <c r="X1845" s="1">
        <f t="shared" si="4058"/>
        <v>0</v>
      </c>
      <c r="Y1845" s="1">
        <f t="shared" si="4059"/>
        <v>-4.8229959232322006</v>
      </c>
    </row>
    <row r="1846" spans="1:25">
      <c r="A1846" s="1">
        <v>1.8439999999999801</v>
      </c>
      <c r="B1846" s="1">
        <f t="shared" si="4060"/>
        <v>50.157746315475308</v>
      </c>
      <c r="C1846" s="1">
        <f t="shared" si="4061"/>
        <v>0</v>
      </c>
      <c r="D1846" s="1">
        <f t="shared" si="4062"/>
        <v>-5.8322755760009626</v>
      </c>
      <c r="E1846" s="1">
        <f t="shared" si="4063"/>
        <v>11.327572118954702</v>
      </c>
      <c r="F1846" s="1">
        <f t="shared" si="4064"/>
        <v>0</v>
      </c>
      <c r="G1846" s="1">
        <f t="shared" si="4065"/>
        <v>-8.0635946851937277</v>
      </c>
      <c r="H1846" s="1">
        <f t="shared" si="4032"/>
        <v>13.904511834552283</v>
      </c>
      <c r="I1846" s="1">
        <f t="shared" si="4048"/>
        <v>-6.410013134094025</v>
      </c>
      <c r="J1846" s="1">
        <f t="shared" si="4049"/>
        <v>0</v>
      </c>
      <c r="K1846" s="1">
        <f t="shared" si="4050"/>
        <v>4.5630032011548352</v>
      </c>
      <c r="L1846" s="1">
        <f t="shared" ref="L1846:N1846" si="4168">E1846/$H1846</f>
        <v>0.81466881065223984</v>
      </c>
      <c r="M1846" s="1">
        <f t="shared" si="4168"/>
        <v>0</v>
      </c>
      <c r="N1846" s="1">
        <f t="shared" si="4168"/>
        <v>-0.57992648581562889</v>
      </c>
      <c r="O1846" s="1">
        <f t="shared" si="4034"/>
        <v>-0.57992648581562889</v>
      </c>
      <c r="P1846" s="1">
        <f t="shared" si="4052"/>
        <v>0.47244802046515144</v>
      </c>
      <c r="Q1846" s="1">
        <f t="shared" si="4053"/>
        <v>0</v>
      </c>
      <c r="R1846" s="1">
        <f t="shared" si="4054"/>
        <v>0.66368527104953512</v>
      </c>
      <c r="S1846" s="1">
        <f t="shared" si="4055"/>
        <v>0.6361559130261587</v>
      </c>
      <c r="T1846" s="1">
        <f t="shared" ref="T1846:V1846" si="4169">$S1846*P1846</f>
        <v>0.30055060181640975</v>
      </c>
      <c r="U1846" s="1">
        <f t="shared" si="4169"/>
        <v>0</v>
      </c>
      <c r="V1846" s="1">
        <f t="shared" si="4169"/>
        <v>0.42220730956653063</v>
      </c>
      <c r="W1846" s="1">
        <f t="shared" si="4057"/>
        <v>-6.1094625322776155</v>
      </c>
      <c r="X1846" s="1">
        <f t="shared" si="4058"/>
        <v>0</v>
      </c>
      <c r="Y1846" s="1">
        <f t="shared" si="4059"/>
        <v>-4.8214394892786334</v>
      </c>
    </row>
    <row r="1847" spans="1:25">
      <c r="A1847" s="1">
        <v>1.84499999999998</v>
      </c>
      <c r="B1847" s="1">
        <f t="shared" si="4060"/>
        <v>50.169067778131733</v>
      </c>
      <c r="C1847" s="1">
        <f t="shared" si="4061"/>
        <v>0</v>
      </c>
      <c r="D1847" s="1">
        <f t="shared" si="4062"/>
        <v>-5.8403439921256455</v>
      </c>
      <c r="E1847" s="1">
        <f t="shared" si="4063"/>
        <v>11.321462656422424</v>
      </c>
      <c r="F1847" s="1">
        <f t="shared" si="4064"/>
        <v>0</v>
      </c>
      <c r="G1847" s="1">
        <f t="shared" si="4065"/>
        <v>-8.0684161246830062</v>
      </c>
      <c r="H1847" s="1">
        <f t="shared" si="4032"/>
        <v>13.902332733818891</v>
      </c>
      <c r="I1847" s="1">
        <f t="shared" si="4048"/>
        <v>-6.4055519006095007</v>
      </c>
      <c r="J1847" s="1">
        <f t="shared" si="4049"/>
        <v>0</v>
      </c>
      <c r="K1847" s="1">
        <f t="shared" si="4050"/>
        <v>4.5650160063949956</v>
      </c>
      <c r="L1847" s="1">
        <f t="shared" ref="L1847:N1847" si="4170">E1847/$H1847</f>
        <v>0.8143570487909394</v>
      </c>
      <c r="M1847" s="1">
        <f t="shared" si="4170"/>
        <v>0</v>
      </c>
      <c r="N1847" s="1">
        <f t="shared" si="4170"/>
        <v>-0.58036419348932233</v>
      </c>
      <c r="O1847" s="1">
        <f t="shared" si="4034"/>
        <v>-0.58036419348932233</v>
      </c>
      <c r="P1847" s="1">
        <f t="shared" si="4052"/>
        <v>0.47262367183389825</v>
      </c>
      <c r="Q1847" s="1">
        <f t="shared" si="4053"/>
        <v>0</v>
      </c>
      <c r="R1847" s="1">
        <f t="shared" si="4054"/>
        <v>0.66317740291548843</v>
      </c>
      <c r="S1847" s="1">
        <f t="shared" si="4055"/>
        <v>0.63595653325541135</v>
      </c>
      <c r="T1847" s="1">
        <f t="shared" ref="T1847:V1847" si="4171">$S1847*P1847</f>
        <v>0.30056811187392912</v>
      </c>
      <c r="U1847" s="1">
        <f t="shared" si="4171"/>
        <v>0</v>
      </c>
      <c r="V1847" s="1">
        <f t="shared" si="4171"/>
        <v>0.42175200209146113</v>
      </c>
      <c r="W1847" s="1">
        <f t="shared" si="4057"/>
        <v>-6.1049837887355718</v>
      </c>
      <c r="X1847" s="1">
        <f t="shared" si="4058"/>
        <v>0</v>
      </c>
      <c r="Y1847" s="1">
        <f t="shared" si="4059"/>
        <v>-4.8198819915135429</v>
      </c>
    </row>
    <row r="1848" spans="1:25">
      <c r="A1848" s="1">
        <v>1.8459999999999801</v>
      </c>
      <c r="B1848" s="1">
        <f t="shared" si="4060"/>
        <v>50.180383135804369</v>
      </c>
      <c r="C1848" s="1">
        <f t="shared" si="4061"/>
        <v>0</v>
      </c>
      <c r="D1848" s="1">
        <f t="shared" si="4062"/>
        <v>-5.8484172281323197</v>
      </c>
      <c r="E1848" s="1">
        <f t="shared" si="4063"/>
        <v>11.315357672633688</v>
      </c>
      <c r="F1848" s="1">
        <f t="shared" si="4064"/>
        <v>0</v>
      </c>
      <c r="G1848" s="1">
        <f t="shared" si="4065"/>
        <v>-8.0732360066745201</v>
      </c>
      <c r="H1848" s="1">
        <f t="shared" si="4032"/>
        <v>13.900160390409026</v>
      </c>
      <c r="I1848" s="1">
        <f t="shared" si="4048"/>
        <v>-6.401097396151112</v>
      </c>
      <c r="J1848" s="1">
        <f t="shared" si="4049"/>
        <v>0</v>
      </c>
      <c r="K1848" s="1">
        <f t="shared" si="4050"/>
        <v>4.5670292955759075</v>
      </c>
      <c r="L1848" s="1">
        <f t="shared" ref="L1848:N1848" si="4172">E1848/$H1848</f>
        <v>0.81404511565500881</v>
      </c>
      <c r="M1848" s="1">
        <f t="shared" si="4172"/>
        <v>0</v>
      </c>
      <c r="N1848" s="1">
        <f t="shared" si="4172"/>
        <v>-0.58080164400440826</v>
      </c>
      <c r="O1848" s="1">
        <f t="shared" si="4034"/>
        <v>-0.58080164400440826</v>
      </c>
      <c r="P1848" s="1">
        <f t="shared" si="4052"/>
        <v>0.47279874146618778</v>
      </c>
      <c r="Q1848" s="1">
        <f t="shared" si="4053"/>
        <v>0</v>
      </c>
      <c r="R1848" s="1">
        <f t="shared" si="4054"/>
        <v>0.6626694503217766</v>
      </c>
      <c r="S1848" s="1">
        <f t="shared" si="4055"/>
        <v>0.63575780285896233</v>
      </c>
      <c r="T1848" s="1">
        <f t="shared" ref="T1848:V1848" si="4173">$S1848*P1848</f>
        <v>0.3005854890690261</v>
      </c>
      <c r="U1848" s="1">
        <f t="shared" si="4173"/>
        <v>0</v>
      </c>
      <c r="V1848" s="1">
        <f t="shared" si="4173"/>
        <v>0.42129727375832898</v>
      </c>
      <c r="W1848" s="1">
        <f t="shared" si="4057"/>
        <v>-6.1005119070820859</v>
      </c>
      <c r="X1848" s="1">
        <f t="shared" si="4058"/>
        <v>0</v>
      </c>
      <c r="Y1848" s="1">
        <f t="shared" si="4059"/>
        <v>-4.818323430665763</v>
      </c>
    </row>
    <row r="1849" spans="1:25">
      <c r="A1849" s="1">
        <v>1.84699999999998</v>
      </c>
      <c r="B1849" s="1">
        <f t="shared" si="4060"/>
        <v>50.191692392965095</v>
      </c>
      <c r="C1849" s="1">
        <f t="shared" si="4061"/>
        <v>0</v>
      </c>
      <c r="D1849" s="1">
        <f t="shared" si="4062"/>
        <v>-5.8564952824624248</v>
      </c>
      <c r="E1849" s="1">
        <f t="shared" si="4063"/>
        <v>11.309257160726606</v>
      </c>
      <c r="F1849" s="1">
        <f t="shared" si="4064"/>
        <v>0</v>
      </c>
      <c r="G1849" s="1">
        <f t="shared" si="4065"/>
        <v>-8.0780543301051857</v>
      </c>
      <c r="H1849" s="1">
        <f t="shared" si="4032"/>
        <v>13.89799479376709</v>
      </c>
      <c r="I1849" s="1">
        <f t="shared" si="4048"/>
        <v>-6.396649605754817</v>
      </c>
      <c r="J1849" s="1">
        <f t="shared" si="4049"/>
        <v>0</v>
      </c>
      <c r="K1849" s="1">
        <f t="shared" si="4050"/>
        <v>4.5690430690156338</v>
      </c>
      <c r="L1849" s="1">
        <f t="shared" ref="L1849:N1849" si="4174">E1849/$H1849</f>
        <v>0.81373301174343016</v>
      </c>
      <c r="M1849" s="1">
        <f t="shared" si="4174"/>
        <v>0</v>
      </c>
      <c r="N1849" s="1">
        <f t="shared" si="4174"/>
        <v>-0.5812388369671857</v>
      </c>
      <c r="O1849" s="1">
        <f t="shared" si="4034"/>
        <v>-0.5812388369671857</v>
      </c>
      <c r="P1849" s="1">
        <f t="shared" si="4052"/>
        <v>0.47297322934755659</v>
      </c>
      <c r="Q1849" s="1">
        <f t="shared" si="4053"/>
        <v>0</v>
      </c>
      <c r="R1849" s="1">
        <f t="shared" si="4054"/>
        <v>0.66216141440103327</v>
      </c>
      <c r="S1849" s="1">
        <f t="shared" si="4055"/>
        <v>0.63555972058158483</v>
      </c>
      <c r="T1849" s="1">
        <f t="shared" ref="T1849:V1849" si="4175">$S1849*P1849</f>
        <v>0.30060273348670291</v>
      </c>
      <c r="U1849" s="1">
        <f t="shared" si="4175"/>
        <v>0</v>
      </c>
      <c r="V1849" s="1">
        <f t="shared" si="4175"/>
        <v>0.42084312351662773</v>
      </c>
      <c r="W1849" s="1">
        <f t="shared" si="4057"/>
        <v>-6.096046872268114</v>
      </c>
      <c r="X1849" s="1">
        <f t="shared" si="4058"/>
        <v>0</v>
      </c>
      <c r="Y1849" s="1">
        <f t="shared" si="4059"/>
        <v>-4.8167638074677379</v>
      </c>
    </row>
    <row r="1850" spans="1:25">
      <c r="A1850" s="1">
        <v>1.8479999999999801</v>
      </c>
      <c r="B1850" s="1">
        <f t="shared" si="4060"/>
        <v>50.202995554078946</v>
      </c>
      <c r="C1850" s="1">
        <f t="shared" si="4061"/>
        <v>0</v>
      </c>
      <c r="D1850" s="1">
        <f t="shared" si="4062"/>
        <v>-5.8645781535563373</v>
      </c>
      <c r="E1850" s="1">
        <f t="shared" si="4063"/>
        <v>11.303161113854339</v>
      </c>
      <c r="F1850" s="1">
        <f t="shared" si="4064"/>
        <v>0</v>
      </c>
      <c r="G1850" s="1">
        <f t="shared" si="4065"/>
        <v>-8.0828710939126527</v>
      </c>
      <c r="H1850" s="1">
        <f t="shared" si="4032"/>
        <v>13.895835933349156</v>
      </c>
      <c r="I1850" s="1">
        <f t="shared" si="4048"/>
        <v>-6.3922085144907301</v>
      </c>
      <c r="J1850" s="1">
        <f t="shared" si="4049"/>
        <v>0</v>
      </c>
      <c r="K1850" s="1">
        <f t="shared" si="4050"/>
        <v>4.5710573270260202</v>
      </c>
      <c r="L1850" s="1">
        <f t="shared" ref="L1850:N1850" si="4176">E1850/$H1850</f>
        <v>0.81342073755544586</v>
      </c>
      <c r="M1850" s="1">
        <f t="shared" si="4176"/>
        <v>0</v>
      </c>
      <c r="N1850" s="1">
        <f t="shared" si="4176"/>
        <v>-0.58167577198535114</v>
      </c>
      <c r="O1850" s="1">
        <f t="shared" si="4034"/>
        <v>-0.58167577198535114</v>
      </c>
      <c r="P1850" s="1">
        <f t="shared" si="4052"/>
        <v>0.4731471354664577</v>
      </c>
      <c r="Q1850" s="1">
        <f t="shared" si="4053"/>
        <v>0</v>
      </c>
      <c r="R1850" s="1">
        <f t="shared" si="4054"/>
        <v>0.66165329628524572</v>
      </c>
      <c r="S1850" s="1">
        <f t="shared" si="4055"/>
        <v>0.63536228517062021</v>
      </c>
      <c r="T1850" s="1">
        <f t="shared" ref="T1850:V1850" si="4177">$S1850*P1850</f>
        <v>0.30061984521190155</v>
      </c>
      <c r="U1850" s="1">
        <f t="shared" si="4177"/>
        <v>0</v>
      </c>
      <c r="V1850" s="1">
        <f t="shared" si="4177"/>
        <v>0.42038955031846714</v>
      </c>
      <c r="W1850" s="1">
        <f t="shared" si="4057"/>
        <v>-6.0915886692788286</v>
      </c>
      <c r="X1850" s="1">
        <f t="shared" si="4058"/>
        <v>0</v>
      </c>
      <c r="Y1850" s="1">
        <f t="shared" si="4059"/>
        <v>-4.8152031226555119</v>
      </c>
    </row>
    <row r="1851" spans="1:25">
      <c r="A1851" s="1">
        <v>1.84899999999998</v>
      </c>
      <c r="B1851" s="1">
        <f t="shared" si="4060"/>
        <v>50.21429262360413</v>
      </c>
      <c r="C1851" s="1">
        <f t="shared" si="4061"/>
        <v>0</v>
      </c>
      <c r="D1851" s="1">
        <f t="shared" si="4062"/>
        <v>-5.8726658398533722</v>
      </c>
      <c r="E1851" s="1">
        <f t="shared" si="4063"/>
        <v>11.29706952518506</v>
      </c>
      <c r="F1851" s="1">
        <f t="shared" si="4064"/>
        <v>0</v>
      </c>
      <c r="G1851" s="1">
        <f t="shared" si="4065"/>
        <v>-8.0876862970353081</v>
      </c>
      <c r="H1851" s="1">
        <f t="shared" si="4032"/>
        <v>13.893683798622945</v>
      </c>
      <c r="I1851" s="1">
        <f t="shared" si="4048"/>
        <v>-6.3877741074630343</v>
      </c>
      <c r="J1851" s="1">
        <f t="shared" si="4049"/>
        <v>0</v>
      </c>
      <c r="K1851" s="1">
        <f t="shared" si="4050"/>
        <v>4.5730720699127003</v>
      </c>
      <c r="L1851" s="1">
        <f t="shared" ref="L1851:N1851" si="4178">E1851/$H1851</f>
        <v>0.81310829359055625</v>
      </c>
      <c r="M1851" s="1">
        <f t="shared" si="4178"/>
        <v>0</v>
      </c>
      <c r="N1851" s="1">
        <f t="shared" si="4178"/>
        <v>-0.58211244866799894</v>
      </c>
      <c r="O1851" s="1">
        <f t="shared" si="4034"/>
        <v>-0.58211244866799894</v>
      </c>
      <c r="P1851" s="1">
        <f t="shared" si="4052"/>
        <v>0.47332045981425691</v>
      </c>
      <c r="Q1851" s="1">
        <f t="shared" si="4053"/>
        <v>0</v>
      </c>
      <c r="R1851" s="1">
        <f t="shared" si="4054"/>
        <v>0.66114509710574632</v>
      </c>
      <c r="S1851" s="1">
        <f t="shared" si="4055"/>
        <v>0.63516549537597078</v>
      </c>
      <c r="T1851" s="1">
        <f t="shared" ref="T1851:V1851" si="4179">$S1851*P1851</f>
        <v>0.30063682432950478</v>
      </c>
      <c r="U1851" s="1">
        <f t="shared" si="4179"/>
        <v>0</v>
      </c>
      <c r="V1851" s="1">
        <f t="shared" si="4179"/>
        <v>0.41993655311856565</v>
      </c>
      <c r="W1851" s="1">
        <f t="shared" si="4057"/>
        <v>-6.0871372831335293</v>
      </c>
      <c r="X1851" s="1">
        <f t="shared" si="4058"/>
        <v>0</v>
      </c>
      <c r="Y1851" s="1">
        <f t="shared" si="4059"/>
        <v>-4.8136413769687332</v>
      </c>
    </row>
    <row r="1852" spans="1:25">
      <c r="A1852" s="1">
        <v>1.8499999999999801</v>
      </c>
      <c r="B1852" s="1">
        <f t="shared" si="4060"/>
        <v>50.225583605992036</v>
      </c>
      <c r="C1852" s="1">
        <f t="shared" si="4061"/>
        <v>0</v>
      </c>
      <c r="D1852" s="1">
        <f t="shared" si="4062"/>
        <v>-5.8807583397917842</v>
      </c>
      <c r="E1852" s="1">
        <f t="shared" si="4063"/>
        <v>11.290982387901927</v>
      </c>
      <c r="F1852" s="1">
        <f t="shared" si="4064"/>
        <v>0</v>
      </c>
      <c r="G1852" s="1">
        <f t="shared" si="4065"/>
        <v>-8.092499938412276</v>
      </c>
      <c r="H1852" s="1">
        <f t="shared" si="4032"/>
        <v>13.89153837906782</v>
      </c>
      <c r="I1852" s="1">
        <f t="shared" si="4048"/>
        <v>-6.3833463698098969</v>
      </c>
      <c r="J1852" s="1">
        <f t="shared" si="4049"/>
        <v>0</v>
      </c>
      <c r="K1852" s="1">
        <f t="shared" si="4050"/>
        <v>4.5750872979751129</v>
      </c>
      <c r="L1852" s="1">
        <f t="shared" ref="L1852:N1852" si="4180">E1852/$H1852</f>
        <v>0.81279568034851435</v>
      </c>
      <c r="M1852" s="1">
        <f t="shared" si="4180"/>
        <v>0</v>
      </c>
      <c r="N1852" s="1">
        <f t="shared" si="4180"/>
        <v>-0.58254886662562111</v>
      </c>
      <c r="O1852" s="1">
        <f t="shared" si="4034"/>
        <v>-0.58254886662562111</v>
      </c>
      <c r="P1852" s="1">
        <f t="shared" si="4052"/>
        <v>0.47349320238522763</v>
      </c>
      <c r="Q1852" s="1">
        <f t="shared" si="4053"/>
        <v>0</v>
      </c>
      <c r="R1852" s="1">
        <f t="shared" si="4054"/>
        <v>0.66063681799320428</v>
      </c>
      <c r="S1852" s="1">
        <f t="shared" si="4055"/>
        <v>0.63496934995009391</v>
      </c>
      <c r="T1852" s="1">
        <f t="shared" ref="T1852:V1852" si="4181">$S1852*P1852</f>
        <v>0.30065367092433626</v>
      </c>
      <c r="U1852" s="1">
        <f t="shared" si="4181"/>
        <v>0</v>
      </c>
      <c r="V1852" s="1">
        <f t="shared" si="4181"/>
        <v>0.41948413087424341</v>
      </c>
      <c r="W1852" s="1">
        <f t="shared" si="4057"/>
        <v>-6.0826926988855607</v>
      </c>
      <c r="X1852" s="1">
        <f t="shared" si="4058"/>
        <v>0</v>
      </c>
      <c r="Y1852" s="1">
        <f t="shared" si="4059"/>
        <v>-4.8120785711506429</v>
      </c>
    </row>
    <row r="1853" spans="1:25">
      <c r="A1853" s="1">
        <v>1.85099999999998</v>
      </c>
      <c r="B1853" s="1">
        <f t="shared" si="4060"/>
        <v>50.236868505687241</v>
      </c>
      <c r="C1853" s="1">
        <f t="shared" si="4061"/>
        <v>0</v>
      </c>
      <c r="D1853" s="1">
        <f t="shared" si="4062"/>
        <v>-5.8888556518087674</v>
      </c>
      <c r="E1853" s="1">
        <f t="shared" si="4063"/>
        <v>11.284899695203041</v>
      </c>
      <c r="F1853" s="1">
        <f t="shared" si="4064"/>
        <v>0</v>
      </c>
      <c r="G1853" s="1">
        <f t="shared" si="4065"/>
        <v>-8.0973120169834267</v>
      </c>
      <c r="H1853" s="1">
        <f t="shared" si="4032"/>
        <v>13.889399664174759</v>
      </c>
      <c r="I1853" s="1">
        <f t="shared" si="4048"/>
        <v>-6.3789252867033808</v>
      </c>
      <c r="J1853" s="1">
        <f t="shared" si="4049"/>
        <v>0</v>
      </c>
      <c r="K1853" s="1">
        <f t="shared" si="4050"/>
        <v>4.5771030115065097</v>
      </c>
      <c r="L1853" s="1">
        <f t="shared" ref="L1853:N1853" si="4182">E1853/$H1853</f>
        <v>0.81248289832932352</v>
      </c>
      <c r="M1853" s="1">
        <f t="shared" si="4182"/>
        <v>0</v>
      </c>
      <c r="N1853" s="1">
        <f t="shared" si="4182"/>
        <v>-0.58298502547010767</v>
      </c>
      <c r="O1853" s="1">
        <f t="shared" si="4034"/>
        <v>-0.58298502547010767</v>
      </c>
      <c r="P1853" s="1">
        <f t="shared" si="4052"/>
        <v>0.47366536317654756</v>
      </c>
      <c r="Q1853" s="1">
        <f t="shared" si="4053"/>
        <v>0</v>
      </c>
      <c r="R1853" s="1">
        <f t="shared" si="4054"/>
        <v>0.66012846007761794</v>
      </c>
      <c r="S1853" s="1">
        <f t="shared" si="4055"/>
        <v>0.63477384764799427</v>
      </c>
      <c r="T1853" s="1">
        <f t="shared" ref="T1853:V1853" si="4183">$S1853*P1853</f>
        <v>0.30067038508116167</v>
      </c>
      <c r="U1853" s="1">
        <f t="shared" si="4183"/>
        <v>0</v>
      </c>
      <c r="V1853" s="1">
        <f t="shared" si="4183"/>
        <v>0.41903228254541491</v>
      </c>
      <c r="W1853" s="1">
        <f t="shared" si="4057"/>
        <v>-6.0782549016222189</v>
      </c>
      <c r="X1853" s="1">
        <f t="shared" si="4058"/>
        <v>0</v>
      </c>
      <c r="Y1853" s="1">
        <f t="shared" si="4059"/>
        <v>-4.8105147059480746</v>
      </c>
    </row>
    <row r="1854" spans="1:25">
      <c r="A1854" s="1">
        <v>1.8519999999999801</v>
      </c>
      <c r="B1854" s="1">
        <f t="shared" si="4060"/>
        <v>50.248147327127541</v>
      </c>
      <c r="C1854" s="1">
        <f t="shared" si="4061"/>
        <v>0</v>
      </c>
      <c r="D1854" s="1">
        <f t="shared" si="4062"/>
        <v>-5.8969577743404571</v>
      </c>
      <c r="E1854" s="1">
        <f t="shared" si="4063"/>
        <v>11.278821440301419</v>
      </c>
      <c r="F1854" s="1">
        <f t="shared" si="4064"/>
        <v>0</v>
      </c>
      <c r="G1854" s="1">
        <f t="shared" si="4065"/>
        <v>-8.1021225316893748</v>
      </c>
      <c r="H1854" s="1">
        <f t="shared" si="4032"/>
        <v>13.887267643446339</v>
      </c>
      <c r="I1854" s="1">
        <f t="shared" si="4048"/>
        <v>-6.3745108433493618</v>
      </c>
      <c r="J1854" s="1">
        <f t="shared" si="4049"/>
        <v>0</v>
      </c>
      <c r="K1854" s="1">
        <f t="shared" si="4050"/>
        <v>4.5791192107939667</v>
      </c>
      <c r="L1854" s="1">
        <f t="shared" ref="L1854:N1854" si="4184">E1854/$H1854</f>
        <v>0.8121699480332335</v>
      </c>
      <c r="M1854" s="1">
        <f t="shared" si="4184"/>
        <v>0</v>
      </c>
      <c r="N1854" s="1">
        <f t="shared" si="4184"/>
        <v>-0.58342092481474694</v>
      </c>
      <c r="O1854" s="1">
        <f t="shared" si="4034"/>
        <v>-0.58342092481474694</v>
      </c>
      <c r="P1854" s="1">
        <f t="shared" si="4052"/>
        <v>0.47383694218829403</v>
      </c>
      <c r="Q1854" s="1">
        <f t="shared" si="4053"/>
        <v>0</v>
      </c>
      <c r="R1854" s="1">
        <f t="shared" si="4054"/>
        <v>0.65962002448830537</v>
      </c>
      <c r="S1854" s="1">
        <f t="shared" si="4055"/>
        <v>0.63457898722721617</v>
      </c>
      <c r="T1854" s="1">
        <f t="shared" ref="T1854:V1854" si="4185">$S1854*P1854</f>
        <v>0.3006869668846886</v>
      </c>
      <c r="U1854" s="1">
        <f t="shared" si="4185"/>
        <v>0</v>
      </c>
      <c r="V1854" s="1">
        <f t="shared" si="4185"/>
        <v>0.41858100709458035</v>
      </c>
      <c r="W1854" s="1">
        <f t="shared" si="4057"/>
        <v>-6.0738238764646733</v>
      </c>
      <c r="X1854" s="1">
        <f t="shared" si="4058"/>
        <v>0</v>
      </c>
      <c r="Y1854" s="1">
        <f t="shared" si="4059"/>
        <v>-4.8089497821114522</v>
      </c>
    </row>
    <row r="1855" spans="1:25">
      <c r="A1855" s="1">
        <v>1.85299999999998</v>
      </c>
      <c r="B1855" s="1">
        <f t="shared" si="4060"/>
        <v>50.259420074743964</v>
      </c>
      <c r="C1855" s="1">
        <f t="shared" si="4061"/>
        <v>0</v>
      </c>
      <c r="D1855" s="1">
        <f t="shared" si="4062"/>
        <v>-5.9050647058219283</v>
      </c>
      <c r="E1855" s="1">
        <f t="shared" si="4063"/>
        <v>11.272747616424954</v>
      </c>
      <c r="F1855" s="1">
        <f t="shared" si="4064"/>
        <v>0</v>
      </c>
      <c r="G1855" s="1">
        <f t="shared" si="4065"/>
        <v>-8.1069314814714861</v>
      </c>
      <c r="H1855" s="1">
        <f t="shared" si="4032"/>
        <v>13.885142306396718</v>
      </c>
      <c r="I1855" s="1">
        <f t="shared" si="4048"/>
        <v>-6.3701030249874409</v>
      </c>
      <c r="J1855" s="1">
        <f t="shared" si="4049"/>
        <v>0</v>
      </c>
      <c r="K1855" s="1">
        <f t="shared" si="4050"/>
        <v>4.5811358961183943</v>
      </c>
      <c r="L1855" s="1">
        <f t="shared" ref="L1855:N1855" si="4186">E1855/$H1855</f>
        <v>0.81185682996073694</v>
      </c>
      <c r="M1855" s="1">
        <f t="shared" si="4186"/>
        <v>0</v>
      </c>
      <c r="N1855" s="1">
        <f t="shared" si="4186"/>
        <v>-0.58385656427422572</v>
      </c>
      <c r="O1855" s="1">
        <f t="shared" si="4034"/>
        <v>-0.58385656427422572</v>
      </c>
      <c r="P1855" s="1">
        <f t="shared" si="4052"/>
        <v>0.47400793942344016</v>
      </c>
      <c r="Q1855" s="1">
        <f t="shared" si="4053"/>
        <v>0</v>
      </c>
      <c r="R1855" s="1">
        <f t="shared" si="4054"/>
        <v>0.65911151235389687</v>
      </c>
      <c r="S1855" s="1">
        <f t="shared" si="4055"/>
        <v>0.63438476744783701</v>
      </c>
      <c r="T1855" s="1">
        <f t="shared" ref="T1855:V1855" si="4187">$S1855*P1855</f>
        <v>0.30070341641956749</v>
      </c>
      <c r="U1855" s="1">
        <f t="shared" si="4187"/>
        <v>0</v>
      </c>
      <c r="V1855" s="1">
        <f t="shared" si="4187"/>
        <v>0.41813030348681901</v>
      </c>
      <c r="W1855" s="1">
        <f t="shared" si="4057"/>
        <v>-6.0693996085678732</v>
      </c>
      <c r="X1855" s="1">
        <f t="shared" si="4058"/>
        <v>0</v>
      </c>
      <c r="Y1855" s="1">
        <f t="shared" si="4059"/>
        <v>-4.8073838003947857</v>
      </c>
    </row>
    <row r="1856" spans="1:25">
      <c r="A1856" s="1">
        <v>1.8539999999999801</v>
      </c>
      <c r="B1856" s="1">
        <f t="shared" si="4060"/>
        <v>50.270686752960778</v>
      </c>
      <c r="C1856" s="1">
        <f t="shared" si="4061"/>
        <v>0</v>
      </c>
      <c r="D1856" s="1">
        <f t="shared" si="4062"/>
        <v>-5.9131764446871999</v>
      </c>
      <c r="E1856" s="1">
        <f t="shared" si="4063"/>
        <v>11.266678216816386</v>
      </c>
      <c r="F1856" s="1">
        <f t="shared" si="4064"/>
        <v>0</v>
      </c>
      <c r="G1856" s="1">
        <f t="shared" si="4065"/>
        <v>-8.1117388652718816</v>
      </c>
      <c r="H1856" s="1">
        <f t="shared" si="4032"/>
        <v>13.883023642551619</v>
      </c>
      <c r="I1856" s="1">
        <f t="shared" si="4048"/>
        <v>-6.3657018168908541</v>
      </c>
      <c r="J1856" s="1">
        <f t="shared" si="4049"/>
        <v>0</v>
      </c>
      <c r="K1856" s="1">
        <f t="shared" si="4050"/>
        <v>4.5831530677545489</v>
      </c>
      <c r="L1856" s="1">
        <f t="shared" ref="L1856:N1856" si="4188">E1856/$H1856</f>
        <v>0.81154354461256517</v>
      </c>
      <c r="M1856" s="1">
        <f t="shared" si="4188"/>
        <v>0</v>
      </c>
      <c r="N1856" s="1">
        <f t="shared" si="4188"/>
        <v>-0.5842919434646292</v>
      </c>
      <c r="O1856" s="1">
        <f t="shared" si="4034"/>
        <v>-0.5842919434646292</v>
      </c>
      <c r="P1856" s="1">
        <f t="shared" si="4052"/>
        <v>0.47417835488784971</v>
      </c>
      <c r="Q1856" s="1">
        <f t="shared" si="4053"/>
        <v>0</v>
      </c>
      <c r="R1856" s="1">
        <f t="shared" si="4054"/>
        <v>0.65860292480232663</v>
      </c>
      <c r="S1856" s="1">
        <f t="shared" si="4055"/>
        <v>0.63419118707246047</v>
      </c>
      <c r="T1856" s="1">
        <f t="shared" ref="T1856:V1856" si="4189">$S1856*P1856</f>
        <v>0.30071973377039185</v>
      </c>
      <c r="U1856" s="1">
        <f t="shared" si="4189"/>
        <v>0</v>
      </c>
      <c r="V1856" s="1">
        <f t="shared" si="4189"/>
        <v>0.41768017068978192</v>
      </c>
      <c r="W1856" s="1">
        <f t="shared" si="4057"/>
        <v>-6.0649820831204622</v>
      </c>
      <c r="X1856" s="1">
        <f t="shared" si="4058"/>
        <v>0</v>
      </c>
      <c r="Y1856" s="1">
        <f t="shared" si="4059"/>
        <v>-4.8058167615556684</v>
      </c>
    </row>
    <row r="1857" spans="1:25">
      <c r="A1857" s="1">
        <v>1.85499999999998</v>
      </c>
      <c r="B1857" s="1">
        <f t="shared" si="4060"/>
        <v>50.28194736619551</v>
      </c>
      <c r="C1857" s="1">
        <f t="shared" si="4061"/>
        <v>0</v>
      </c>
      <c r="D1857" s="1">
        <f t="shared" si="4062"/>
        <v>-5.921292989369233</v>
      </c>
      <c r="E1857" s="1">
        <f t="shared" si="4063"/>
        <v>11.260613234733265</v>
      </c>
      <c r="F1857" s="1">
        <f t="shared" si="4064"/>
        <v>0</v>
      </c>
      <c r="G1857" s="1">
        <f t="shared" si="4065"/>
        <v>-8.116544682033437</v>
      </c>
      <c r="H1857" s="1">
        <f t="shared" si="4032"/>
        <v>13.880911641448311</v>
      </c>
      <c r="I1857" s="1">
        <f t="shared" si="4048"/>
        <v>-6.3613072043663976</v>
      </c>
      <c r="J1857" s="1">
        <f t="shared" si="4049"/>
        <v>0</v>
      </c>
      <c r="K1857" s="1">
        <f t="shared" si="4050"/>
        <v>4.5851707259710439</v>
      </c>
      <c r="L1857" s="1">
        <f t="shared" ref="L1857:N1857" si="4190">E1857/$H1857</f>
        <v>0.81123009248968547</v>
      </c>
      <c r="M1857" s="1">
        <f t="shared" si="4190"/>
        <v>0</v>
      </c>
      <c r="N1857" s="1">
        <f t="shared" si="4190"/>
        <v>-0.58472706200344138</v>
      </c>
      <c r="O1857" s="1">
        <f t="shared" si="4034"/>
        <v>-0.58472706200344138</v>
      </c>
      <c r="P1857" s="1">
        <f t="shared" si="4052"/>
        <v>0.47434818859027378</v>
      </c>
      <c r="Q1857" s="1">
        <f t="shared" si="4053"/>
        <v>0</v>
      </c>
      <c r="R1857" s="1">
        <f t="shared" si="4054"/>
        <v>0.65809426296082363</v>
      </c>
      <c r="S1857" s="1">
        <f t="shared" si="4055"/>
        <v>0.63399824486620893</v>
      </c>
      <c r="T1857" s="1">
        <f t="shared" ref="T1857:V1857" si="4191">$S1857*P1857</f>
        <v>0.30073591902169905</v>
      </c>
      <c r="U1857" s="1">
        <f t="shared" si="4191"/>
        <v>0</v>
      </c>
      <c r="V1857" s="1">
        <f t="shared" si="4191"/>
        <v>0.41723060767368353</v>
      </c>
      <c r="W1857" s="1">
        <f t="shared" si="4057"/>
        <v>-6.0605712853446985</v>
      </c>
      <c r="X1857" s="1">
        <f t="shared" si="4058"/>
        <v>0</v>
      </c>
      <c r="Y1857" s="1">
        <f t="shared" si="4059"/>
        <v>-4.8042486663552717</v>
      </c>
    </row>
    <row r="1858" spans="1:25">
      <c r="A1858" s="1">
        <v>1.8559999999999801</v>
      </c>
      <c r="B1858" s="1">
        <f t="shared" si="4060"/>
        <v>50.293201918858955</v>
      </c>
      <c r="C1858" s="1">
        <f t="shared" si="4061"/>
        <v>0</v>
      </c>
      <c r="D1858" s="1">
        <f t="shared" si="4062"/>
        <v>-5.9294143382999325</v>
      </c>
      <c r="E1858" s="1">
        <f t="shared" si="4063"/>
        <v>11.254552663447921</v>
      </c>
      <c r="F1858" s="1">
        <f t="shared" si="4064"/>
        <v>0</v>
      </c>
      <c r="G1858" s="1">
        <f t="shared" si="4065"/>
        <v>-8.1213489306997921</v>
      </c>
      <c r="H1858" s="1">
        <f t="shared" si="4032"/>
        <v>13.878806292635593</v>
      </c>
      <c r="I1858" s="1">
        <f t="shared" ref="I1858:I1921" si="4192">-K_drag*$H1858*E1858</f>
        <v>-6.3569191727543384</v>
      </c>
      <c r="J1858" s="1">
        <f t="shared" ref="J1858:J1921" si="4193">-K_drag*$H1858*F1858</f>
        <v>0</v>
      </c>
      <c r="K1858" s="1">
        <f t="shared" ref="K1858:K1921" si="4194">-K_drag*$H1858*G1858</f>
        <v>4.5871888710303645</v>
      </c>
      <c r="L1858" s="1">
        <f t="shared" ref="L1858:N1858" si="4195">E1858/$H1858</f>
        <v>0.81091647409329715</v>
      </c>
      <c r="M1858" s="1">
        <f t="shared" si="4195"/>
        <v>0</v>
      </c>
      <c r="N1858" s="1">
        <f t="shared" si="4195"/>
        <v>-0.58516191950954477</v>
      </c>
      <c r="O1858" s="1">
        <f t="shared" si="4034"/>
        <v>-0.58516191950954477</v>
      </c>
      <c r="P1858" s="1">
        <f t="shared" ref="P1858:P1921" si="4196">u_axis_f-$O1858*L1858</f>
        <v>0.47451744054234579</v>
      </c>
      <c r="Q1858" s="1">
        <f t="shared" ref="Q1858:Q1921" si="4197">u_axis_r-$O1858*M1858</f>
        <v>0</v>
      </c>
      <c r="R1858" s="1">
        <f t="shared" ref="R1858:R1921" si="4198">u_axis_u-$O1858*N1858</f>
        <v>0.65758552795590508</v>
      </c>
      <c r="S1858" s="1">
        <f t="shared" ref="S1858:S1921" si="4199">K_lift*H1858^2</f>
        <v>0.63380593959671716</v>
      </c>
      <c r="T1858" s="1">
        <f t="shared" ref="T1858:V1858" si="4200">$S1858*P1858</f>
        <v>0.30075197225797085</v>
      </c>
      <c r="U1858" s="1">
        <f t="shared" si="4200"/>
        <v>0</v>
      </c>
      <c r="V1858" s="1">
        <f t="shared" si="4200"/>
        <v>0.41678161341129571</v>
      </c>
      <c r="W1858" s="1">
        <f t="shared" ref="W1858:W1921" si="4201">I1858+T1858+g_f</f>
        <v>-6.0561672004963674</v>
      </c>
      <c r="X1858" s="1">
        <f t="shared" ref="X1858:X1921" si="4202">J1858+U1858+g_r</f>
        <v>0</v>
      </c>
      <c r="Y1858" s="1">
        <f t="shared" ref="Y1858:Y1921" si="4203">K1858+V1858+g_u</f>
        <v>-4.8026795155583395</v>
      </c>
    </row>
    <row r="1859" spans="1:25">
      <c r="A1859" s="1">
        <v>1.85699999999998</v>
      </c>
      <c r="B1859" s="1">
        <f t="shared" ref="B1859:B1922" si="4204">B1858+E1859*dt</f>
        <v>50.304450415355205</v>
      </c>
      <c r="C1859" s="1">
        <f t="shared" ref="C1859:C1922" si="4205">C1858+F1859*dt</f>
        <v>0</v>
      </c>
      <c r="D1859" s="1">
        <f t="shared" ref="D1859:D1922" si="4206">D1858+G1859*dt</f>
        <v>-5.9375404899101483</v>
      </c>
      <c r="E1859" s="1">
        <f t="shared" ref="E1859:E1922" si="4207">E1858+W1858*dt</f>
        <v>11.248496496247425</v>
      </c>
      <c r="F1859" s="1">
        <f t="shared" ref="F1859:F1922" si="4208">F1858+X1858*dt</f>
        <v>0</v>
      </c>
      <c r="G1859" s="1">
        <f t="shared" ref="G1859:G1922" si="4209">G1858+Y1858*dt</f>
        <v>-8.1261516102153504</v>
      </c>
      <c r="H1859" s="1">
        <f t="shared" si="4032"/>
        <v>13.876707585673776</v>
      </c>
      <c r="I1859" s="1">
        <f t="shared" si="4192"/>
        <v>-6.3525377074283247</v>
      </c>
      <c r="J1859" s="1">
        <f t="shared" si="4193"/>
        <v>0</v>
      </c>
      <c r="K1859" s="1">
        <f t="shared" si="4194"/>
        <v>4.5892075031888711</v>
      </c>
      <c r="L1859" s="1">
        <f t="shared" ref="L1859:N1859" si="4210">E1859/$H1859</f>
        <v>0.81060268992482776</v>
      </c>
      <c r="M1859" s="1">
        <f t="shared" si="4210"/>
        <v>0</v>
      </c>
      <c r="N1859" s="1">
        <f t="shared" si="4210"/>
        <v>-0.58559651560322112</v>
      </c>
      <c r="O1859" s="1">
        <f t="shared" si="4034"/>
        <v>-0.58559651560322112</v>
      </c>
      <c r="P1859" s="1">
        <f t="shared" si="4196"/>
        <v>0.47468611075857742</v>
      </c>
      <c r="Q1859" s="1">
        <f t="shared" si="4197"/>
        <v>0</v>
      </c>
      <c r="R1859" s="1">
        <f t="shared" si="4198"/>
        <v>0.65707672091336633</v>
      </c>
      <c r="S1859" s="1">
        <f t="shared" si="4199"/>
        <v>0.63361427003412485</v>
      </c>
      <c r="T1859" s="1">
        <f t="shared" ref="T1859:V1859" si="4211">$S1859*P1859</f>
        <v>0.30076789356363376</v>
      </c>
      <c r="U1859" s="1">
        <f t="shared" si="4211"/>
        <v>0</v>
      </c>
      <c r="V1859" s="1">
        <f t="shared" si="4211"/>
        <v>0.41633318687793897</v>
      </c>
      <c r="W1859" s="1">
        <f t="shared" si="4201"/>
        <v>-6.0517698138646914</v>
      </c>
      <c r="X1859" s="1">
        <f t="shared" si="4202"/>
        <v>0</v>
      </c>
      <c r="Y1859" s="1">
        <f t="shared" si="4203"/>
        <v>-4.8011093099331896</v>
      </c>
    </row>
    <row r="1860" spans="1:25">
      <c r="A1860" s="1">
        <v>1.8579999999999799</v>
      </c>
      <c r="B1860" s="1">
        <f t="shared" si="4204"/>
        <v>50.31569286008164</v>
      </c>
      <c r="C1860" s="1">
        <f t="shared" si="4205"/>
        <v>0</v>
      </c>
      <c r="D1860" s="1">
        <f t="shared" si="4206"/>
        <v>-5.9456714426296733</v>
      </c>
      <c r="E1860" s="1">
        <f t="shared" si="4207"/>
        <v>11.242444726433559</v>
      </c>
      <c r="F1860" s="1">
        <f t="shared" si="4208"/>
        <v>0</v>
      </c>
      <c r="G1860" s="1">
        <f t="shared" si="4209"/>
        <v>-8.1309527195252844</v>
      </c>
      <c r="H1860" s="1">
        <f t="shared" si="4032"/>
        <v>13.874615510134664</v>
      </c>
      <c r="I1860" s="1">
        <f t="shared" si="4192"/>
        <v>-6.3481627937953098</v>
      </c>
      <c r="J1860" s="1">
        <f t="shared" si="4193"/>
        <v>0</v>
      </c>
      <c r="K1860" s="1">
        <f t="shared" si="4194"/>
        <v>4.5912266226968175</v>
      </c>
      <c r="L1860" s="1">
        <f t="shared" ref="L1860:N1860" si="4212">E1860/$H1860</f>
        <v>0.81028874048592958</v>
      </c>
      <c r="M1860" s="1">
        <f t="shared" si="4212"/>
        <v>0</v>
      </c>
      <c r="N1860" s="1">
        <f t="shared" si="4212"/>
        <v>-0.58603084990615117</v>
      </c>
      <c r="O1860" s="1">
        <f t="shared" si="4034"/>
        <v>-0.58603084990615117</v>
      </c>
      <c r="P1860" s="1">
        <f t="shared" si="4196"/>
        <v>0.47485419925635408</v>
      </c>
      <c r="Q1860" s="1">
        <f t="shared" si="4197"/>
        <v>0</v>
      </c>
      <c r="R1860" s="1">
        <f t="shared" si="4198"/>
        <v>0.65656784295827419</v>
      </c>
      <c r="S1860" s="1">
        <f t="shared" si="4199"/>
        <v>0.63342323495106934</v>
      </c>
      <c r="T1860" s="1">
        <f t="shared" ref="T1860:V1860" si="4213">$S1860*P1860</f>
        <v>0.30078368302305947</v>
      </c>
      <c r="U1860" s="1">
        <f t="shared" si="4213"/>
        <v>0</v>
      </c>
      <c r="V1860" s="1">
        <f t="shared" si="4213"/>
        <v>0.41588532705147568</v>
      </c>
      <c r="W1860" s="1">
        <f t="shared" si="4201"/>
        <v>-6.0473791107722503</v>
      </c>
      <c r="X1860" s="1">
        <f t="shared" si="4202"/>
        <v>0</v>
      </c>
      <c r="Y1860" s="1">
        <f t="shared" si="4203"/>
        <v>-4.799538050251706</v>
      </c>
    </row>
    <row r="1861" spans="1:25">
      <c r="A1861" s="1">
        <v>1.85899999999998</v>
      </c>
      <c r="B1861" s="1">
        <f t="shared" si="4204"/>
        <v>50.326929257428965</v>
      </c>
      <c r="C1861" s="1">
        <f t="shared" si="4205"/>
        <v>0</v>
      </c>
      <c r="D1861" s="1">
        <f t="shared" si="4206"/>
        <v>-5.9538071948872489</v>
      </c>
      <c r="E1861" s="1">
        <f t="shared" si="4207"/>
        <v>11.236397347322788</v>
      </c>
      <c r="F1861" s="1">
        <f t="shared" si="4208"/>
        <v>0</v>
      </c>
      <c r="G1861" s="1">
        <f t="shared" si="4209"/>
        <v>-8.1357522575755361</v>
      </c>
      <c r="H1861" s="1">
        <f t="shared" si="4032"/>
        <v>13.872530055601537</v>
      </c>
      <c r="I1861" s="1">
        <f t="shared" si="4192"/>
        <v>-6.343794417295463</v>
      </c>
      <c r="J1861" s="1">
        <f t="shared" si="4193"/>
        <v>0</v>
      </c>
      <c r="K1861" s="1">
        <f t="shared" si="4194"/>
        <v>4.5932462297983561</v>
      </c>
      <c r="L1861" s="1">
        <f t="shared" ref="L1861:N1861" si="4214">E1861/$H1861</f>
        <v>0.80997462627847649</v>
      </c>
      <c r="M1861" s="1">
        <f t="shared" si="4214"/>
        <v>0</v>
      </c>
      <c r="N1861" s="1">
        <f t="shared" si="4214"/>
        <v>-0.58646492204141454</v>
      </c>
      <c r="O1861" s="1">
        <f t="shared" si="4034"/>
        <v>-0.58646492204141454</v>
      </c>
      <c r="P1861" s="1">
        <f t="shared" si="4196"/>
        <v>0.47502170605593058</v>
      </c>
      <c r="Q1861" s="1">
        <f t="shared" si="4197"/>
        <v>0</v>
      </c>
      <c r="R1861" s="1">
        <f t="shared" si="4198"/>
        <v>0.65605889521495753</v>
      </c>
      <c r="S1861" s="1">
        <f t="shared" si="4199"/>
        <v>0.63323283312267975</v>
      </c>
      <c r="T1861" s="1">
        <f t="shared" ref="T1861:V1861" si="4215">$S1861*P1861</f>
        <v>0.30079934072056574</v>
      </c>
      <c r="U1861" s="1">
        <f t="shared" si="4215"/>
        <v>0</v>
      </c>
      <c r="V1861" s="1">
        <f t="shared" si="4215"/>
        <v>0.41543803291230286</v>
      </c>
      <c r="W1861" s="1">
        <f t="shared" si="4201"/>
        <v>-6.042995076574897</v>
      </c>
      <c r="X1861" s="1">
        <f t="shared" si="4202"/>
        <v>0</v>
      </c>
      <c r="Y1861" s="1">
        <f t="shared" si="4203"/>
        <v>-4.7979657372893403</v>
      </c>
    </row>
    <row r="1862" spans="1:25">
      <c r="A1862" s="1">
        <v>1.8599999999999799</v>
      </c>
      <c r="B1862" s="1">
        <f t="shared" si="4204"/>
        <v>50.338159611781208</v>
      </c>
      <c r="C1862" s="1">
        <f t="shared" si="4205"/>
        <v>0</v>
      </c>
      <c r="D1862" s="1">
        <f t="shared" si="4206"/>
        <v>-5.961947745110562</v>
      </c>
      <c r="E1862" s="1">
        <f t="shared" si="4207"/>
        <v>11.230354352246213</v>
      </c>
      <c r="F1862" s="1">
        <f t="shared" si="4208"/>
        <v>0</v>
      </c>
      <c r="G1862" s="1">
        <f t="shared" si="4209"/>
        <v>-8.1405502233128253</v>
      </c>
      <c r="H1862" s="1">
        <f t="shared" si="4032"/>
        <v>13.870451211669142</v>
      </c>
      <c r="I1862" s="1">
        <f t="shared" si="4192"/>
        <v>-6.3394325634020898</v>
      </c>
      <c r="J1862" s="1">
        <f t="shared" si="4193"/>
        <v>0</v>
      </c>
      <c r="K1862" s="1">
        <f t="shared" si="4194"/>
        <v>4.5952663247315551</v>
      </c>
      <c r="L1862" s="1">
        <f t="shared" ref="L1862:N1862" si="4216">E1862/$H1862</f>
        <v>0.80966034780455964</v>
      </c>
      <c r="M1862" s="1">
        <f t="shared" si="4216"/>
        <v>0</v>
      </c>
      <c r="N1862" s="1">
        <f t="shared" si="4216"/>
        <v>-0.58689873163349016</v>
      </c>
      <c r="O1862" s="1">
        <f t="shared" si="4034"/>
        <v>-0.58689873163349016</v>
      </c>
      <c r="P1862" s="1">
        <f t="shared" si="4196"/>
        <v>0.47518863118042654</v>
      </c>
      <c r="Q1862" s="1">
        <f t="shared" si="4197"/>
        <v>0</v>
      </c>
      <c r="R1862" s="1">
        <f t="shared" si="4198"/>
        <v>0.65554987880700044</v>
      </c>
      <c r="S1862" s="1">
        <f t="shared" si="4199"/>
        <v>0.63304306332656946</v>
      </c>
      <c r="T1862" s="1">
        <f t="shared" ref="T1862:V1862" si="4217">$S1862*P1862</f>
        <v>0.30081486674041663</v>
      </c>
      <c r="U1862" s="1">
        <f t="shared" si="4217"/>
        <v>0</v>
      </c>
      <c r="V1862" s="1">
        <f t="shared" si="4217"/>
        <v>0.41499130344334489</v>
      </c>
      <c r="W1862" s="1">
        <f t="shared" si="4201"/>
        <v>-6.0386176966616736</v>
      </c>
      <c r="X1862" s="1">
        <f t="shared" si="4202"/>
        <v>0</v>
      </c>
      <c r="Y1862" s="1">
        <f t="shared" si="4203"/>
        <v>-4.7963923718250996</v>
      </c>
    </row>
    <row r="1863" spans="1:25">
      <c r="A1863" s="1">
        <v>1.86099999999998</v>
      </c>
      <c r="B1863" s="1">
        <f t="shared" si="4204"/>
        <v>50.34938392751576</v>
      </c>
      <c r="C1863" s="1">
        <f t="shared" si="4205"/>
        <v>0</v>
      </c>
      <c r="D1863" s="1">
        <f t="shared" si="4206"/>
        <v>-5.9700930917262465</v>
      </c>
      <c r="E1863" s="1">
        <f t="shared" si="4207"/>
        <v>11.224315734549551</v>
      </c>
      <c r="F1863" s="1">
        <f t="shared" si="4208"/>
        <v>0</v>
      </c>
      <c r="G1863" s="1">
        <f t="shared" si="4209"/>
        <v>-8.1453466156846499</v>
      </c>
      <c r="H1863" s="1">
        <f t="shared" si="4032"/>
        <v>13.868378967943658</v>
      </c>
      <c r="I1863" s="1">
        <f t="shared" si="4192"/>
        <v>-6.3350772176215422</v>
      </c>
      <c r="J1863" s="1">
        <f t="shared" si="4193"/>
        <v>0</v>
      </c>
      <c r="K1863" s="1">
        <f t="shared" si="4194"/>
        <v>4.5972869077284022</v>
      </c>
      <c r="L1863" s="1">
        <f t="shared" ref="L1863:N1863" si="4218">E1863/$H1863</f>
        <v>0.80934590556648478</v>
      </c>
      <c r="M1863" s="1">
        <f t="shared" si="4218"/>
        <v>0</v>
      </c>
      <c r="N1863" s="1">
        <f t="shared" si="4218"/>
        <v>-0.58733227830825607</v>
      </c>
      <c r="O1863" s="1">
        <f t="shared" si="4034"/>
        <v>-0.58733227830825607</v>
      </c>
      <c r="P1863" s="1">
        <f t="shared" si="4196"/>
        <v>0.47535497465582216</v>
      </c>
      <c r="Q1863" s="1">
        <f t="shared" si="4197"/>
        <v>0</v>
      </c>
      <c r="R1863" s="1">
        <f t="shared" si="4198"/>
        <v>0.65504079485723321</v>
      </c>
      <c r="S1863" s="1">
        <f t="shared" si="4199"/>
        <v>0.6328539243428285</v>
      </c>
      <c r="T1863" s="1">
        <f t="shared" ref="T1863:V1863" si="4219">$S1863*P1863</f>
        <v>0.30083026116682282</v>
      </c>
      <c r="U1863" s="1">
        <f t="shared" si="4219"/>
        <v>0</v>
      </c>
      <c r="V1863" s="1">
        <f t="shared" si="4219"/>
        <v>0.41454513763004569</v>
      </c>
      <c r="W1863" s="1">
        <f t="shared" si="4201"/>
        <v>-6.0342469564547194</v>
      </c>
      <c r="X1863" s="1">
        <f t="shared" si="4202"/>
        <v>0</v>
      </c>
      <c r="Y1863" s="1">
        <f t="shared" si="4203"/>
        <v>-4.7948179546415517</v>
      </c>
    </row>
    <row r="1864" spans="1:25">
      <c r="A1864" s="1">
        <v>1.8619999999999799</v>
      </c>
      <c r="B1864" s="1">
        <f t="shared" si="4204"/>
        <v>50.360602209003353</v>
      </c>
      <c r="C1864" s="1">
        <f t="shared" si="4205"/>
        <v>0</v>
      </c>
      <c r="D1864" s="1">
        <f t="shared" si="4206"/>
        <v>-5.978243233159886</v>
      </c>
      <c r="E1864" s="1">
        <f t="shared" si="4207"/>
        <v>11.218281487593096</v>
      </c>
      <c r="F1864" s="1">
        <f t="shared" si="4208"/>
        <v>0</v>
      </c>
      <c r="G1864" s="1">
        <f t="shared" si="4209"/>
        <v>-8.1501414336392912</v>
      </c>
      <c r="H1864" s="1">
        <f t="shared" si="4032"/>
        <v>13.866313314042701</v>
      </c>
      <c r="I1864" s="1">
        <f t="shared" si="4192"/>
        <v>-6.330728365493143</v>
      </c>
      <c r="J1864" s="1">
        <f t="shared" si="4193"/>
        <v>0</v>
      </c>
      <c r="K1864" s="1">
        <f t="shared" si="4194"/>
        <v>4.5993079790148235</v>
      </c>
      <c r="L1864" s="1">
        <f t="shared" ref="L1864:N1864" si="4220">E1864/$H1864</f>
        <v>0.8090313000667676</v>
      </c>
      <c r="M1864" s="1">
        <f t="shared" si="4220"/>
        <v>0</v>
      </c>
      <c r="N1864" s="1">
        <f t="shared" si="4220"/>
        <v>-0.58776556169298977</v>
      </c>
      <c r="O1864" s="1">
        <f t="shared" si="4034"/>
        <v>-0.58776556169298977</v>
      </c>
      <c r="P1864" s="1">
        <f t="shared" si="4196"/>
        <v>0.47552073651095339</v>
      </c>
      <c r="Q1864" s="1">
        <f t="shared" si="4197"/>
        <v>0</v>
      </c>
      <c r="R1864" s="1">
        <f t="shared" si="4198"/>
        <v>0.65453164448772427</v>
      </c>
      <c r="S1864" s="1">
        <f t="shared" si="4199"/>
        <v>0.63266541495401862</v>
      </c>
      <c r="T1864" s="1">
        <f t="shared" ref="T1864:V1864" si="4221">$S1864*P1864</f>
        <v>0.30084552408394288</v>
      </c>
      <c r="U1864" s="1">
        <f t="shared" si="4221"/>
        <v>0</v>
      </c>
      <c r="V1864" s="1">
        <f t="shared" si="4221"/>
        <v>0.4140995344603623</v>
      </c>
      <c r="W1864" s="1">
        <f t="shared" si="4201"/>
        <v>-6.0298828414091998</v>
      </c>
      <c r="X1864" s="1">
        <f t="shared" si="4202"/>
        <v>0</v>
      </c>
      <c r="Y1864" s="1">
        <f t="shared" si="4203"/>
        <v>-4.7932424865248136</v>
      </c>
    </row>
    <row r="1865" spans="1:25">
      <c r="A1865" s="1">
        <v>1.86299999999998</v>
      </c>
      <c r="B1865" s="1">
        <f t="shared" si="4204"/>
        <v>50.371814460608107</v>
      </c>
      <c r="C1865" s="1">
        <f t="shared" si="4205"/>
        <v>0</v>
      </c>
      <c r="D1865" s="1">
        <f t="shared" si="4206"/>
        <v>-5.9863981678360121</v>
      </c>
      <c r="E1865" s="1">
        <f t="shared" si="4207"/>
        <v>11.212251604751687</v>
      </c>
      <c r="F1865" s="1">
        <f t="shared" si="4208"/>
        <v>0</v>
      </c>
      <c r="G1865" s="1">
        <f t="shared" si="4209"/>
        <v>-8.1549346761258157</v>
      </c>
      <c r="H1865" s="1">
        <f t="shared" si="4032"/>
        <v>13.864254239595292</v>
      </c>
      <c r="I1865" s="1">
        <f t="shared" si="4192"/>
        <v>-6.3263859925891017</v>
      </c>
      <c r="J1865" s="1">
        <f t="shared" si="4193"/>
        <v>0</v>
      </c>
      <c r="K1865" s="1">
        <f t="shared" si="4194"/>
        <v>4.6013295388106901</v>
      </c>
      <c r="L1865" s="1">
        <f t="shared" ref="L1865:N1865" si="4222">E1865/$H1865</f>
        <v>0.80871653180813141</v>
      </c>
      <c r="M1865" s="1">
        <f t="shared" si="4222"/>
        <v>0</v>
      </c>
      <c r="N1865" s="1">
        <f t="shared" si="4222"/>
        <v>-0.58819858141636794</v>
      </c>
      <c r="O1865" s="1">
        <f t="shared" si="4034"/>
        <v>-0.58819858141636794</v>
      </c>
      <c r="P1865" s="1">
        <f t="shared" si="4196"/>
        <v>0.47568591677750788</v>
      </c>
      <c r="Q1865" s="1">
        <f t="shared" si="4197"/>
        <v>0</v>
      </c>
      <c r="R1865" s="1">
        <f t="shared" si="4198"/>
        <v>0.65402242881977246</v>
      </c>
      <c r="S1865" s="1">
        <f t="shared" si="4199"/>
        <v>0.6324775339451647</v>
      </c>
      <c r="T1865" s="1">
        <f t="shared" ref="T1865:V1865" si="4223">$S1865*P1865</f>
        <v>0.30086065557588304</v>
      </c>
      <c r="U1865" s="1">
        <f t="shared" si="4223"/>
        <v>0</v>
      </c>
      <c r="V1865" s="1">
        <f t="shared" si="4223"/>
        <v>0.4136544929247567</v>
      </c>
      <c r="W1865" s="1">
        <f t="shared" si="4201"/>
        <v>-6.0255253370132191</v>
      </c>
      <c r="X1865" s="1">
        <f t="shared" si="4202"/>
        <v>0</v>
      </c>
      <c r="Y1865" s="1">
        <f t="shared" si="4203"/>
        <v>-4.791665968264553</v>
      </c>
    </row>
    <row r="1866" spans="1:25">
      <c r="A1866" s="1">
        <v>1.8639999999999799</v>
      </c>
      <c r="B1866" s="1">
        <f t="shared" si="4204"/>
        <v>50.383020686687523</v>
      </c>
      <c r="C1866" s="1">
        <f t="shared" si="4205"/>
        <v>0</v>
      </c>
      <c r="D1866" s="1">
        <f t="shared" si="4206"/>
        <v>-5.9945578941781061</v>
      </c>
      <c r="E1866" s="1">
        <f t="shared" si="4207"/>
        <v>11.206226079414673</v>
      </c>
      <c r="F1866" s="1">
        <f t="shared" si="4208"/>
        <v>0</v>
      </c>
      <c r="G1866" s="1">
        <f t="shared" si="4209"/>
        <v>-8.1597263420940802</v>
      </c>
      <c r="H1866" s="1">
        <f t="shared" si="4032"/>
        <v>13.862201734241843</v>
      </c>
      <c r="I1866" s="1">
        <f t="shared" si="4192"/>
        <v>-6.322050084514423</v>
      </c>
      <c r="J1866" s="1">
        <f t="shared" si="4193"/>
        <v>0</v>
      </c>
      <c r="K1866" s="1">
        <f t="shared" si="4194"/>
        <v>4.6033515873298274</v>
      </c>
      <c r="L1866" s="1">
        <f t="shared" ref="L1866:N1866" si="4224">E1866/$H1866</f>
        <v>0.80840160129350247</v>
      </c>
      <c r="M1866" s="1">
        <f t="shared" si="4224"/>
        <v>0</v>
      </c>
      <c r="N1866" s="1">
        <f t="shared" si="4224"/>
        <v>-0.5886313371084666</v>
      </c>
      <c r="O1866" s="1">
        <f t="shared" si="4034"/>
        <v>-0.5886313371084666</v>
      </c>
      <c r="P1866" s="1">
        <f t="shared" si="4196"/>
        <v>0.47585051549001989</v>
      </c>
      <c r="Q1866" s="1">
        <f t="shared" si="4197"/>
        <v>0</v>
      </c>
      <c r="R1866" s="1">
        <f t="shared" si="4198"/>
        <v>0.65351314897389878</v>
      </c>
      <c r="S1866" s="1">
        <f t="shared" si="4199"/>
        <v>0.63229028010374833</v>
      </c>
      <c r="T1866" s="1">
        <f t="shared" ref="T1866:V1866" si="4225">$S1866*P1866</f>
        <v>0.30087565572669772</v>
      </c>
      <c r="U1866" s="1">
        <f t="shared" si="4225"/>
        <v>0</v>
      </c>
      <c r="V1866" s="1">
        <f t="shared" si="4225"/>
        <v>0.41321001201618907</v>
      </c>
      <c r="W1866" s="1">
        <f t="shared" si="4201"/>
        <v>-6.0211744287877256</v>
      </c>
      <c r="X1866" s="1">
        <f t="shared" si="4202"/>
        <v>0</v>
      </c>
      <c r="Y1866" s="1">
        <f t="shared" si="4203"/>
        <v>-4.7900884006539828</v>
      </c>
    </row>
    <row r="1867" spans="1:25">
      <c r="A1867" s="1">
        <v>1.86499999999998</v>
      </c>
      <c r="B1867" s="1">
        <f t="shared" si="4204"/>
        <v>50.394220891592511</v>
      </c>
      <c r="C1867" s="1">
        <f t="shared" si="4205"/>
        <v>0</v>
      </c>
      <c r="D1867" s="1">
        <f t="shared" si="4206"/>
        <v>-6.0027224106086008</v>
      </c>
      <c r="E1867" s="1">
        <f t="shared" si="4207"/>
        <v>11.200204904985885</v>
      </c>
      <c r="F1867" s="1">
        <f t="shared" si="4208"/>
        <v>0</v>
      </c>
      <c r="G1867" s="1">
        <f t="shared" si="4209"/>
        <v>-8.164516430494734</v>
      </c>
      <c r="H1867" s="1">
        <f t="shared" si="4032"/>
        <v>13.860155787634147</v>
      </c>
      <c r="I1867" s="1">
        <f t="shared" si="4192"/>
        <v>-6.3177206269068416</v>
      </c>
      <c r="J1867" s="1">
        <f t="shared" si="4193"/>
        <v>0</v>
      </c>
      <c r="K1867" s="1">
        <f t="shared" si="4194"/>
        <v>4.6053741247800328</v>
      </c>
      <c r="L1867" s="1">
        <f t="shared" ref="L1867:N1867" si="4226">E1867/$H1867</f>
        <v>0.80808650902600698</v>
      </c>
      <c r="M1867" s="1">
        <f t="shared" si="4226"/>
        <v>0</v>
      </c>
      <c r="N1867" s="1">
        <f t="shared" si="4226"/>
        <v>-0.58906382840076088</v>
      </c>
      <c r="O1867" s="1">
        <f t="shared" si="4034"/>
        <v>-0.58906382840076088</v>
      </c>
      <c r="P1867" s="1">
        <f t="shared" si="4196"/>
        <v>0.47601453268586569</v>
      </c>
      <c r="Q1867" s="1">
        <f t="shared" si="4197"/>
        <v>0</v>
      </c>
      <c r="R1867" s="1">
        <f t="shared" si="4198"/>
        <v>0.65300380606983888</v>
      </c>
      <c r="S1867" s="1">
        <f t="shared" si="4199"/>
        <v>0.63210365221970222</v>
      </c>
      <c r="T1867" s="1">
        <f t="shared" ref="T1867:V1867" si="4227">$S1867*P1867</f>
        <v>0.30089052462039051</v>
      </c>
      <c r="U1867" s="1">
        <f t="shared" si="4227"/>
        <v>0</v>
      </c>
      <c r="V1867" s="1">
        <f t="shared" si="4227"/>
        <v>0.41276609073011128</v>
      </c>
      <c r="W1867" s="1">
        <f t="shared" si="4201"/>
        <v>-6.016830102286451</v>
      </c>
      <c r="X1867" s="1">
        <f t="shared" si="4202"/>
        <v>0</v>
      </c>
      <c r="Y1867" s="1">
        <f t="shared" si="4203"/>
        <v>-4.7885097844898556</v>
      </c>
    </row>
    <row r="1868" spans="1:25">
      <c r="A1868" s="1">
        <v>1.8659999999999799</v>
      </c>
      <c r="B1868" s="1">
        <f t="shared" si="4204"/>
        <v>50.405415079667392</v>
      </c>
      <c r="C1868" s="1">
        <f t="shared" si="4205"/>
        <v>0</v>
      </c>
      <c r="D1868" s="1">
        <f t="shared" si="4206"/>
        <v>-6.0108917155488797</v>
      </c>
      <c r="E1868" s="1">
        <f t="shared" si="4207"/>
        <v>11.194188074883598</v>
      </c>
      <c r="F1868" s="1">
        <f t="shared" si="4208"/>
        <v>0</v>
      </c>
      <c r="G1868" s="1">
        <f t="shared" si="4209"/>
        <v>-8.1693049402792237</v>
      </c>
      <c r="H1868" s="1">
        <f t="shared" si="4032"/>
        <v>13.858116389435351</v>
      </c>
      <c r="I1868" s="1">
        <f t="shared" si="4192"/>
        <v>-6.3133976054367222</v>
      </c>
      <c r="J1868" s="1">
        <f t="shared" si="4193"/>
        <v>0</v>
      </c>
      <c r="K1868" s="1">
        <f t="shared" si="4194"/>
        <v>4.6073971513630783</v>
      </c>
      <c r="L1868" s="1">
        <f t="shared" ref="L1868:N1868" si="4228">E1868/$H1868</f>
        <v>0.80777125550896789</v>
      </c>
      <c r="M1868" s="1">
        <f t="shared" si="4228"/>
        <v>0</v>
      </c>
      <c r="N1868" s="1">
        <f t="shared" si="4228"/>
        <v>-0.58949605492612567</v>
      </c>
      <c r="O1868" s="1">
        <f t="shared" si="4034"/>
        <v>-0.58949605492612567</v>
      </c>
      <c r="P1868" s="1">
        <f t="shared" si="4196"/>
        <v>0.47617796840526</v>
      </c>
      <c r="Q1868" s="1">
        <f t="shared" si="4197"/>
        <v>0</v>
      </c>
      <c r="R1868" s="1">
        <f t="shared" si="4198"/>
        <v>0.65249440122653424</v>
      </c>
      <c r="S1868" s="1">
        <f t="shared" si="4199"/>
        <v>0.6319176490854016</v>
      </c>
      <c r="T1868" s="1">
        <f t="shared" ref="T1868:V1868" si="4229">$S1868*P1868</f>
        <v>0.30090526234091453</v>
      </c>
      <c r="U1868" s="1">
        <f t="shared" si="4229"/>
        <v>0</v>
      </c>
      <c r="V1868" s="1">
        <f t="shared" si="4229"/>
        <v>0.4123227280644583</v>
      </c>
      <c r="W1868" s="1">
        <f t="shared" si="4201"/>
        <v>-6.0124923430958077</v>
      </c>
      <c r="X1868" s="1">
        <f t="shared" si="4202"/>
        <v>0</v>
      </c>
      <c r="Y1868" s="1">
        <f t="shared" si="4203"/>
        <v>-4.786930120572463</v>
      </c>
    </row>
    <row r="1869" spans="1:25">
      <c r="A1869" s="1">
        <v>1.86699999999998</v>
      </c>
      <c r="B1869" s="1">
        <f t="shared" si="4204"/>
        <v>50.416603255249932</v>
      </c>
      <c r="C1869" s="1">
        <f t="shared" si="4205"/>
        <v>0</v>
      </c>
      <c r="D1869" s="1">
        <f t="shared" si="4206"/>
        <v>-6.0190658074192793</v>
      </c>
      <c r="E1869" s="1">
        <f t="shared" si="4207"/>
        <v>11.188175582540502</v>
      </c>
      <c r="F1869" s="1">
        <f t="shared" si="4208"/>
        <v>0</v>
      </c>
      <c r="G1869" s="1">
        <f t="shared" si="4209"/>
        <v>-8.1740918703997956</v>
      </c>
      <c r="H1869" s="1">
        <f t="shared" si="4032"/>
        <v>13.856083529319948</v>
      </c>
      <c r="I1869" s="1">
        <f t="shared" si="4192"/>
        <v>-6.3090810058069886</v>
      </c>
      <c r="J1869" s="1">
        <f t="shared" si="4193"/>
        <v>0</v>
      </c>
      <c r="K1869" s="1">
        <f t="shared" si="4194"/>
        <v>4.6094206672747289</v>
      </c>
      <c r="L1869" s="1">
        <f t="shared" ref="L1869:N1869" si="4230">E1869/$H1869</f>
        <v>0.80745584124590031</v>
      </c>
      <c r="M1869" s="1">
        <f t="shared" si="4230"/>
        <v>0</v>
      </c>
      <c r="N1869" s="1">
        <f t="shared" si="4230"/>
        <v>-0.58992801631883474</v>
      </c>
      <c r="O1869" s="1">
        <f t="shared" si="4034"/>
        <v>-0.58992801631883474</v>
      </c>
      <c r="P1869" s="1">
        <f t="shared" si="4196"/>
        <v>0.47634082269124989</v>
      </c>
      <c r="Q1869" s="1">
        <f t="shared" si="4197"/>
        <v>0</v>
      </c>
      <c r="R1869" s="1">
        <f t="shared" si="4198"/>
        <v>0.65198493556212467</v>
      </c>
      <c r="S1869" s="1">
        <f t="shared" si="4199"/>
        <v>0.63173226949565875</v>
      </c>
      <c r="T1869" s="1">
        <f t="shared" ref="T1869:V1869" si="4231">$S1869*P1869</f>
        <v>0.30091986897217249</v>
      </c>
      <c r="U1869" s="1">
        <f t="shared" si="4231"/>
        <v>0</v>
      </c>
      <c r="V1869" s="1">
        <f t="shared" si="4231"/>
        <v>0.41187992301964182</v>
      </c>
      <c r="W1869" s="1">
        <f t="shared" si="4201"/>
        <v>-6.0081611368348158</v>
      </c>
      <c r="X1869" s="1">
        <f t="shared" si="4202"/>
        <v>0</v>
      </c>
      <c r="Y1869" s="1">
        <f t="shared" si="4203"/>
        <v>-4.7853494097056286</v>
      </c>
    </row>
    <row r="1870" spans="1:25">
      <c r="A1870" s="1">
        <v>1.8679999999999799</v>
      </c>
      <c r="B1870" s="1">
        <f t="shared" si="4204"/>
        <v>50.427785422671334</v>
      </c>
      <c r="C1870" s="1">
        <f t="shared" si="4205"/>
        <v>0</v>
      </c>
      <c r="D1870" s="1">
        <f t="shared" si="4206"/>
        <v>-6.027244684639089</v>
      </c>
      <c r="E1870" s="1">
        <f t="shared" si="4207"/>
        <v>11.182167421403667</v>
      </c>
      <c r="F1870" s="1">
        <f t="shared" si="4208"/>
        <v>0</v>
      </c>
      <c r="G1870" s="1">
        <f t="shared" si="4209"/>
        <v>-8.1788772198095003</v>
      </c>
      <c r="H1870" s="1">
        <f t="shared" si="4032"/>
        <v>13.854057196973756</v>
      </c>
      <c r="I1870" s="1">
        <f t="shared" si="4192"/>
        <v>-6.3047708137530378</v>
      </c>
      <c r="J1870" s="1">
        <f t="shared" si="4193"/>
        <v>0</v>
      </c>
      <c r="K1870" s="1">
        <f t="shared" si="4194"/>
        <v>4.6114446727047484</v>
      </c>
      <c r="L1870" s="1">
        <f t="shared" ref="L1870:N1870" si="4232">E1870/$H1870</f>
        <v>0.80714026674050909</v>
      </c>
      <c r="M1870" s="1">
        <f t="shared" si="4232"/>
        <v>0</v>
      </c>
      <c r="N1870" s="1">
        <f t="shared" si="4232"/>
        <v>-0.59035971221456141</v>
      </c>
      <c r="O1870" s="1">
        <f t="shared" si="4034"/>
        <v>-0.59035971221456141</v>
      </c>
      <c r="P1870" s="1">
        <f t="shared" si="4196"/>
        <v>0.47650309558971127</v>
      </c>
      <c r="Q1870" s="1">
        <f t="shared" si="4197"/>
        <v>0</v>
      </c>
      <c r="R1870" s="1">
        <f t="shared" si="4198"/>
        <v>0.65147541019394017</v>
      </c>
      <c r="S1870" s="1">
        <f t="shared" si="4199"/>
        <v>0.6315475122477161</v>
      </c>
      <c r="T1870" s="1">
        <f t="shared" ref="T1870:V1870" si="4233">$S1870*P1870</f>
        <v>0.30093434459801782</v>
      </c>
      <c r="U1870" s="1">
        <f t="shared" si="4233"/>
        <v>0</v>
      </c>
      <c r="V1870" s="1">
        <f t="shared" si="4233"/>
        <v>0.4114376745985433</v>
      </c>
      <c r="W1870" s="1">
        <f t="shared" si="4201"/>
        <v>-6.0038364691550203</v>
      </c>
      <c r="X1870" s="1">
        <f t="shared" si="4202"/>
        <v>0</v>
      </c>
      <c r="Y1870" s="1">
        <f t="shared" si="4203"/>
        <v>-4.7837676526967075</v>
      </c>
    </row>
    <row r="1871" spans="1:25">
      <c r="A1871" s="1">
        <v>1.86899999999998</v>
      </c>
      <c r="B1871" s="1">
        <f t="shared" si="4204"/>
        <v>50.438961586256269</v>
      </c>
      <c r="C1871" s="1">
        <f t="shared" si="4205"/>
        <v>0</v>
      </c>
      <c r="D1871" s="1">
        <f t="shared" si="4206"/>
        <v>-6.0354283456265509</v>
      </c>
      <c r="E1871" s="1">
        <f t="shared" si="4207"/>
        <v>11.176163584934512</v>
      </c>
      <c r="F1871" s="1">
        <f t="shared" si="4208"/>
        <v>0</v>
      </c>
      <c r="G1871" s="1">
        <f t="shared" si="4209"/>
        <v>-8.1836609874621971</v>
      </c>
      <c r="H1871" s="1">
        <f t="shared" si="4032"/>
        <v>13.852037382093906</v>
      </c>
      <c r="I1871" s="1">
        <f t="shared" si="4192"/>
        <v>-6.300467015042666</v>
      </c>
      <c r="J1871" s="1">
        <f t="shared" si="4193"/>
        <v>0</v>
      </c>
      <c r="K1871" s="1">
        <f t="shared" si="4194"/>
        <v>4.6134691678369153</v>
      </c>
      <c r="L1871" s="1">
        <f t="shared" ref="L1871:N1871" si="4234">E1871/$H1871</f>
        <v>0.8068245324966844</v>
      </c>
      <c r="M1871" s="1">
        <f t="shared" si="4234"/>
        <v>0</v>
      </c>
      <c r="N1871" s="1">
        <f t="shared" si="4234"/>
        <v>-0.59079114225037821</v>
      </c>
      <c r="O1871" s="1">
        <f t="shared" si="4034"/>
        <v>-0.59079114225037821</v>
      </c>
      <c r="P1871" s="1">
        <f t="shared" si="4196"/>
        <v>0.47666478714934357</v>
      </c>
      <c r="Q1871" s="1">
        <f t="shared" si="4197"/>
        <v>0</v>
      </c>
      <c r="R1871" s="1">
        <f t="shared" si="4198"/>
        <v>0.65096582623849342</v>
      </c>
      <c r="S1871" s="1">
        <f t="shared" si="4199"/>
        <v>0.63136337614123905</v>
      </c>
      <c r="T1871" s="1">
        <f t="shared" ref="T1871:V1871" si="4235">$S1871*P1871</f>
        <v>0.30094868930225466</v>
      </c>
      <c r="U1871" s="1">
        <f t="shared" si="4235"/>
        <v>0</v>
      </c>
      <c r="V1871" s="1">
        <f t="shared" si="4235"/>
        <v>0.41099598180650637</v>
      </c>
      <c r="W1871" s="1">
        <f t="shared" si="4201"/>
        <v>-5.9995183257404117</v>
      </c>
      <c r="X1871" s="1">
        <f t="shared" si="4202"/>
        <v>0</v>
      </c>
      <c r="Y1871" s="1">
        <f t="shared" si="4203"/>
        <v>-4.782184850356578</v>
      </c>
    </row>
    <row r="1872" spans="1:25">
      <c r="A1872" s="1">
        <v>1.8699999999999799</v>
      </c>
      <c r="B1872" s="1">
        <f t="shared" si="4204"/>
        <v>50.450131750322875</v>
      </c>
      <c r="C1872" s="1">
        <f t="shared" si="4205"/>
        <v>0</v>
      </c>
      <c r="D1872" s="1">
        <f t="shared" si="4206"/>
        <v>-6.0436167887988637</v>
      </c>
      <c r="E1872" s="1">
        <f t="shared" si="4207"/>
        <v>11.170164066608772</v>
      </c>
      <c r="F1872" s="1">
        <f t="shared" si="4208"/>
        <v>0</v>
      </c>
      <c r="G1872" s="1">
        <f t="shared" si="4209"/>
        <v>-8.188443172312553</v>
      </c>
      <c r="H1872" s="1">
        <f t="shared" si="4032"/>
        <v>13.85002407438882</v>
      </c>
      <c r="I1872" s="1">
        <f t="shared" si="4192"/>
        <v>-6.2961695954759733</v>
      </c>
      <c r="J1872" s="1">
        <f t="shared" si="4193"/>
        <v>0</v>
      </c>
      <c r="K1872" s="1">
        <f t="shared" si="4194"/>
        <v>4.6154941528490294</v>
      </c>
      <c r="L1872" s="1">
        <f t="shared" ref="L1872:N1872" si="4236">E1872/$H1872</f>
        <v>0.8065086390184989</v>
      </c>
      <c r="M1872" s="1">
        <f t="shared" si="4236"/>
        <v>0</v>
      </c>
      <c r="N1872" s="1">
        <f t="shared" si="4236"/>
        <v>-0.59122230606475656</v>
      </c>
      <c r="O1872" s="1">
        <f t="shared" si="4034"/>
        <v>-0.59122230606475656</v>
      </c>
      <c r="P1872" s="1">
        <f t="shared" si="4196"/>
        <v>0.4768258974216652</v>
      </c>
      <c r="Q1872" s="1">
        <f t="shared" si="4197"/>
        <v>0</v>
      </c>
      <c r="R1872" s="1">
        <f t="shared" si="4198"/>
        <v>0.65045618481147138</v>
      </c>
      <c r="S1872" s="1">
        <f t="shared" si="4199"/>
        <v>0.63117985997831028</v>
      </c>
      <c r="T1872" s="1">
        <f t="shared" ref="T1872:V1872" si="4237">$S1872*P1872</f>
        <v>0.30096290316863877</v>
      </c>
      <c r="U1872" s="1">
        <f t="shared" si="4237"/>
        <v>0</v>
      </c>
      <c r="V1872" s="1">
        <f t="shared" si="4237"/>
        <v>0.41055484365133044</v>
      </c>
      <c r="W1872" s="1">
        <f t="shared" si="4201"/>
        <v>-5.9952066923073346</v>
      </c>
      <c r="X1872" s="1">
        <f t="shared" si="4202"/>
        <v>0</v>
      </c>
      <c r="Y1872" s="1">
        <f t="shared" si="4203"/>
        <v>-4.7806010034996396</v>
      </c>
    </row>
    <row r="1873" spans="1:25">
      <c r="A1873" s="1">
        <v>1.87099999999998</v>
      </c>
      <c r="B1873" s="1">
        <f t="shared" si="4204"/>
        <v>50.461295919182788</v>
      </c>
      <c r="C1873" s="1">
        <f t="shared" si="4205"/>
        <v>0</v>
      </c>
      <c r="D1873" s="1">
        <f t="shared" si="4206"/>
        <v>-6.0518100125721794</v>
      </c>
      <c r="E1873" s="1">
        <f t="shared" si="4207"/>
        <v>11.164168859916463</v>
      </c>
      <c r="F1873" s="1">
        <f t="shared" si="4208"/>
        <v>0</v>
      </c>
      <c r="G1873" s="1">
        <f t="shared" si="4209"/>
        <v>-8.1932237733160527</v>
      </c>
      <c r="H1873" s="1">
        <f t="shared" si="4032"/>
        <v>13.848017263578198</v>
      </c>
      <c r="I1873" s="1">
        <f t="shared" si="4192"/>
        <v>-6.2918785408853006</v>
      </c>
      <c r="J1873" s="1">
        <f t="shared" si="4193"/>
        <v>0</v>
      </c>
      <c r="K1873" s="1">
        <f t="shared" si="4194"/>
        <v>4.6175196279129276</v>
      </c>
      <c r="L1873" s="1">
        <f t="shared" ref="L1873:N1873" si="4238">E1873/$H1873</f>
        <v>0.80619258681020356</v>
      </c>
      <c r="M1873" s="1">
        <f t="shared" si="4238"/>
        <v>0</v>
      </c>
      <c r="N1873" s="1">
        <f t="shared" si="4238"/>
        <v>-0.59165320329756721</v>
      </c>
      <c r="O1873" s="1">
        <f t="shared" si="4034"/>
        <v>-0.59165320329756721</v>
      </c>
      <c r="P1873" s="1">
        <f t="shared" si="4196"/>
        <v>0.47698642646100897</v>
      </c>
      <c r="Q1873" s="1">
        <f t="shared" si="4197"/>
        <v>0</v>
      </c>
      <c r="R1873" s="1">
        <f t="shared" si="4198"/>
        <v>0.64994648702772762</v>
      </c>
      <c r="S1873" s="1">
        <f t="shared" si="4199"/>
        <v>0.63099696256342153</v>
      </c>
      <c r="T1873" s="1">
        <f t="shared" ref="T1873:V1873" si="4239">$S1873*P1873</f>
        <v>0.30097698628087749</v>
      </c>
      <c r="U1873" s="1">
        <f t="shared" si="4239"/>
        <v>0</v>
      </c>
      <c r="V1873" s="1">
        <f t="shared" si="4239"/>
        <v>0.41011425914326238</v>
      </c>
      <c r="W1873" s="1">
        <f t="shared" si="4201"/>
        <v>-5.9909015546044229</v>
      </c>
      <c r="X1873" s="1">
        <f t="shared" si="4202"/>
        <v>0</v>
      </c>
      <c r="Y1873" s="1">
        <f t="shared" si="4203"/>
        <v>-4.7790161129438093</v>
      </c>
    </row>
    <row r="1874" spans="1:25">
      <c r="A1874" s="1">
        <v>1.8719999999999799</v>
      </c>
      <c r="B1874" s="1">
        <f t="shared" si="4204"/>
        <v>50.472454097141153</v>
      </c>
      <c r="C1874" s="1">
        <f t="shared" si="4205"/>
        <v>0</v>
      </c>
      <c r="D1874" s="1">
        <f t="shared" si="4206"/>
        <v>-6.0600080153616087</v>
      </c>
      <c r="E1874" s="1">
        <f t="shared" si="4207"/>
        <v>11.158177958361859</v>
      </c>
      <c r="F1874" s="1">
        <f t="shared" si="4208"/>
        <v>0</v>
      </c>
      <c r="G1874" s="1">
        <f t="shared" si="4209"/>
        <v>-8.1980027894289957</v>
      </c>
      <c r="H1874" s="1">
        <f t="shared" si="4032"/>
        <v>13.846016939393005</v>
      </c>
      <c r="I1874" s="1">
        <f t="shared" si="4192"/>
        <v>-6.2875938371351348</v>
      </c>
      <c r="J1874" s="1">
        <f t="shared" si="4193"/>
        <v>0</v>
      </c>
      <c r="K1874" s="1">
        <f t="shared" si="4194"/>
        <v>4.6195455931944878</v>
      </c>
      <c r="L1874" s="1">
        <f t="shared" ref="L1874:N1874" si="4240">E1874/$H1874</f>
        <v>0.80587637637622467</v>
      </c>
      <c r="M1874" s="1">
        <f t="shared" si="4240"/>
        <v>0</v>
      </c>
      <c r="N1874" s="1">
        <f t="shared" si="4240"/>
        <v>-0.59208383359007999</v>
      </c>
      <c r="O1874" s="1">
        <f t="shared" si="4034"/>
        <v>-0.59208383359007999</v>
      </c>
      <c r="P1874" s="1">
        <f t="shared" si="4196"/>
        <v>0.47714637432451729</v>
      </c>
      <c r="Q1874" s="1">
        <f t="shared" si="4197"/>
        <v>0</v>
      </c>
      <c r="R1874" s="1">
        <f t="shared" si="4198"/>
        <v>0.64943673400127444</v>
      </c>
      <c r="S1874" s="1">
        <f t="shared" si="4199"/>
        <v>0.63081468270346908</v>
      </c>
      <c r="T1874" s="1">
        <f t="shared" ref="T1874:V1874" si="4241">$S1874*P1874</f>
        <v>0.30099093872263105</v>
      </c>
      <c r="U1874" s="1">
        <f t="shared" si="4241"/>
        <v>0</v>
      </c>
      <c r="V1874" s="1">
        <f t="shared" si="4241"/>
        <v>0.4096742272949912</v>
      </c>
      <c r="W1874" s="1">
        <f t="shared" si="4201"/>
        <v>-5.9866028984125039</v>
      </c>
      <c r="X1874" s="1">
        <f t="shared" si="4202"/>
        <v>0</v>
      </c>
      <c r="Y1874" s="1">
        <f t="shared" si="4203"/>
        <v>-4.7774301795105201</v>
      </c>
    </row>
    <row r="1875" spans="1:25">
      <c r="A1875" s="1">
        <v>1.87299999999998</v>
      </c>
      <c r="B1875" s="1">
        <f t="shared" si="4204"/>
        <v>50.483606288496617</v>
      </c>
      <c r="C1875" s="1">
        <f t="shared" si="4205"/>
        <v>0</v>
      </c>
      <c r="D1875" s="1">
        <f t="shared" si="4206"/>
        <v>-6.0682107955812175</v>
      </c>
      <c r="E1875" s="1">
        <f t="shared" si="4207"/>
        <v>11.152191355463447</v>
      </c>
      <c r="F1875" s="1">
        <f t="shared" si="4208"/>
        <v>0</v>
      </c>
      <c r="G1875" s="1">
        <f t="shared" si="4209"/>
        <v>-8.2027802196085062</v>
      </c>
      <c r="H1875" s="1">
        <f t="shared" si="4032"/>
        <v>13.844023091575448</v>
      </c>
      <c r="I1875" s="1">
        <f t="shared" si="4192"/>
        <v>-6.2833154701220373</v>
      </c>
      <c r="J1875" s="1">
        <f t="shared" si="4193"/>
        <v>0</v>
      </c>
      <c r="K1875" s="1">
        <f t="shared" si="4194"/>
        <v>4.6215720488536505</v>
      </c>
      <c r="L1875" s="1">
        <f t="shared" ref="L1875:N1875" si="4242">E1875/$H1875</f>
        <v>0.80556000822116003</v>
      </c>
      <c r="M1875" s="1">
        <f t="shared" si="4242"/>
        <v>0</v>
      </c>
      <c r="N1875" s="1">
        <f t="shared" si="4242"/>
        <v>-0.59251419658496329</v>
      </c>
      <c r="O1875" s="1">
        <f t="shared" si="4034"/>
        <v>-0.59251419658496329</v>
      </c>
      <c r="P1875" s="1">
        <f t="shared" si="4196"/>
        <v>0.47730574107213708</v>
      </c>
      <c r="Q1875" s="1">
        <f t="shared" si="4197"/>
        <v>0</v>
      </c>
      <c r="R1875" s="1">
        <f t="shared" si="4198"/>
        <v>0.64892692684527553</v>
      </c>
      <c r="S1875" s="1">
        <f t="shared" si="4199"/>
        <v>0.63063301920774539</v>
      </c>
      <c r="T1875" s="1">
        <f t="shared" ref="T1875:V1875" si="4243">$S1875*P1875</f>
        <v>0.30100476057751219</v>
      </c>
      <c r="U1875" s="1">
        <f t="shared" si="4243"/>
        <v>0</v>
      </c>
      <c r="V1875" s="1">
        <f t="shared" si="4243"/>
        <v>0.40923474712163982</v>
      </c>
      <c r="W1875" s="1">
        <f t="shared" si="4201"/>
        <v>-5.9823107095445254</v>
      </c>
      <c r="X1875" s="1">
        <f t="shared" si="4202"/>
        <v>0</v>
      </c>
      <c r="Y1875" s="1">
        <f t="shared" si="4203"/>
        <v>-4.7758432040247092</v>
      </c>
    </row>
    <row r="1876" spans="1:25">
      <c r="A1876" s="1">
        <v>1.8739999999999799</v>
      </c>
      <c r="B1876" s="1">
        <f t="shared" si="4204"/>
        <v>50.49475249754137</v>
      </c>
      <c r="C1876" s="1">
        <f t="shared" si="4205"/>
        <v>0</v>
      </c>
      <c r="D1876" s="1">
        <f t="shared" si="4206"/>
        <v>-6.0764183516440298</v>
      </c>
      <c r="E1876" s="1">
        <f t="shared" si="4207"/>
        <v>11.146209044753903</v>
      </c>
      <c r="F1876" s="1">
        <f t="shared" si="4208"/>
        <v>0</v>
      </c>
      <c r="G1876" s="1">
        <f t="shared" si="4209"/>
        <v>-8.2075560628125306</v>
      </c>
      <c r="H1876" s="1">
        <f t="shared" si="4032"/>
        <v>13.842035709878964</v>
      </c>
      <c r="I1876" s="1">
        <f t="shared" si="4192"/>
        <v>-6.2790434257745575</v>
      </c>
      <c r="J1876" s="1">
        <f t="shared" si="4193"/>
        <v>0</v>
      </c>
      <c r="K1876" s="1">
        <f t="shared" si="4194"/>
        <v>4.623598995044417</v>
      </c>
      <c r="L1876" s="1">
        <f t="shared" ref="L1876:N1876" si="4244">E1876/$H1876</f>
        <v>0.80524348284977554</v>
      </c>
      <c r="M1876" s="1">
        <f t="shared" si="4244"/>
        <v>0</v>
      </c>
      <c r="N1876" s="1">
        <f t="shared" si="4244"/>
        <v>-0.59294429192628473</v>
      </c>
      <c r="O1876" s="1">
        <f t="shared" si="4034"/>
        <v>-0.59294429192628473</v>
      </c>
      <c r="P1876" s="1">
        <f t="shared" si="4196"/>
        <v>0.47746452676661555</v>
      </c>
      <c r="Q1876" s="1">
        <f t="shared" si="4197"/>
        <v>0</v>
      </c>
      <c r="R1876" s="1">
        <f t="shared" si="4198"/>
        <v>0.6484170666720368</v>
      </c>
      <c r="S1876" s="1">
        <f t="shared" si="4199"/>
        <v>0.63045197088793314</v>
      </c>
      <c r="T1876" s="1">
        <f t="shared" ref="T1876:V1876" si="4245">$S1876*P1876</f>
        <v>0.30101845192908711</v>
      </c>
      <c r="U1876" s="1">
        <f t="shared" si="4245"/>
        <v>0</v>
      </c>
      <c r="V1876" s="1">
        <f t="shared" si="4245"/>
        <v>0.40879581764075795</v>
      </c>
      <c r="W1876" s="1">
        <f t="shared" si="4201"/>
        <v>-5.9780249738454705</v>
      </c>
      <c r="X1876" s="1">
        <f t="shared" si="4202"/>
        <v>0</v>
      </c>
      <c r="Y1876" s="1">
        <f t="shared" si="4203"/>
        <v>-4.7742551873148242</v>
      </c>
    </row>
    <row r="1877" spans="1:25">
      <c r="A1877" s="1">
        <v>1.87499999999998</v>
      </c>
      <c r="B1877" s="1">
        <f t="shared" si="4204"/>
        <v>50.50589272856115</v>
      </c>
      <c r="C1877" s="1">
        <f t="shared" si="4205"/>
        <v>0</v>
      </c>
      <c r="D1877" s="1">
        <f t="shared" si="4206"/>
        <v>-6.0846306819620297</v>
      </c>
      <c r="E1877" s="1">
        <f t="shared" si="4207"/>
        <v>11.140231019780057</v>
      </c>
      <c r="F1877" s="1">
        <f t="shared" si="4208"/>
        <v>0</v>
      </c>
      <c r="G1877" s="1">
        <f t="shared" si="4209"/>
        <v>-8.2123303179998448</v>
      </c>
      <c r="H1877" s="1">
        <f t="shared" si="4032"/>
        <v>13.840054784068204</v>
      </c>
      <c r="I1877" s="1">
        <f t="shared" si="4192"/>
        <v>-6.2747776900531607</v>
      </c>
      <c r="J1877" s="1">
        <f t="shared" si="4193"/>
        <v>0</v>
      </c>
      <c r="K1877" s="1">
        <f t="shared" si="4194"/>
        <v>4.6256264319148723</v>
      </c>
      <c r="L1877" s="1">
        <f t="shared" ref="L1877:N1877" si="4246">E1877/$H1877</f>
        <v>0.80492680076700174</v>
      </c>
      <c r="M1877" s="1">
        <f t="shared" si="4246"/>
        <v>0</v>
      </c>
      <c r="N1877" s="1">
        <f t="shared" si="4246"/>
        <v>-0.59337411925951045</v>
      </c>
      <c r="O1877" s="1">
        <f t="shared" si="4034"/>
        <v>-0.59337411925951045</v>
      </c>
      <c r="P1877" s="1">
        <f t="shared" si="4196"/>
        <v>0.4776227314734951</v>
      </c>
      <c r="Q1877" s="1">
        <f t="shared" si="4197"/>
        <v>0</v>
      </c>
      <c r="R1877" s="1">
        <f t="shared" si="4198"/>
        <v>0.6479071545930003</v>
      </c>
      <c r="S1877" s="1">
        <f t="shared" si="4199"/>
        <v>0.63027153655809898</v>
      </c>
      <c r="T1877" s="1">
        <f t="shared" ref="T1877:V1877" si="4247">$S1877*P1877</f>
        <v>0.30103201286087605</v>
      </c>
      <c r="U1877" s="1">
        <f t="shared" si="4247"/>
        <v>0</v>
      </c>
      <c r="V1877" s="1">
        <f t="shared" si="4247"/>
        <v>0.4083574378723161</v>
      </c>
      <c r="W1877" s="1">
        <f t="shared" si="4201"/>
        <v>-5.9737456771922846</v>
      </c>
      <c r="X1877" s="1">
        <f t="shared" si="4202"/>
        <v>0</v>
      </c>
      <c r="Y1877" s="1">
        <f t="shared" si="4203"/>
        <v>-4.7726661302128113</v>
      </c>
    </row>
    <row r="1878" spans="1:25">
      <c r="A1878" s="1">
        <v>1.8759999999999799</v>
      </c>
      <c r="B1878" s="1">
        <f t="shared" si="4204"/>
        <v>50.517026985835251</v>
      </c>
      <c r="C1878" s="1">
        <f t="shared" si="4205"/>
        <v>0</v>
      </c>
      <c r="D1878" s="1">
        <f t="shared" si="4206"/>
        <v>-6.0928477849461595</v>
      </c>
      <c r="E1878" s="1">
        <f t="shared" si="4207"/>
        <v>11.134257274102865</v>
      </c>
      <c r="F1878" s="1">
        <f t="shared" si="4208"/>
        <v>0</v>
      </c>
      <c r="G1878" s="1">
        <f t="shared" si="4209"/>
        <v>-8.217102984130058</v>
      </c>
      <c r="H1878" s="1">
        <f t="shared" si="4032"/>
        <v>13.838080303919025</v>
      </c>
      <c r="I1878" s="1">
        <f t="shared" si="4192"/>
        <v>-6.2705182489501476</v>
      </c>
      <c r="J1878" s="1">
        <f t="shared" si="4193"/>
        <v>0</v>
      </c>
      <c r="K1878" s="1">
        <f t="shared" si="4194"/>
        <v>4.6276543596071944</v>
      </c>
      <c r="L1878" s="1">
        <f t="shared" ref="L1878:N1878" si="4248">E1878/$H1878</f>
        <v>0.80460996247792971</v>
      </c>
      <c r="M1878" s="1">
        <f t="shared" si="4248"/>
        <v>0</v>
      </c>
      <c r="N1878" s="1">
        <f t="shared" si="4248"/>
        <v>-0.59380367823150493</v>
      </c>
      <c r="O1878" s="1">
        <f t="shared" si="4034"/>
        <v>-0.59380367823150493</v>
      </c>
      <c r="P1878" s="1">
        <f t="shared" si="4196"/>
        <v>0.47778035526110785</v>
      </c>
      <c r="Q1878" s="1">
        <f t="shared" si="4197"/>
        <v>0</v>
      </c>
      <c r="R1878" s="1">
        <f t="shared" si="4198"/>
        <v>0.64739719171873533</v>
      </c>
      <c r="S1878" s="1">
        <f t="shared" si="4199"/>
        <v>0.63009171503468719</v>
      </c>
      <c r="T1878" s="1">
        <f t="shared" ref="T1878:V1878" si="4249">$S1878*P1878</f>
        <v>0.30104544345635359</v>
      </c>
      <c r="U1878" s="1">
        <f t="shared" si="4249"/>
        <v>0</v>
      </c>
      <c r="V1878" s="1">
        <f t="shared" si="4249"/>
        <v>0.40791960683869816</v>
      </c>
      <c r="W1878" s="1">
        <f t="shared" si="4201"/>
        <v>-5.969472805493794</v>
      </c>
      <c r="X1878" s="1">
        <f t="shared" si="4202"/>
        <v>0</v>
      </c>
      <c r="Y1878" s="1">
        <f t="shared" si="4203"/>
        <v>-4.7710760335541069</v>
      </c>
    </row>
    <row r="1879" spans="1:25">
      <c r="A1879" s="1">
        <v>1.87699999999998</v>
      </c>
      <c r="B1879" s="1">
        <f t="shared" si="4204"/>
        <v>50.52815527363655</v>
      </c>
      <c r="C1879" s="1">
        <f t="shared" si="4205"/>
        <v>0</v>
      </c>
      <c r="D1879" s="1">
        <f t="shared" si="4206"/>
        <v>-6.1010696590063231</v>
      </c>
      <c r="E1879" s="1">
        <f t="shared" si="4207"/>
        <v>11.12828780129737</v>
      </c>
      <c r="F1879" s="1">
        <f t="shared" si="4208"/>
        <v>0</v>
      </c>
      <c r="G1879" s="1">
        <f t="shared" si="4209"/>
        <v>-8.2218740601636124</v>
      </c>
      <c r="H1879" s="1">
        <f t="shared" si="4032"/>
        <v>13.836112259218453</v>
      </c>
      <c r="I1879" s="1">
        <f t="shared" si="4192"/>
        <v>-6.2662650884895621</v>
      </c>
      <c r="J1879" s="1">
        <f t="shared" si="4193"/>
        <v>0</v>
      </c>
      <c r="K1879" s="1">
        <f t="shared" si="4194"/>
        <v>4.6296827782576546</v>
      </c>
      <c r="L1879" s="1">
        <f t="shared" ref="L1879:N1879" si="4250">E1879/$H1879</f>
        <v>0.80429296848780862</v>
      </c>
      <c r="M1879" s="1">
        <f t="shared" si="4250"/>
        <v>0</v>
      </c>
      <c r="N1879" s="1">
        <f t="shared" si="4250"/>
        <v>-0.59423296849053131</v>
      </c>
      <c r="O1879" s="1">
        <f t="shared" si="4034"/>
        <v>-0.59423296849053131</v>
      </c>
      <c r="P1879" s="1">
        <f t="shared" si="4196"/>
        <v>0.47793739820057185</v>
      </c>
      <c r="Q1879" s="1">
        <f t="shared" si="4197"/>
        <v>0</v>
      </c>
      <c r="R1879" s="1">
        <f t="shared" si="4198"/>
        <v>0.64688717915893124</v>
      </c>
      <c r="S1879" s="1">
        <f t="shared" si="4199"/>
        <v>0.62991250513651154</v>
      </c>
      <c r="T1879" s="1">
        <f t="shared" ref="T1879:V1879" si="4251">$S1879*P1879</f>
        <v>0.3010587437989487</v>
      </c>
      <c r="U1879" s="1">
        <f t="shared" si="4251"/>
        <v>0</v>
      </c>
      <c r="V1879" s="1">
        <f t="shared" si="4251"/>
        <v>0.40748232356469372</v>
      </c>
      <c r="W1879" s="1">
        <f t="shared" si="4201"/>
        <v>-5.9652063446906132</v>
      </c>
      <c r="X1879" s="1">
        <f t="shared" si="4202"/>
        <v>0</v>
      </c>
      <c r="Y1879" s="1">
        <f t="shared" si="4203"/>
        <v>-4.7694848981776508</v>
      </c>
    </row>
    <row r="1880" spans="1:25">
      <c r="A1880" s="1">
        <v>1.8779999999999799</v>
      </c>
      <c r="B1880" s="1">
        <f t="shared" si="4204"/>
        <v>50.5392775962315</v>
      </c>
      <c r="C1880" s="1">
        <f t="shared" si="4205"/>
        <v>0</v>
      </c>
      <c r="D1880" s="1">
        <f t="shared" si="4206"/>
        <v>-6.1092963025513853</v>
      </c>
      <c r="E1880" s="1">
        <f t="shared" si="4207"/>
        <v>11.12232259495268</v>
      </c>
      <c r="F1880" s="1">
        <f t="shared" si="4208"/>
        <v>0</v>
      </c>
      <c r="G1880" s="1">
        <f t="shared" si="4209"/>
        <v>-8.2266435450617905</v>
      </c>
      <c r="H1880" s="1">
        <f t="shared" si="4032"/>
        <v>13.834150639764689</v>
      </c>
      <c r="I1880" s="1">
        <f t="shared" si="4192"/>
        <v>-6.2620181947271334</v>
      </c>
      <c r="J1880" s="1">
        <f t="shared" si="4193"/>
        <v>0</v>
      </c>
      <c r="K1880" s="1">
        <f t="shared" si="4194"/>
        <v>4.6317116879966411</v>
      </c>
      <c r="L1880" s="1">
        <f t="shared" ref="L1880:N1880" si="4252">E1880/$H1880</f>
        <v>0.80397581930204165</v>
      </c>
      <c r="M1880" s="1">
        <f t="shared" si="4252"/>
        <v>0</v>
      </c>
      <c r="N1880" s="1">
        <f t="shared" si="4252"/>
        <v>-0.59466198968625095</v>
      </c>
      <c r="O1880" s="1">
        <f t="shared" si="4034"/>
        <v>-0.59466198968625095</v>
      </c>
      <c r="P1880" s="1">
        <f t="shared" si="4196"/>
        <v>0.47809386036578583</v>
      </c>
      <c r="Q1880" s="1">
        <f t="shared" si="4197"/>
        <v>0</v>
      </c>
      <c r="R1880" s="1">
        <f t="shared" si="4198"/>
        <v>0.64637711802238917</v>
      </c>
      <c r="S1880" s="1">
        <f t="shared" si="4199"/>
        <v>0.62973390568475118</v>
      </c>
      <c r="T1880" s="1">
        <f t="shared" ref="T1880:V1880" si="4253">$S1880*P1880</f>
        <v>0.30107191397204636</v>
      </c>
      <c r="U1880" s="1">
        <f t="shared" si="4253"/>
        <v>0</v>
      </c>
      <c r="V1880" s="1">
        <f t="shared" si="4253"/>
        <v>0.4070455870774925</v>
      </c>
      <c r="W1880" s="1">
        <f t="shared" si="4201"/>
        <v>-5.9609462807550866</v>
      </c>
      <c r="X1880" s="1">
        <f t="shared" si="4202"/>
        <v>0</v>
      </c>
      <c r="Y1880" s="1">
        <f t="shared" si="4203"/>
        <v>-4.7678927249258658</v>
      </c>
    </row>
    <row r="1881" spans="1:25">
      <c r="A1881" s="1">
        <v>1.87899999999998</v>
      </c>
      <c r="B1881" s="1">
        <f t="shared" si="4204"/>
        <v>50.550393957880175</v>
      </c>
      <c r="C1881" s="1">
        <f t="shared" si="4205"/>
        <v>0</v>
      </c>
      <c r="D1881" s="1">
        <f t="shared" si="4206"/>
        <v>-6.1175277139891717</v>
      </c>
      <c r="E1881" s="1">
        <f t="shared" si="4207"/>
        <v>11.116361648671925</v>
      </c>
      <c r="F1881" s="1">
        <f t="shared" si="4208"/>
        <v>0</v>
      </c>
      <c r="G1881" s="1">
        <f t="shared" si="4209"/>
        <v>-8.2314114377867167</v>
      </c>
      <c r="H1881" s="1">
        <f t="shared" si="4032"/>
        <v>13.832195435367083</v>
      </c>
      <c r="I1881" s="1">
        <f t="shared" si="4192"/>
        <v>-6.2577775537501799</v>
      </c>
      <c r="J1881" s="1">
        <f t="shared" si="4193"/>
        <v>0</v>
      </c>
      <c r="K1881" s="1">
        <f t="shared" si="4194"/>
        <v>4.6337410889486641</v>
      </c>
      <c r="L1881" s="1">
        <f t="shared" ref="L1881:N1881" si="4254">E1881/$H1881</f>
        <v>0.80365851542618227</v>
      </c>
      <c r="M1881" s="1">
        <f t="shared" si="4254"/>
        <v>0</v>
      </c>
      <c r="N1881" s="1">
        <f t="shared" si="4254"/>
        <v>-0.59509074146972307</v>
      </c>
      <c r="O1881" s="1">
        <f t="shared" si="4034"/>
        <v>-0.59509074146972307</v>
      </c>
      <c r="P1881" s="1">
        <f t="shared" si="4196"/>
        <v>0.47824974183342367</v>
      </c>
      <c r="Q1881" s="1">
        <f t="shared" si="4197"/>
        <v>0</v>
      </c>
      <c r="R1881" s="1">
        <f t="shared" si="4198"/>
        <v>0.64586700941701514</v>
      </c>
      <c r="S1881" s="1">
        <f t="shared" si="4199"/>
        <v>0.62955591550294232</v>
      </c>
      <c r="T1881" s="1">
        <f t="shared" ref="T1881:V1881" si="4255">$S1881*P1881</f>
        <v>0.30108495405898683</v>
      </c>
      <c r="U1881" s="1">
        <f t="shared" si="4255"/>
        <v>0</v>
      </c>
      <c r="V1881" s="1">
        <f t="shared" si="4255"/>
        <v>0.40660939640667643</v>
      </c>
      <c r="W1881" s="1">
        <f t="shared" si="4201"/>
        <v>-5.956692599691193</v>
      </c>
      <c r="X1881" s="1">
        <f t="shared" si="4202"/>
        <v>0</v>
      </c>
      <c r="Y1881" s="1">
        <f t="shared" si="4203"/>
        <v>-4.7662995146446585</v>
      </c>
    </row>
    <row r="1882" spans="1:25">
      <c r="A1882" s="1">
        <v>1.8799999999999799</v>
      </c>
      <c r="B1882" s="1">
        <f t="shared" si="4204"/>
        <v>50.561504362836246</v>
      </c>
      <c r="C1882" s="1">
        <f t="shared" si="4205"/>
        <v>0</v>
      </c>
      <c r="D1882" s="1">
        <f t="shared" si="4206"/>
        <v>-6.1257638917264732</v>
      </c>
      <c r="E1882" s="1">
        <f t="shared" si="4207"/>
        <v>11.110404956072234</v>
      </c>
      <c r="F1882" s="1">
        <f t="shared" si="4208"/>
        <v>0</v>
      </c>
      <c r="G1882" s="1">
        <f t="shared" si="4209"/>
        <v>-8.2361777373013609</v>
      </c>
      <c r="H1882" s="1">
        <f t="shared" si="4032"/>
        <v>13.830246635846123</v>
      </c>
      <c r="I1882" s="1">
        <f t="shared" si="4192"/>
        <v>-6.2535431516775448</v>
      </c>
      <c r="J1882" s="1">
        <f t="shared" si="4193"/>
        <v>0</v>
      </c>
      <c r="K1882" s="1">
        <f t="shared" si="4194"/>
        <v>4.6357709812323717</v>
      </c>
      <c r="L1882" s="1">
        <f t="shared" ref="L1882:N1882" si="4256">E1882/$H1882</f>
        <v>0.80334105736593098</v>
      </c>
      <c r="M1882" s="1">
        <f t="shared" si="4256"/>
        <v>0</v>
      </c>
      <c r="N1882" s="1">
        <f t="shared" si="4256"/>
        <v>-0.59551922349340503</v>
      </c>
      <c r="O1882" s="1">
        <f t="shared" si="4034"/>
        <v>-0.59551922349340503</v>
      </c>
      <c r="P1882" s="1">
        <f t="shared" si="4196"/>
        <v>0.47840504268293016</v>
      </c>
      <c r="Q1882" s="1">
        <f t="shared" si="4197"/>
        <v>0</v>
      </c>
      <c r="R1882" s="1">
        <f t="shared" si="4198"/>
        <v>0.64535685444981183</v>
      </c>
      <c r="S1882" s="1">
        <f t="shared" si="4199"/>
        <v>0.62937853341697303</v>
      </c>
      <c r="T1882" s="1">
        <f t="shared" ref="T1882:V1882" si="4257">$S1882*P1882</f>
        <v>0.301097864143067</v>
      </c>
      <c r="U1882" s="1">
        <f t="shared" si="4257"/>
        <v>0</v>
      </c>
      <c r="V1882" s="1">
        <f t="shared" si="4257"/>
        <v>0.40617375058421351</v>
      </c>
      <c r="W1882" s="1">
        <f t="shared" si="4201"/>
        <v>-5.952445287534478</v>
      </c>
      <c r="X1882" s="1">
        <f t="shared" si="4202"/>
        <v>0</v>
      </c>
      <c r="Y1882" s="1">
        <f t="shared" si="4203"/>
        <v>-4.7647052681834143</v>
      </c>
    </row>
    <row r="1883" spans="1:25">
      <c r="A1883" s="1">
        <v>1.88099999999998</v>
      </c>
      <c r="B1883" s="1">
        <f t="shared" si="4204"/>
        <v>50.572608815347031</v>
      </c>
      <c r="C1883" s="1">
        <f t="shared" si="4205"/>
        <v>0</v>
      </c>
      <c r="D1883" s="1">
        <f t="shared" si="4206"/>
        <v>-6.1340048341690423</v>
      </c>
      <c r="E1883" s="1">
        <f t="shared" si="4207"/>
        <v>11.1044525107847</v>
      </c>
      <c r="F1883" s="1">
        <f t="shared" si="4208"/>
        <v>0</v>
      </c>
      <c r="G1883" s="1">
        <f t="shared" si="4209"/>
        <v>-8.2409424425695441</v>
      </c>
      <c r="H1883" s="1">
        <f t="shared" si="4032"/>
        <v>13.828304231033417</v>
      </c>
      <c r="I1883" s="1">
        <f t="shared" si="4192"/>
        <v>-6.249314974659506</v>
      </c>
      <c r="J1883" s="1">
        <f t="shared" si="4193"/>
        <v>0</v>
      </c>
      <c r="K1883" s="1">
        <f t="shared" si="4194"/>
        <v>4.6378013649605538</v>
      </c>
      <c r="L1883" s="1">
        <f t="shared" ref="L1883:N1883" si="4258">E1883/$H1883</f>
        <v>0.80302344562713179</v>
      </c>
      <c r="M1883" s="1">
        <f t="shared" si="4258"/>
        <v>0</v>
      </c>
      <c r="N1883" s="1">
        <f t="shared" si="4258"/>
        <v>-0.5959474354111518</v>
      </c>
      <c r="O1883" s="1">
        <f t="shared" si="4034"/>
        <v>-0.5959474354111518</v>
      </c>
      <c r="P1883" s="1">
        <f t="shared" si="4196"/>
        <v>0.4785597629965157</v>
      </c>
      <c r="Q1883" s="1">
        <f t="shared" si="4197"/>
        <v>0</v>
      </c>
      <c r="R1883" s="1">
        <f t="shared" si="4198"/>
        <v>0.64484665422687104</v>
      </c>
      <c r="S1883" s="1">
        <f t="shared" si="4199"/>
        <v>0.62920175825507607</v>
      </c>
      <c r="T1883" s="1">
        <f t="shared" ref="T1883:V1883" si="4259">$S1883*P1883</f>
        <v>0.3011106443075402</v>
      </c>
      <c r="U1883" s="1">
        <f t="shared" si="4259"/>
        <v>0</v>
      </c>
      <c r="V1883" s="1">
        <f t="shared" si="4259"/>
        <v>0.40573864864445036</v>
      </c>
      <c r="W1883" s="1">
        <f t="shared" si="4201"/>
        <v>-5.9482043303519658</v>
      </c>
      <c r="X1883" s="1">
        <f t="shared" si="4202"/>
        <v>0</v>
      </c>
      <c r="Y1883" s="1">
        <f t="shared" si="4203"/>
        <v>-4.7631099863949951</v>
      </c>
    </row>
    <row r="1884" spans="1:25">
      <c r="A1884" s="1">
        <v>1.8819999999999799</v>
      </c>
      <c r="B1884" s="1">
        <f t="shared" si="4204"/>
        <v>50.583707319653485</v>
      </c>
      <c r="C1884" s="1">
        <f t="shared" si="4205"/>
        <v>0</v>
      </c>
      <c r="D1884" s="1">
        <f t="shared" si="4206"/>
        <v>-6.1422505397215978</v>
      </c>
      <c r="E1884" s="1">
        <f t="shared" si="4207"/>
        <v>11.098504306454348</v>
      </c>
      <c r="F1884" s="1">
        <f t="shared" si="4208"/>
        <v>0</v>
      </c>
      <c r="G1884" s="1">
        <f t="shared" si="4209"/>
        <v>-8.2457055525559397</v>
      </c>
      <c r="H1884" s="1">
        <f t="shared" si="4032"/>
        <v>13.826368210771676</v>
      </c>
      <c r="I1884" s="1">
        <f t="shared" si="4192"/>
        <v>-6.245093008877701</v>
      </c>
      <c r="J1884" s="1">
        <f t="shared" si="4193"/>
        <v>0</v>
      </c>
      <c r="K1884" s="1">
        <f t="shared" si="4194"/>
        <v>4.6398322402401595</v>
      </c>
      <c r="L1884" s="1">
        <f t="shared" ref="L1884:N1884" si="4260">E1884/$H1884</f>
        <v>0.80270568071576909</v>
      </c>
      <c r="M1884" s="1">
        <f t="shared" si="4260"/>
        <v>0</v>
      </c>
      <c r="N1884" s="1">
        <f t="shared" si="4260"/>
        <v>-0.59637537687821573</v>
      </c>
      <c r="O1884" s="1">
        <f t="shared" si="4034"/>
        <v>-0.59637537687821573</v>
      </c>
      <c r="P1884" s="1">
        <f t="shared" si="4196"/>
        <v>0.4787139028591515</v>
      </c>
      <c r="Q1884" s="1">
        <f t="shared" si="4197"/>
        <v>0</v>
      </c>
      <c r="R1884" s="1">
        <f t="shared" si="4198"/>
        <v>0.64433640985336615</v>
      </c>
      <c r="S1884" s="1">
        <f t="shared" si="4199"/>
        <v>0.62902558884782267</v>
      </c>
      <c r="T1884" s="1">
        <f t="shared" ref="T1884:V1884" si="4261">$S1884*P1884</f>
        <v>0.30112329463561716</v>
      </c>
      <c r="U1884" s="1">
        <f t="shared" si="4261"/>
        <v>0</v>
      </c>
      <c r="V1884" s="1">
        <f t="shared" si="4261"/>
        <v>0.40530408962410563</v>
      </c>
      <c r="W1884" s="1">
        <f t="shared" si="4201"/>
        <v>-5.9439697142420842</v>
      </c>
      <c r="X1884" s="1">
        <f t="shared" si="4202"/>
        <v>0</v>
      </c>
      <c r="Y1884" s="1">
        <f t="shared" si="4203"/>
        <v>-4.7615136701357343</v>
      </c>
    </row>
    <row r="1885" spans="1:25">
      <c r="A1885" s="1">
        <v>1.88299999999998</v>
      </c>
      <c r="B1885" s="1">
        <f t="shared" si="4204"/>
        <v>50.594799879990227</v>
      </c>
      <c r="C1885" s="1">
        <f t="shared" si="4205"/>
        <v>0</v>
      </c>
      <c r="D1885" s="1">
        <f t="shared" si="4206"/>
        <v>-6.1505010067878239</v>
      </c>
      <c r="E1885" s="1">
        <f t="shared" si="4207"/>
        <v>11.092560336740107</v>
      </c>
      <c r="F1885" s="1">
        <f t="shared" si="4208"/>
        <v>0</v>
      </c>
      <c r="G1885" s="1">
        <f t="shared" si="4209"/>
        <v>-8.2504670662260757</v>
      </c>
      <c r="H1885" s="1">
        <f t="shared" si="4032"/>
        <v>13.824438564914702</v>
      </c>
      <c r="I1885" s="1">
        <f t="shared" si="4192"/>
        <v>-6.2408772405450588</v>
      </c>
      <c r="J1885" s="1">
        <f t="shared" si="4193"/>
        <v>0</v>
      </c>
      <c r="K1885" s="1">
        <f t="shared" si="4194"/>
        <v>4.6418636071723052</v>
      </c>
      <c r="L1885" s="1">
        <f t="shared" ref="L1885:N1885" si="4262">E1885/$H1885</f>
        <v>0.80238776313796356</v>
      </c>
      <c r="M1885" s="1">
        <f t="shared" si="4262"/>
        <v>0</v>
      </c>
      <c r="N1885" s="1">
        <f t="shared" si="4262"/>
        <v>-0.59680304755124658</v>
      </c>
      <c r="O1885" s="1">
        <f t="shared" si="4034"/>
        <v>-0.59680304755124658</v>
      </c>
      <c r="P1885" s="1">
        <f t="shared" si="4196"/>
        <v>0.47886746235856442</v>
      </c>
      <c r="Q1885" s="1">
        <f t="shared" si="4197"/>
        <v>0</v>
      </c>
      <c r="R1885" s="1">
        <f t="shared" si="4198"/>
        <v>0.64382612243354453</v>
      </c>
      <c r="S1885" s="1">
        <f t="shared" si="4199"/>
        <v>0.62885002402811641</v>
      </c>
      <c r="T1885" s="1">
        <f t="shared" ref="T1885:V1885" si="4263">$S1885*P1885</f>
        <v>0.30113581521046634</v>
      </c>
      <c r="U1885" s="1">
        <f t="shared" si="4263"/>
        <v>0</v>
      </c>
      <c r="V1885" s="1">
        <f t="shared" si="4263"/>
        <v>0.40487007256226348</v>
      </c>
      <c r="W1885" s="1">
        <f t="shared" si="4201"/>
        <v>-5.9397414253345922</v>
      </c>
      <c r="X1885" s="1">
        <f t="shared" si="4202"/>
        <v>0</v>
      </c>
      <c r="Y1885" s="1">
        <f t="shared" si="4203"/>
        <v>-4.7599163202654307</v>
      </c>
    </row>
    <row r="1886" spans="1:25">
      <c r="A1886" s="1">
        <v>1.8839999999999799</v>
      </c>
      <c r="B1886" s="1">
        <f t="shared" si="4204"/>
        <v>50.605886500585541</v>
      </c>
      <c r="C1886" s="1">
        <f t="shared" si="4205"/>
        <v>0</v>
      </c>
      <c r="D1886" s="1">
        <f t="shared" si="4206"/>
        <v>-6.1587562337703705</v>
      </c>
      <c r="E1886" s="1">
        <f t="shared" si="4207"/>
        <v>11.086620595314772</v>
      </c>
      <c r="F1886" s="1">
        <f t="shared" si="4208"/>
        <v>0</v>
      </c>
      <c r="G1886" s="1">
        <f t="shared" si="4209"/>
        <v>-8.2552269825463416</v>
      </c>
      <c r="H1886" s="1">
        <f t="shared" si="4032"/>
        <v>13.822515283327375</v>
      </c>
      <c r="I1886" s="1">
        <f t="shared" si="4192"/>
        <v>-6.2366676559057108</v>
      </c>
      <c r="J1886" s="1">
        <f t="shared" si="4193"/>
        <v>0</v>
      </c>
      <c r="K1886" s="1">
        <f t="shared" si="4194"/>
        <v>4.643895465852288</v>
      </c>
      <c r="L1886" s="1">
        <f t="shared" ref="L1886:N1886" si="4264">E1886/$H1886</f>
        <v>0.80206969339996892</v>
      </c>
      <c r="M1886" s="1">
        <f t="shared" si="4264"/>
        <v>0</v>
      </c>
      <c r="N1886" s="1">
        <f t="shared" si="4264"/>
        <v>-0.59723044708829087</v>
      </c>
      <c r="O1886" s="1">
        <f t="shared" si="4034"/>
        <v>-0.59723044708829087</v>
      </c>
      <c r="P1886" s="1">
        <f t="shared" si="4196"/>
        <v>0.47902044158523183</v>
      </c>
      <c r="Q1886" s="1">
        <f t="shared" si="4197"/>
        <v>0</v>
      </c>
      <c r="R1886" s="1">
        <f t="shared" si="4198"/>
        <v>0.64331579307072018</v>
      </c>
      <c r="S1886" s="1">
        <f t="shared" si="4199"/>
        <v>0.62867506263118667</v>
      </c>
      <c r="T1886" s="1">
        <f t="shared" ref="T1886:V1886" si="4265">$S1886*P1886</f>
        <v>0.30114820611521431</v>
      </c>
      <c r="U1886" s="1">
        <f t="shared" si="4265"/>
        <v>0</v>
      </c>
      <c r="V1886" s="1">
        <f t="shared" si="4265"/>
        <v>0.40443659650036651</v>
      </c>
      <c r="W1886" s="1">
        <f t="shared" si="4201"/>
        <v>-5.9355194497904966</v>
      </c>
      <c r="X1886" s="1">
        <f t="shared" si="4202"/>
        <v>0</v>
      </c>
      <c r="Y1886" s="1">
        <f t="shared" si="4203"/>
        <v>-4.7583179376473446</v>
      </c>
    </row>
    <row r="1887" spans="1:25">
      <c r="A1887" s="1">
        <v>1.88499999999998</v>
      </c>
      <c r="B1887" s="1">
        <f t="shared" si="4204"/>
        <v>50.616967185661409</v>
      </c>
      <c r="C1887" s="1">
        <f t="shared" si="4205"/>
        <v>0</v>
      </c>
      <c r="D1887" s="1">
        <f t="shared" si="4206"/>
        <v>-6.1670162190708542</v>
      </c>
      <c r="E1887" s="1">
        <f t="shared" si="4207"/>
        <v>11.080685075864981</v>
      </c>
      <c r="F1887" s="1">
        <f t="shared" si="4208"/>
        <v>0</v>
      </c>
      <c r="G1887" s="1">
        <f t="shared" si="4209"/>
        <v>-8.2599853004839883</v>
      </c>
      <c r="H1887" s="1">
        <f t="shared" si="4032"/>
        <v>13.820598355885627</v>
      </c>
      <c r="I1887" s="1">
        <f t="shared" si="4192"/>
        <v>-6.2324642412349194</v>
      </c>
      <c r="J1887" s="1">
        <f t="shared" si="4193"/>
        <v>0</v>
      </c>
      <c r="K1887" s="1">
        <f t="shared" si="4194"/>
        <v>4.6459278163695927</v>
      </c>
      <c r="L1887" s="1">
        <f t="shared" ref="L1887:N1887" si="4266">E1887/$H1887</f>
        <v>0.80175147200816888</v>
      </c>
      <c r="M1887" s="1">
        <f t="shared" si="4266"/>
        <v>0</v>
      </c>
      <c r="N1887" s="1">
        <f t="shared" si="4266"/>
        <v>-0.59765757514879225</v>
      </c>
      <c r="O1887" s="1">
        <f t="shared" si="4034"/>
        <v>-0.59765757514879225</v>
      </c>
      <c r="P1887" s="1">
        <f t="shared" si="4196"/>
        <v>0.47917284063237697</v>
      </c>
      <c r="Q1887" s="1">
        <f t="shared" si="4197"/>
        <v>0</v>
      </c>
      <c r="R1887" s="1">
        <f t="shared" si="4198"/>
        <v>0.64280542286726572</v>
      </c>
      <c r="S1887" s="1">
        <f t="shared" si="4199"/>
        <v>0.62850070349458209</v>
      </c>
      <c r="T1887" s="1">
        <f t="shared" ref="T1887:V1887" si="4267">$S1887*P1887</f>
        <v>0.30116046743294622</v>
      </c>
      <c r="U1887" s="1">
        <f t="shared" si="4267"/>
        <v>0</v>
      </c>
      <c r="V1887" s="1">
        <f t="shared" si="4267"/>
        <v>0.40400366048220882</v>
      </c>
      <c r="W1887" s="1">
        <f t="shared" si="4201"/>
        <v>-5.9313037738019734</v>
      </c>
      <c r="X1887" s="1">
        <f t="shared" si="4202"/>
        <v>0</v>
      </c>
      <c r="Y1887" s="1">
        <f t="shared" si="4203"/>
        <v>-4.7567185231481979</v>
      </c>
    </row>
    <row r="1888" spans="1:25">
      <c r="A1888" s="1">
        <v>1.8859999999999799</v>
      </c>
      <c r="B1888" s="1">
        <f t="shared" si="4204"/>
        <v>50.628041939433501</v>
      </c>
      <c r="C1888" s="1">
        <f t="shared" si="4205"/>
        <v>0</v>
      </c>
      <c r="D1888" s="1">
        <f t="shared" si="4206"/>
        <v>-6.1752809610898609</v>
      </c>
      <c r="E1888" s="1">
        <f t="shared" si="4207"/>
        <v>11.07475377209118</v>
      </c>
      <c r="F1888" s="1">
        <f t="shared" si="4208"/>
        <v>0</v>
      </c>
      <c r="G1888" s="1">
        <f t="shared" si="4209"/>
        <v>-8.2647420190071372</v>
      </c>
      <c r="H1888" s="1">
        <f t="shared" si="4032"/>
        <v>13.818687772476444</v>
      </c>
      <c r="I1888" s="1">
        <f t="shared" si="4192"/>
        <v>-6.2282669828390027</v>
      </c>
      <c r="J1888" s="1">
        <f t="shared" si="4193"/>
        <v>0</v>
      </c>
      <c r="K1888" s="1">
        <f t="shared" si="4194"/>
        <v>4.6479606588079099</v>
      </c>
      <c r="L1888" s="1">
        <f t="shared" ref="L1888:N1888" si="4268">E1888/$H1888</f>
        <v>0.80143309946907315</v>
      </c>
      <c r="M1888" s="1">
        <f t="shared" si="4268"/>
        <v>0</v>
      </c>
      <c r="N1888" s="1">
        <f t="shared" si="4268"/>
        <v>-0.59808443139359058</v>
      </c>
      <c r="O1888" s="1">
        <f t="shared" si="4034"/>
        <v>-0.59808443139359058</v>
      </c>
      <c r="P1888" s="1">
        <f t="shared" si="4196"/>
        <v>0.47932465959596354</v>
      </c>
      <c r="Q1888" s="1">
        <f t="shared" si="4197"/>
        <v>0</v>
      </c>
      <c r="R1888" s="1">
        <f t="shared" si="4198"/>
        <v>0.64229501292460545</v>
      </c>
      <c r="S1888" s="1">
        <f t="shared" si="4199"/>
        <v>0.62832694545816503</v>
      </c>
      <c r="T1888" s="1">
        <f t="shared" ref="T1888:V1888" si="4269">$S1888*P1888</f>
        <v>0.30117259924670653</v>
      </c>
      <c r="U1888" s="1">
        <f t="shared" si="4269"/>
        <v>0</v>
      </c>
      <c r="V1888" s="1">
        <f t="shared" si="4269"/>
        <v>0.40357126355392997</v>
      </c>
      <c r="W1888" s="1">
        <f t="shared" si="4201"/>
        <v>-5.927094383592296</v>
      </c>
      <c r="X1888" s="1">
        <f t="shared" si="4202"/>
        <v>0</v>
      </c>
      <c r="Y1888" s="1">
        <f t="shared" si="4203"/>
        <v>-4.7551180776381594</v>
      </c>
    </row>
    <row r="1889" spans="1:25">
      <c r="A1889" s="1">
        <v>1.88699999999998</v>
      </c>
      <c r="B1889" s="1">
        <f t="shared" si="4204"/>
        <v>50.639110766111209</v>
      </c>
      <c r="C1889" s="1">
        <f t="shared" si="4205"/>
        <v>0</v>
      </c>
      <c r="D1889" s="1">
        <f t="shared" si="4206"/>
        <v>-6.1835504582269456</v>
      </c>
      <c r="E1889" s="1">
        <f t="shared" si="4207"/>
        <v>11.068826677707587</v>
      </c>
      <c r="F1889" s="1">
        <f t="shared" si="4208"/>
        <v>0</v>
      </c>
      <c r="G1889" s="1">
        <f t="shared" si="4209"/>
        <v>-8.269497137084775</v>
      </c>
      <c r="H1889" s="1">
        <f t="shared" si="4032"/>
        <v>13.816783522997834</v>
      </c>
      <c r="I1889" s="1">
        <f t="shared" si="4192"/>
        <v>-6.224075867055249</v>
      </c>
      <c r="J1889" s="1">
        <f t="shared" si="4193"/>
        <v>0</v>
      </c>
      <c r="K1889" s="1">
        <f t="shared" si="4194"/>
        <v>4.649993993245138</v>
      </c>
      <c r="L1889" s="1">
        <f t="shared" ref="L1889:N1889" si="4270">E1889/$H1889</f>
        <v>0.80111457628931415</v>
      </c>
      <c r="M1889" s="1">
        <f t="shared" si="4270"/>
        <v>0</v>
      </c>
      <c r="N1889" s="1">
        <f t="shared" si="4270"/>
        <v>-0.59851101548492225</v>
      </c>
      <c r="O1889" s="1">
        <f t="shared" si="4034"/>
        <v>-0.59851101548492225</v>
      </c>
      <c r="P1889" s="1">
        <f t="shared" si="4196"/>
        <v>0.47947589857469064</v>
      </c>
      <c r="Q1889" s="1">
        <f t="shared" si="4197"/>
        <v>0</v>
      </c>
      <c r="R1889" s="1">
        <f t="shared" si="4198"/>
        <v>0.64178456434320719</v>
      </c>
      <c r="S1889" s="1">
        <f t="shared" si="4199"/>
        <v>0.6281537873641041</v>
      </c>
      <c r="T1889" s="1">
        <f t="shared" ref="T1889:V1889" si="4271">$S1889*P1889</f>
        <v>0.30118460163949895</v>
      </c>
      <c r="U1889" s="1">
        <f t="shared" si="4271"/>
        <v>0</v>
      </c>
      <c r="V1889" s="1">
        <f t="shared" si="4271"/>
        <v>0.40313940476400717</v>
      </c>
      <c r="W1889" s="1">
        <f t="shared" si="4201"/>
        <v>-5.9228912654157497</v>
      </c>
      <c r="X1889" s="1">
        <f t="shared" si="4202"/>
        <v>0</v>
      </c>
      <c r="Y1889" s="1">
        <f t="shared" si="4203"/>
        <v>-4.7535166019908539</v>
      </c>
    </row>
    <row r="1890" spans="1:25">
      <c r="A1890" s="1">
        <v>1.8879999999999799</v>
      </c>
      <c r="B1890" s="1">
        <f t="shared" si="4204"/>
        <v>50.650173669897654</v>
      </c>
      <c r="C1890" s="1">
        <f t="shared" si="4205"/>
        <v>0</v>
      </c>
      <c r="D1890" s="1">
        <f t="shared" si="4206"/>
        <v>-6.191824708880632</v>
      </c>
      <c r="E1890" s="1">
        <f t="shared" si="4207"/>
        <v>11.062903786442172</v>
      </c>
      <c r="F1890" s="1">
        <f t="shared" si="4208"/>
        <v>0</v>
      </c>
      <c r="G1890" s="1">
        <f t="shared" si="4209"/>
        <v>-8.2742506536867655</v>
      </c>
      <c r="H1890" s="1">
        <f t="shared" si="4032"/>
        <v>13.814885597358829</v>
      </c>
      <c r="I1890" s="1">
        <f t="shared" si="4192"/>
        <v>-6.219890880251854</v>
      </c>
      <c r="J1890" s="1">
        <f t="shared" si="4193"/>
        <v>0</v>
      </c>
      <c r="K1890" s="1">
        <f t="shared" si="4194"/>
        <v>4.6520278197534042</v>
      </c>
      <c r="L1890" s="1">
        <f t="shared" ref="L1890:N1890" si="4272">E1890/$H1890</f>
        <v>0.80079590297564318</v>
      </c>
      <c r="M1890" s="1">
        <f t="shared" si="4272"/>
        <v>0</v>
      </c>
      <c r="N1890" s="1">
        <f t="shared" si="4272"/>
        <v>-0.59893732708641911</v>
      </c>
      <c r="O1890" s="1">
        <f t="shared" si="4034"/>
        <v>-0.59893732708641911</v>
      </c>
      <c r="P1890" s="1">
        <f t="shared" si="4196"/>
        <v>0.47962655766998713</v>
      </c>
      <c r="Q1890" s="1">
        <f t="shared" si="4197"/>
        <v>0</v>
      </c>
      <c r="R1890" s="1">
        <f t="shared" si="4198"/>
        <v>0.64127407822257587</v>
      </c>
      <c r="S1890" s="1">
        <f t="shared" si="4199"/>
        <v>0.62798122805686951</v>
      </c>
      <c r="T1890" s="1">
        <f t="shared" ref="T1890:V1890" si="4273">$S1890*P1890</f>
        <v>0.30119647469428745</v>
      </c>
      <c r="U1890" s="1">
        <f t="shared" si="4273"/>
        <v>0</v>
      </c>
      <c r="V1890" s="1">
        <f t="shared" si="4273"/>
        <v>0.40270808316325019</v>
      </c>
      <c r="W1890" s="1">
        <f t="shared" si="4201"/>
        <v>-5.9186944055575665</v>
      </c>
      <c r="X1890" s="1">
        <f t="shared" si="4202"/>
        <v>0</v>
      </c>
      <c r="Y1890" s="1">
        <f t="shared" si="4203"/>
        <v>-4.7519140970833451</v>
      </c>
    </row>
    <row r="1891" spans="1:25">
      <c r="A1891" s="1">
        <v>1.88899999999998</v>
      </c>
      <c r="B1891" s="1">
        <f t="shared" si="4204"/>
        <v>50.661230654989694</v>
      </c>
      <c r="C1891" s="1">
        <f t="shared" si="4205"/>
        <v>0</v>
      </c>
      <c r="D1891" s="1">
        <f t="shared" si="4206"/>
        <v>-6.2001037114484161</v>
      </c>
      <c r="E1891" s="1">
        <f t="shared" si="4207"/>
        <v>11.056985092036614</v>
      </c>
      <c r="F1891" s="1">
        <f t="shared" si="4208"/>
        <v>0</v>
      </c>
      <c r="G1891" s="1">
        <f t="shared" si="4209"/>
        <v>-8.2790025677838486</v>
      </c>
      <c r="H1891" s="1">
        <f t="shared" si="4032"/>
        <v>13.812993985479451</v>
      </c>
      <c r="I1891" s="1">
        <f t="shared" si="4192"/>
        <v>-6.2157120088278344</v>
      </c>
      <c r="J1891" s="1">
        <f t="shared" si="4193"/>
        <v>0</v>
      </c>
      <c r="K1891" s="1">
        <f t="shared" si="4194"/>
        <v>4.6540621383990688</v>
      </c>
      <c r="L1891" s="1">
        <f t="shared" ref="L1891:N1891" si="4274">E1891/$H1891</f>
        <v>0.80047708003492801</v>
      </c>
      <c r="M1891" s="1">
        <f t="shared" si="4274"/>
        <v>0</v>
      </c>
      <c r="N1891" s="1">
        <f t="shared" si="4274"/>
        <v>-0.59936336586310934</v>
      </c>
      <c r="O1891" s="1">
        <f t="shared" si="4034"/>
        <v>-0.59936336586310934</v>
      </c>
      <c r="P1891" s="1">
        <f t="shared" si="4196"/>
        <v>0.47977663698600803</v>
      </c>
      <c r="Q1891" s="1">
        <f t="shared" si="4197"/>
        <v>0</v>
      </c>
      <c r="R1891" s="1">
        <f t="shared" si="4198"/>
        <v>0.64076355566124454</v>
      </c>
      <c r="S1891" s="1">
        <f t="shared" si="4199"/>
        <v>0.62780926638322498</v>
      </c>
      <c r="T1891" s="1">
        <f t="shared" ref="T1891:V1891" si="4275">$S1891*P1891</f>
        <v>0.30120821849399654</v>
      </c>
      <c r="U1891" s="1">
        <f t="shared" si="4275"/>
        <v>0</v>
      </c>
      <c r="V1891" s="1">
        <f t="shared" si="4275"/>
        <v>0.40227729780479271</v>
      </c>
      <c r="W1891" s="1">
        <f t="shared" si="4201"/>
        <v>-5.9145037903338382</v>
      </c>
      <c r="X1891" s="1">
        <f t="shared" si="4202"/>
        <v>0</v>
      </c>
      <c r="Y1891" s="1">
        <f t="shared" si="4203"/>
        <v>-4.7503105637961376</v>
      </c>
    </row>
    <row r="1892" spans="1:25">
      <c r="A1892" s="1">
        <v>1.8899999999999799</v>
      </c>
      <c r="B1892" s="1">
        <f t="shared" si="4204"/>
        <v>50.672281725577939</v>
      </c>
      <c r="C1892" s="1">
        <f t="shared" si="4205"/>
        <v>0</v>
      </c>
      <c r="D1892" s="1">
        <f t="shared" si="4206"/>
        <v>-6.2083874643267638</v>
      </c>
      <c r="E1892" s="1">
        <f t="shared" si="4207"/>
        <v>11.051070588246279</v>
      </c>
      <c r="F1892" s="1">
        <f t="shared" si="4208"/>
        <v>0</v>
      </c>
      <c r="G1892" s="1">
        <f t="shared" si="4209"/>
        <v>-8.2837528783476451</v>
      </c>
      <c r="H1892" s="1">
        <f t="shared" si="4032"/>
        <v>13.811108677290713</v>
      </c>
      <c r="I1892" s="1">
        <f t="shared" si="4192"/>
        <v>-6.2115392392129536</v>
      </c>
      <c r="J1892" s="1">
        <f t="shared" si="4193"/>
        <v>0</v>
      </c>
      <c r="K1892" s="1">
        <f t="shared" si="4194"/>
        <v>4.6560969492427375</v>
      </c>
      <c r="L1892" s="1">
        <f t="shared" ref="L1892:N1892" si="4276">E1892/$H1892</f>
        <v>0.80015810797414832</v>
      </c>
      <c r="M1892" s="1">
        <f t="shared" si="4276"/>
        <v>0</v>
      </c>
      <c r="N1892" s="1">
        <f t="shared" si="4276"/>
        <v>-0.59978913148141599</v>
      </c>
      <c r="O1892" s="1">
        <f t="shared" si="4034"/>
        <v>-0.59978913148141599</v>
      </c>
      <c r="P1892" s="1">
        <f t="shared" si="4196"/>
        <v>0.47992613662962752</v>
      </c>
      <c r="Q1892" s="1">
        <f t="shared" si="4197"/>
        <v>0</v>
      </c>
      <c r="R1892" s="1">
        <f t="shared" si="4198"/>
        <v>0.64025299775676869</v>
      </c>
      <c r="S1892" s="1">
        <f t="shared" si="4199"/>
        <v>0.62763790119222285</v>
      </c>
      <c r="T1892" s="1">
        <f t="shared" ref="T1892:V1892" si="4277">$S1892*P1892</f>
        <v>0.3012198331215114</v>
      </c>
      <c r="U1892" s="1">
        <f t="shared" si="4277"/>
        <v>0</v>
      </c>
      <c r="V1892" s="1">
        <f t="shared" si="4277"/>
        <v>0.40184704774408725</v>
      </c>
      <c r="W1892" s="1">
        <f t="shared" si="4201"/>
        <v>-5.9103194060914426</v>
      </c>
      <c r="X1892" s="1">
        <f t="shared" si="4202"/>
        <v>0</v>
      </c>
      <c r="Y1892" s="1">
        <f t="shared" si="4203"/>
        <v>-4.7487060030131749</v>
      </c>
    </row>
    <row r="1893" spans="1:25">
      <c r="A1893" s="1">
        <v>1.89099999999998</v>
      </c>
      <c r="B1893" s="1">
        <f t="shared" si="4204"/>
        <v>50.683326885846782</v>
      </c>
      <c r="C1893" s="1">
        <f t="shared" si="4205"/>
        <v>0</v>
      </c>
      <c r="D1893" s="1">
        <f t="shared" si="4206"/>
        <v>-6.2166759659111142</v>
      </c>
      <c r="E1893" s="1">
        <f t="shared" si="4207"/>
        <v>11.045160268840188</v>
      </c>
      <c r="F1893" s="1">
        <f t="shared" si="4208"/>
        <v>0</v>
      </c>
      <c r="G1893" s="1">
        <f t="shared" si="4209"/>
        <v>-8.2885015843506586</v>
      </c>
      <c r="H1893" s="1">
        <f t="shared" si="4032"/>
        <v>13.809229662734603</v>
      </c>
      <c r="I1893" s="1">
        <f t="shared" si="4192"/>
        <v>-6.2073725578676546</v>
      </c>
      <c r="J1893" s="1">
        <f t="shared" si="4193"/>
        <v>0</v>
      </c>
      <c r="K1893" s="1">
        <f t="shared" si="4194"/>
        <v>4.6581322523392785</v>
      </c>
      <c r="L1893" s="1">
        <f t="shared" ref="L1893:N1893" si="4278">E1893/$H1893</f>
        <v>0.79983898730039271</v>
      </c>
      <c r="M1893" s="1">
        <f t="shared" si="4278"/>
        <v>0</v>
      </c>
      <c r="N1893" s="1">
        <f t="shared" si="4278"/>
        <v>-0.60021462360915723</v>
      </c>
      <c r="O1893" s="1">
        <f t="shared" si="4034"/>
        <v>-0.60021462360915723</v>
      </c>
      <c r="P1893" s="1">
        <f t="shared" si="4196"/>
        <v>0.48007505671043471</v>
      </c>
      <c r="Q1893" s="1">
        <f t="shared" si="4197"/>
        <v>0</v>
      </c>
      <c r="R1893" s="1">
        <f t="shared" si="4198"/>
        <v>0.63974240560571771</v>
      </c>
      <c r="S1893" s="1">
        <f t="shared" si="4199"/>
        <v>0.62746713133519816</v>
      </c>
      <c r="T1893" s="1">
        <f t="shared" ref="T1893:V1893" si="4279">$S1893*P1893</f>
        <v>0.30123131865967906</v>
      </c>
      <c r="U1893" s="1">
        <f t="shared" si="4279"/>
        <v>0</v>
      </c>
      <c r="V1893" s="1">
        <f t="shared" si="4279"/>
        <v>0.40141733203889851</v>
      </c>
      <c r="W1893" s="1">
        <f t="shared" si="4201"/>
        <v>-5.906141239207976</v>
      </c>
      <c r="X1893" s="1">
        <f t="shared" si="4202"/>
        <v>0</v>
      </c>
      <c r="Y1893" s="1">
        <f t="shared" si="4203"/>
        <v>-4.7471004156218228</v>
      </c>
    </row>
    <row r="1894" spans="1:25">
      <c r="A1894" s="1">
        <v>1.8919999999999799</v>
      </c>
      <c r="B1894" s="1">
        <f t="shared" si="4204"/>
        <v>50.694366139974385</v>
      </c>
      <c r="C1894" s="1">
        <f t="shared" si="4205"/>
        <v>0</v>
      </c>
      <c r="D1894" s="1">
        <f t="shared" si="4206"/>
        <v>-6.2249692145958804</v>
      </c>
      <c r="E1894" s="1">
        <f t="shared" si="4207"/>
        <v>11.03925412760098</v>
      </c>
      <c r="F1894" s="1">
        <f t="shared" si="4208"/>
        <v>0</v>
      </c>
      <c r="G1894" s="1">
        <f t="shared" si="4209"/>
        <v>-8.2932486847662812</v>
      </c>
      <c r="H1894" s="1">
        <f t="shared" si="4032"/>
        <v>13.807356931764057</v>
      </c>
      <c r="I1894" s="1">
        <f t="shared" si="4192"/>
        <v>-6.2032119512829693</v>
      </c>
      <c r="J1894" s="1">
        <f t="shared" si="4193"/>
        <v>0</v>
      </c>
      <c r="K1894" s="1">
        <f t="shared" si="4194"/>
        <v>4.6601680477378231</v>
      </c>
      <c r="L1894" s="1">
        <f t="shared" ref="L1894:N1894" si="4280">E1894/$H1894</f>
        <v>0.79951971852085535</v>
      </c>
      <c r="M1894" s="1">
        <f t="shared" si="4280"/>
        <v>0</v>
      </c>
      <c r="N1894" s="1">
        <f t="shared" si="4280"/>
        <v>-0.60063984191554598</v>
      </c>
      <c r="O1894" s="1">
        <f t="shared" si="4034"/>
        <v>-0.60063984191554598</v>
      </c>
      <c r="P1894" s="1">
        <f t="shared" si="4196"/>
        <v>0.48022339734072839</v>
      </c>
      <c r="Q1894" s="1">
        <f t="shared" si="4197"/>
        <v>0</v>
      </c>
      <c r="R1894" s="1">
        <f t="shared" si="4198"/>
        <v>0.63923178030366801</v>
      </c>
      <c r="S1894" s="1">
        <f t="shared" si="4199"/>
        <v>0.62729695566576049</v>
      </c>
      <c r="T1894" s="1">
        <f t="shared" ref="T1894:V1894" si="4281">$S1894*P1894</f>
        <v>0.30124267519130776</v>
      </c>
      <c r="U1894" s="1">
        <f t="shared" si="4281"/>
        <v>0</v>
      </c>
      <c r="V1894" s="1">
        <f t="shared" si="4281"/>
        <v>0.4009881497492952</v>
      </c>
      <c r="W1894" s="1">
        <f t="shared" si="4201"/>
        <v>-5.9019692760916618</v>
      </c>
      <c r="X1894" s="1">
        <f t="shared" si="4202"/>
        <v>0</v>
      </c>
      <c r="Y1894" s="1">
        <f t="shared" si="4203"/>
        <v>-4.7454938025128808</v>
      </c>
    </row>
    <row r="1895" spans="1:25">
      <c r="A1895" s="1">
        <v>1.89299999999998</v>
      </c>
      <c r="B1895" s="1">
        <f t="shared" si="4204"/>
        <v>50.705399492132706</v>
      </c>
      <c r="C1895" s="1">
        <f t="shared" si="4205"/>
        <v>0</v>
      </c>
      <c r="D1895" s="1">
        <f t="shared" si="4206"/>
        <v>-6.233267208774449</v>
      </c>
      <c r="E1895" s="1">
        <f t="shared" si="4207"/>
        <v>11.033352158324888</v>
      </c>
      <c r="F1895" s="1">
        <f t="shared" si="4208"/>
        <v>0</v>
      </c>
      <c r="G1895" s="1">
        <f t="shared" si="4209"/>
        <v>-8.2979941785687945</v>
      </c>
      <c r="H1895" s="1">
        <f t="shared" si="4032"/>
        <v>13.805490474342955</v>
      </c>
      <c r="I1895" s="1">
        <f t="shared" si="4192"/>
        <v>-6.1990574059804553</v>
      </c>
      <c r="J1895" s="1">
        <f t="shared" si="4193"/>
        <v>0</v>
      </c>
      <c r="K1895" s="1">
        <f t="shared" si="4194"/>
        <v>4.6622043354817837</v>
      </c>
      <c r="L1895" s="1">
        <f t="shared" ref="L1895:N1895" si="4282">E1895/$H1895</f>
        <v>0.79920030214283266</v>
      </c>
      <c r="M1895" s="1">
        <f t="shared" si="4282"/>
        <v>0</v>
      </c>
      <c r="N1895" s="1">
        <f t="shared" si="4282"/>
        <v>-0.60106478607118963</v>
      </c>
      <c r="O1895" s="1">
        <f t="shared" si="4034"/>
        <v>-0.60106478607118963</v>
      </c>
      <c r="P1895" s="1">
        <f t="shared" si="4196"/>
        <v>0.48037115863551183</v>
      </c>
      <c r="Q1895" s="1">
        <f t="shared" si="4197"/>
        <v>0</v>
      </c>
      <c r="R1895" s="1">
        <f t="shared" si="4198"/>
        <v>0.63872112294519501</v>
      </c>
      <c r="S1895" s="1">
        <f t="shared" si="4199"/>
        <v>0.62712737303978994</v>
      </c>
      <c r="T1895" s="1">
        <f t="shared" ref="T1895:V1895" si="4283">$S1895*P1895</f>
        <v>0.30125390279916875</v>
      </c>
      <c r="U1895" s="1">
        <f t="shared" si="4283"/>
        <v>0</v>
      </c>
      <c r="V1895" s="1">
        <f t="shared" si="4283"/>
        <v>0.40055949993764484</v>
      </c>
      <c r="W1895" s="1">
        <f t="shared" si="4201"/>
        <v>-5.8978035031812865</v>
      </c>
      <c r="X1895" s="1">
        <f t="shared" si="4202"/>
        <v>0</v>
      </c>
      <c r="Y1895" s="1">
        <f t="shared" si="4203"/>
        <v>-4.7438861645805712</v>
      </c>
    </row>
    <row r="1896" spans="1:25">
      <c r="A1896" s="1">
        <v>1.8939999999999799</v>
      </c>
      <c r="B1896" s="1">
        <f t="shared" si="4204"/>
        <v>50.71642694648753</v>
      </c>
      <c r="C1896" s="1">
        <f t="shared" si="4205"/>
        <v>0</v>
      </c>
      <c r="D1896" s="1">
        <f t="shared" si="4206"/>
        <v>-6.2415699468391823</v>
      </c>
      <c r="E1896" s="1">
        <f t="shared" si="4207"/>
        <v>11.027454354821707</v>
      </c>
      <c r="F1896" s="1">
        <f t="shared" si="4208"/>
        <v>0</v>
      </c>
      <c r="G1896" s="1">
        <f t="shared" si="4209"/>
        <v>-8.3027380647333757</v>
      </c>
      <c r="H1896" s="1">
        <f t="shared" si="4032"/>
        <v>13.803630280446111</v>
      </c>
      <c r="I1896" s="1">
        <f t="shared" si="4192"/>
        <v>-6.1949089085121223</v>
      </c>
      <c r="J1896" s="1">
        <f t="shared" si="4193"/>
        <v>0</v>
      </c>
      <c r="K1896" s="1">
        <f t="shared" si="4194"/>
        <v>4.6642411156088697</v>
      </c>
      <c r="L1896" s="1">
        <f t="shared" ref="L1896:N1896" si="4284">E1896/$H1896</f>
        <v>0.79888073867371923</v>
      </c>
      <c r="M1896" s="1">
        <f t="shared" si="4284"/>
        <v>0</v>
      </c>
      <c r="N1896" s="1">
        <f t="shared" si="4284"/>
        <v>-0.60148945574808921</v>
      </c>
      <c r="O1896" s="1">
        <f t="shared" si="4034"/>
        <v>-0.60148945574808921</v>
      </c>
      <c r="P1896" s="1">
        <f t="shared" si="4196"/>
        <v>0.48051834071248684</v>
      </c>
      <c r="Q1896" s="1">
        <f t="shared" si="4197"/>
        <v>0</v>
      </c>
      <c r="R1896" s="1">
        <f t="shared" si="4198"/>
        <v>0.63821043462386751</v>
      </c>
      <c r="S1896" s="1">
        <f t="shared" si="4199"/>
        <v>0.62695838231543044</v>
      </c>
      <c r="T1896" s="1">
        <f t="shared" ref="T1896:V1896" si="4285">$S1896*P1896</f>
        <v>0.30126500156599556</v>
      </c>
      <c r="U1896" s="1">
        <f t="shared" si="4285"/>
        <v>0</v>
      </c>
      <c r="V1896" s="1">
        <f t="shared" si="4285"/>
        <v>0.40013138166860773</v>
      </c>
      <c r="W1896" s="1">
        <f t="shared" si="4201"/>
        <v>-5.8936439069461271</v>
      </c>
      <c r="X1896" s="1">
        <f t="shared" si="4202"/>
        <v>0</v>
      </c>
      <c r="Y1896" s="1">
        <f t="shared" si="4203"/>
        <v>-4.7422775027225219</v>
      </c>
    </row>
    <row r="1897" spans="1:25">
      <c r="A1897" s="1">
        <v>1.89499999999998</v>
      </c>
      <c r="B1897" s="1">
        <f t="shared" si="4204"/>
        <v>50.727448507198446</v>
      </c>
      <c r="C1897" s="1">
        <f t="shared" si="4205"/>
        <v>0</v>
      </c>
      <c r="D1897" s="1">
        <f t="shared" si="4206"/>
        <v>-6.2498774271814188</v>
      </c>
      <c r="E1897" s="1">
        <f t="shared" si="4207"/>
        <v>11.021560710914761</v>
      </c>
      <c r="F1897" s="1">
        <f t="shared" si="4208"/>
        <v>0</v>
      </c>
      <c r="G1897" s="1">
        <f t="shared" si="4209"/>
        <v>-8.307480342236099</v>
      </c>
      <c r="H1897" s="1">
        <f t="shared" si="4032"/>
        <v>13.801776340059243</v>
      </c>
      <c r="I1897" s="1">
        <f t="shared" si="4192"/>
        <v>-6.1907664454603442</v>
      </c>
      <c r="J1897" s="1">
        <f t="shared" si="4193"/>
        <v>0</v>
      </c>
      <c r="K1897" s="1">
        <f t="shared" si="4194"/>
        <v>4.6662783881510856</v>
      </c>
      <c r="L1897" s="1">
        <f t="shared" ref="L1897:N1897" si="4286">E1897/$H1897</f>
        <v>0.79856102862100509</v>
      </c>
      <c r="M1897" s="1">
        <f t="shared" si="4286"/>
        <v>0</v>
      </c>
      <c r="N1897" s="1">
        <f t="shared" si="4286"/>
        <v>-0.60191385061963987</v>
      </c>
      <c r="O1897" s="1">
        <f t="shared" si="4034"/>
        <v>-0.60191385061963987</v>
      </c>
      <c r="P1897" s="1">
        <f t="shared" si="4196"/>
        <v>0.4806649436920496</v>
      </c>
      <c r="Q1897" s="1">
        <f t="shared" si="4197"/>
        <v>0</v>
      </c>
      <c r="R1897" s="1">
        <f t="shared" si="4198"/>
        <v>0.63769971643223788</v>
      </c>
      <c r="S1897" s="1">
        <f t="shared" si="4199"/>
        <v>0.62678998235308259</v>
      </c>
      <c r="T1897" s="1">
        <f t="shared" ref="T1897:V1897" si="4287">$S1897*P1897</f>
        <v>0.30127597157448521</v>
      </c>
      <c r="U1897" s="1">
        <f t="shared" si="4287"/>
        <v>0</v>
      </c>
      <c r="V1897" s="1">
        <f t="shared" si="4287"/>
        <v>0.39970379400912814</v>
      </c>
      <c r="W1897" s="1">
        <f t="shared" si="4201"/>
        <v>-5.8894904738858589</v>
      </c>
      <c r="X1897" s="1">
        <f t="shared" si="4202"/>
        <v>0</v>
      </c>
      <c r="Y1897" s="1">
        <f t="shared" si="4203"/>
        <v>-4.7406678178397854</v>
      </c>
    </row>
    <row r="1898" spans="1:25">
      <c r="A1898" s="1">
        <v>1.8959999999999799</v>
      </c>
      <c r="B1898" s="1">
        <f t="shared" si="4204"/>
        <v>50.738464178418887</v>
      </c>
      <c r="C1898" s="1">
        <f t="shared" si="4205"/>
        <v>0</v>
      </c>
      <c r="D1898" s="1">
        <f t="shared" si="4206"/>
        <v>-6.2581896481914727</v>
      </c>
      <c r="E1898" s="1">
        <f t="shared" si="4207"/>
        <v>11.015671220440876</v>
      </c>
      <c r="F1898" s="1">
        <f t="shared" si="4208"/>
        <v>0</v>
      </c>
      <c r="G1898" s="1">
        <f t="shared" si="4209"/>
        <v>-8.3122210100539391</v>
      </c>
      <c r="H1898" s="1">
        <f t="shared" si="4032"/>
        <v>13.799928643178974</v>
      </c>
      <c r="I1898" s="1">
        <f t="shared" si="4192"/>
        <v>-6.1866300034378003</v>
      </c>
      <c r="J1898" s="1">
        <f t="shared" si="4193"/>
        <v>0</v>
      </c>
      <c r="K1898" s="1">
        <f t="shared" si="4194"/>
        <v>4.6683161531347528</v>
      </c>
      <c r="L1898" s="1">
        <f t="shared" ref="L1898:N1898" si="4288">E1898/$H1898</f>
        <v>0.79824117249227222</v>
      </c>
      <c r="M1898" s="1">
        <f t="shared" si="4288"/>
        <v>0</v>
      </c>
      <c r="N1898" s="1">
        <f t="shared" si="4288"/>
        <v>-0.60233797036062953</v>
      </c>
      <c r="O1898" s="1">
        <f t="shared" si="4034"/>
        <v>-0.60233797036062953</v>
      </c>
      <c r="P1898" s="1">
        <f t="shared" si="4196"/>
        <v>0.48081096769728443</v>
      </c>
      <c r="Q1898" s="1">
        <f t="shared" si="4197"/>
        <v>0</v>
      </c>
      <c r="R1898" s="1">
        <f t="shared" si="4198"/>
        <v>0.63718896946183734</v>
      </c>
      <c r="S1898" s="1">
        <f t="shared" si="4199"/>
        <v>0.62662217201539905</v>
      </c>
      <c r="T1898" s="1">
        <f t="shared" ref="T1898:V1898" si="4289">$S1898*P1898</f>
        <v>0.30128681290729825</v>
      </c>
      <c r="U1898" s="1">
        <f t="shared" si="4289"/>
        <v>0</v>
      </c>
      <c r="V1898" s="1">
        <f t="shared" si="4289"/>
        <v>0.39927673602843028</v>
      </c>
      <c r="W1898" s="1">
        <f t="shared" si="4201"/>
        <v>-5.8853431905305023</v>
      </c>
      <c r="X1898" s="1">
        <f t="shared" si="4202"/>
        <v>0</v>
      </c>
      <c r="Y1898" s="1">
        <f t="shared" si="4203"/>
        <v>-4.739057110836816</v>
      </c>
    </row>
    <row r="1899" spans="1:25">
      <c r="A1899" s="1">
        <v>1.89699999999998</v>
      </c>
      <c r="B1899" s="1">
        <f t="shared" si="4204"/>
        <v>50.749473964296136</v>
      </c>
      <c r="C1899" s="1">
        <f t="shared" si="4205"/>
        <v>0</v>
      </c>
      <c r="D1899" s="1">
        <f t="shared" si="4206"/>
        <v>-6.2665066082586378</v>
      </c>
      <c r="E1899" s="1">
        <f t="shared" si="4207"/>
        <v>11.009785877250344</v>
      </c>
      <c r="F1899" s="1">
        <f t="shared" si="4208"/>
        <v>0</v>
      </c>
      <c r="G1899" s="1">
        <f t="shared" si="4209"/>
        <v>-8.3169600671647768</v>
      </c>
      <c r="H1899" s="1">
        <f t="shared" si="4032"/>
        <v>13.798087179812811</v>
      </c>
      <c r="I1899" s="1">
        <f t="shared" si="4192"/>
        <v>-6.1824995690873905</v>
      </c>
      <c r="J1899" s="1">
        <f t="shared" si="4193"/>
        <v>0</v>
      </c>
      <c r="K1899" s="1">
        <f t="shared" si="4194"/>
        <v>4.6703544105805204</v>
      </c>
      <c r="L1899" s="1">
        <f t="shared" ref="L1899:N1899" si="4290">E1899/$H1899</f>
        <v>0.79792117079519032</v>
      </c>
      <c r="M1899" s="1">
        <f t="shared" si="4290"/>
        <v>0</v>
      </c>
      <c r="N1899" s="1">
        <f t="shared" si="4290"/>
        <v>-0.60276181464723921</v>
      </c>
      <c r="O1899" s="1">
        <f t="shared" si="4034"/>
        <v>-0.60276181464723921</v>
      </c>
      <c r="P1899" s="1">
        <f t="shared" si="4196"/>
        <v>0.48095641285395863</v>
      </c>
      <c r="Q1899" s="1">
        <f t="shared" si="4197"/>
        <v>0</v>
      </c>
      <c r="R1899" s="1">
        <f t="shared" si="4198"/>
        <v>0.63667819480316723</v>
      </c>
      <c r="S1899" s="1">
        <f t="shared" si="4199"/>
        <v>0.62645495016727748</v>
      </c>
      <c r="T1899" s="1">
        <f t="shared" ref="T1899:V1899" si="4291">$S1899*P1899</f>
        <v>0.30129752564705919</v>
      </c>
      <c r="U1899" s="1">
        <f t="shared" si="4291"/>
        <v>0</v>
      </c>
      <c r="V1899" s="1">
        <f t="shared" si="4291"/>
        <v>0.39885020679801031</v>
      </c>
      <c r="W1899" s="1">
        <f t="shared" si="4201"/>
        <v>-5.8812020434403314</v>
      </c>
      <c r="X1899" s="1">
        <f t="shared" si="4202"/>
        <v>0</v>
      </c>
      <c r="Y1899" s="1">
        <f t="shared" si="4203"/>
        <v>-4.7374453826214689</v>
      </c>
    </row>
    <row r="1900" spans="1:25">
      <c r="A1900" s="1">
        <v>1.8979999999999799</v>
      </c>
      <c r="B1900" s="1">
        <f t="shared" si="4204"/>
        <v>50.760477868971343</v>
      </c>
      <c r="C1900" s="1">
        <f t="shared" si="4205"/>
        <v>0</v>
      </c>
      <c r="D1900" s="1">
        <f t="shared" si="4206"/>
        <v>-6.2748283057711856</v>
      </c>
      <c r="E1900" s="1">
        <f t="shared" si="4207"/>
        <v>11.003904675206904</v>
      </c>
      <c r="F1900" s="1">
        <f t="shared" si="4208"/>
        <v>0</v>
      </c>
      <c r="G1900" s="1">
        <f t="shared" si="4209"/>
        <v>-8.3216975125473986</v>
      </c>
      <c r="H1900" s="1">
        <f t="shared" si="4032"/>
        <v>13.796251939979131</v>
      </c>
      <c r="I1900" s="1">
        <f t="shared" si="4192"/>
        <v>-6.1783751290821689</v>
      </c>
      <c r="J1900" s="1">
        <f t="shared" si="4193"/>
        <v>0</v>
      </c>
      <c r="K1900" s="1">
        <f t="shared" si="4194"/>
        <v>4.6723931605033702</v>
      </c>
      <c r="L1900" s="1">
        <f t="shared" ref="L1900:N1900" si="4292">E1900/$H1900</f>
        <v>0.79760102403751476</v>
      </c>
      <c r="M1900" s="1">
        <f t="shared" si="4292"/>
        <v>0</v>
      </c>
      <c r="N1900" s="1">
        <f t="shared" si="4292"/>
        <v>-0.60318538315704218</v>
      </c>
      <c r="O1900" s="1">
        <f t="shared" si="4034"/>
        <v>-0.60318538315704218</v>
      </c>
      <c r="P1900" s="1">
        <f t="shared" si="4196"/>
        <v>0.48110127929051755</v>
      </c>
      <c r="Q1900" s="1">
        <f t="shared" si="4197"/>
        <v>0</v>
      </c>
      <c r="R1900" s="1">
        <f t="shared" si="4198"/>
        <v>0.63616739354569218</v>
      </c>
      <c r="S1900" s="1">
        <f t="shared" si="4199"/>
        <v>0.62628831567585519</v>
      </c>
      <c r="T1900" s="1">
        <f t="shared" ref="T1900:V1900" si="4293">$S1900*P1900</f>
        <v>0.30130810987635742</v>
      </c>
      <c r="U1900" s="1">
        <f t="shared" si="4293"/>
        <v>0</v>
      </c>
      <c r="V1900" s="1">
        <f t="shared" si="4293"/>
        <v>0.39842420539163048</v>
      </c>
      <c r="W1900" s="1">
        <f t="shared" si="4201"/>
        <v>-5.8770670192058114</v>
      </c>
      <c r="X1900" s="1">
        <f t="shared" si="4202"/>
        <v>0</v>
      </c>
      <c r="Y1900" s="1">
        <f t="shared" si="4203"/>
        <v>-4.735832634104999</v>
      </c>
    </row>
    <row r="1901" spans="1:25">
      <c r="A1901" s="1">
        <v>1.89899999999998</v>
      </c>
      <c r="B1901" s="1">
        <f t="shared" si="4204"/>
        <v>50.771475896579531</v>
      </c>
      <c r="C1901" s="1">
        <f t="shared" si="4205"/>
        <v>0</v>
      </c>
      <c r="D1901" s="1">
        <f t="shared" si="4206"/>
        <v>-6.2831547391163669</v>
      </c>
      <c r="E1901" s="1">
        <f t="shared" si="4207"/>
        <v>10.998027608187698</v>
      </c>
      <c r="F1901" s="1">
        <f t="shared" si="4208"/>
        <v>0</v>
      </c>
      <c r="G1901" s="1">
        <f t="shared" si="4209"/>
        <v>-8.3264333451815045</v>
      </c>
      <c r="H1901" s="1">
        <f t="shared" si="4032"/>
        <v>13.794422913707164</v>
      </c>
      <c r="I1901" s="1">
        <f t="shared" si="4192"/>
        <v>-6.1742566701252635</v>
      </c>
      <c r="J1901" s="1">
        <f t="shared" si="4193"/>
        <v>0</v>
      </c>
      <c r="K1901" s="1">
        <f t="shared" si="4194"/>
        <v>4.6744324029126343</v>
      </c>
      <c r="L1901" s="1">
        <f t="shared" ref="L1901:N1901" si="4294">E1901/$H1901</f>
        <v>0.79728073272708211</v>
      </c>
      <c r="M1901" s="1">
        <f t="shared" si="4294"/>
        <v>0</v>
      </c>
      <c r="N1901" s="1">
        <f t="shared" si="4294"/>
        <v>-0.60360867556900411</v>
      </c>
      <c r="O1901" s="1">
        <f t="shared" si="4034"/>
        <v>-0.60360867556900411</v>
      </c>
      <c r="P1901" s="1">
        <f t="shared" si="4196"/>
        <v>0.4812455671380792</v>
      </c>
      <c r="Q1901" s="1">
        <f t="shared" si="4197"/>
        <v>0</v>
      </c>
      <c r="R1901" s="1">
        <f t="shared" si="4198"/>
        <v>0.63565656677783267</v>
      </c>
      <c r="S1901" s="1">
        <f t="shared" si="4199"/>
        <v>0.62612226741050225</v>
      </c>
      <c r="T1901" s="1">
        <f t="shared" ref="T1901:V1901" si="4295">$S1901*P1901</f>
        <v>0.30131856567774723</v>
      </c>
      <c r="U1901" s="1">
        <f t="shared" si="4295"/>
        <v>0</v>
      </c>
      <c r="V1901" s="1">
        <f t="shared" si="4295"/>
        <v>0.3979987308853119</v>
      </c>
      <c r="W1901" s="1">
        <f t="shared" si="4201"/>
        <v>-5.872938104447516</v>
      </c>
      <c r="X1901" s="1">
        <f t="shared" si="4202"/>
        <v>0</v>
      </c>
      <c r="Y1901" s="1">
        <f t="shared" si="4203"/>
        <v>-4.7342188662020535</v>
      </c>
    </row>
    <row r="1902" spans="1:25">
      <c r="A1902" s="1">
        <v>1.8999999999999799</v>
      </c>
      <c r="B1902" s="1">
        <f t="shared" si="4204"/>
        <v>50.782468051249616</v>
      </c>
      <c r="C1902" s="1">
        <f t="shared" si="4205"/>
        <v>0</v>
      </c>
      <c r="D1902" s="1">
        <f t="shared" si="4206"/>
        <v>-6.291485906680415</v>
      </c>
      <c r="E1902" s="1">
        <f t="shared" si="4207"/>
        <v>10.99215467008325</v>
      </c>
      <c r="F1902" s="1">
        <f t="shared" si="4208"/>
        <v>0</v>
      </c>
      <c r="G1902" s="1">
        <f t="shared" si="4209"/>
        <v>-8.331167564047707</v>
      </c>
      <c r="H1902" s="1">
        <f t="shared" si="4032"/>
        <v>13.792600091036991</v>
      </c>
      <c r="I1902" s="1">
        <f t="shared" si="4192"/>
        <v>-6.1701441789498039</v>
      </c>
      <c r="J1902" s="1">
        <f t="shared" si="4193"/>
        <v>0</v>
      </c>
      <c r="K1902" s="1">
        <f t="shared" si="4194"/>
        <v>4.6764721378120004</v>
      </c>
      <c r="L1902" s="1">
        <f t="shared" ref="L1902:N1902" si="4296">E1902/$H1902</f>
        <v>0.79696029737180685</v>
      </c>
      <c r="M1902" s="1">
        <f t="shared" si="4296"/>
        <v>0</v>
      </c>
      <c r="N1902" s="1">
        <f t="shared" si="4296"/>
        <v>-0.6040316915634818</v>
      </c>
      <c r="O1902" s="1">
        <f t="shared" si="4034"/>
        <v>-0.6040316915634818</v>
      </c>
      <c r="P1902" s="1">
        <f t="shared" si="4196"/>
        <v>0.48138927653042796</v>
      </c>
      <c r="Q1902" s="1">
        <f t="shared" si="4197"/>
        <v>0</v>
      </c>
      <c r="R1902" s="1">
        <f t="shared" si="4198"/>
        <v>0.63514571558695887</v>
      </c>
      <c r="S1902" s="1">
        <f t="shared" si="4199"/>
        <v>0.6259568042428163</v>
      </c>
      <c r="T1902" s="1">
        <f t="shared" ref="T1902:V1902" si="4297">$S1902*P1902</f>
        <v>0.30132889313374805</v>
      </c>
      <c r="U1902" s="1">
        <f t="shared" si="4297"/>
        <v>0</v>
      </c>
      <c r="V1902" s="1">
        <f t="shared" si="4297"/>
        <v>0.39757378235732949</v>
      </c>
      <c r="W1902" s="1">
        <f t="shared" si="4201"/>
        <v>-5.8688152858160558</v>
      </c>
      <c r="X1902" s="1">
        <f t="shared" si="4202"/>
        <v>0</v>
      </c>
      <c r="Y1902" s="1">
        <f t="shared" si="4203"/>
        <v>-4.7326040798306694</v>
      </c>
    </row>
    <row r="1903" spans="1:25">
      <c r="A1903" s="1">
        <v>1.90099999999998</v>
      </c>
      <c r="B1903" s="1">
        <f t="shared" si="4204"/>
        <v>50.793454337104414</v>
      </c>
      <c r="C1903" s="1">
        <f t="shared" si="4205"/>
        <v>0</v>
      </c>
      <c r="D1903" s="1">
        <f t="shared" si="4206"/>
        <v>-6.2998218068485423</v>
      </c>
      <c r="E1903" s="1">
        <f t="shared" si="4207"/>
        <v>10.986285854797435</v>
      </c>
      <c r="F1903" s="1">
        <f t="shared" si="4208"/>
        <v>0</v>
      </c>
      <c r="G1903" s="1">
        <f t="shared" si="4209"/>
        <v>-8.3359001681275373</v>
      </c>
      <c r="H1903" s="1">
        <f t="shared" si="4032"/>
        <v>13.790783462019514</v>
      </c>
      <c r="I1903" s="1">
        <f t="shared" si="4192"/>
        <v>-6.1660376423188543</v>
      </c>
      <c r="J1903" s="1">
        <f t="shared" si="4193"/>
        <v>0</v>
      </c>
      <c r="K1903" s="1">
        <f t="shared" si="4194"/>
        <v>4.6785123651995271</v>
      </c>
      <c r="L1903" s="1">
        <f t="shared" ref="L1903:N1903" si="4298">E1903/$H1903</f>
        <v>0.79663971847967874</v>
      </c>
      <c r="M1903" s="1">
        <f t="shared" si="4298"/>
        <v>0</v>
      </c>
      <c r="N1903" s="1">
        <f t="shared" si="4298"/>
        <v>-0.6044544308222235</v>
      </c>
      <c r="O1903" s="1">
        <f t="shared" si="4034"/>
        <v>-0.6044544308222235</v>
      </c>
      <c r="P1903" s="1">
        <f t="shared" si="4196"/>
        <v>0.48153240760401056</v>
      </c>
      <c r="Q1903" s="1">
        <f t="shared" si="4197"/>
        <v>0</v>
      </c>
      <c r="R1903" s="1">
        <f t="shared" si="4198"/>
        <v>0.63463484105938184</v>
      </c>
      <c r="S1903" s="1">
        <f t="shared" si="4199"/>
        <v>0.62579192504661607</v>
      </c>
      <c r="T1903" s="1">
        <f t="shared" ref="T1903:V1903" si="4299">$S1903*P1903</f>
        <v>0.30133909232684558</v>
      </c>
      <c r="U1903" s="1">
        <f t="shared" si="4299"/>
        <v>0</v>
      </c>
      <c r="V1903" s="1">
        <f t="shared" si="4299"/>
        <v>0.3971493588882038</v>
      </c>
      <c r="W1903" s="1">
        <f t="shared" si="4201"/>
        <v>-5.864698549992009</v>
      </c>
      <c r="X1903" s="1">
        <f t="shared" si="4202"/>
        <v>0</v>
      </c>
      <c r="Y1903" s="1">
        <f t="shared" si="4203"/>
        <v>-4.730988275912269</v>
      </c>
    </row>
    <row r="1904" spans="1:25">
      <c r="A1904" s="1">
        <v>1.9019999999999799</v>
      </c>
      <c r="B1904" s="1">
        <f t="shared" si="4204"/>
        <v>50.804434758260662</v>
      </c>
      <c r="C1904" s="1">
        <f t="shared" si="4205"/>
        <v>0</v>
      </c>
      <c r="D1904" s="1">
        <f t="shared" si="4206"/>
        <v>-6.3081624380049455</v>
      </c>
      <c r="E1904" s="1">
        <f t="shared" si="4207"/>
        <v>10.980421156247443</v>
      </c>
      <c r="F1904" s="1">
        <f t="shared" si="4208"/>
        <v>0</v>
      </c>
      <c r="G1904" s="1">
        <f t="shared" si="4209"/>
        <v>-8.3406311564034503</v>
      </c>
      <c r="H1904" s="1">
        <f t="shared" si="4032"/>
        <v>13.788973016716451</v>
      </c>
      <c r="I1904" s="1">
        <f t="shared" si="4192"/>
        <v>-6.1619370470253321</v>
      </c>
      <c r="J1904" s="1">
        <f t="shared" si="4193"/>
        <v>0</v>
      </c>
      <c r="K1904" s="1">
        <f t="shared" si="4194"/>
        <v>4.6805530850676584</v>
      </c>
      <c r="L1904" s="1">
        <f t="shared" ref="L1904:N1904" si="4300">E1904/$H1904</f>
        <v>0.7963189965587586</v>
      </c>
      <c r="M1904" s="1">
        <f t="shared" si="4300"/>
        <v>0</v>
      </c>
      <c r="N1904" s="1">
        <f t="shared" si="4300"/>
        <v>-0.60487689302836811</v>
      </c>
      <c r="O1904" s="1">
        <f t="shared" si="4034"/>
        <v>-0.60487689302836811</v>
      </c>
      <c r="P1904" s="1">
        <f t="shared" si="4196"/>
        <v>0.48167496049792968</v>
      </c>
      <c r="Q1904" s="1">
        <f t="shared" si="4197"/>
        <v>0</v>
      </c>
      <c r="R1904" s="1">
        <f t="shared" si="4198"/>
        <v>0.63412394428034813</v>
      </c>
      <c r="S1904" s="1">
        <f t="shared" si="4199"/>
        <v>0.62562762869793576</v>
      </c>
      <c r="T1904" s="1">
        <f t="shared" ref="T1904:V1904" si="4301">$S1904*P1904</f>
        <v>0.30134916333949163</v>
      </c>
      <c r="U1904" s="1">
        <f t="shared" si="4301"/>
        <v>0</v>
      </c>
      <c r="V1904" s="1">
        <f t="shared" si="4301"/>
        <v>0.39672545956069616</v>
      </c>
      <c r="W1904" s="1">
        <f t="shared" si="4201"/>
        <v>-5.8605878836858407</v>
      </c>
      <c r="X1904" s="1">
        <f t="shared" si="4202"/>
        <v>0</v>
      </c>
      <c r="Y1904" s="1">
        <f t="shared" si="4203"/>
        <v>-4.7293714553716448</v>
      </c>
    </row>
    <row r="1905" spans="1:25">
      <c r="A1905" s="1">
        <v>1.90299999999998</v>
      </c>
      <c r="B1905" s="1">
        <f t="shared" si="4204"/>
        <v>50.815409318829026</v>
      </c>
      <c r="C1905" s="1">
        <f t="shared" si="4205"/>
        <v>0</v>
      </c>
      <c r="D1905" s="1">
        <f t="shared" si="4206"/>
        <v>-6.316507798532804</v>
      </c>
      <c r="E1905" s="1">
        <f t="shared" si="4207"/>
        <v>10.974560568363758</v>
      </c>
      <c r="F1905" s="1">
        <f t="shared" si="4208"/>
        <v>0</v>
      </c>
      <c r="G1905" s="1">
        <f t="shared" si="4209"/>
        <v>-8.3453605278588228</v>
      </c>
      <c r="H1905" s="1">
        <f t="shared" si="4032"/>
        <v>13.787168745200326</v>
      </c>
      <c r="I1905" s="1">
        <f t="shared" si="4192"/>
        <v>-6.1578423798919433</v>
      </c>
      <c r="J1905" s="1">
        <f t="shared" si="4193"/>
        <v>0</v>
      </c>
      <c r="K1905" s="1">
        <f t="shared" si="4194"/>
        <v>4.6825942974032273</v>
      </c>
      <c r="L1905" s="1">
        <f t="shared" ref="L1905:N1905" si="4302">E1905/$H1905</f>
        <v>0.79599813211717529</v>
      </c>
      <c r="M1905" s="1">
        <f t="shared" si="4302"/>
        <v>0</v>
      </c>
      <c r="N1905" s="1">
        <f t="shared" si="4302"/>
        <v>-0.60529907786644455</v>
      </c>
      <c r="O1905" s="1">
        <f t="shared" si="4034"/>
        <v>-0.60529907786644455</v>
      </c>
      <c r="P1905" s="1">
        <f t="shared" si="4196"/>
        <v>0.48181693535393849</v>
      </c>
      <c r="Q1905" s="1">
        <f t="shared" si="4197"/>
        <v>0</v>
      </c>
      <c r="R1905" s="1">
        <f t="shared" si="4198"/>
        <v>0.63361302633403183</v>
      </c>
      <c r="S1905" s="1">
        <f t="shared" si="4199"/>
        <v>0.62546391407501889</v>
      </c>
      <c r="T1905" s="1">
        <f t="shared" ref="T1905:V1905" si="4303">$S1905*P1905</f>
        <v>0.30135910625410472</v>
      </c>
      <c r="U1905" s="1">
        <f t="shared" si="4303"/>
        <v>0</v>
      </c>
      <c r="V1905" s="1">
        <f t="shared" si="4303"/>
        <v>0.39630208345980156</v>
      </c>
      <c r="W1905" s="1">
        <f t="shared" si="4201"/>
        <v>-5.8564832736378385</v>
      </c>
      <c r="X1905" s="1">
        <f t="shared" si="4202"/>
        <v>0</v>
      </c>
      <c r="Y1905" s="1">
        <f t="shared" si="4203"/>
        <v>-4.7277536191369709</v>
      </c>
    </row>
    <row r="1906" spans="1:25">
      <c r="A1906" s="1">
        <v>1.9039999999999799</v>
      </c>
      <c r="B1906" s="1">
        <f t="shared" si="4204"/>
        <v>50.826378022914113</v>
      </c>
      <c r="C1906" s="1">
        <f t="shared" si="4205"/>
        <v>0</v>
      </c>
      <c r="D1906" s="1">
        <f t="shared" si="4206"/>
        <v>-6.3248578868142822</v>
      </c>
      <c r="E1906" s="1">
        <f t="shared" si="4207"/>
        <v>10.968704085090121</v>
      </c>
      <c r="F1906" s="1">
        <f t="shared" si="4208"/>
        <v>0</v>
      </c>
      <c r="G1906" s="1">
        <f t="shared" si="4209"/>
        <v>-8.3500882814779605</v>
      </c>
      <c r="H1906" s="1">
        <f t="shared" si="4032"/>
        <v>13.785370637554445</v>
      </c>
      <c r="I1906" s="1">
        <f t="shared" si="4192"/>
        <v>-6.1537536277711009</v>
      </c>
      <c r="J1906" s="1">
        <f t="shared" si="4193"/>
        <v>0</v>
      </c>
      <c r="K1906" s="1">
        <f t="shared" si="4194"/>
        <v>4.6846360021874709</v>
      </c>
      <c r="L1906" s="1">
        <f t="shared" ref="L1906:N1906" si="4304">E1906/$H1906</f>
        <v>0.79567712566312199</v>
      </c>
      <c r="M1906" s="1">
        <f t="shared" si="4304"/>
        <v>0</v>
      </c>
      <c r="N1906" s="1">
        <f t="shared" si="4304"/>
        <v>-0.60572098502237182</v>
      </c>
      <c r="O1906" s="1">
        <f t="shared" si="4034"/>
        <v>-0.60572098502237182</v>
      </c>
      <c r="P1906" s="1">
        <f t="shared" si="4196"/>
        <v>0.48195833231643576</v>
      </c>
      <c r="Q1906" s="1">
        <f t="shared" si="4197"/>
        <v>0</v>
      </c>
      <c r="R1906" s="1">
        <f t="shared" si="4198"/>
        <v>0.63310208830352765</v>
      </c>
      <c r="S1906" s="1">
        <f t="shared" si="4199"/>
        <v>0.62530078005831236</v>
      </c>
      <c r="T1906" s="1">
        <f t="shared" ref="T1906:V1906" si="4305">$S1906*P1906</f>
        <v>0.30136892115307062</v>
      </c>
      <c r="U1906" s="1">
        <f t="shared" si="4305"/>
        <v>0</v>
      </c>
      <c r="V1906" s="1">
        <f t="shared" si="4305"/>
        <v>0.39587922967274242</v>
      </c>
      <c r="W1906" s="1">
        <f t="shared" si="4201"/>
        <v>-5.8523847066180306</v>
      </c>
      <c r="X1906" s="1">
        <f t="shared" si="4202"/>
        <v>0</v>
      </c>
      <c r="Y1906" s="1">
        <f t="shared" si="4203"/>
        <v>-4.7261347681397865</v>
      </c>
    </row>
    <row r="1907" spans="1:25">
      <c r="A1907" s="1">
        <v>1.90499999999998</v>
      </c>
      <c r="B1907" s="1">
        <f t="shared" si="4204"/>
        <v>50.837340874614497</v>
      </c>
      <c r="C1907" s="1">
        <f t="shared" si="4205"/>
        <v>0</v>
      </c>
      <c r="D1907" s="1">
        <f t="shared" si="4206"/>
        <v>-6.3332127012305284</v>
      </c>
      <c r="E1907" s="1">
        <f t="shared" si="4207"/>
        <v>10.962851700383503</v>
      </c>
      <c r="F1907" s="1">
        <f t="shared" si="4208"/>
        <v>0</v>
      </c>
      <c r="G1907" s="1">
        <f t="shared" si="4209"/>
        <v>-8.3548144162461</v>
      </c>
      <c r="H1907" s="1">
        <f t="shared" si="4032"/>
        <v>13.783578683872891</v>
      </c>
      <c r="I1907" s="1">
        <f t="shared" si="4192"/>
        <v>-6.14967077754486</v>
      </c>
      <c r="J1907" s="1">
        <f t="shared" si="4193"/>
        <v>0</v>
      </c>
      <c r="K1907" s="1">
        <f t="shared" si="4194"/>
        <v>4.6866781993960389</v>
      </c>
      <c r="L1907" s="1">
        <f t="shared" ref="L1907:N1907" si="4306">E1907/$H1907</f>
        <v>0.79535597770485367</v>
      </c>
      <c r="M1907" s="1">
        <f t="shared" si="4306"/>
        <v>0</v>
      </c>
      <c r="N1907" s="1">
        <f t="shared" si="4306"/>
        <v>-0.60614261418345783</v>
      </c>
      <c r="O1907" s="1">
        <f t="shared" si="4034"/>
        <v>-0.60614261418345783</v>
      </c>
      <c r="P1907" s="1">
        <f t="shared" si="4196"/>
        <v>0.48209915153246002</v>
      </c>
      <c r="Q1907" s="1">
        <f t="shared" si="4197"/>
        <v>0</v>
      </c>
      <c r="R1907" s="1">
        <f t="shared" si="4198"/>
        <v>0.63259113127084377</v>
      </c>
      <c r="S1907" s="1">
        <f t="shared" si="4199"/>
        <v>0.62513822553046061</v>
      </c>
      <c r="T1907" s="1">
        <f t="shared" ref="T1907:V1907" si="4307">$S1907*P1907</f>
        <v>0.30137860811874267</v>
      </c>
      <c r="U1907" s="1">
        <f t="shared" si="4307"/>
        <v>0</v>
      </c>
      <c r="V1907" s="1">
        <f t="shared" si="4307"/>
        <v>0.39545689728896194</v>
      </c>
      <c r="W1907" s="1">
        <f t="shared" si="4201"/>
        <v>-5.8482921694261174</v>
      </c>
      <c r="X1907" s="1">
        <f t="shared" si="4202"/>
        <v>0</v>
      </c>
      <c r="Y1907" s="1">
        <f t="shared" si="4203"/>
        <v>-4.7245149033149989</v>
      </c>
    </row>
    <row r="1908" spans="1:25">
      <c r="A1908" s="1">
        <v>1.9059999999999799</v>
      </c>
      <c r="B1908" s="1">
        <f t="shared" si="4204"/>
        <v>50.848297878022713</v>
      </c>
      <c r="C1908" s="1">
        <f t="shared" si="4205"/>
        <v>0</v>
      </c>
      <c r="D1908" s="1">
        <f t="shared" si="4206"/>
        <v>-6.3415722401616774</v>
      </c>
      <c r="E1908" s="1">
        <f t="shared" si="4207"/>
        <v>10.957003408214076</v>
      </c>
      <c r="F1908" s="1">
        <f t="shared" si="4208"/>
        <v>0</v>
      </c>
      <c r="G1908" s="1">
        <f t="shared" si="4209"/>
        <v>-8.3595389311494142</v>
      </c>
      <c r="H1908" s="1">
        <f t="shared" si="4032"/>
        <v>13.781792874260502</v>
      </c>
      <c r="I1908" s="1">
        <f t="shared" si="4192"/>
        <v>-6.1455938161248422</v>
      </c>
      <c r="J1908" s="1">
        <f t="shared" si="4193"/>
        <v>0</v>
      </c>
      <c r="K1908" s="1">
        <f t="shared" si="4194"/>
        <v>4.6887208889990122</v>
      </c>
      <c r="L1908" s="1">
        <f t="shared" ref="L1908:N1908" si="4308">E1908/$H1908</f>
        <v>0.79503468875068284</v>
      </c>
      <c r="M1908" s="1">
        <f t="shared" si="4308"/>
        <v>0</v>
      </c>
      <c r="N1908" s="1">
        <f t="shared" si="4308"/>
        <v>-0.60656396503839982</v>
      </c>
      <c r="O1908" s="1">
        <f t="shared" si="4034"/>
        <v>-0.60656396503839982</v>
      </c>
      <c r="P1908" s="1">
        <f t="shared" si="4196"/>
        <v>0.48223939315168429</v>
      </c>
      <c r="Q1908" s="1">
        <f t="shared" si="4197"/>
        <v>0</v>
      </c>
      <c r="R1908" s="1">
        <f t="shared" si="4198"/>
        <v>0.63208015631689496</v>
      </c>
      <c r="S1908" s="1">
        <f t="shared" si="4199"/>
        <v>0.62497624937629936</v>
      </c>
      <c r="T1908" s="1">
        <f t="shared" ref="T1908:V1908" si="4309">$S1908*P1908</f>
        <v>0.30138816723344231</v>
      </c>
      <c r="U1908" s="1">
        <f t="shared" si="4309"/>
        <v>0</v>
      </c>
      <c r="V1908" s="1">
        <f t="shared" si="4309"/>
        <v>0.395035085400118</v>
      </c>
      <c r="W1908" s="1">
        <f t="shared" si="4201"/>
        <v>-5.8442056488913998</v>
      </c>
      <c r="X1908" s="1">
        <f t="shared" si="4202"/>
        <v>0</v>
      </c>
      <c r="Y1908" s="1">
        <f t="shared" si="4203"/>
        <v>-4.7228940256008691</v>
      </c>
    </row>
    <row r="1909" spans="1:25">
      <c r="A1909" s="1">
        <v>1.90699999999998</v>
      </c>
      <c r="B1909" s="1">
        <f t="shared" si="4204"/>
        <v>50.859249037225275</v>
      </c>
      <c r="C1909" s="1">
        <f t="shared" si="4205"/>
        <v>0</v>
      </c>
      <c r="D1909" s="1">
        <f t="shared" si="4206"/>
        <v>-6.3499365019868526</v>
      </c>
      <c r="E1909" s="1">
        <f t="shared" si="4207"/>
        <v>10.951159202565185</v>
      </c>
      <c r="F1909" s="1">
        <f t="shared" si="4208"/>
        <v>0</v>
      </c>
      <c r="G1909" s="1">
        <f t="shared" si="4209"/>
        <v>-8.3642618251750154</v>
      </c>
      <c r="H1909" s="1">
        <f t="shared" si="4032"/>
        <v>13.780013198832874</v>
      </c>
      <c r="I1909" s="1">
        <f t="shared" si="4192"/>
        <v>-6.1415227304521682</v>
      </c>
      <c r="J1909" s="1">
        <f t="shared" si="4193"/>
        <v>0</v>
      </c>
      <c r="K1909" s="1">
        <f t="shared" si="4194"/>
        <v>4.6907640709609097</v>
      </c>
      <c r="L1909" s="1">
        <f t="shared" ref="L1909:N1909" si="4310">E1909/$H1909</f>
        <v>0.79471325930897618</v>
      </c>
      <c r="M1909" s="1">
        <f t="shared" si="4310"/>
        <v>0</v>
      </c>
      <c r="N1909" s="1">
        <f t="shared" si="4310"/>
        <v>-0.60698503727728237</v>
      </c>
      <c r="O1909" s="1">
        <f t="shared" si="4034"/>
        <v>-0.60698503727728237</v>
      </c>
      <c r="P1909" s="1">
        <f t="shared" si="4196"/>
        <v>0.48237905732640945</v>
      </c>
      <c r="Q1909" s="1">
        <f t="shared" si="4197"/>
        <v>0</v>
      </c>
      <c r="R1909" s="1">
        <f t="shared" si="4198"/>
        <v>0.63156916452149614</v>
      </c>
      <c r="S1909" s="1">
        <f t="shared" si="4199"/>
        <v>0.62481485048285124</v>
      </c>
      <c r="T1909" s="1">
        <f t="shared" ref="T1909:V1909" si="4311">$S1909*P1909</f>
        <v>0.30139759857945925</v>
      </c>
      <c r="U1909" s="1">
        <f t="shared" si="4311"/>
        <v>0</v>
      </c>
      <c r="V1909" s="1">
        <f t="shared" si="4311"/>
        <v>0.39461379310007788</v>
      </c>
      <c r="W1909" s="1">
        <f t="shared" si="4201"/>
        <v>-5.8401251318727088</v>
      </c>
      <c r="X1909" s="1">
        <f t="shared" si="4202"/>
        <v>0</v>
      </c>
      <c r="Y1909" s="1">
        <f t="shared" si="4203"/>
        <v>-4.721272135939012</v>
      </c>
    </row>
    <row r="1910" spans="1:25">
      <c r="A1910" s="1">
        <v>1.9079999999999799</v>
      </c>
      <c r="B1910" s="1">
        <f t="shared" si="4204"/>
        <v>50.870194356302711</v>
      </c>
      <c r="C1910" s="1">
        <f t="shared" si="4205"/>
        <v>0</v>
      </c>
      <c r="D1910" s="1">
        <f t="shared" si="4206"/>
        <v>-6.3583054850841636</v>
      </c>
      <c r="E1910" s="1">
        <f t="shared" si="4207"/>
        <v>10.945319077433313</v>
      </c>
      <c r="F1910" s="1">
        <f t="shared" si="4208"/>
        <v>0</v>
      </c>
      <c r="G1910" s="1">
        <f t="shared" si="4209"/>
        <v>-8.368983097310954</v>
      </c>
      <c r="H1910" s="1">
        <f t="shared" si="4032"/>
        <v>13.778239647716324</v>
      </c>
      <c r="I1910" s="1">
        <f t="shared" si="4192"/>
        <v>-6.1374575074973796</v>
      </c>
      <c r="J1910" s="1">
        <f t="shared" si="4193"/>
        <v>0</v>
      </c>
      <c r="K1910" s="1">
        <f t="shared" si="4194"/>
        <v>4.6928077452406951</v>
      </c>
      <c r="L1910" s="1">
        <f t="shared" ref="L1910:N1910" si="4312">E1910/$H1910</f>
        <v>0.79439168988815245</v>
      </c>
      <c r="M1910" s="1">
        <f t="shared" si="4312"/>
        <v>0</v>
      </c>
      <c r="N1910" s="1">
        <f t="shared" si="4312"/>
        <v>-0.60740583059157871</v>
      </c>
      <c r="O1910" s="1">
        <f t="shared" si="4034"/>
        <v>-0.60740583059157871</v>
      </c>
      <c r="P1910" s="1">
        <f t="shared" si="4196"/>
        <v>0.48251814421156108</v>
      </c>
      <c r="Q1910" s="1">
        <f t="shared" si="4197"/>
        <v>0</v>
      </c>
      <c r="R1910" s="1">
        <f t="shared" si="4198"/>
        <v>0.63105815696335443</v>
      </c>
      <c r="S1910" s="1">
        <f t="shared" si="4199"/>
        <v>0.62465402773931777</v>
      </c>
      <c r="T1910" s="1">
        <f t="shared" ref="T1910:V1910" si="4313">$S1910*P1910</f>
        <v>0.30140690223905259</v>
      </c>
      <c r="U1910" s="1">
        <f t="shared" si="4313"/>
        <v>0</v>
      </c>
      <c r="V1910" s="1">
        <f t="shared" si="4313"/>
        <v>0.39419301948490992</v>
      </c>
      <c r="W1910" s="1">
        <f t="shared" si="4201"/>
        <v>-5.8360506052583272</v>
      </c>
      <c r="X1910" s="1">
        <f t="shared" si="4202"/>
        <v>0</v>
      </c>
      <c r="Y1910" s="1">
        <f t="shared" si="4203"/>
        <v>-4.7196492352743942</v>
      </c>
    </row>
    <row r="1911" spans="1:25">
      <c r="A1911" s="1">
        <v>1.90899999999998</v>
      </c>
      <c r="B1911" s="1">
        <f t="shared" si="4204"/>
        <v>50.881133839329543</v>
      </c>
      <c r="C1911" s="1">
        <f t="shared" si="4205"/>
        <v>0</v>
      </c>
      <c r="D1911" s="1">
        <f t="shared" si="4206"/>
        <v>-6.3666791878307096</v>
      </c>
      <c r="E1911" s="1">
        <f t="shared" si="4207"/>
        <v>10.939483026828054</v>
      </c>
      <c r="F1911" s="1">
        <f t="shared" si="4208"/>
        <v>0</v>
      </c>
      <c r="G1911" s="1">
        <f t="shared" si="4209"/>
        <v>-8.373702746546229</v>
      </c>
      <c r="H1911" s="1">
        <f t="shared" si="4032"/>
        <v>13.776472211047897</v>
      </c>
      <c r="I1911" s="1">
        <f t="shared" si="4192"/>
        <v>-6.1333981342603696</v>
      </c>
      <c r="J1911" s="1">
        <f t="shared" si="4193"/>
        <v>0</v>
      </c>
      <c r="K1911" s="1">
        <f t="shared" si="4194"/>
        <v>4.6948519117917948</v>
      </c>
      <c r="L1911" s="1">
        <f t="shared" ref="L1911:N1911" si="4314">E1911/$H1911</f>
        <v>0.79406998099667703</v>
      </c>
      <c r="M1911" s="1">
        <f t="shared" si="4314"/>
        <v>0</v>
      </c>
      <c r="N1911" s="1">
        <f t="shared" si="4314"/>
        <v>-0.60782634467414853</v>
      </c>
      <c r="O1911" s="1">
        <f t="shared" si="4034"/>
        <v>-0.60782634467414853</v>
      </c>
      <c r="P1911" s="1">
        <f t="shared" si="4196"/>
        <v>0.48265665396468077</v>
      </c>
      <c r="Q1911" s="1">
        <f t="shared" si="4197"/>
        <v>0</v>
      </c>
      <c r="R1911" s="1">
        <f t="shared" si="4198"/>
        <v>0.63054713472006318</v>
      </c>
      <c r="S1911" s="1">
        <f t="shared" si="4199"/>
        <v>0.6244937800370749</v>
      </c>
      <c r="T1911" s="1">
        <f t="shared" ref="T1911:V1911" si="4315">$S1911*P1911</f>
        <v>0.30141607829444994</v>
      </c>
      <c r="U1911" s="1">
        <f t="shared" si="4315"/>
        <v>0</v>
      </c>
      <c r="V1911" s="1">
        <f t="shared" si="4315"/>
        <v>0.39377276365287894</v>
      </c>
      <c r="W1911" s="1">
        <f t="shared" si="4201"/>
        <v>-5.8319820559659199</v>
      </c>
      <c r="X1911" s="1">
        <f t="shared" si="4202"/>
        <v>0</v>
      </c>
      <c r="Y1911" s="1">
        <f t="shared" si="4203"/>
        <v>-4.7180253245553256</v>
      </c>
    </row>
    <row r="1912" spans="1:25">
      <c r="A1912" s="1">
        <v>1.9099999999999799</v>
      </c>
      <c r="B1912" s="1">
        <f t="shared" si="4204"/>
        <v>50.892067490374316</v>
      </c>
      <c r="C1912" s="1">
        <f t="shared" si="4205"/>
        <v>0</v>
      </c>
      <c r="D1912" s="1">
        <f t="shared" si="4206"/>
        <v>-6.3750576086025807</v>
      </c>
      <c r="E1912" s="1">
        <f t="shared" si="4207"/>
        <v>10.933651044772088</v>
      </c>
      <c r="F1912" s="1">
        <f t="shared" si="4208"/>
        <v>0</v>
      </c>
      <c r="G1912" s="1">
        <f t="shared" si="4209"/>
        <v>-8.3784207718707844</v>
      </c>
      <c r="H1912" s="1">
        <f t="shared" si="4032"/>
        <v>13.774710878975341</v>
      </c>
      <c r="I1912" s="1">
        <f t="shared" si="4192"/>
        <v>-6.1293445977703174</v>
      </c>
      <c r="J1912" s="1">
        <f t="shared" si="4193"/>
        <v>0</v>
      </c>
      <c r="K1912" s="1">
        <f t="shared" si="4194"/>
        <v>4.6968965705621057</v>
      </c>
      <c r="L1912" s="1">
        <f t="shared" ref="L1912:N1912" si="4316">E1912/$H1912</f>
        <v>0.79374813314306081</v>
      </c>
      <c r="M1912" s="1">
        <f t="shared" si="4316"/>
        <v>0</v>
      </c>
      <c r="N1912" s="1">
        <f t="shared" si="4316"/>
        <v>-0.60824657921923875</v>
      </c>
      <c r="O1912" s="1">
        <f t="shared" si="4034"/>
        <v>-0.60824657921923875</v>
      </c>
      <c r="P1912" s="1">
        <f t="shared" si="4196"/>
        <v>0.48279458674592363</v>
      </c>
      <c r="Q1912" s="1">
        <f t="shared" si="4197"/>
        <v>0</v>
      </c>
      <c r="R1912" s="1">
        <f t="shared" si="4198"/>
        <v>0.63003609886809431</v>
      </c>
      <c r="S1912" s="1">
        <f t="shared" si="4199"/>
        <v>0.6243341062696669</v>
      </c>
      <c r="T1912" s="1">
        <f t="shared" ref="T1912:V1912" si="4317">$S1912*P1912</f>
        <v>0.30142512682784939</v>
      </c>
      <c r="U1912" s="1">
        <f t="shared" si="4317"/>
        <v>0</v>
      </c>
      <c r="V1912" s="1">
        <f t="shared" si="4317"/>
        <v>0.39335302470443917</v>
      </c>
      <c r="W1912" s="1">
        <f t="shared" si="4201"/>
        <v>-5.8279194709424678</v>
      </c>
      <c r="X1912" s="1">
        <f t="shared" si="4202"/>
        <v>0</v>
      </c>
      <c r="Y1912" s="1">
        <f t="shared" si="4203"/>
        <v>-4.7164004047334549</v>
      </c>
    </row>
    <row r="1913" spans="1:25">
      <c r="A1913" s="1">
        <v>1.91099999999998</v>
      </c>
      <c r="B1913" s="1">
        <f t="shared" si="4204"/>
        <v>50.902995313499616</v>
      </c>
      <c r="C1913" s="1">
        <f t="shared" si="4205"/>
        <v>0</v>
      </c>
      <c r="D1913" s="1">
        <f t="shared" si="4206"/>
        <v>-6.3834407457748563</v>
      </c>
      <c r="E1913" s="1">
        <f t="shared" si="4207"/>
        <v>10.927823125301146</v>
      </c>
      <c r="F1913" s="1">
        <f t="shared" si="4208"/>
        <v>0</v>
      </c>
      <c r="G1913" s="1">
        <f t="shared" si="4209"/>
        <v>-8.3831371722755179</v>
      </c>
      <c r="H1913" s="1">
        <f t="shared" si="4032"/>
        <v>13.772955641657097</v>
      </c>
      <c r="I1913" s="1">
        <f t="shared" si="4192"/>
        <v>-6.1252968850856089</v>
      </c>
      <c r="J1913" s="1">
        <f t="shared" si="4193"/>
        <v>0</v>
      </c>
      <c r="K1913" s="1">
        <f t="shared" si="4194"/>
        <v>4.698941721494009</v>
      </c>
      <c r="L1913" s="1">
        <f t="shared" ref="L1913:N1913" si="4318">E1913/$H1913</f>
        <v>0.79342614683585533</v>
      </c>
      <c r="M1913" s="1">
        <f t="shared" si="4318"/>
        <v>0</v>
      </c>
      <c r="N1913" s="1">
        <f t="shared" si="4318"/>
        <v>-0.60866653392248193</v>
      </c>
      <c r="O1913" s="1">
        <f t="shared" si="4034"/>
        <v>-0.60866653392248193</v>
      </c>
      <c r="P1913" s="1">
        <f t="shared" si="4196"/>
        <v>0.48293194271805029</v>
      </c>
      <c r="Q1913" s="1">
        <f t="shared" si="4197"/>
        <v>0</v>
      </c>
      <c r="R1913" s="1">
        <f t="shared" si="4198"/>
        <v>0.62952505048279217</v>
      </c>
      <c r="S1913" s="1">
        <f t="shared" si="4199"/>
        <v>0.62417500533280068</v>
      </c>
      <c r="T1913" s="1">
        <f t="shared" ref="T1913:V1913" si="4319">$S1913*P1913</f>
        <v>0.30143404792141881</v>
      </c>
      <c r="U1913" s="1">
        <f t="shared" si="4319"/>
        <v>0</v>
      </c>
      <c r="V1913" s="1">
        <f t="shared" si="4319"/>
        <v>0.39293380174222842</v>
      </c>
      <c r="W1913" s="1">
        <f t="shared" si="4201"/>
        <v>-5.8238628371641905</v>
      </c>
      <c r="X1913" s="1">
        <f t="shared" si="4202"/>
        <v>0</v>
      </c>
      <c r="Y1913" s="1">
        <f t="shared" si="4203"/>
        <v>-4.714774476763762</v>
      </c>
    </row>
    <row r="1914" spans="1:25">
      <c r="A1914" s="1">
        <v>1.9119999999999799</v>
      </c>
      <c r="B1914" s="1">
        <f t="shared" si="4204"/>
        <v>50.913917312762081</v>
      </c>
      <c r="C1914" s="1">
        <f t="shared" si="4205"/>
        <v>0</v>
      </c>
      <c r="D1914" s="1">
        <f t="shared" si="4206"/>
        <v>-6.3918285977216085</v>
      </c>
      <c r="E1914" s="1">
        <f t="shared" si="4207"/>
        <v>10.921999262463981</v>
      </c>
      <c r="F1914" s="1">
        <f t="shared" si="4208"/>
        <v>0</v>
      </c>
      <c r="G1914" s="1">
        <f t="shared" si="4209"/>
        <v>-8.3878519467522814</v>
      </c>
      <c r="H1914" s="1">
        <f t="shared" si="4032"/>
        <v>13.771206489262289</v>
      </c>
      <c r="I1914" s="1">
        <f t="shared" si="4192"/>
        <v>-6.1212549832937722</v>
      </c>
      <c r="J1914" s="1">
        <f t="shared" si="4193"/>
        <v>0</v>
      </c>
      <c r="K1914" s="1">
        <f t="shared" si="4194"/>
        <v>4.70098736452438</v>
      </c>
      <c r="L1914" s="1">
        <f t="shared" ref="L1914:N1914" si="4320">E1914/$H1914</f>
        <v>0.79310402258364965</v>
      </c>
      <c r="M1914" s="1">
        <f t="shared" si="4320"/>
        <v>0</v>
      </c>
      <c r="N1914" s="1">
        <f t="shared" si="4320"/>
        <v>-0.60908620848089623</v>
      </c>
      <c r="O1914" s="1">
        <f t="shared" si="4034"/>
        <v>-0.60908620848089623</v>
      </c>
      <c r="P1914" s="1">
        <f t="shared" si="4196"/>
        <v>0.48306872204642226</v>
      </c>
      <c r="Q1914" s="1">
        <f t="shared" si="4197"/>
        <v>0</v>
      </c>
      <c r="R1914" s="1">
        <f t="shared" si="4198"/>
        <v>0.62901399063836627</v>
      </c>
      <c r="S1914" s="1">
        <f t="shared" si="4199"/>
        <v>0.62401647612433997</v>
      </c>
      <c r="T1914" s="1">
        <f t="shared" ref="T1914:V1914" si="4321">$S1914*P1914</f>
        <v>0.30144284165729668</v>
      </c>
      <c r="U1914" s="1">
        <f t="shared" si="4321"/>
        <v>0</v>
      </c>
      <c r="V1914" s="1">
        <f t="shared" si="4321"/>
        <v>0.39251509387106187</v>
      </c>
      <c r="W1914" s="1">
        <f t="shared" si="4201"/>
        <v>-5.8198121416364756</v>
      </c>
      <c r="X1914" s="1">
        <f t="shared" si="4202"/>
        <v>0</v>
      </c>
      <c r="Y1914" s="1">
        <f t="shared" si="4203"/>
        <v>-4.7131475416045578</v>
      </c>
    </row>
    <row r="1915" spans="1:25">
      <c r="A1915" s="1">
        <v>1.91299999999998</v>
      </c>
      <c r="B1915" s="1">
        <f t="shared" si="4204"/>
        <v>50.9248334922124</v>
      </c>
      <c r="C1915" s="1">
        <f t="shared" si="4205"/>
        <v>0</v>
      </c>
      <c r="D1915" s="1">
        <f t="shared" si="4206"/>
        <v>-6.4002211628159023</v>
      </c>
      <c r="E1915" s="1">
        <f t="shared" si="4207"/>
        <v>10.916179450322344</v>
      </c>
      <c r="F1915" s="1">
        <f t="shared" si="4208"/>
        <v>0</v>
      </c>
      <c r="G1915" s="1">
        <f t="shared" si="4209"/>
        <v>-8.3925650942938859</v>
      </c>
      <c r="H1915" s="1">
        <f t="shared" si="4032"/>
        <v>13.769463411970708</v>
      </c>
      <c r="I1915" s="1">
        <f t="shared" si="4192"/>
        <v>-6.1172188795114053</v>
      </c>
      <c r="J1915" s="1">
        <f t="shared" si="4193"/>
        <v>0</v>
      </c>
      <c r="K1915" s="1">
        <f t="shared" si="4194"/>
        <v>4.7030334995845982</v>
      </c>
      <c r="L1915" s="1">
        <f t="shared" ref="L1915:N1915" si="4322">E1915/$H1915</f>
        <v>0.79278176089506769</v>
      </c>
      <c r="M1915" s="1">
        <f t="shared" si="4322"/>
        <v>0</v>
      </c>
      <c r="N1915" s="1">
        <f t="shared" si="4322"/>
        <v>-0.60950560259288478</v>
      </c>
      <c r="O1915" s="1">
        <f t="shared" si="4034"/>
        <v>-0.60950560259288478</v>
      </c>
      <c r="P1915" s="1">
        <f t="shared" si="4196"/>
        <v>0.48320492489899652</v>
      </c>
      <c r="Q1915" s="1">
        <f t="shared" si="4197"/>
        <v>0</v>
      </c>
      <c r="R1915" s="1">
        <f t="shared" si="4198"/>
        <v>0.62850292040788447</v>
      </c>
      <c r="S1915" s="1">
        <f t="shared" si="4199"/>
        <v>0.62385851754429944</v>
      </c>
      <c r="T1915" s="1">
        <f t="shared" ref="T1915:V1915" si="4323">$S1915*P1915</f>
        <v>0.30145150811759253</v>
      </c>
      <c r="U1915" s="1">
        <f t="shared" si="4323"/>
        <v>0</v>
      </c>
      <c r="V1915" s="1">
        <f t="shared" si="4323"/>
        <v>0.39209690019792565</v>
      </c>
      <c r="W1915" s="1">
        <f t="shared" si="4201"/>
        <v>-5.8157673713938127</v>
      </c>
      <c r="X1915" s="1">
        <f t="shared" si="4202"/>
        <v>0</v>
      </c>
      <c r="Y1915" s="1">
        <f t="shared" si="4203"/>
        <v>-4.7115196002174757</v>
      </c>
    </row>
    <row r="1916" spans="1:25">
      <c r="A1916" s="1">
        <v>1.9139999999999799</v>
      </c>
      <c r="B1916" s="1">
        <f t="shared" si="4204"/>
        <v>50.935743855895353</v>
      </c>
      <c r="C1916" s="1">
        <f t="shared" si="4205"/>
        <v>0</v>
      </c>
      <c r="D1916" s="1">
        <f t="shared" si="4206"/>
        <v>-6.4086184394297963</v>
      </c>
      <c r="E1916" s="1">
        <f t="shared" si="4207"/>
        <v>10.910363682950951</v>
      </c>
      <c r="F1916" s="1">
        <f t="shared" si="4208"/>
        <v>0</v>
      </c>
      <c r="G1916" s="1">
        <f t="shared" si="4209"/>
        <v>-8.3972766138941033</v>
      </c>
      <c r="H1916" s="1">
        <f t="shared" si="4032"/>
        <v>13.767726399972796</v>
      </c>
      <c r="I1916" s="1">
        <f t="shared" si="4192"/>
        <v>-6.1131885608841019</v>
      </c>
      <c r="J1916" s="1">
        <f t="shared" si="4193"/>
        <v>0</v>
      </c>
      <c r="K1916" s="1">
        <f t="shared" si="4194"/>
        <v>4.70508012660056</v>
      </c>
      <c r="L1916" s="1">
        <f t="shared" ref="L1916:N1916" si="4324">E1916/$H1916</f>
        <v>0.79245936227876446</v>
      </c>
      <c r="M1916" s="1">
        <f t="shared" si="4324"/>
        <v>0</v>
      </c>
      <c r="N1916" s="1">
        <f t="shared" si="4324"/>
        <v>-0.60992471595823516</v>
      </c>
      <c r="O1916" s="1">
        <f t="shared" si="4034"/>
        <v>-0.60992471595823516</v>
      </c>
      <c r="P1916" s="1">
        <f t="shared" si="4196"/>
        <v>0.4833405514463196</v>
      </c>
      <c r="Q1916" s="1">
        <f t="shared" si="4197"/>
        <v>0</v>
      </c>
      <c r="R1916" s="1">
        <f t="shared" si="4198"/>
        <v>0.62799184086326609</v>
      </c>
      <c r="S1916" s="1">
        <f t="shared" si="4199"/>
        <v>0.62370112849483872</v>
      </c>
      <c r="T1916" s="1">
        <f t="shared" ref="T1916:V1916" si="4325">$S1916*P1916</f>
        <v>0.3014600473843872</v>
      </c>
      <c r="U1916" s="1">
        <f t="shared" si="4325"/>
        <v>0</v>
      </c>
      <c r="V1916" s="1">
        <f t="shared" si="4325"/>
        <v>0.39167921983197024</v>
      </c>
      <c r="W1916" s="1">
        <f t="shared" si="4201"/>
        <v>-5.8117285134997143</v>
      </c>
      <c r="X1916" s="1">
        <f t="shared" si="4202"/>
        <v>0</v>
      </c>
      <c r="Y1916" s="1">
        <f t="shared" si="4203"/>
        <v>-4.7098906535674692</v>
      </c>
    </row>
    <row r="1917" spans="1:25">
      <c r="A1917" s="1">
        <v>1.9149999999999801</v>
      </c>
      <c r="B1917" s="1">
        <f t="shared" si="4204"/>
        <v>50.946648407849793</v>
      </c>
      <c r="C1917" s="1">
        <f t="shared" si="4205"/>
        <v>0</v>
      </c>
      <c r="D1917" s="1">
        <f t="shared" si="4206"/>
        <v>-6.4170204259343437</v>
      </c>
      <c r="E1917" s="1">
        <f t="shared" si="4207"/>
        <v>10.904551954437451</v>
      </c>
      <c r="F1917" s="1">
        <f t="shared" si="4208"/>
        <v>0</v>
      </c>
      <c r="G1917" s="1">
        <f t="shared" si="4209"/>
        <v>-8.4019865045476703</v>
      </c>
      <c r="H1917" s="1">
        <f t="shared" si="4032"/>
        <v>13.765995443469638</v>
      </c>
      <c r="I1917" s="1">
        <f t="shared" si="4192"/>
        <v>-6.1091640145863888</v>
      </c>
      <c r="J1917" s="1">
        <f t="shared" si="4193"/>
        <v>0</v>
      </c>
      <c r="K1917" s="1">
        <f t="shared" si="4194"/>
        <v>4.7071272454926918</v>
      </c>
      <c r="L1917" s="1">
        <f t="shared" ref="L1917:N1917" si="4326">E1917/$H1917</f>
        <v>0.7921368272434226</v>
      </c>
      <c r="M1917" s="1">
        <f t="shared" si="4326"/>
        <v>0</v>
      </c>
      <c r="N1917" s="1">
        <f t="shared" si="4326"/>
        <v>-0.61034354827811854</v>
      </c>
      <c r="O1917" s="1">
        <f t="shared" si="4034"/>
        <v>-0.61034354827811854</v>
      </c>
      <c r="P1917" s="1">
        <f t="shared" si="4196"/>
        <v>0.48347560186152155</v>
      </c>
      <c r="Q1917" s="1">
        <f t="shared" si="4197"/>
        <v>0</v>
      </c>
      <c r="R1917" s="1">
        <f t="shared" si="4198"/>
        <v>0.62748075307527595</v>
      </c>
      <c r="S1917" s="1">
        <f t="shared" si="4199"/>
        <v>0.62354430788025783</v>
      </c>
      <c r="T1917" s="1">
        <f t="shared" ref="T1917:V1917" si="4327">$S1917*P1917</f>
        <v>0.30146845953973356</v>
      </c>
      <c r="U1917" s="1">
        <f t="shared" si="4327"/>
        <v>0</v>
      </c>
      <c r="V1917" s="1">
        <f t="shared" si="4327"/>
        <v>0.39126205188450591</v>
      </c>
      <c r="W1917" s="1">
        <f t="shared" si="4201"/>
        <v>-5.8076955550466556</v>
      </c>
      <c r="X1917" s="1">
        <f t="shared" si="4202"/>
        <v>0</v>
      </c>
      <c r="Y1917" s="1">
        <f t="shared" si="4203"/>
        <v>-4.7082607026228018</v>
      </c>
    </row>
    <row r="1918" spans="1:25">
      <c r="A1918" s="1">
        <v>1.9159999999999799</v>
      </c>
      <c r="B1918" s="1">
        <f t="shared" si="4204"/>
        <v>50.957547152108674</v>
      </c>
      <c r="C1918" s="1">
        <f t="shared" si="4205"/>
        <v>0</v>
      </c>
      <c r="D1918" s="1">
        <f t="shared" si="4206"/>
        <v>-6.4254271206995943</v>
      </c>
      <c r="E1918" s="1">
        <f t="shared" si="4207"/>
        <v>10.898744258882404</v>
      </c>
      <c r="F1918" s="1">
        <f t="shared" si="4208"/>
        <v>0</v>
      </c>
      <c r="G1918" s="1">
        <f t="shared" si="4209"/>
        <v>-8.4066947652502932</v>
      </c>
      <c r="H1918" s="1">
        <f t="shared" si="4032"/>
        <v>13.764270532672949</v>
      </c>
      <c r="I1918" s="1">
        <f t="shared" si="4192"/>
        <v>-6.1051452278216507</v>
      </c>
      <c r="J1918" s="1">
        <f t="shared" si="4193"/>
        <v>0</v>
      </c>
      <c r="K1918" s="1">
        <f t="shared" si="4194"/>
        <v>4.7091748561759568</v>
      </c>
      <c r="L1918" s="1">
        <f t="shared" ref="L1918:N1918" si="4328">E1918/$H1918</f>
        <v>0.79181415629774932</v>
      </c>
      <c r="M1918" s="1">
        <f t="shared" si="4328"/>
        <v>0</v>
      </c>
      <c r="N1918" s="1">
        <f t="shared" si="4328"/>
        <v>-0.61076209925508906</v>
      </c>
      <c r="O1918" s="1">
        <f t="shared" si="4034"/>
        <v>-0.61076209925508906</v>
      </c>
      <c r="P1918" s="1">
        <f t="shared" si="4196"/>
        <v>0.48361007632031056</v>
      </c>
      <c r="Q1918" s="1">
        <f t="shared" si="4197"/>
        <v>0</v>
      </c>
      <c r="R1918" s="1">
        <f t="shared" si="4198"/>
        <v>0.62696965811351668</v>
      </c>
      <c r="S1918" s="1">
        <f t="shared" si="4199"/>
        <v>0.62338805460699009</v>
      </c>
      <c r="T1918" s="1">
        <f t="shared" ref="T1918:V1918" si="4329">$S1918*P1918</f>
        <v>0.30147674466565638</v>
      </c>
      <c r="U1918" s="1">
        <f t="shared" si="4329"/>
        <v>0</v>
      </c>
      <c r="V1918" s="1">
        <f t="shared" si="4329"/>
        <v>0.39084539546899483</v>
      </c>
      <c r="W1918" s="1">
        <f t="shared" si="4201"/>
        <v>-5.8036684831559944</v>
      </c>
      <c r="X1918" s="1">
        <f t="shared" si="4202"/>
        <v>0</v>
      </c>
      <c r="Y1918" s="1">
        <f t="shared" si="4203"/>
        <v>-4.7066297483550477</v>
      </c>
    </row>
    <row r="1919" spans="1:25">
      <c r="A1919" s="1">
        <v>1.9169999999999801</v>
      </c>
      <c r="B1919" s="1">
        <f t="shared" si="4204"/>
        <v>50.968440092699076</v>
      </c>
      <c r="C1919" s="1">
        <f t="shared" si="4205"/>
        <v>0</v>
      </c>
      <c r="D1919" s="1">
        <f t="shared" si="4206"/>
        <v>-6.4338385220945931</v>
      </c>
      <c r="E1919" s="1">
        <f t="shared" si="4207"/>
        <v>10.892940590399249</v>
      </c>
      <c r="F1919" s="1">
        <f t="shared" si="4208"/>
        <v>0</v>
      </c>
      <c r="G1919" s="1">
        <f t="shared" si="4209"/>
        <v>-8.4114013949986486</v>
      </c>
      <c r="H1919" s="1">
        <f t="shared" si="4032"/>
        <v>13.762551657805057</v>
      </c>
      <c r="I1919" s="1">
        <f t="shared" si="4192"/>
        <v>-6.1011321878220626</v>
      </c>
      <c r="J1919" s="1">
        <f t="shared" si="4193"/>
        <v>0</v>
      </c>
      <c r="K1919" s="1">
        <f t="shared" si="4194"/>
        <v>4.7112229585598708</v>
      </c>
      <c r="L1919" s="1">
        <f t="shared" ref="L1919:N1919" si="4330">E1919/$H1919</f>
        <v>0.79149134995047332</v>
      </c>
      <c r="M1919" s="1">
        <f t="shared" si="4330"/>
        <v>0</v>
      </c>
      <c r="N1919" s="1">
        <f t="shared" si="4330"/>
        <v>-0.61118036859308367</v>
      </c>
      <c r="O1919" s="1">
        <f t="shared" si="4034"/>
        <v>-0.61118036859308367</v>
      </c>
      <c r="P1919" s="1">
        <f t="shared" si="4196"/>
        <v>0.48374397500096766</v>
      </c>
      <c r="Q1919" s="1">
        <f t="shared" si="4197"/>
        <v>0</v>
      </c>
      <c r="R1919" s="1">
        <f t="shared" si="4198"/>
        <v>0.62645855704642239</v>
      </c>
      <c r="S1919" s="1">
        <f t="shared" si="4199"/>
        <v>0.62323236758359735</v>
      </c>
      <c r="T1919" s="1">
        <f t="shared" ref="T1919:V1919" si="4331">$S1919*P1919</f>
        <v>0.30148490284415358</v>
      </c>
      <c r="U1919" s="1">
        <f t="shared" si="4331"/>
        <v>0</v>
      </c>
      <c r="V1919" s="1">
        <f t="shared" si="4331"/>
        <v>0.39042924970104592</v>
      </c>
      <c r="W1919" s="1">
        <f t="shared" si="4201"/>
        <v>-5.799647284977909</v>
      </c>
      <c r="X1919" s="1">
        <f t="shared" si="4202"/>
        <v>0</v>
      </c>
      <c r="Y1919" s="1">
        <f t="shared" si="4203"/>
        <v>-4.7049977917390828</v>
      </c>
    </row>
    <row r="1920" spans="1:25">
      <c r="A1920" s="1">
        <v>1.9179999999999799</v>
      </c>
      <c r="B1920" s="1">
        <f t="shared" si="4204"/>
        <v>50.979327233642188</v>
      </c>
      <c r="C1920" s="1">
        <f t="shared" si="4205"/>
        <v>0</v>
      </c>
      <c r="D1920" s="1">
        <f t="shared" si="4206"/>
        <v>-6.4422546284873832</v>
      </c>
      <c r="E1920" s="1">
        <f t="shared" si="4207"/>
        <v>10.887140943114272</v>
      </c>
      <c r="F1920" s="1">
        <f t="shared" si="4208"/>
        <v>0</v>
      </c>
      <c r="G1920" s="1">
        <f t="shared" si="4209"/>
        <v>-8.4161063927903879</v>
      </c>
      <c r="H1920" s="1">
        <f t="shared" si="4032"/>
        <v>13.760838809098896</v>
      </c>
      <c r="I1920" s="1">
        <f t="shared" si="4192"/>
        <v>-6.0971248818485213</v>
      </c>
      <c r="J1920" s="1">
        <f t="shared" si="4193"/>
        <v>0</v>
      </c>
      <c r="K1920" s="1">
        <f t="shared" si="4194"/>
        <v>4.7132715525485125</v>
      </c>
      <c r="L1920" s="1">
        <f t="shared" ref="L1920:N1920" si="4332">E1920/$H1920</f>
        <v>0.79116840871034055</v>
      </c>
      <c r="M1920" s="1">
        <f t="shared" si="4332"/>
        <v>0</v>
      </c>
      <c r="N1920" s="1">
        <f t="shared" si="4332"/>
        <v>-0.61159835599742063</v>
      </c>
      <c r="O1920" s="1">
        <f t="shared" si="4034"/>
        <v>-0.61159835599742063</v>
      </c>
      <c r="P1920" s="1">
        <f t="shared" si="4196"/>
        <v>0.48387729808433966</v>
      </c>
      <c r="Q1920" s="1">
        <f t="shared" si="4197"/>
        <v>0</v>
      </c>
      <c r="R1920" s="1">
        <f t="shared" si="4198"/>
        <v>0.62594745094125237</v>
      </c>
      <c r="S1920" s="1">
        <f t="shared" si="4199"/>
        <v>0.62307724572076406</v>
      </c>
      <c r="T1920" s="1">
        <f t="shared" ref="T1920:V1920" si="4333">$S1920*P1920</f>
        <v>0.30149293415719552</v>
      </c>
      <c r="U1920" s="1">
        <f t="shared" si="4333"/>
        <v>0</v>
      </c>
      <c r="V1920" s="1">
        <f t="shared" si="4333"/>
        <v>0.39001361369840859</v>
      </c>
      <c r="W1920" s="1">
        <f t="shared" si="4201"/>
        <v>-5.7956319476913256</v>
      </c>
      <c r="X1920" s="1">
        <f t="shared" si="4202"/>
        <v>0</v>
      </c>
      <c r="Y1920" s="1">
        <f t="shared" si="4203"/>
        <v>-4.7033648337530787</v>
      </c>
    </row>
    <row r="1921" spans="1:25">
      <c r="A1921" s="1">
        <v>1.9189999999999801</v>
      </c>
      <c r="B1921" s="1">
        <f t="shared" si="4204"/>
        <v>50.990208578953357</v>
      </c>
      <c r="C1921" s="1">
        <f t="shared" si="4205"/>
        <v>0</v>
      </c>
      <c r="D1921" s="1">
        <f t="shared" si="4206"/>
        <v>-6.4506754382450069</v>
      </c>
      <c r="E1921" s="1">
        <f t="shared" si="4207"/>
        <v>10.88134531116658</v>
      </c>
      <c r="F1921" s="1">
        <f t="shared" si="4208"/>
        <v>0</v>
      </c>
      <c r="G1921" s="1">
        <f t="shared" si="4209"/>
        <v>-8.4208097576241414</v>
      </c>
      <c r="H1921" s="1">
        <f t="shared" si="4032"/>
        <v>13.759131976797986</v>
      </c>
      <c r="I1921" s="1">
        <f t="shared" si="4192"/>
        <v>-6.0931232971905711</v>
      </c>
      <c r="J1921" s="1">
        <f t="shared" si="4193"/>
        <v>0</v>
      </c>
      <c r="K1921" s="1">
        <f t="shared" si="4194"/>
        <v>4.7153206380405317</v>
      </c>
      <c r="L1921" s="1">
        <f t="shared" ref="L1921:N1921" si="4334">E1921/$H1921</f>
        <v>0.79084533308611216</v>
      </c>
      <c r="M1921" s="1">
        <f t="shared" si="4334"/>
        <v>0</v>
      </c>
      <c r="N1921" s="1">
        <f t="shared" si="4334"/>
        <v>-0.6120160611747999</v>
      </c>
      <c r="O1921" s="1">
        <f t="shared" si="4034"/>
        <v>-0.6120160611747999</v>
      </c>
      <c r="P1921" s="1">
        <f t="shared" si="4196"/>
        <v>0.48401004575383499</v>
      </c>
      <c r="Q1921" s="1">
        <f t="shared" si="4197"/>
        <v>0</v>
      </c>
      <c r="R1921" s="1">
        <f t="shared" si="4198"/>
        <v>0.62543634086408362</v>
      </c>
      <c r="S1921" s="1">
        <f t="shared" si="4199"/>
        <v>0.62292268793129157</v>
      </c>
      <c r="T1921" s="1">
        <f t="shared" ref="T1921:V1921" si="4335">$S1921*P1921</f>
        <v>0.30150083868672634</v>
      </c>
      <c r="U1921" s="1">
        <f t="shared" si="4335"/>
        <v>0</v>
      </c>
      <c r="V1921" s="1">
        <f t="shared" si="4335"/>
        <v>0.38959848658096646</v>
      </c>
      <c r="W1921" s="1">
        <f t="shared" si="4201"/>
        <v>-5.7916224585038449</v>
      </c>
      <c r="X1921" s="1">
        <f t="shared" si="4202"/>
        <v>0</v>
      </c>
      <c r="Y1921" s="1">
        <f t="shared" si="4203"/>
        <v>-4.7017308753785017</v>
      </c>
    </row>
    <row r="1922" spans="1:25">
      <c r="A1922" s="1">
        <v>1.9199999999999799</v>
      </c>
      <c r="B1922" s="1">
        <f t="shared" si="4204"/>
        <v>51.001084132642063</v>
      </c>
      <c r="C1922" s="1">
        <f t="shared" si="4205"/>
        <v>0</v>
      </c>
      <c r="D1922" s="1">
        <f t="shared" si="4206"/>
        <v>-6.4591009497335063</v>
      </c>
      <c r="E1922" s="1">
        <f t="shared" si="4207"/>
        <v>10.875553688708075</v>
      </c>
      <c r="F1922" s="1">
        <f t="shared" si="4208"/>
        <v>0</v>
      </c>
      <c r="G1922" s="1">
        <f t="shared" si="4209"/>
        <v>-8.4255114884995201</v>
      </c>
      <c r="H1922" s="1">
        <f t="shared" si="4032"/>
        <v>13.757431151156426</v>
      </c>
      <c r="I1922" s="1">
        <f t="shared" ref="I1922:I1985" si="4336">-K_drag*$H1922*E1922</f>
        <v>-6.0891274211663422</v>
      </c>
      <c r="J1922" s="1">
        <f t="shared" ref="J1922:J1985" si="4337">-K_drag*$H1922*F1922</f>
        <v>0</v>
      </c>
      <c r="K1922" s="1">
        <f t="shared" ref="K1922:K1985" si="4338">-K_drag*$H1922*G1922</f>
        <v>4.7173702149291632</v>
      </c>
      <c r="L1922" s="1">
        <f t="shared" ref="L1922:N1922" si="4339">E1922/$H1922</f>
        <v>0.79052212358656038</v>
      </c>
      <c r="M1922" s="1">
        <f t="shared" si="4339"/>
        <v>0</v>
      </c>
      <c r="N1922" s="1">
        <f t="shared" si="4339"/>
        <v>-0.61243348383330165</v>
      </c>
      <c r="O1922" s="1">
        <f t="shared" si="4034"/>
        <v>-0.61243348383330165</v>
      </c>
      <c r="P1922" s="1">
        <f t="shared" ref="P1922:P1985" si="4340">u_axis_f-$O1922*L1922</f>
        <v>0.48414221819541703</v>
      </c>
      <c r="Q1922" s="1">
        <f t="shared" ref="Q1922:Q1985" si="4341">u_axis_r-$O1922*M1922</f>
        <v>0</v>
      </c>
      <c r="R1922" s="1">
        <f t="shared" ref="R1922:R1985" si="4342">u_axis_u-$O1922*N1922</f>
        <v>0.62492522787980498</v>
      </c>
      <c r="S1922" s="1">
        <f t="shared" ref="S1922:S1985" si="4343">K_lift*H1922^2</f>
        <v>0.62276869313009253</v>
      </c>
      <c r="T1922" s="1">
        <f t="shared" ref="T1922:V1922" si="4344">$S1922*P1922</f>
        <v>0.30150861651466399</v>
      </c>
      <c r="U1922" s="1">
        <f t="shared" si="4344"/>
        <v>0</v>
      </c>
      <c r="V1922" s="1">
        <f t="shared" si="4344"/>
        <v>0.38918386747073141</v>
      </c>
      <c r="W1922" s="1">
        <f t="shared" ref="W1922:W1985" si="4345">I1922+T1922+g_f</f>
        <v>-5.7876188046516779</v>
      </c>
      <c r="X1922" s="1">
        <f t="shared" ref="X1922:X1985" si="4346">J1922+U1922+g_r</f>
        <v>0</v>
      </c>
      <c r="Y1922" s="1">
        <f t="shared" ref="Y1922:Y1985" si="4347">K1922+V1922+g_u</f>
        <v>-4.7000959176001045</v>
      </c>
    </row>
    <row r="1923" spans="1:25">
      <c r="A1923" s="1">
        <v>1.9209999999999801</v>
      </c>
      <c r="B1923" s="1">
        <f t="shared" ref="B1923:B1986" si="4348">B1922+E1923*dt</f>
        <v>51.011953898711965</v>
      </c>
      <c r="C1923" s="1">
        <f t="shared" ref="C1923:C1986" si="4349">C1922+F1923*dt</f>
        <v>0</v>
      </c>
      <c r="D1923" s="1">
        <f t="shared" ref="D1923:D1986" si="4350">D1922+G1923*dt</f>
        <v>-6.4675311613179236</v>
      </c>
      <c r="E1923" s="1">
        <f t="shared" ref="E1923:E1986" si="4351">E1922+W1922*dt</f>
        <v>10.869766069903424</v>
      </c>
      <c r="F1923" s="1">
        <f t="shared" ref="F1923:F1986" si="4352">F1922+X1922*dt</f>
        <v>0</v>
      </c>
      <c r="G1923" s="1">
        <f t="shared" ref="G1923:G1986" si="4353">G1922+Y1922*dt</f>
        <v>-8.4302115844171208</v>
      </c>
      <c r="H1923" s="1">
        <f t="shared" si="4032"/>
        <v>13.755736322438882</v>
      </c>
      <c r="I1923" s="1">
        <f t="shared" si="4336"/>
        <v>-6.085137241122478</v>
      </c>
      <c r="J1923" s="1">
        <f t="shared" si="4337"/>
        <v>0</v>
      </c>
      <c r="K1923" s="1">
        <f t="shared" si="4338"/>
        <v>4.7194202831022416</v>
      </c>
      <c r="L1923" s="1">
        <f t="shared" ref="L1923:N1923" si="4354">E1923/$H1923</f>
        <v>0.79019878072046545</v>
      </c>
      <c r="M1923" s="1">
        <f t="shared" si="4354"/>
        <v>0</v>
      </c>
      <c r="N1923" s="1">
        <f t="shared" si="4354"/>
        <v>-0.61285062368238608</v>
      </c>
      <c r="O1923" s="1">
        <f t="shared" si="4034"/>
        <v>-0.61285062368238608</v>
      </c>
      <c r="P1923" s="1">
        <f t="shared" si="4340"/>
        <v>0.4842738155975983</v>
      </c>
      <c r="Q1923" s="1">
        <f t="shared" si="4341"/>
        <v>0</v>
      </c>
      <c r="R1923" s="1">
        <f t="shared" si="4342"/>
        <v>0.62441411305211036</v>
      </c>
      <c r="S1923" s="1">
        <f t="shared" si="4343"/>
        <v>0.62261526023418567</v>
      </c>
      <c r="T1923" s="1">
        <f t="shared" ref="T1923:V1923" si="4355">$S1923*P1923</f>
        <v>0.30151626772290069</v>
      </c>
      <c r="U1923" s="1">
        <f t="shared" si="4355"/>
        <v>0</v>
      </c>
      <c r="V1923" s="1">
        <f t="shared" si="4355"/>
        <v>0.38876975549183795</v>
      </c>
      <c r="W1923" s="1">
        <f t="shared" si="4345"/>
        <v>-5.7836209733995769</v>
      </c>
      <c r="X1923" s="1">
        <f t="shared" si="4346"/>
        <v>0</v>
      </c>
      <c r="Y1923" s="1">
        <f t="shared" si="4347"/>
        <v>-4.6984599614059199</v>
      </c>
    </row>
    <row r="1924" spans="1:25">
      <c r="A1924" s="1">
        <v>1.9219999999999799</v>
      </c>
      <c r="B1924" s="1">
        <f t="shared" si="4348"/>
        <v>51.022817881160897</v>
      </c>
      <c r="C1924" s="1">
        <f t="shared" si="4349"/>
        <v>0</v>
      </c>
      <c r="D1924" s="1">
        <f t="shared" si="4350"/>
        <v>-6.4759660713623024</v>
      </c>
      <c r="E1924" s="1">
        <f t="shared" si="4351"/>
        <v>10.863982448930024</v>
      </c>
      <c r="F1924" s="1">
        <f t="shared" si="4352"/>
        <v>0</v>
      </c>
      <c r="G1924" s="1">
        <f t="shared" si="4353"/>
        <v>-8.4349100443785261</v>
      </c>
      <c r="H1924" s="1">
        <f t="shared" si="4032"/>
        <v>13.754047480920564</v>
      </c>
      <c r="I1924" s="1">
        <f t="shared" si="4336"/>
        <v>-6.0811527444340632</v>
      </c>
      <c r="J1924" s="1">
        <f t="shared" si="4337"/>
        <v>0</v>
      </c>
      <c r="K1924" s="1">
        <f t="shared" si="4338"/>
        <v>4.7214708424422005</v>
      </c>
      <c r="L1924" s="1">
        <f t="shared" ref="L1924:N1924" si="4356">E1924/$H1924</f>
        <v>0.78987530499661274</v>
      </c>
      <c r="M1924" s="1">
        <f t="shared" si="4356"/>
        <v>0</v>
      </c>
      <c r="N1924" s="1">
        <f t="shared" si="4356"/>
        <v>-0.61326748043289248</v>
      </c>
      <c r="O1924" s="1">
        <f t="shared" si="4034"/>
        <v>-0.61326748043289248</v>
      </c>
      <c r="P1924" s="1">
        <f t="shared" si="4340"/>
        <v>0.4844048381514352</v>
      </c>
      <c r="Q1924" s="1">
        <f t="shared" si="4341"/>
        <v>0</v>
      </c>
      <c r="R1924" s="1">
        <f t="shared" si="4342"/>
        <v>0.62390299744349187</v>
      </c>
      <c r="S1924" s="1">
        <f t="shared" si="4343"/>
        <v>0.6224623881626894</v>
      </c>
      <c r="T1924" s="1">
        <f t="shared" ref="T1924:V1924" si="4357">$S1924*P1924</f>
        <v>0.3015237923933034</v>
      </c>
      <c r="U1924" s="1">
        <f t="shared" si="4357"/>
        <v>0</v>
      </c>
      <c r="V1924" s="1">
        <f t="shared" si="4357"/>
        <v>0.38835614977053623</v>
      </c>
      <c r="W1924" s="1">
        <f t="shared" si="4345"/>
        <v>-5.7796289520407598</v>
      </c>
      <c r="X1924" s="1">
        <f t="shared" si="4346"/>
        <v>0</v>
      </c>
      <c r="Y1924" s="1">
        <f t="shared" si="4347"/>
        <v>-4.6968230077872626</v>
      </c>
    </row>
    <row r="1925" spans="1:25">
      <c r="A1925" s="1">
        <v>1.9229999999999801</v>
      </c>
      <c r="B1925" s="1">
        <f t="shared" si="4348"/>
        <v>51.033676083980872</v>
      </c>
      <c r="C1925" s="1">
        <f t="shared" si="4349"/>
        <v>0</v>
      </c>
      <c r="D1925" s="1">
        <f t="shared" si="4350"/>
        <v>-6.4844056782296891</v>
      </c>
      <c r="E1925" s="1">
        <f t="shared" si="4351"/>
        <v>10.858202819977983</v>
      </c>
      <c r="F1925" s="1">
        <f t="shared" si="4352"/>
        <v>0</v>
      </c>
      <c r="G1925" s="1">
        <f t="shared" si="4353"/>
        <v>-8.4396068673863134</v>
      </c>
      <c r="H1925" s="1">
        <f t="shared" si="4032"/>
        <v>13.752364616887236</v>
      </c>
      <c r="I1925" s="1">
        <f t="shared" si="4336"/>
        <v>-6.0771739185045668</v>
      </c>
      <c r="J1925" s="1">
        <f t="shared" si="4337"/>
        <v>0</v>
      </c>
      <c r="K1925" s="1">
        <f t="shared" si="4338"/>
        <v>4.7235218928261036</v>
      </c>
      <c r="L1925" s="1">
        <f t="shared" ref="L1925:N1925" si="4358">E1925/$H1925</f>
        <v>0.78955169692378846</v>
      </c>
      <c r="M1925" s="1">
        <f t="shared" si="4358"/>
        <v>0</v>
      </c>
      <c r="N1925" s="1">
        <f t="shared" si="4358"/>
        <v>-0.61368405379703839</v>
      </c>
      <c r="O1925" s="1">
        <f t="shared" si="4034"/>
        <v>-0.61368405379703839</v>
      </c>
      <c r="P1925" s="1">
        <f t="shared" si="4340"/>
        <v>0.48453528605052115</v>
      </c>
      <c r="Q1925" s="1">
        <f t="shared" si="4341"/>
        <v>0</v>
      </c>
      <c r="R1925" s="1">
        <f t="shared" si="4342"/>
        <v>0.62339188211523378</v>
      </c>
      <c r="S1925" s="1">
        <f t="shared" si="4343"/>
        <v>0.62231007583681774</v>
      </c>
      <c r="T1925" s="1">
        <f t="shared" ref="T1925:V1925" si="4359">$S1925*P1925</f>
        <v>0.30153119060771399</v>
      </c>
      <c r="U1925" s="1">
        <f t="shared" si="4359"/>
        <v>0</v>
      </c>
      <c r="V1925" s="1">
        <f t="shared" si="4359"/>
        <v>0.3879430494351877</v>
      </c>
      <c r="W1925" s="1">
        <f t="shared" si="4345"/>
        <v>-5.7756427278968525</v>
      </c>
      <c r="X1925" s="1">
        <f t="shared" si="4346"/>
        <v>0</v>
      </c>
      <c r="Y1925" s="1">
        <f t="shared" si="4347"/>
        <v>-4.6951850577387084</v>
      </c>
    </row>
    <row r="1926" spans="1:25">
      <c r="A1926" s="1">
        <v>1.9239999999999799</v>
      </c>
      <c r="B1926" s="1">
        <f t="shared" si="4348"/>
        <v>51.04452851115812</v>
      </c>
      <c r="C1926" s="1">
        <f t="shared" si="4349"/>
        <v>0</v>
      </c>
      <c r="D1926" s="1">
        <f t="shared" si="4350"/>
        <v>-6.4928499802821333</v>
      </c>
      <c r="E1926" s="1">
        <f t="shared" si="4351"/>
        <v>10.852427177250085</v>
      </c>
      <c r="F1926" s="1">
        <f t="shared" si="4352"/>
        <v>0</v>
      </c>
      <c r="G1926" s="1">
        <f t="shared" si="4353"/>
        <v>-8.4443020524440513</v>
      </c>
      <c r="H1926" s="1">
        <f t="shared" si="4032"/>
        <v>13.750687720635177</v>
      </c>
      <c r="I1926" s="1">
        <f t="shared" si="4336"/>
        <v>-6.0732007507657597</v>
      </c>
      <c r="J1926" s="1">
        <f t="shared" si="4337"/>
        <v>0</v>
      </c>
      <c r="K1926" s="1">
        <f t="shared" si="4338"/>
        <v>4.7255734341256348</v>
      </c>
      <c r="L1926" s="1">
        <f t="shared" ref="L1926:N1926" si="4360">E1926/$H1926</f>
        <v>0.78922795701077741</v>
      </c>
      <c r="M1926" s="1">
        <f t="shared" si="4360"/>
        <v>0</v>
      </c>
      <c r="N1926" s="1">
        <f t="shared" si="4360"/>
        <v>-0.61410034348841924</v>
      </c>
      <c r="O1926" s="1">
        <f t="shared" si="4034"/>
        <v>-0.61410034348841924</v>
      </c>
      <c r="P1926" s="1">
        <f t="shared" si="4340"/>
        <v>0.48466515949098177</v>
      </c>
      <c r="Q1926" s="1">
        <f t="shared" si="4341"/>
        <v>0</v>
      </c>
      <c r="R1926" s="1">
        <f t="shared" si="4342"/>
        <v>0.62288076812740556</v>
      </c>
      <c r="S1926" s="1">
        <f t="shared" si="4343"/>
        <v>0.62215832217987288</v>
      </c>
      <c r="T1926" s="1">
        <f t="shared" ref="T1926:V1926" si="4361">$S1926*P1926</f>
        <v>0.30153846244794968</v>
      </c>
      <c r="U1926" s="1">
        <f t="shared" si="4361"/>
        <v>0</v>
      </c>
      <c r="V1926" s="1">
        <f t="shared" si="4361"/>
        <v>0.3875304536162571</v>
      </c>
      <c r="W1926" s="1">
        <f t="shared" si="4345"/>
        <v>-5.7716622883178097</v>
      </c>
      <c r="X1926" s="1">
        <f t="shared" si="4346"/>
        <v>0</v>
      </c>
      <c r="Y1926" s="1">
        <f t="shared" si="4347"/>
        <v>-4.6935461122581073</v>
      </c>
    </row>
    <row r="1927" spans="1:25">
      <c r="A1927" s="1">
        <v>1.9249999999999801</v>
      </c>
      <c r="B1927" s="1">
        <f t="shared" si="4348"/>
        <v>51.05537516667308</v>
      </c>
      <c r="C1927" s="1">
        <f t="shared" si="4349"/>
        <v>0</v>
      </c>
      <c r="D1927" s="1">
        <f t="shared" si="4350"/>
        <v>-6.5012989758806894</v>
      </c>
      <c r="E1927" s="1">
        <f t="shared" si="4351"/>
        <v>10.846655514961768</v>
      </c>
      <c r="F1927" s="1">
        <f t="shared" si="4352"/>
        <v>0</v>
      </c>
      <c r="G1927" s="1">
        <f t="shared" si="4353"/>
        <v>-8.4489955985563086</v>
      </c>
      <c r="H1927" s="1">
        <f t="shared" si="4032"/>
        <v>13.749016782471188</v>
      </c>
      <c r="I1927" s="1">
        <f t="shared" si="4336"/>
        <v>-6.0692332286776578</v>
      </c>
      <c r="J1927" s="1">
        <f t="shared" si="4337"/>
        <v>0</v>
      </c>
      <c r="K1927" s="1">
        <f t="shared" si="4338"/>
        <v>4.7276254662071269</v>
      </c>
      <c r="L1927" s="1">
        <f t="shared" ref="L1927:N1927" si="4362">E1927/$H1927</f>
        <v>0.78890408576635962</v>
      </c>
      <c r="M1927" s="1">
        <f t="shared" si="4362"/>
        <v>0</v>
      </c>
      <c r="N1927" s="1">
        <f t="shared" si="4362"/>
        <v>-0.61451634922200771</v>
      </c>
      <c r="O1927" s="1">
        <f t="shared" si="4034"/>
        <v>-0.61451634922200771</v>
      </c>
      <c r="P1927" s="1">
        <f t="shared" si="4340"/>
        <v>0.48479445867146898</v>
      </c>
      <c r="Q1927" s="1">
        <f t="shared" si="4341"/>
        <v>0</v>
      </c>
      <c r="R1927" s="1">
        <f t="shared" si="4342"/>
        <v>0.62236965653885545</v>
      </c>
      <c r="S1927" s="1">
        <f t="shared" si="4343"/>
        <v>0.62200712611724118</v>
      </c>
      <c r="T1927" s="1">
        <f t="shared" ref="T1927:V1927" si="4363">$S1927*P1927</f>
        <v>0.30154560799580404</v>
      </c>
      <c r="U1927" s="1">
        <f t="shared" si="4363"/>
        <v>0</v>
      </c>
      <c r="V1927" s="1">
        <f t="shared" si="4363"/>
        <v>0.38711836144630796</v>
      </c>
      <c r="W1927" s="1">
        <f t="shared" si="4345"/>
        <v>-5.7676876206818539</v>
      </c>
      <c r="X1927" s="1">
        <f t="shared" si="4346"/>
        <v>0</v>
      </c>
      <c r="Y1927" s="1">
        <f t="shared" si="4347"/>
        <v>-4.6919061723465649</v>
      </c>
    </row>
    <row r="1928" spans="1:25">
      <c r="A1928" s="1">
        <v>1.92599999999998</v>
      </c>
      <c r="B1928" s="1">
        <f t="shared" si="4348"/>
        <v>51.066216054500423</v>
      </c>
      <c r="C1928" s="1">
        <f t="shared" si="4349"/>
        <v>0</v>
      </c>
      <c r="D1928" s="1">
        <f t="shared" si="4350"/>
        <v>-6.5097526633854184</v>
      </c>
      <c r="E1928" s="1">
        <f t="shared" si="4351"/>
        <v>10.840887827341085</v>
      </c>
      <c r="F1928" s="1">
        <f t="shared" si="4352"/>
        <v>0</v>
      </c>
      <c r="G1928" s="1">
        <f t="shared" si="4353"/>
        <v>-8.4536875047286557</v>
      </c>
      <c r="H1928" s="1">
        <f t="shared" si="4032"/>
        <v>13.747351792712569</v>
      </c>
      <c r="I1928" s="1">
        <f t="shared" si="4336"/>
        <v>-6.0652713397284499</v>
      </c>
      <c r="J1928" s="1">
        <f t="shared" si="4337"/>
        <v>0</v>
      </c>
      <c r="K1928" s="1">
        <f t="shared" si="4338"/>
        <v>4.7296779889315612</v>
      </c>
      <c r="L1928" s="1">
        <f t="shared" ref="L1928:N1928" si="4364">E1928/$H1928</f>
        <v>0.78858008369930621</v>
      </c>
      <c r="M1928" s="1">
        <f t="shared" si="4364"/>
        <v>0</v>
      </c>
      <c r="N1928" s="1">
        <f t="shared" si="4364"/>
        <v>-0.61493207071415246</v>
      </c>
      <c r="O1928" s="1">
        <f t="shared" si="4034"/>
        <v>-0.61493207071415246</v>
      </c>
      <c r="P1928" s="1">
        <f t="shared" si="4340"/>
        <v>0.48492318379315402</v>
      </c>
      <c r="Q1928" s="1">
        <f t="shared" si="4341"/>
        <v>0</v>
      </c>
      <c r="R1928" s="1">
        <f t="shared" si="4342"/>
        <v>0.62185854840720456</v>
      </c>
      <c r="S1928" s="1">
        <f t="shared" si="4343"/>
        <v>0.62185648657638726</v>
      </c>
      <c r="T1928" s="1">
        <f t="shared" ref="T1928:V1928" si="4365">$S1928*P1928</f>
        <v>0.30155262733304644</v>
      </c>
      <c r="U1928" s="1">
        <f t="shared" si="4365"/>
        <v>0</v>
      </c>
      <c r="V1928" s="1">
        <f t="shared" si="4365"/>
        <v>0.38670677205999648</v>
      </c>
      <c r="W1928" s="1">
        <f t="shared" si="4345"/>
        <v>-5.7637187123954039</v>
      </c>
      <c r="X1928" s="1">
        <f t="shared" si="4346"/>
        <v>0</v>
      </c>
      <c r="Y1928" s="1">
        <f t="shared" si="4347"/>
        <v>-4.6902652390084416</v>
      </c>
    </row>
    <row r="1929" spans="1:25">
      <c r="A1929" s="1">
        <v>1.9269999999999801</v>
      </c>
      <c r="B1929" s="1">
        <f t="shared" si="4348"/>
        <v>51.077051178609054</v>
      </c>
      <c r="C1929" s="1">
        <f t="shared" si="4349"/>
        <v>0</v>
      </c>
      <c r="D1929" s="1">
        <f t="shared" si="4350"/>
        <v>-6.5182110411553857</v>
      </c>
      <c r="E1929" s="1">
        <f t="shared" si="4351"/>
        <v>10.835124108628689</v>
      </c>
      <c r="F1929" s="1">
        <f t="shared" si="4352"/>
        <v>0</v>
      </c>
      <c r="G1929" s="1">
        <f t="shared" si="4353"/>
        <v>-8.4583777699676634</v>
      </c>
      <c r="H1929" s="1">
        <f t="shared" si="4032"/>
        <v>13.745692741687114</v>
      </c>
      <c r="I1929" s="1">
        <f t="shared" si="4336"/>
        <v>-6.0613150714344268</v>
      </c>
      <c r="J1929" s="1">
        <f t="shared" si="4337"/>
        <v>0</v>
      </c>
      <c r="K1929" s="1">
        <f t="shared" si="4338"/>
        <v>4.731731002154584</v>
      </c>
      <c r="L1929" s="1">
        <f t="shared" ref="L1929:N1929" si="4366">E1929/$H1929</f>
        <v>0.78825595131837722</v>
      </c>
      <c r="M1929" s="1">
        <f t="shared" si="4366"/>
        <v>0</v>
      </c>
      <c r="N1929" s="1">
        <f t="shared" si="4366"/>
        <v>-0.61534750768257773</v>
      </c>
      <c r="O1929" s="1">
        <f t="shared" si="4034"/>
        <v>-0.61534750768257773</v>
      </c>
      <c r="P1929" s="1">
        <f t="shared" si="4340"/>
        <v>0.48505133505972275</v>
      </c>
      <c r="Q1929" s="1">
        <f t="shared" si="4341"/>
        <v>0</v>
      </c>
      <c r="R1929" s="1">
        <f t="shared" si="4342"/>
        <v>0.62134744478883996</v>
      </c>
      <c r="S1929" s="1">
        <f t="shared" si="4343"/>
        <v>0.62170640248684783</v>
      </c>
      <c r="T1929" s="1">
        <f t="shared" ref="T1929:V1929" si="4367">$S1929*P1929</f>
        <v>0.30155952054142288</v>
      </c>
      <c r="U1929" s="1">
        <f t="shared" si="4367"/>
        <v>0</v>
      </c>
      <c r="V1929" s="1">
        <f t="shared" si="4367"/>
        <v>0.38629568459406499</v>
      </c>
      <c r="W1929" s="1">
        <f t="shared" si="4345"/>
        <v>-5.7597555508930043</v>
      </c>
      <c r="X1929" s="1">
        <f t="shared" si="4346"/>
        <v>0</v>
      </c>
      <c r="Y1929" s="1">
        <f t="shared" si="4347"/>
        <v>-4.6886233132513508</v>
      </c>
    </row>
    <row r="1930" spans="1:25">
      <c r="A1930" s="1">
        <v>1.92799999999998</v>
      </c>
      <c r="B1930" s="1">
        <f t="shared" si="4348"/>
        <v>51.087880542962132</v>
      </c>
      <c r="C1930" s="1">
        <f t="shared" si="4349"/>
        <v>0</v>
      </c>
      <c r="D1930" s="1">
        <f t="shared" si="4350"/>
        <v>-6.5266741075486667</v>
      </c>
      <c r="E1930" s="1">
        <f t="shared" si="4351"/>
        <v>10.829364353077796</v>
      </c>
      <c r="F1930" s="1">
        <f t="shared" si="4352"/>
        <v>0</v>
      </c>
      <c r="G1930" s="1">
        <f t="shared" si="4353"/>
        <v>-8.4630663932809149</v>
      </c>
      <c r="H1930" s="1">
        <f t="shared" si="4032"/>
        <v>13.744039619733091</v>
      </c>
      <c r="I1930" s="1">
        <f t="shared" si="4336"/>
        <v>-6.0573644113399236</v>
      </c>
      <c r="J1930" s="1">
        <f t="shared" si="4337"/>
        <v>0</v>
      </c>
      <c r="K1930" s="1">
        <f t="shared" si="4338"/>
        <v>4.7337845057265167</v>
      </c>
      <c r="L1930" s="1">
        <f t="shared" ref="L1930:N1930" si="4368">E1930/$H1930</f>
        <v>0.78793168913231804</v>
      </c>
      <c r="M1930" s="1">
        <f t="shared" si="4368"/>
        <v>0</v>
      </c>
      <c r="N1930" s="1">
        <f t="shared" si="4368"/>
        <v>-0.61576265984638279</v>
      </c>
      <c r="O1930" s="1">
        <f t="shared" si="4034"/>
        <v>-0.61576265984638279</v>
      </c>
      <c r="P1930" s="1">
        <f t="shared" si="4340"/>
        <v>0.4851789126773694</v>
      </c>
      <c r="Q1930" s="1">
        <f t="shared" si="4341"/>
        <v>0</v>
      </c>
      <c r="R1930" s="1">
        <f t="shared" si="4342"/>
        <v>0.62083634673890786</v>
      </c>
      <c r="S1930" s="1">
        <f t="shared" si="4343"/>
        <v>0.6215568727802272</v>
      </c>
      <c r="T1930" s="1">
        <f t="shared" ref="T1930:V1930" si="4369">$S1930*P1930</f>
        <v>0.30156628770265664</v>
      </c>
      <c r="U1930" s="1">
        <f t="shared" si="4369"/>
        <v>0</v>
      </c>
      <c r="V1930" s="1">
        <f t="shared" si="4369"/>
        <v>0.38588509818733635</v>
      </c>
      <c r="W1930" s="1">
        <f t="shared" si="4345"/>
        <v>-5.7557981236372671</v>
      </c>
      <c r="X1930" s="1">
        <f t="shared" si="4346"/>
        <v>0</v>
      </c>
      <c r="Y1930" s="1">
        <f t="shared" si="4347"/>
        <v>-4.6869803960861462</v>
      </c>
    </row>
    <row r="1931" spans="1:25">
      <c r="A1931" s="1">
        <v>1.9289999999999801</v>
      </c>
      <c r="B1931" s="1">
        <f t="shared" si="4348"/>
        <v>51.098704151517083</v>
      </c>
      <c r="C1931" s="1">
        <f t="shared" si="4349"/>
        <v>0</v>
      </c>
      <c r="D1931" s="1">
        <f t="shared" si="4350"/>
        <v>-6.5351418609223435</v>
      </c>
      <c r="E1931" s="1">
        <f t="shared" si="4351"/>
        <v>10.823608554954159</v>
      </c>
      <c r="F1931" s="1">
        <f t="shared" si="4352"/>
        <v>0</v>
      </c>
      <c r="G1931" s="1">
        <f t="shared" si="4353"/>
        <v>-8.4677533736770005</v>
      </c>
      <c r="H1931" s="1">
        <f t="shared" si="4032"/>
        <v>13.742392417199236</v>
      </c>
      <c r="I1931" s="1">
        <f t="shared" si="4336"/>
        <v>-6.0534193470172424</v>
      </c>
      <c r="J1931" s="1">
        <f t="shared" si="4337"/>
        <v>0</v>
      </c>
      <c r="K1931" s="1">
        <f t="shared" si="4338"/>
        <v>4.7358384994923695</v>
      </c>
      <c r="L1931" s="1">
        <f t="shared" ref="L1931:N1931" si="4370">E1931/$H1931</f>
        <v>0.78760729764985571</v>
      </c>
      <c r="M1931" s="1">
        <f t="shared" si="4370"/>
        <v>0</v>
      </c>
      <c r="N1931" s="1">
        <f t="shared" si="4370"/>
        <v>-0.61617752692604078</v>
      </c>
      <c r="O1931" s="1">
        <f t="shared" si="4034"/>
        <v>-0.61617752692604078</v>
      </c>
      <c r="P1931" s="1">
        <f t="shared" si="4340"/>
        <v>0.48530591685479019</v>
      </c>
      <c r="Q1931" s="1">
        <f t="shared" si="4341"/>
        <v>0</v>
      </c>
      <c r="R1931" s="1">
        <f t="shared" si="4342"/>
        <v>0.62032525531130833</v>
      </c>
      <c r="S1931" s="1">
        <f t="shared" si="4343"/>
        <v>0.62140789639019112</v>
      </c>
      <c r="T1931" s="1">
        <f t="shared" ref="T1931:V1931" si="4371">$S1931*P1931</f>
        <v>0.30157292889844817</v>
      </c>
      <c r="U1931" s="1">
        <f t="shared" si="4371"/>
        <v>0</v>
      </c>
      <c r="V1931" s="1">
        <f t="shared" si="4371"/>
        <v>0.38547501198070833</v>
      </c>
      <c r="W1931" s="1">
        <f t="shared" si="4345"/>
        <v>-5.7518464181187943</v>
      </c>
      <c r="X1931" s="1">
        <f t="shared" si="4346"/>
        <v>0</v>
      </c>
      <c r="Y1931" s="1">
        <f t="shared" si="4347"/>
        <v>-4.6853364885269215</v>
      </c>
    </row>
    <row r="1932" spans="1:25">
      <c r="A1932" s="1">
        <v>1.92999999999998</v>
      </c>
      <c r="B1932" s="1">
        <f t="shared" si="4348"/>
        <v>51.109522008225618</v>
      </c>
      <c r="C1932" s="1">
        <f t="shared" si="4349"/>
        <v>0</v>
      </c>
      <c r="D1932" s="1">
        <f t="shared" si="4350"/>
        <v>-6.5436142996325088</v>
      </c>
      <c r="E1932" s="1">
        <f t="shared" si="4351"/>
        <v>10.81785670853604</v>
      </c>
      <c r="F1932" s="1">
        <f t="shared" si="4352"/>
        <v>0</v>
      </c>
      <c r="G1932" s="1">
        <f t="shared" si="4353"/>
        <v>-8.4724387101655267</v>
      </c>
      <c r="H1932" s="1">
        <f t="shared" si="4032"/>
        <v>13.740751124444744</v>
      </c>
      <c r="I1932" s="1">
        <f t="shared" si="4336"/>
        <v>-6.0494798660665925</v>
      </c>
      <c r="J1932" s="1">
        <f t="shared" si="4337"/>
        <v>0</v>
      </c>
      <c r="K1932" s="1">
        <f t="shared" si="4338"/>
        <v>4.7378929832918493</v>
      </c>
      <c r="L1932" s="1">
        <f t="shared" ref="L1932:N1932" si="4372">E1932/$H1932</f>
        <v>0.7872827773796961</v>
      </c>
      <c r="M1932" s="1">
        <f t="shared" si="4372"/>
        <v>0</v>
      </c>
      <c r="N1932" s="1">
        <f t="shared" si="4372"/>
        <v>-0.61659210864339797</v>
      </c>
      <c r="O1932" s="1">
        <f t="shared" si="4034"/>
        <v>-0.61659210864339797</v>
      </c>
      <c r="P1932" s="1">
        <f t="shared" si="4340"/>
        <v>0.48543234780317768</v>
      </c>
      <c r="Q1932" s="1">
        <f t="shared" si="4341"/>
        <v>0</v>
      </c>
      <c r="R1932" s="1">
        <f t="shared" si="4342"/>
        <v>0.61981417155868812</v>
      </c>
      <c r="S1932" s="1">
        <f t="shared" si="4343"/>
        <v>0.62125947225246225</v>
      </c>
      <c r="T1932" s="1">
        <f t="shared" ref="T1932:V1932" si="4373">$S1932*P1932</f>
        <v>0.30157944421047589</v>
      </c>
      <c r="U1932" s="1">
        <f t="shared" si="4373"/>
        <v>0</v>
      </c>
      <c r="V1932" s="1">
        <f t="shared" si="4373"/>
        <v>0.3850654251171477</v>
      </c>
      <c r="W1932" s="1">
        <f t="shared" si="4345"/>
        <v>-5.7479004218561167</v>
      </c>
      <c r="X1932" s="1">
        <f t="shared" si="4346"/>
        <v>0</v>
      </c>
      <c r="Y1932" s="1">
        <f t="shared" si="4347"/>
        <v>-4.6836915915910025</v>
      </c>
    </row>
    <row r="1933" spans="1:25">
      <c r="A1933" s="1">
        <v>1.9309999999999801</v>
      </c>
      <c r="B1933" s="1">
        <f t="shared" si="4348"/>
        <v>51.120334117033735</v>
      </c>
      <c r="C1933" s="1">
        <f t="shared" si="4349"/>
        <v>0</v>
      </c>
      <c r="D1933" s="1">
        <f t="shared" si="4350"/>
        <v>-6.5520914220342661</v>
      </c>
      <c r="E1933" s="1">
        <f t="shared" si="4351"/>
        <v>10.812108808114184</v>
      </c>
      <c r="F1933" s="1">
        <f t="shared" si="4352"/>
        <v>0</v>
      </c>
      <c r="G1933" s="1">
        <f t="shared" si="4353"/>
        <v>-8.4771224017571178</v>
      </c>
      <c r="H1933" s="1">
        <f t="shared" si="4032"/>
        <v>13.739115731839247</v>
      </c>
      <c r="I1933" s="1">
        <f t="shared" si="4336"/>
        <v>-6.0455459561160216</v>
      </c>
      <c r="J1933" s="1">
        <f t="shared" si="4337"/>
        <v>0</v>
      </c>
      <c r="K1933" s="1">
        <f t="shared" si="4338"/>
        <v>4.7399479569593739</v>
      </c>
      <c r="L1933" s="1">
        <f t="shared" ref="L1933:N1933" si="4374">E1933/$H1933</f>
        <v>0.78695812883052074</v>
      </c>
      <c r="M1933" s="1">
        <f t="shared" si="4374"/>
        <v>0</v>
      </c>
      <c r="N1933" s="1">
        <f t="shared" si="4374"/>
        <v>-0.61700640472167345</v>
      </c>
      <c r="O1933" s="1">
        <f t="shared" si="4034"/>
        <v>-0.61700640472167345</v>
      </c>
      <c r="P1933" s="1">
        <f t="shared" si="4340"/>
        <v>0.48555820573621511</v>
      </c>
      <c r="Q1933" s="1">
        <f t="shared" si="4341"/>
        <v>0</v>
      </c>
      <c r="R1933" s="1">
        <f t="shared" si="4342"/>
        <v>0.61930309653243443</v>
      </c>
      <c r="S1933" s="1">
        <f t="shared" si="4343"/>
        <v>0.62111159930481397</v>
      </c>
      <c r="T1933" s="1">
        <f t="shared" ref="T1933:V1933" si="4375">$S1933*P1933</f>
        <v>0.30158583372039643</v>
      </c>
      <c r="U1933" s="1">
        <f t="shared" si="4375"/>
        <v>0</v>
      </c>
      <c r="V1933" s="1">
        <f t="shared" si="4375"/>
        <v>0.38465633674168392</v>
      </c>
      <c r="W1933" s="1">
        <f t="shared" si="4345"/>
        <v>-5.7439601223956256</v>
      </c>
      <c r="X1933" s="1">
        <f t="shared" si="4346"/>
        <v>0</v>
      </c>
      <c r="Y1933" s="1">
        <f t="shared" si="4347"/>
        <v>-4.6820457062989416</v>
      </c>
    </row>
    <row r="1934" spans="1:25">
      <c r="A1934" s="1">
        <v>1.93199999999998</v>
      </c>
      <c r="B1934" s="1">
        <f t="shared" si="4348"/>
        <v>51.131140481881729</v>
      </c>
      <c r="C1934" s="1">
        <f t="shared" si="4349"/>
        <v>0</v>
      </c>
      <c r="D1934" s="1">
        <f t="shared" si="4350"/>
        <v>-6.5605732264817291</v>
      </c>
      <c r="E1934" s="1">
        <f t="shared" si="4351"/>
        <v>10.806364847991789</v>
      </c>
      <c r="F1934" s="1">
        <f t="shared" si="4352"/>
        <v>0</v>
      </c>
      <c r="G1934" s="1">
        <f t="shared" si="4353"/>
        <v>-8.481804447463416</v>
      </c>
      <c r="H1934" s="1">
        <f t="shared" si="4032"/>
        <v>13.737486229762808</v>
      </c>
      <c r="I1934" s="1">
        <f t="shared" si="4336"/>
        <v>-6.0416176048213472</v>
      </c>
      <c r="J1934" s="1">
        <f t="shared" si="4337"/>
        <v>0</v>
      </c>
      <c r="K1934" s="1">
        <f t="shared" si="4338"/>
        <v>4.7420034203240808</v>
      </c>
      <c r="L1934" s="1">
        <f t="shared" ref="L1934:N1934" si="4376">E1934/$H1934</f>
        <v>0.78663335251098354</v>
      </c>
      <c r="M1934" s="1">
        <f t="shared" si="4376"/>
        <v>0</v>
      </c>
      <c r="N1934" s="1">
        <f t="shared" si="4376"/>
        <v>-0.61742041488545774</v>
      </c>
      <c r="O1934" s="1">
        <f t="shared" si="4034"/>
        <v>-0.61742041488545774</v>
      </c>
      <c r="P1934" s="1">
        <f t="shared" si="4340"/>
        <v>0.48568349087007001</v>
      </c>
      <c r="Q1934" s="1">
        <f t="shared" si="4341"/>
        <v>0</v>
      </c>
      <c r="R1934" s="1">
        <f t="shared" si="4342"/>
        <v>0.61879203128266924</v>
      </c>
      <c r="S1934" s="1">
        <f t="shared" si="4343"/>
        <v>0.62096427648706465</v>
      </c>
      <c r="T1934" s="1">
        <f t="shared" ref="T1934:V1934" si="4377">$S1934*P1934</f>
        <v>0.30159209750984489</v>
      </c>
      <c r="U1934" s="1">
        <f t="shared" si="4377"/>
        <v>0</v>
      </c>
      <c r="V1934" s="1">
        <f t="shared" si="4377"/>
        <v>0.38424774600140377</v>
      </c>
      <c r="W1934" s="1">
        <f t="shared" si="4345"/>
        <v>-5.7400255073115023</v>
      </c>
      <c r="X1934" s="1">
        <f t="shared" si="4346"/>
        <v>0</v>
      </c>
      <c r="Y1934" s="1">
        <f t="shared" si="4347"/>
        <v>-4.6803988336745146</v>
      </c>
    </row>
    <row r="1935" spans="1:25">
      <c r="A1935" s="1">
        <v>1.9329999999999801</v>
      </c>
      <c r="B1935" s="1">
        <f t="shared" si="4348"/>
        <v>51.141941106704216</v>
      </c>
      <c r="C1935" s="1">
        <f t="shared" si="4349"/>
        <v>0</v>
      </c>
      <c r="D1935" s="1">
        <f t="shared" si="4350"/>
        <v>-6.569059711328026</v>
      </c>
      <c r="E1935" s="1">
        <f t="shared" si="4351"/>
        <v>10.800624822484478</v>
      </c>
      <c r="F1935" s="1">
        <f t="shared" si="4352"/>
        <v>0</v>
      </c>
      <c r="G1935" s="1">
        <f t="shared" si="4353"/>
        <v>-8.4864848462970901</v>
      </c>
      <c r="H1935" s="1">
        <f t="shared" si="4032"/>
        <v>13.735862608605911</v>
      </c>
      <c r="I1935" s="1">
        <f t="shared" si="4336"/>
        <v>-6.0376947998660935</v>
      </c>
      <c r="J1935" s="1">
        <f t="shared" si="4337"/>
        <v>0</v>
      </c>
      <c r="K1935" s="1">
        <f t="shared" si="4338"/>
        <v>4.7440593732098399</v>
      </c>
      <c r="L1935" s="1">
        <f t="shared" ref="L1935:N1935" si="4378">E1935/$H1935</f>
        <v>0.7863084489297073</v>
      </c>
      <c r="M1935" s="1">
        <f t="shared" si="4378"/>
        <v>0</v>
      </c>
      <c r="N1935" s="1">
        <f t="shared" si="4378"/>
        <v>-0.61783413886071226</v>
      </c>
      <c r="O1935" s="1">
        <f t="shared" si="4034"/>
        <v>-0.61783413886071226</v>
      </c>
      <c r="P1935" s="1">
        <f t="shared" si="4340"/>
        <v>0.48580820342338804</v>
      </c>
      <c r="Q1935" s="1">
        <f t="shared" si="4341"/>
        <v>0</v>
      </c>
      <c r="R1935" s="1">
        <f t="shared" si="4342"/>
        <v>0.61828097685824213</v>
      </c>
      <c r="S1935" s="1">
        <f t="shared" si="4343"/>
        <v>0.62081750274107361</v>
      </c>
      <c r="T1935" s="1">
        <f t="shared" ref="T1935:V1935" si="4379">$S1935*P1935</f>
        <v>0.30159823566043525</v>
      </c>
      <c r="U1935" s="1">
        <f t="shared" si="4379"/>
        <v>0</v>
      </c>
      <c r="V1935" s="1">
        <f t="shared" si="4379"/>
        <v>0.3838396520454454</v>
      </c>
      <c r="W1935" s="1">
        <f t="shared" si="4345"/>
        <v>-5.7360965642056581</v>
      </c>
      <c r="X1935" s="1">
        <f t="shared" si="4346"/>
        <v>0</v>
      </c>
      <c r="Y1935" s="1">
        <f t="shared" si="4347"/>
        <v>-4.6787509747447142</v>
      </c>
    </row>
    <row r="1936" spans="1:25">
      <c r="A1936" s="1">
        <v>1.93399999999998</v>
      </c>
      <c r="B1936" s="1">
        <f t="shared" si="4348"/>
        <v>51.152735995430135</v>
      </c>
      <c r="C1936" s="1">
        <f t="shared" si="4349"/>
        <v>0</v>
      </c>
      <c r="D1936" s="1">
        <f t="shared" si="4350"/>
        <v>-6.577550874925298</v>
      </c>
      <c r="E1936" s="1">
        <f t="shared" si="4351"/>
        <v>10.794888725920272</v>
      </c>
      <c r="F1936" s="1">
        <f t="shared" si="4352"/>
        <v>0</v>
      </c>
      <c r="G1936" s="1">
        <f t="shared" si="4353"/>
        <v>-8.491163597271834</v>
      </c>
      <c r="H1936" s="1">
        <f t="shared" si="4032"/>
        <v>13.734244858769445</v>
      </c>
      <c r="I1936" s="1">
        <f t="shared" si="4336"/>
        <v>-6.0337775289614246</v>
      </c>
      <c r="J1936" s="1">
        <f t="shared" si="4337"/>
        <v>0</v>
      </c>
      <c r="K1936" s="1">
        <f t="shared" si="4338"/>
        <v>4.7461158154352656</v>
      </c>
      <c r="L1936" s="1">
        <f t="shared" ref="L1936:N1936" si="4380">E1936/$H1936</f>
        <v>0.78598341859528109</v>
      </c>
      <c r="M1936" s="1">
        <f t="shared" si="4380"/>
        <v>0</v>
      </c>
      <c r="N1936" s="1">
        <f t="shared" si="4380"/>
        <v>-0.61824757637476846</v>
      </c>
      <c r="O1936" s="1">
        <f t="shared" si="4034"/>
        <v>-0.61824757637476846</v>
      </c>
      <c r="P1936" s="1">
        <f t="shared" si="4340"/>
        <v>0.48593234361728765</v>
      </c>
      <c r="Q1936" s="1">
        <f t="shared" si="4341"/>
        <v>0</v>
      </c>
      <c r="R1936" s="1">
        <f t="shared" si="4342"/>
        <v>0.61776993430672489</v>
      </c>
      <c r="S1936" s="1">
        <f t="shared" si="4343"/>
        <v>0.62067127701073488</v>
      </c>
      <c r="T1936" s="1">
        <f t="shared" ref="T1936:V1936" si="4381">$S1936*P1936</f>
        <v>0.30160424825376114</v>
      </c>
      <c r="U1936" s="1">
        <f t="shared" si="4381"/>
        <v>0</v>
      </c>
      <c r="V1936" s="1">
        <f t="shared" si="4381"/>
        <v>0.38343205402499275</v>
      </c>
      <c r="W1936" s="1">
        <f t="shared" si="4345"/>
        <v>-5.7321732807076637</v>
      </c>
      <c r="X1936" s="1">
        <f t="shared" si="4346"/>
        <v>0</v>
      </c>
      <c r="Y1936" s="1">
        <f t="shared" si="4347"/>
        <v>-4.6771021305397413</v>
      </c>
    </row>
    <row r="1937" spans="1:25">
      <c r="A1937" s="1">
        <v>1.9349999999999801</v>
      </c>
      <c r="B1937" s="1">
        <f t="shared" si="4348"/>
        <v>51.163525151982775</v>
      </c>
      <c r="C1937" s="1">
        <f t="shared" si="4349"/>
        <v>0</v>
      </c>
      <c r="D1937" s="1">
        <f t="shared" si="4350"/>
        <v>-6.5860467156247005</v>
      </c>
      <c r="E1937" s="1">
        <f t="shared" si="4351"/>
        <v>10.789156552639565</v>
      </c>
      <c r="F1937" s="1">
        <f t="shared" si="4352"/>
        <v>0</v>
      </c>
      <c r="G1937" s="1">
        <f t="shared" si="4353"/>
        <v>-8.4958406994023736</v>
      </c>
      <c r="H1937" s="1">
        <f t="shared" si="4032"/>
        <v>13.732632970664696</v>
      </c>
      <c r="I1937" s="1">
        <f t="shared" si="4336"/>
        <v>-6.0298657798460793</v>
      </c>
      <c r="J1937" s="1">
        <f t="shared" si="4337"/>
        <v>0</v>
      </c>
      <c r="K1937" s="1">
        <f t="shared" si="4338"/>
        <v>4.7481727468137294</v>
      </c>
      <c r="L1937" s="1">
        <f t="shared" ref="L1937:N1937" si="4382">E1937/$H1937</f>
        <v>0.78565826201625633</v>
      </c>
      <c r="M1937" s="1">
        <f t="shared" si="4382"/>
        <v>0</v>
      </c>
      <c r="N1937" s="1">
        <f t="shared" si="4382"/>
        <v>-0.61866072715632714</v>
      </c>
      <c r="O1937" s="1">
        <f t="shared" si="4034"/>
        <v>-0.61866072715632714</v>
      </c>
      <c r="P1937" s="1">
        <f t="shared" si="4340"/>
        <v>0.48605591167535334</v>
      </c>
      <c r="Q1937" s="1">
        <f t="shared" si="4341"/>
        <v>0</v>
      </c>
      <c r="R1937" s="1">
        <f t="shared" si="4342"/>
        <v>0.61725890467440458</v>
      </c>
      <c r="S1937" s="1">
        <f t="shared" si="4343"/>
        <v>0.62052559824197151</v>
      </c>
      <c r="T1937" s="1">
        <f t="shared" ref="T1937:V1937" si="4383">$S1937*P1937</f>
        <v>0.30161013537139547</v>
      </c>
      <c r="U1937" s="1">
        <f t="shared" si="4383"/>
        <v>0</v>
      </c>
      <c r="V1937" s="1">
        <f t="shared" si="4383"/>
        <v>0.38302495109326895</v>
      </c>
      <c r="W1937" s="1">
        <f t="shared" si="4345"/>
        <v>-5.7282556444746842</v>
      </c>
      <c r="X1937" s="1">
        <f t="shared" si="4346"/>
        <v>0</v>
      </c>
      <c r="Y1937" s="1">
        <f t="shared" si="4347"/>
        <v>-4.6754523020930012</v>
      </c>
    </row>
    <row r="1938" spans="1:25">
      <c r="A1938" s="1">
        <v>1.93599999999998</v>
      </c>
      <c r="B1938" s="1">
        <f t="shared" si="4348"/>
        <v>51.174308580279771</v>
      </c>
      <c r="C1938" s="1">
        <f t="shared" si="4349"/>
        <v>0</v>
      </c>
      <c r="D1938" s="1">
        <f t="shared" si="4350"/>
        <v>-6.5945472317764047</v>
      </c>
      <c r="E1938" s="1">
        <f t="shared" si="4351"/>
        <v>10.783428296995091</v>
      </c>
      <c r="F1938" s="1">
        <f t="shared" si="4352"/>
        <v>0</v>
      </c>
      <c r="G1938" s="1">
        <f t="shared" si="4353"/>
        <v>-8.5005161517044669</v>
      </c>
      <c r="H1938" s="1">
        <f t="shared" si="4032"/>
        <v>13.731026934713331</v>
      </c>
      <c r="I1938" s="1">
        <f t="shared" si="4336"/>
        <v>-6.0259595402863013</v>
      </c>
      <c r="J1938" s="1">
        <f t="shared" si="4337"/>
        <v>0</v>
      </c>
      <c r="K1938" s="1">
        <f t="shared" si="4338"/>
        <v>4.750230167153366</v>
      </c>
      <c r="L1938" s="1">
        <f t="shared" ref="L1938:N1938" si="4384">E1938/$H1938</f>
        <v>0.78533297970114435</v>
      </c>
      <c r="M1938" s="1">
        <f t="shared" si="4384"/>
        <v>0</v>
      </c>
      <c r="N1938" s="1">
        <f t="shared" si="4384"/>
        <v>-0.61907359093545733</v>
      </c>
      <c r="O1938" s="1">
        <f t="shared" si="4034"/>
        <v>-0.61907359093545733</v>
      </c>
      <c r="P1938" s="1">
        <f t="shared" si="4340"/>
        <v>0.48617890782363005</v>
      </c>
      <c r="Q1938" s="1">
        <f t="shared" si="4341"/>
        <v>0</v>
      </c>
      <c r="R1938" s="1">
        <f t="shared" si="4342"/>
        <v>0.61674788900627808</v>
      </c>
      <c r="S1938" s="1">
        <f t="shared" si="4343"/>
        <v>0.62038046538273139</v>
      </c>
      <c r="T1938" s="1">
        <f t="shared" ref="T1938:V1938" si="4385">$S1938*P1938</f>
        <v>0.30161589709489167</v>
      </c>
      <c r="U1938" s="1">
        <f t="shared" si="4385"/>
        <v>0</v>
      </c>
      <c r="V1938" s="1">
        <f t="shared" si="4385"/>
        <v>0.38261834240553194</v>
      </c>
      <c r="W1938" s="1">
        <f t="shared" si="4345"/>
        <v>-5.7243436431914096</v>
      </c>
      <c r="X1938" s="1">
        <f t="shared" si="4346"/>
        <v>0</v>
      </c>
      <c r="Y1938" s="1">
        <f t="shared" si="4347"/>
        <v>-4.6738014904411012</v>
      </c>
    </row>
    <row r="1939" spans="1:25">
      <c r="A1939" s="1">
        <v>1.9369999999999801</v>
      </c>
      <c r="B1939" s="1">
        <f t="shared" si="4348"/>
        <v>51.185086284233122</v>
      </c>
      <c r="C1939" s="1">
        <f t="shared" si="4349"/>
        <v>0</v>
      </c>
      <c r="D1939" s="1">
        <f t="shared" si="4350"/>
        <v>-6.6030524217295996</v>
      </c>
      <c r="E1939" s="1">
        <f t="shared" si="4351"/>
        <v>10.777703953351899</v>
      </c>
      <c r="F1939" s="1">
        <f t="shared" si="4352"/>
        <v>0</v>
      </c>
      <c r="G1939" s="1">
        <f t="shared" si="4353"/>
        <v>-8.5051899531949076</v>
      </c>
      <c r="H1939" s="1">
        <f t="shared" si="4032"/>
        <v>13.729426741347387</v>
      </c>
      <c r="I1939" s="1">
        <f t="shared" si="4336"/>
        <v>-6.0220587980757792</v>
      </c>
      <c r="J1939" s="1">
        <f t="shared" si="4337"/>
        <v>0</v>
      </c>
      <c r="K1939" s="1">
        <f t="shared" si="4338"/>
        <v>4.7522880762570887</v>
      </c>
      <c r="L1939" s="1">
        <f t="shared" ref="L1939:N1939" si="4386">E1939/$H1939</f>
        <v>0.78500757215841266</v>
      </c>
      <c r="M1939" s="1">
        <f t="shared" si="4386"/>
        <v>0</v>
      </c>
      <c r="N1939" s="1">
        <f t="shared" si="4386"/>
        <v>-0.61948616744359564</v>
      </c>
      <c r="O1939" s="1">
        <f t="shared" si="4034"/>
        <v>-0.61948616744359564</v>
      </c>
      <c r="P1939" s="1">
        <f t="shared" si="4340"/>
        <v>0.48630133229061689</v>
      </c>
      <c r="Q1939" s="1">
        <f t="shared" si="4341"/>
        <v>0</v>
      </c>
      <c r="R1939" s="1">
        <f t="shared" si="4342"/>
        <v>0.6162368883460454</v>
      </c>
      <c r="S1939" s="1">
        <f t="shared" si="4343"/>
        <v>0.62023587738298069</v>
      </c>
      <c r="T1939" s="1">
        <f t="shared" ref="T1939:V1939" si="4387">$S1939*P1939</f>
        <v>0.30162153350578319</v>
      </c>
      <c r="U1939" s="1">
        <f t="shared" si="4387"/>
        <v>0</v>
      </c>
      <c r="V1939" s="1">
        <f t="shared" si="4387"/>
        <v>0.38221222711906738</v>
      </c>
      <c r="W1939" s="1">
        <f t="shared" si="4345"/>
        <v>-5.7204372645699957</v>
      </c>
      <c r="X1939" s="1">
        <f t="shared" si="4346"/>
        <v>0</v>
      </c>
      <c r="Y1939" s="1">
        <f t="shared" si="4347"/>
        <v>-4.6721496966238432</v>
      </c>
    </row>
    <row r="1940" spans="1:25">
      <c r="A1940" s="1">
        <v>1.93799999999998</v>
      </c>
      <c r="B1940" s="1">
        <f t="shared" si="4348"/>
        <v>51.195858267749209</v>
      </c>
      <c r="C1940" s="1">
        <f t="shared" si="4349"/>
        <v>0</v>
      </c>
      <c r="D1940" s="1">
        <f t="shared" si="4350"/>
        <v>-6.611562283832491</v>
      </c>
      <c r="E1940" s="1">
        <f t="shared" si="4351"/>
        <v>10.77198351608733</v>
      </c>
      <c r="F1940" s="1">
        <f t="shared" si="4352"/>
        <v>0</v>
      </c>
      <c r="G1940" s="1">
        <f t="shared" si="4353"/>
        <v>-8.5098621028915318</v>
      </c>
      <c r="H1940" s="1">
        <f t="shared" si="4032"/>
        <v>13.72783238100927</v>
      </c>
      <c r="I1940" s="1">
        <f t="shared" si="4336"/>
        <v>-6.018163541035582</v>
      </c>
      <c r="J1940" s="1">
        <f t="shared" si="4337"/>
        <v>0</v>
      </c>
      <c r="K1940" s="1">
        <f t="shared" si="4338"/>
        <v>4.7543464739226033</v>
      </c>
      <c r="L1940" s="1">
        <f t="shared" ref="L1940:N1940" si="4388">E1940/$H1940</f>
        <v>0.78468203989648178</v>
      </c>
      <c r="M1940" s="1">
        <f t="shared" si="4388"/>
        <v>0</v>
      </c>
      <c r="N1940" s="1">
        <f t="shared" si="4388"/>
        <v>-0.61989845641354535</v>
      </c>
      <c r="O1940" s="1">
        <f t="shared" si="4034"/>
        <v>-0.61989845641354535</v>
      </c>
      <c r="P1940" s="1">
        <f t="shared" si="4340"/>
        <v>0.48642318530726109</v>
      </c>
      <c r="Q1940" s="1">
        <f t="shared" si="4341"/>
        <v>0</v>
      </c>
      <c r="R1940" s="1">
        <f t="shared" si="4342"/>
        <v>0.61572590373610381</v>
      </c>
      <c r="S1940" s="1">
        <f t="shared" si="4343"/>
        <v>0.62009183319470018</v>
      </c>
      <c r="T1940" s="1">
        <f t="shared" ref="T1940:V1940" si="4389">$S1940*P1940</f>
        <v>0.30162704468558488</v>
      </c>
      <c r="U1940" s="1">
        <f t="shared" si="4389"/>
        <v>0</v>
      </c>
      <c r="V1940" s="1">
        <f t="shared" si="4389"/>
        <v>0.38180660439318409</v>
      </c>
      <c r="W1940" s="1">
        <f t="shared" si="4345"/>
        <v>-5.7165364963499972</v>
      </c>
      <c r="X1940" s="1">
        <f t="shared" si="4346"/>
        <v>0</v>
      </c>
      <c r="Y1940" s="1">
        <f t="shared" si="4347"/>
        <v>-4.6704969216842116</v>
      </c>
    </row>
    <row r="1941" spans="1:25">
      <c r="A1941" s="1">
        <v>1.9389999999999801</v>
      </c>
      <c r="B1941" s="1">
        <f t="shared" si="4348"/>
        <v>51.206624534728803</v>
      </c>
      <c r="C1941" s="1">
        <f t="shared" si="4349"/>
        <v>0</v>
      </c>
      <c r="D1941" s="1">
        <f t="shared" si="4350"/>
        <v>-6.6200768164323041</v>
      </c>
      <c r="E1941" s="1">
        <f t="shared" si="4351"/>
        <v>10.766266979590981</v>
      </c>
      <c r="F1941" s="1">
        <f t="shared" si="4352"/>
        <v>0</v>
      </c>
      <c r="G1941" s="1">
        <f t="shared" si="4353"/>
        <v>-8.5145325998132169</v>
      </c>
      <c r="H1941" s="1">
        <f t="shared" si="4032"/>
        <v>13.726243844151725</v>
      </c>
      <c r="I1941" s="1">
        <f t="shared" si="4336"/>
        <v>-6.0142737570140863</v>
      </c>
      <c r="J1941" s="1">
        <f t="shared" si="4337"/>
        <v>0</v>
      </c>
      <c r="K1941" s="1">
        <f t="shared" si="4338"/>
        <v>4.7564053599424128</v>
      </c>
      <c r="L1941" s="1">
        <f t="shared" ref="L1941:N1941" si="4390">E1941/$H1941</f>
        <v>0.78435638342372249</v>
      </c>
      <c r="M1941" s="1">
        <f t="shared" si="4390"/>
        <v>0</v>
      </c>
      <c r="N1941" s="1">
        <f t="shared" si="4390"/>
        <v>-0.62031045757947567</v>
      </c>
      <c r="O1941" s="1">
        <f t="shared" si="4034"/>
        <v>-0.62031045757947567</v>
      </c>
      <c r="P1941" s="1">
        <f t="shared" si="4340"/>
        <v>0.48654446710695198</v>
      </c>
      <c r="Q1941" s="1">
        <f t="shared" si="4341"/>
        <v>0</v>
      </c>
      <c r="R1941" s="1">
        <f t="shared" si="4342"/>
        <v>0.61521493621754153</v>
      </c>
      <c r="S1941" s="1">
        <f t="shared" si="4343"/>
        <v>0.6199483317718778</v>
      </c>
      <c r="T1941" s="1">
        <f t="shared" ref="T1941:V1941" si="4391">$S1941*P1941</f>
        <v>0.30163243071579215</v>
      </c>
      <c r="U1941" s="1">
        <f t="shared" si="4391"/>
        <v>0</v>
      </c>
      <c r="V1941" s="1">
        <f t="shared" si="4391"/>
        <v>0.3814014733892071</v>
      </c>
      <c r="W1941" s="1">
        <f t="shared" si="4345"/>
        <v>-5.7126413262982938</v>
      </c>
      <c r="X1941" s="1">
        <f t="shared" si="4346"/>
        <v>0</v>
      </c>
      <c r="Y1941" s="1">
        <f t="shared" si="4347"/>
        <v>-4.6688431666683794</v>
      </c>
    </row>
    <row r="1942" spans="1:25">
      <c r="A1942" s="1">
        <v>1.93999999999998</v>
      </c>
      <c r="B1942" s="1">
        <f t="shared" si="4348"/>
        <v>51.217385089067065</v>
      </c>
      <c r="C1942" s="1">
        <f t="shared" si="4349"/>
        <v>0</v>
      </c>
      <c r="D1942" s="1">
        <f t="shared" si="4350"/>
        <v>-6.6285960178752843</v>
      </c>
      <c r="E1942" s="1">
        <f t="shared" si="4351"/>
        <v>10.760554338264683</v>
      </c>
      <c r="F1942" s="1">
        <f t="shared" si="4352"/>
        <v>0</v>
      </c>
      <c r="G1942" s="1">
        <f t="shared" si="4353"/>
        <v>-8.5192014429798846</v>
      </c>
      <c r="H1942" s="1">
        <f t="shared" si="4032"/>
        <v>13.724661121237837</v>
      </c>
      <c r="I1942" s="1">
        <f t="shared" si="4336"/>
        <v>-6.0103894338869184</v>
      </c>
      <c r="J1942" s="1">
        <f t="shared" si="4337"/>
        <v>0</v>
      </c>
      <c r="K1942" s="1">
        <f t="shared" si="4338"/>
        <v>4.758464734103832</v>
      </c>
      <c r="L1942" s="1">
        <f t="shared" ref="L1942:N1942" si="4392">E1942/$H1942</f>
        <v>0.78403060324845242</v>
      </c>
      <c r="M1942" s="1">
        <f t="shared" si="4392"/>
        <v>0</v>
      </c>
      <c r="N1942" s="1">
        <f t="shared" si="4392"/>
        <v>-0.62072217067692026</v>
      </c>
      <c r="O1942" s="1">
        <f t="shared" si="4034"/>
        <v>-0.62072217067692026</v>
      </c>
      <c r="P1942" s="1">
        <f t="shared" si="4340"/>
        <v>0.48666517792551461</v>
      </c>
      <c r="Q1942" s="1">
        <f t="shared" si="4341"/>
        <v>0</v>
      </c>
      <c r="R1942" s="1">
        <f t="shared" si="4342"/>
        <v>0.61470398683013228</v>
      </c>
      <c r="S1942" s="1">
        <f t="shared" si="4343"/>
        <v>0.61980537207050557</v>
      </c>
      <c r="T1942" s="1">
        <f t="shared" ref="T1942:V1942" si="4393">$S1942*P1942</f>
        <v>0.3016376916778824</v>
      </c>
      <c r="U1942" s="1">
        <f t="shared" si="4393"/>
        <v>0</v>
      </c>
      <c r="V1942" s="1">
        <f t="shared" si="4393"/>
        <v>0.38099683327047329</v>
      </c>
      <c r="W1942" s="1">
        <f t="shared" si="4345"/>
        <v>-5.7087517422090359</v>
      </c>
      <c r="X1942" s="1">
        <f t="shared" si="4346"/>
        <v>0</v>
      </c>
      <c r="Y1942" s="1">
        <f t="shared" si="4347"/>
        <v>-4.6671884326256938</v>
      </c>
    </row>
    <row r="1943" spans="1:25">
      <c r="A1943" s="1">
        <v>1.9409999999999801</v>
      </c>
      <c r="B1943" s="1">
        <f t="shared" si="4348"/>
        <v>51.228139934653591</v>
      </c>
      <c r="C1943" s="1">
        <f t="shared" si="4349"/>
        <v>0</v>
      </c>
      <c r="D1943" s="1">
        <f t="shared" si="4350"/>
        <v>-6.6371198865066967</v>
      </c>
      <c r="E1943" s="1">
        <f t="shared" si="4351"/>
        <v>10.754845586522475</v>
      </c>
      <c r="F1943" s="1">
        <f t="shared" si="4352"/>
        <v>0</v>
      </c>
      <c r="G1943" s="1">
        <f t="shared" si="4353"/>
        <v>-8.5238686314125101</v>
      </c>
      <c r="H1943" s="1">
        <f t="shared" si="4032"/>
        <v>13.72308420274102</v>
      </c>
      <c r="I1943" s="1">
        <f t="shared" si="4336"/>
        <v>-6.0065105595568893</v>
      </c>
      <c r="J1943" s="1">
        <f t="shared" si="4337"/>
        <v>0</v>
      </c>
      <c r="K1943" s="1">
        <f t="shared" si="4338"/>
        <v>4.7605245961890015</v>
      </c>
      <c r="L1943" s="1">
        <f t="shared" ref="L1943:N1943" si="4394">E1943/$H1943</f>
        <v>0.78370469987893276</v>
      </c>
      <c r="M1943" s="1">
        <f t="shared" si="4394"/>
        <v>0</v>
      </c>
      <c r="N1943" s="1">
        <f t="shared" si="4394"/>
        <v>-0.62113359544277735</v>
      </c>
      <c r="O1943" s="1">
        <f t="shared" si="4034"/>
        <v>-0.62113359544277735</v>
      </c>
      <c r="P1943" s="1">
        <f t="shared" si="4340"/>
        <v>0.48678531800120428</v>
      </c>
      <c r="Q1943" s="1">
        <f t="shared" si="4341"/>
        <v>0</v>
      </c>
      <c r="R1943" s="1">
        <f t="shared" si="4342"/>
        <v>0.61419305661232815</v>
      </c>
      <c r="S1943" s="1">
        <f t="shared" si="4343"/>
        <v>0.619662953048573</v>
      </c>
      <c r="T1943" s="1">
        <f t="shared" ref="T1943:V1943" si="4395">$S1943*P1943</f>
        <v>0.3016428276533149</v>
      </c>
      <c r="U1943" s="1">
        <f t="shared" si="4395"/>
        <v>0</v>
      </c>
      <c r="V1943" s="1">
        <f t="shared" si="4395"/>
        <v>0.38059268320232464</v>
      </c>
      <c r="W1943" s="1">
        <f t="shared" si="4345"/>
        <v>-5.7048677319035743</v>
      </c>
      <c r="X1943" s="1">
        <f t="shared" si="4346"/>
        <v>0</v>
      </c>
      <c r="Y1943" s="1">
        <f t="shared" si="4347"/>
        <v>-4.665532720608673</v>
      </c>
    </row>
    <row r="1944" spans="1:25">
      <c r="A1944" s="1">
        <v>1.94199999999998</v>
      </c>
      <c r="B1944" s="1">
        <f t="shared" si="4348"/>
        <v>51.238889075372384</v>
      </c>
      <c r="C1944" s="1">
        <f t="shared" si="4349"/>
        <v>0</v>
      </c>
      <c r="D1944" s="1">
        <f t="shared" si="4350"/>
        <v>-6.6456484206708302</v>
      </c>
      <c r="E1944" s="1">
        <f t="shared" si="4351"/>
        <v>10.749140718790571</v>
      </c>
      <c r="F1944" s="1">
        <f t="shared" si="4352"/>
        <v>0</v>
      </c>
      <c r="G1944" s="1">
        <f t="shared" si="4353"/>
        <v>-8.5285341641331183</v>
      </c>
      <c r="H1944" s="1">
        <f t="shared" si="4032"/>
        <v>13.721513079144998</v>
      </c>
      <c r="I1944" s="1">
        <f t="shared" si="4336"/>
        <v>-6.0026371219539278</v>
      </c>
      <c r="J1944" s="1">
        <f t="shared" si="4337"/>
        <v>0</v>
      </c>
      <c r="K1944" s="1">
        <f t="shared" si="4338"/>
        <v>4.7625849459748979</v>
      </c>
      <c r="L1944" s="1">
        <f t="shared" ref="L1944:N1944" si="4396">E1944/$H1944</f>
        <v>0.78337867382336535</v>
      </c>
      <c r="M1944" s="1">
        <f t="shared" si="4396"/>
        <v>0</v>
      </c>
      <c r="N1944" s="1">
        <f t="shared" si="4396"/>
        <v>-0.6215447316153081</v>
      </c>
      <c r="O1944" s="1">
        <f t="shared" si="4034"/>
        <v>-0.6215447316153081</v>
      </c>
      <c r="P1944" s="1">
        <f t="shared" si="4340"/>
        <v>0.48690488757469957</v>
      </c>
      <c r="Q1944" s="1">
        <f t="shared" si="4341"/>
        <v>0</v>
      </c>
      <c r="R1944" s="1">
        <f t="shared" si="4342"/>
        <v>0.61368214660125464</v>
      </c>
      <c r="S1944" s="1">
        <f t="shared" si="4343"/>
        <v>0.61952107366606224</v>
      </c>
      <c r="T1944" s="1">
        <f t="shared" ref="T1944:V1944" si="4397">$S1944*P1944</f>
        <v>0.30164783872353118</v>
      </c>
      <c r="U1944" s="1">
        <f t="shared" si="4397"/>
        <v>0</v>
      </c>
      <c r="V1944" s="1">
        <f t="shared" si="4397"/>
        <v>0.38018902235210306</v>
      </c>
      <c r="W1944" s="1">
        <f t="shared" si="4345"/>
        <v>-5.7009892832303963</v>
      </c>
      <c r="X1944" s="1">
        <f t="shared" si="4346"/>
        <v>0</v>
      </c>
      <c r="Y1944" s="1">
        <f t="shared" si="4347"/>
        <v>-4.6638760316729986</v>
      </c>
    </row>
    <row r="1945" spans="1:25">
      <c r="A1945" s="1">
        <v>1.9429999999999801</v>
      </c>
      <c r="B1945" s="1">
        <f t="shared" si="4348"/>
        <v>51.249632515101894</v>
      </c>
      <c r="C1945" s="1">
        <f t="shared" si="4349"/>
        <v>0</v>
      </c>
      <c r="D1945" s="1">
        <f t="shared" si="4350"/>
        <v>-6.6541816187109948</v>
      </c>
      <c r="E1945" s="1">
        <f t="shared" si="4351"/>
        <v>10.74343972950734</v>
      </c>
      <c r="F1945" s="1">
        <f t="shared" si="4352"/>
        <v>0</v>
      </c>
      <c r="G1945" s="1">
        <f t="shared" si="4353"/>
        <v>-8.5331980401647911</v>
      </c>
      <c r="H1945" s="1">
        <f t="shared" si="4032"/>
        <v>13.719947740943804</v>
      </c>
      <c r="I1945" s="1">
        <f t="shared" si="4336"/>
        <v>-5.9987691090350177</v>
      </c>
      <c r="J1945" s="1">
        <f t="shared" si="4337"/>
        <v>0</v>
      </c>
      <c r="K1945" s="1">
        <f t="shared" si="4338"/>
        <v>4.7646457832333411</v>
      </c>
      <c r="L1945" s="1">
        <f t="shared" ref="L1945:N1945" si="4398">E1945/$H1945</f>
        <v>0.78305252558988925</v>
      </c>
      <c r="M1945" s="1">
        <f t="shared" si="4398"/>
        <v>0</v>
      </c>
      <c r="N1945" s="1">
        <f t="shared" si="4398"/>
        <v>-0.62195557893413578</v>
      </c>
      <c r="O1945" s="1">
        <f t="shared" si="4034"/>
        <v>-0.62195557893413578</v>
      </c>
      <c r="P1945" s="1">
        <f t="shared" si="4340"/>
        <v>0.48702388688909676</v>
      </c>
      <c r="Q1945" s="1">
        <f t="shared" si="4341"/>
        <v>0</v>
      </c>
      <c r="R1945" s="1">
        <f t="shared" si="4342"/>
        <v>0.61317125783270399</v>
      </c>
      <c r="S1945" s="1">
        <f t="shared" si="4343"/>
        <v>0.61937973288494363</v>
      </c>
      <c r="T1945" s="1">
        <f t="shared" ref="T1945:V1945" si="4399">$S1945*P1945</f>
        <v>0.30165272496995577</v>
      </c>
      <c r="U1945" s="1">
        <f t="shared" si="4399"/>
        <v>0</v>
      </c>
      <c r="V1945" s="1">
        <f t="shared" si="4399"/>
        <v>0.3797858498891451</v>
      </c>
      <c r="W1945" s="1">
        <f t="shared" si="4345"/>
        <v>-5.6971163840650618</v>
      </c>
      <c r="X1945" s="1">
        <f t="shared" si="4346"/>
        <v>0</v>
      </c>
      <c r="Y1945" s="1">
        <f t="shared" si="4347"/>
        <v>-4.6622183668775135</v>
      </c>
    </row>
    <row r="1946" spans="1:25">
      <c r="A1946" s="1">
        <v>1.94399999999998</v>
      </c>
      <c r="B1946" s="1">
        <f t="shared" si="4348"/>
        <v>51.260370257715017</v>
      </c>
      <c r="C1946" s="1">
        <f t="shared" si="4349"/>
        <v>0</v>
      </c>
      <c r="D1946" s="1">
        <f t="shared" si="4350"/>
        <v>-6.6627194789695263</v>
      </c>
      <c r="E1946" s="1">
        <f t="shared" si="4351"/>
        <v>10.737742613123276</v>
      </c>
      <c r="F1946" s="1">
        <f t="shared" si="4352"/>
        <v>0</v>
      </c>
      <c r="G1946" s="1">
        <f t="shared" si="4353"/>
        <v>-8.5378602585316692</v>
      </c>
      <c r="H1946" s="1">
        <f t="shared" si="4032"/>
        <v>13.718388178641758</v>
      </c>
      <c r="I1946" s="1">
        <f t="shared" si="4336"/>
        <v>-5.9949065087841324</v>
      </c>
      <c r="J1946" s="1">
        <f t="shared" si="4337"/>
        <v>0</v>
      </c>
      <c r="K1946" s="1">
        <f t="shared" si="4338"/>
        <v>4.766707107731011</v>
      </c>
      <c r="L1946" s="1">
        <f t="shared" ref="L1946:N1946" si="4400">E1946/$H1946</f>
        <v>0.78272625568657783</v>
      </c>
      <c r="M1946" s="1">
        <f t="shared" si="4400"/>
        <v>0</v>
      </c>
      <c r="N1946" s="1">
        <f t="shared" si="4400"/>
        <v>-0.6223661371402448</v>
      </c>
      <c r="O1946" s="1">
        <f t="shared" si="4034"/>
        <v>-0.6223661371402448</v>
      </c>
      <c r="P1946" s="1">
        <f t="shared" si="4340"/>
        <v>0.487142316189903</v>
      </c>
      <c r="Q1946" s="1">
        <f t="shared" si="4341"/>
        <v>0</v>
      </c>
      <c r="R1946" s="1">
        <f t="shared" si="4342"/>
        <v>0.61266039134112993</v>
      </c>
      <c r="S1946" s="1">
        <f t="shared" si="4343"/>
        <v>0.61923892966916916</v>
      </c>
      <c r="T1946" s="1">
        <f t="shared" ref="T1946:V1946" si="4401">$S1946*P1946</f>
        <v>0.30165748647399548</v>
      </c>
      <c r="U1946" s="1">
        <f t="shared" si="4401"/>
        <v>0</v>
      </c>
      <c r="V1946" s="1">
        <f t="shared" si="4401"/>
        <v>0.37938316498477559</v>
      </c>
      <c r="W1946" s="1">
        <f t="shared" si="4345"/>
        <v>-5.6932490223101366</v>
      </c>
      <c r="X1946" s="1">
        <f t="shared" si="4346"/>
        <v>0</v>
      </c>
      <c r="Y1946" s="1">
        <f t="shared" si="4347"/>
        <v>-4.6605597272842125</v>
      </c>
    </row>
    <row r="1947" spans="1:25">
      <c r="A1947" s="1">
        <v>1.9449999999999801</v>
      </c>
      <c r="B1947" s="1">
        <f t="shared" si="4348"/>
        <v>51.271102307079119</v>
      </c>
      <c r="C1947" s="1">
        <f t="shared" si="4349"/>
        <v>0</v>
      </c>
      <c r="D1947" s="1">
        <f t="shared" si="4350"/>
        <v>-6.6712619997877853</v>
      </c>
      <c r="E1947" s="1">
        <f t="shared" si="4351"/>
        <v>10.732049364100966</v>
      </c>
      <c r="F1947" s="1">
        <f t="shared" si="4352"/>
        <v>0</v>
      </c>
      <c r="G1947" s="1">
        <f t="shared" si="4353"/>
        <v>-8.5425208182589536</v>
      </c>
      <c r="H1947" s="1">
        <f t="shared" si="4032"/>
        <v>13.716834382753463</v>
      </c>
      <c r="I1947" s="1">
        <f t="shared" si="4336"/>
        <v>-5.991049309212177</v>
      </c>
      <c r="J1947" s="1">
        <f t="shared" si="4337"/>
        <v>0</v>
      </c>
      <c r="K1947" s="1">
        <f t="shared" si="4338"/>
        <v>4.7687689192294567</v>
      </c>
      <c r="L1947" s="1">
        <f t="shared" ref="L1947:N1947" si="4402">E1947/$H1947</f>
        <v>0.78239986462143585</v>
      </c>
      <c r="M1947" s="1">
        <f t="shared" si="4402"/>
        <v>0</v>
      </c>
      <c r="N1947" s="1">
        <f t="shared" si="4402"/>
        <v>-0.62277640597598016</v>
      </c>
      <c r="O1947" s="1">
        <f t="shared" si="4034"/>
        <v>-0.62277640597598016</v>
      </c>
      <c r="P1947" s="1">
        <f t="shared" si="4340"/>
        <v>0.48726017572503127</v>
      </c>
      <c r="Q1947" s="1">
        <f t="shared" si="4341"/>
        <v>0</v>
      </c>
      <c r="R1947" s="1">
        <f t="shared" si="4342"/>
        <v>0.61214954815964107</v>
      </c>
      <c r="S1947" s="1">
        <f t="shared" si="4343"/>
        <v>0.61909866298466831</v>
      </c>
      <c r="T1947" s="1">
        <f t="shared" ref="T1947:V1947" si="4403">$S1947*P1947</f>
        <v>0.3016621233170414</v>
      </c>
      <c r="U1947" s="1">
        <f t="shared" si="4403"/>
        <v>0</v>
      </c>
      <c r="V1947" s="1">
        <f t="shared" si="4403"/>
        <v>0.37898096681230259</v>
      </c>
      <c r="W1947" s="1">
        <f t="shared" si="4345"/>
        <v>-5.6893871858951357</v>
      </c>
      <c r="X1947" s="1">
        <f t="shared" si="4346"/>
        <v>0</v>
      </c>
      <c r="Y1947" s="1">
        <f t="shared" si="4347"/>
        <v>-4.6589001139582402</v>
      </c>
    </row>
    <row r="1948" spans="1:25">
      <c r="A1948" s="1">
        <v>1.94599999999998</v>
      </c>
      <c r="B1948" s="1">
        <f t="shared" si="4348"/>
        <v>51.281828667056033</v>
      </c>
      <c r="C1948" s="1">
        <f t="shared" si="4349"/>
        <v>0</v>
      </c>
      <c r="D1948" s="1">
        <f t="shared" si="4350"/>
        <v>-6.679809179506158</v>
      </c>
      <c r="E1948" s="1">
        <f t="shared" si="4351"/>
        <v>10.726359976915072</v>
      </c>
      <c r="F1948" s="1">
        <f t="shared" si="4352"/>
        <v>0</v>
      </c>
      <c r="G1948" s="1">
        <f t="shared" si="4353"/>
        <v>-8.5471797183729112</v>
      </c>
      <c r="H1948" s="1">
        <f t="shared" si="4032"/>
        <v>13.71528634380379</v>
      </c>
      <c r="I1948" s="1">
        <f t="shared" si="4336"/>
        <v>-5.9871974983569123</v>
      </c>
      <c r="J1948" s="1">
        <f t="shared" si="4337"/>
        <v>0</v>
      </c>
      <c r="K1948" s="1">
        <f t="shared" si="4338"/>
        <v>4.7708312174851049</v>
      </c>
      <c r="L1948" s="1">
        <f t="shared" ref="L1948:N1948" si="4404">E1948/$H1948</f>
        <v>0.78207335290239588</v>
      </c>
      <c r="M1948" s="1">
        <f t="shared" si="4404"/>
        <v>0</v>
      </c>
      <c r="N1948" s="1">
        <f t="shared" si="4404"/>
        <v>-0.6231863851850461</v>
      </c>
      <c r="O1948" s="1">
        <f t="shared" si="4034"/>
        <v>-0.6231863851850461</v>
      </c>
      <c r="P1948" s="1">
        <f t="shared" si="4340"/>
        <v>0.48737746574479296</v>
      </c>
      <c r="Q1948" s="1">
        <f t="shared" si="4341"/>
        <v>0</v>
      </c>
      <c r="R1948" s="1">
        <f t="shared" si="4342"/>
        <v>0.61163872931999541</v>
      </c>
      <c r="S1948" s="1">
        <f t="shared" si="4343"/>
        <v>0.61895893179934247</v>
      </c>
      <c r="T1948" s="1">
        <f t="shared" ref="T1948:V1948" si="4405">$S1948*P1948</f>
        <v>0.30166663558046769</v>
      </c>
      <c r="U1948" s="1">
        <f t="shared" si="4405"/>
        <v>0</v>
      </c>
      <c r="V1948" s="1">
        <f t="shared" si="4405"/>
        <v>0.37857925454701152</v>
      </c>
      <c r="W1948" s="1">
        <f t="shared" si="4345"/>
        <v>-5.6855308627764449</v>
      </c>
      <c r="X1948" s="1">
        <f t="shared" si="4346"/>
        <v>0</v>
      </c>
      <c r="Y1948" s="1">
        <f t="shared" si="4347"/>
        <v>-4.6572395279678833</v>
      </c>
    </row>
    <row r="1949" spans="1:25">
      <c r="A1949" s="1">
        <v>1.9469999999999801</v>
      </c>
      <c r="B1949" s="1">
        <f t="shared" si="4348"/>
        <v>51.292549341502088</v>
      </c>
      <c r="C1949" s="1">
        <f t="shared" si="4349"/>
        <v>0</v>
      </c>
      <c r="D1949" s="1">
        <f t="shared" si="4350"/>
        <v>-6.688361016464059</v>
      </c>
      <c r="E1949" s="1">
        <f t="shared" si="4351"/>
        <v>10.720674446052296</v>
      </c>
      <c r="F1949" s="1">
        <f t="shared" si="4352"/>
        <v>0</v>
      </c>
      <c r="G1949" s="1">
        <f t="shared" si="4353"/>
        <v>-8.5518369579008784</v>
      </c>
      <c r="H1949" s="1">
        <f t="shared" si="4032"/>
        <v>13.71374405232787</v>
      </c>
      <c r="I1949" s="1">
        <f t="shared" si="4336"/>
        <v>-5.9833510642829042</v>
      </c>
      <c r="J1949" s="1">
        <f t="shared" si="4337"/>
        <v>0</v>
      </c>
      <c r="K1949" s="1">
        <f t="shared" si="4338"/>
        <v>4.7728940022492772</v>
      </c>
      <c r="L1949" s="1">
        <f t="shared" ref="L1949:N1949" si="4406">E1949/$H1949</f>
        <v>0.78174672103731524</v>
      </c>
      <c r="M1949" s="1">
        <f t="shared" si="4406"/>
        <v>0</v>
      </c>
      <c r="N1949" s="1">
        <f t="shared" si="4406"/>
        <v>-0.62359607451250543</v>
      </c>
      <c r="O1949" s="1">
        <f t="shared" si="4034"/>
        <v>-0.62359607451250543</v>
      </c>
      <c r="P1949" s="1">
        <f t="shared" si="4340"/>
        <v>0.48749418650189241</v>
      </c>
      <c r="Q1949" s="1">
        <f t="shared" si="4341"/>
        <v>0</v>
      </c>
      <c r="R1949" s="1">
        <f t="shared" si="4342"/>
        <v>0.61112793585259384</v>
      </c>
      <c r="S1949" s="1">
        <f t="shared" si="4343"/>
        <v>0.61881973508306043</v>
      </c>
      <c r="T1949" s="1">
        <f t="shared" ref="T1949:V1949" si="4407">$S1949*P1949</f>
        <v>0.30167102334563312</v>
      </c>
      <c r="U1949" s="1">
        <f t="shared" si="4407"/>
        <v>0</v>
      </c>
      <c r="V1949" s="1">
        <f t="shared" si="4407"/>
        <v>0.37817802736615969</v>
      </c>
      <c r="W1949" s="1">
        <f t="shared" si="4345"/>
        <v>-5.6816800409372714</v>
      </c>
      <c r="X1949" s="1">
        <f t="shared" si="4346"/>
        <v>0</v>
      </c>
      <c r="Y1949" s="1">
        <f t="shared" si="4347"/>
        <v>-4.655577970384563</v>
      </c>
    </row>
    <row r="1950" spans="1:25">
      <c r="A1950" s="1">
        <v>1.94799999999998</v>
      </c>
      <c r="B1950" s="1">
        <f t="shared" si="4348"/>
        <v>51.3032643342681</v>
      </c>
      <c r="C1950" s="1">
        <f t="shared" si="4349"/>
        <v>0</v>
      </c>
      <c r="D1950" s="1">
        <f t="shared" si="4350"/>
        <v>-6.6969175089999302</v>
      </c>
      <c r="E1950" s="1">
        <f t="shared" si="4351"/>
        <v>10.71499276601136</v>
      </c>
      <c r="F1950" s="1">
        <f t="shared" si="4352"/>
        <v>0</v>
      </c>
      <c r="G1950" s="1">
        <f t="shared" si="4353"/>
        <v>-8.5564925358712625</v>
      </c>
      <c r="H1950" s="1">
        <f t="shared" si="4032"/>
        <v>13.712207498871084</v>
      </c>
      <c r="I1950" s="1">
        <f t="shared" si="4336"/>
        <v>-5.9795099950814556</v>
      </c>
      <c r="J1950" s="1">
        <f t="shared" si="4337"/>
        <v>0</v>
      </c>
      <c r="K1950" s="1">
        <f t="shared" si="4338"/>
        <v>4.7749572732681997</v>
      </c>
      <c r="L1950" s="1">
        <f t="shared" ref="L1950:N1950" si="4408">E1950/$H1950</f>
        <v>0.78141996953397308</v>
      </c>
      <c r="M1950" s="1">
        <f t="shared" si="4408"/>
        <v>0</v>
      </c>
      <c r="N1950" s="1">
        <f t="shared" si="4408"/>
        <v>-0.62400547370477821</v>
      </c>
      <c r="O1950" s="1">
        <f t="shared" si="4034"/>
        <v>-0.62400547370477821</v>
      </c>
      <c r="P1950" s="1">
        <f t="shared" si="4340"/>
        <v>0.48761033825142025</v>
      </c>
      <c r="Q1950" s="1">
        <f t="shared" si="4341"/>
        <v>0</v>
      </c>
      <c r="R1950" s="1">
        <f t="shared" si="4342"/>
        <v>0.61061716878647543</v>
      </c>
      <c r="S1950" s="1">
        <f t="shared" si="4343"/>
        <v>0.61868107180765242</v>
      </c>
      <c r="T1950" s="1">
        <f t="shared" ref="T1950:V1950" si="4409">$S1950*P1950</f>
        <v>0.30167528669388061</v>
      </c>
      <c r="U1950" s="1">
        <f t="shared" si="4409"/>
        <v>0</v>
      </c>
      <c r="V1950" s="1">
        <f t="shared" si="4409"/>
        <v>0.3777772844489708</v>
      </c>
      <c r="W1950" s="1">
        <f t="shared" si="4345"/>
        <v>-5.6778347083875751</v>
      </c>
      <c r="X1950" s="1">
        <f t="shared" si="4346"/>
        <v>0</v>
      </c>
      <c r="Y1950" s="1">
        <f t="shared" si="4347"/>
        <v>-4.6539154422828286</v>
      </c>
    </row>
    <row r="1951" spans="1:25">
      <c r="A1951" s="1">
        <v>1.9489999999999801</v>
      </c>
      <c r="B1951" s="1">
        <f t="shared" si="4348"/>
        <v>51.313973649199404</v>
      </c>
      <c r="C1951" s="1">
        <f t="shared" si="4349"/>
        <v>0</v>
      </c>
      <c r="D1951" s="1">
        <f t="shared" si="4350"/>
        <v>-6.7054786554512438</v>
      </c>
      <c r="E1951" s="1">
        <f t="shared" si="4351"/>
        <v>10.709314931302972</v>
      </c>
      <c r="F1951" s="1">
        <f t="shared" si="4352"/>
        <v>0</v>
      </c>
      <c r="G1951" s="1">
        <f t="shared" si="4353"/>
        <v>-8.5611464513135456</v>
      </c>
      <c r="H1951" s="1">
        <f t="shared" si="4032"/>
        <v>13.710676673989044</v>
      </c>
      <c r="I1951" s="1">
        <f t="shared" si="4336"/>
        <v>-5.9756742788705397</v>
      </c>
      <c r="J1951" s="1">
        <f t="shared" si="4337"/>
        <v>0</v>
      </c>
      <c r="K1951" s="1">
        <f t="shared" si="4338"/>
        <v>4.7770210302830103</v>
      </c>
      <c r="L1951" s="1">
        <f t="shared" ref="L1951:N1951" si="4410">E1951/$H1951</f>
        <v>0.7810930989000674</v>
      </c>
      <c r="M1951" s="1">
        <f t="shared" si="4410"/>
        <v>0</v>
      </c>
      <c r="N1951" s="1">
        <f t="shared" si="4410"/>
        <v>-0.62441458250964132</v>
      </c>
      <c r="O1951" s="1">
        <f t="shared" si="4034"/>
        <v>-0.62441458250964132</v>
      </c>
      <c r="P1951" s="1">
        <f t="shared" si="4340"/>
        <v>0.48772592125084757</v>
      </c>
      <c r="Q1951" s="1">
        <f t="shared" si="4341"/>
        <v>0</v>
      </c>
      <c r="R1951" s="1">
        <f t="shared" si="4342"/>
        <v>0.61010642914931035</v>
      </c>
      <c r="S1951" s="1">
        <f t="shared" si="4343"/>
        <v>0.61854294094690543</v>
      </c>
      <c r="T1951" s="1">
        <f t="shared" ref="T1951:V1951" si="4411">$S1951*P1951</f>
        <v>0.30167942570653805</v>
      </c>
      <c r="U1951" s="1">
        <f t="shared" si="4411"/>
        <v>0</v>
      </c>
      <c r="V1951" s="1">
        <f t="shared" si="4411"/>
        <v>0.37737702497662923</v>
      </c>
      <c r="W1951" s="1">
        <f t="shared" si="4345"/>
        <v>-5.6739948531640021</v>
      </c>
      <c r="X1951" s="1">
        <f t="shared" si="4346"/>
        <v>0</v>
      </c>
      <c r="Y1951" s="1">
        <f t="shared" si="4347"/>
        <v>-4.6522519447403603</v>
      </c>
    </row>
    <row r="1952" spans="1:25">
      <c r="A1952" s="1">
        <v>1.94999999999998</v>
      </c>
      <c r="B1952" s="1">
        <f t="shared" si="4348"/>
        <v>51.324677290135853</v>
      </c>
      <c r="C1952" s="1">
        <f t="shared" si="4349"/>
        <v>0</v>
      </c>
      <c r="D1952" s="1">
        <f t="shared" si="4350"/>
        <v>-6.7140444541545019</v>
      </c>
      <c r="E1952" s="1">
        <f t="shared" si="4351"/>
        <v>10.703640936449808</v>
      </c>
      <c r="F1952" s="1">
        <f t="shared" si="4352"/>
        <v>0</v>
      </c>
      <c r="G1952" s="1">
        <f t="shared" si="4353"/>
        <v>-8.5657987032582863</v>
      </c>
      <c r="H1952" s="1">
        <f t="shared" si="4032"/>
        <v>13.709151568247593</v>
      </c>
      <c r="I1952" s="1">
        <f t="shared" si="4336"/>
        <v>-5.9718439037947437</v>
      </c>
      <c r="J1952" s="1">
        <f t="shared" si="4337"/>
        <v>0</v>
      </c>
      <c r="K1952" s="1">
        <f t="shared" si="4338"/>
        <v>4.7790852730297759</v>
      </c>
      <c r="L1952" s="1">
        <f t="shared" ref="L1952:N1952" si="4412">E1952/$H1952</f>
        <v>0.78076610964321169</v>
      </c>
      <c r="M1952" s="1">
        <f t="shared" si="4412"/>
        <v>0</v>
      </c>
      <c r="N1952" s="1">
        <f t="shared" si="4412"/>
        <v>-0.62482340067622666</v>
      </c>
      <c r="O1952" s="1">
        <f t="shared" si="4034"/>
        <v>-0.62482340067622666</v>
      </c>
      <c r="P1952" s="1">
        <f t="shared" si="4340"/>
        <v>0.48784093576001919</v>
      </c>
      <c r="Q1952" s="1">
        <f t="shared" si="4341"/>
        <v>0</v>
      </c>
      <c r="R1952" s="1">
        <f t="shared" si="4342"/>
        <v>0.60959571796739553</v>
      </c>
      <c r="S1952" s="1">
        <f t="shared" si="4343"/>
        <v>0.61840534147655868</v>
      </c>
      <c r="T1952" s="1">
        <f t="shared" ref="T1952:V1952" si="4413">$S1952*P1952</f>
        <v>0.30168344046491857</v>
      </c>
      <c r="U1952" s="1">
        <f t="shared" si="4413"/>
        <v>0</v>
      </c>
      <c r="V1952" s="1">
        <f t="shared" si="4413"/>
        <v>0.37697724813227518</v>
      </c>
      <c r="W1952" s="1">
        <f t="shared" si="4345"/>
        <v>-5.6701604633298253</v>
      </c>
      <c r="X1952" s="1">
        <f t="shared" si="4346"/>
        <v>0</v>
      </c>
      <c r="Y1952" s="1">
        <f t="shared" si="4347"/>
        <v>-4.6505874788379487</v>
      </c>
    </row>
    <row r="1953" spans="1:25">
      <c r="A1953" s="1">
        <v>1.9509999999999801</v>
      </c>
      <c r="B1953" s="1">
        <f t="shared" si="4348"/>
        <v>51.335375260911839</v>
      </c>
      <c r="C1953" s="1">
        <f t="shared" si="4349"/>
        <v>0</v>
      </c>
      <c r="D1953" s="1">
        <f t="shared" si="4350"/>
        <v>-6.7226149034452387</v>
      </c>
      <c r="E1953" s="1">
        <f t="shared" si="4351"/>
        <v>10.697970775986478</v>
      </c>
      <c r="F1953" s="1">
        <f t="shared" si="4352"/>
        <v>0</v>
      </c>
      <c r="G1953" s="1">
        <f t="shared" si="4353"/>
        <v>-8.570449290737125</v>
      </c>
      <c r="H1953" s="1">
        <f t="shared" si="4032"/>
        <v>13.707632172222787</v>
      </c>
      <c r="I1953" s="1">
        <f t="shared" si="4336"/>
        <v>-5.9680188580252018</v>
      </c>
      <c r="J1953" s="1">
        <f t="shared" si="4337"/>
        <v>0</v>
      </c>
      <c r="K1953" s="1">
        <f t="shared" si="4338"/>
        <v>4.7811500012394994</v>
      </c>
      <c r="L1953" s="1">
        <f t="shared" ref="L1953:N1953" si="4414">E1953/$H1953</f>
        <v>0.78043900227093188</v>
      </c>
      <c r="M1953" s="1">
        <f t="shared" si="4414"/>
        <v>0</v>
      </c>
      <c r="N1953" s="1">
        <f t="shared" si="4414"/>
        <v>-0.62523192795502092</v>
      </c>
      <c r="O1953" s="1">
        <f t="shared" si="4034"/>
        <v>-0.62523192795502092</v>
      </c>
      <c r="P1953" s="1">
        <f t="shared" si="4340"/>
        <v>0.48795538204114769</v>
      </c>
      <c r="Q1953" s="1">
        <f t="shared" si="4341"/>
        <v>0</v>
      </c>
      <c r="R1953" s="1">
        <f t="shared" si="4342"/>
        <v>0.60908503626564747</v>
      </c>
      <c r="S1953" s="1">
        <f t="shared" si="4343"/>
        <v>0.6182682723742976</v>
      </c>
      <c r="T1953" s="1">
        <f t="shared" ref="T1953:V1953" si="4415">$S1953*P1953</f>
        <v>0.30168733105032075</v>
      </c>
      <c r="U1953" s="1">
        <f t="shared" si="4415"/>
        <v>0</v>
      </c>
      <c r="V1953" s="1">
        <f t="shared" si="4415"/>
        <v>0.37657795310099829</v>
      </c>
      <c r="W1953" s="1">
        <f t="shared" si="4345"/>
        <v>-5.6663315269748811</v>
      </c>
      <c r="X1953" s="1">
        <f t="shared" si="4346"/>
        <v>0</v>
      </c>
      <c r="Y1953" s="1">
        <f t="shared" si="4347"/>
        <v>-4.6489220456595017</v>
      </c>
    </row>
    <row r="1954" spans="1:25">
      <c r="A1954" s="1">
        <v>1.95199999999998</v>
      </c>
      <c r="B1954" s="1">
        <f t="shared" si="4348"/>
        <v>51.3460675653563</v>
      </c>
      <c r="C1954" s="1">
        <f t="shared" si="4349"/>
        <v>0</v>
      </c>
      <c r="D1954" s="1">
        <f t="shared" si="4350"/>
        <v>-6.7311900016580211</v>
      </c>
      <c r="E1954" s="1">
        <f t="shared" si="4351"/>
        <v>10.692304444459504</v>
      </c>
      <c r="F1954" s="1">
        <f t="shared" si="4352"/>
        <v>0</v>
      </c>
      <c r="G1954" s="1">
        <f t="shared" si="4353"/>
        <v>-8.5750982127827839</v>
      </c>
      <c r="H1954" s="1">
        <f t="shared" si="4032"/>
        <v>13.706118476500885</v>
      </c>
      <c r="I1954" s="1">
        <f t="shared" si="4336"/>
        <v>-5.9641991297595345</v>
      </c>
      <c r="J1954" s="1">
        <f t="shared" si="4337"/>
        <v>0</v>
      </c>
      <c r="K1954" s="1">
        <f t="shared" si="4338"/>
        <v>4.7832152146381324</v>
      </c>
      <c r="L1954" s="1">
        <f t="shared" ref="L1954:N1954" si="4416">E1954/$H1954</f>
        <v>0.78011177729066328</v>
      </c>
      <c r="M1954" s="1">
        <f t="shared" si="4416"/>
        <v>0</v>
      </c>
      <c r="N1954" s="1">
        <f t="shared" si="4416"/>
        <v>-0.62564016409786438</v>
      </c>
      <c r="O1954" s="1">
        <f t="shared" si="4034"/>
        <v>-0.62564016409786438</v>
      </c>
      <c r="P1954" s="1">
        <f t="shared" si="4340"/>
        <v>0.48806926035880721</v>
      </c>
      <c r="Q1954" s="1">
        <f t="shared" si="4341"/>
        <v>0</v>
      </c>
      <c r="R1954" s="1">
        <f t="shared" si="4342"/>
        <v>0.60857438506759731</v>
      </c>
      <c r="S1954" s="1">
        <f t="shared" si="4343"/>
        <v>0.61813173261974919</v>
      </c>
      <c r="T1954" s="1">
        <f t="shared" ref="T1954:V1954" si="4417">$S1954*P1954</f>
        <v>0.30169109754402895</v>
      </c>
      <c r="U1954" s="1">
        <f t="shared" si="4417"/>
        <v>0</v>
      </c>
      <c r="V1954" s="1">
        <f t="shared" si="4417"/>
        <v>0.37617913906983236</v>
      </c>
      <c r="W1954" s="1">
        <f t="shared" si="4345"/>
        <v>-5.6625080322155057</v>
      </c>
      <c r="X1954" s="1">
        <f t="shared" si="4346"/>
        <v>0</v>
      </c>
      <c r="Y1954" s="1">
        <f t="shared" si="4347"/>
        <v>-4.6472556462920345</v>
      </c>
    </row>
    <row r="1955" spans="1:25">
      <c r="A1955" s="1">
        <v>1.9529999999999801</v>
      </c>
      <c r="B1955" s="1">
        <f t="shared" si="4348"/>
        <v>51.356754207292724</v>
      </c>
      <c r="C1955" s="1">
        <f t="shared" si="4349"/>
        <v>0</v>
      </c>
      <c r="D1955" s="1">
        <f t="shared" si="4350"/>
        <v>-6.7397697471264504</v>
      </c>
      <c r="E1955" s="1">
        <f t="shared" si="4351"/>
        <v>10.686641936427288</v>
      </c>
      <c r="F1955" s="1">
        <f t="shared" si="4352"/>
        <v>0</v>
      </c>
      <c r="G1955" s="1">
        <f t="shared" si="4353"/>
        <v>-8.5797454684290759</v>
      </c>
      <c r="H1955" s="1">
        <f t="shared" si="4032"/>
        <v>13.70461047167834</v>
      </c>
      <c r="I1955" s="1">
        <f t="shared" si="4336"/>
        <v>-5.9603847072217855</v>
      </c>
      <c r="J1955" s="1">
        <f t="shared" si="4337"/>
        <v>0</v>
      </c>
      <c r="K1955" s="1">
        <f t="shared" si="4338"/>
        <v>4.7852809129465896</v>
      </c>
      <c r="L1955" s="1">
        <f t="shared" ref="L1955:N1955" si="4418">E1955/$H1955</f>
        <v>0.77978443520974761</v>
      </c>
      <c r="M1955" s="1">
        <f t="shared" si="4418"/>
        <v>0</v>
      </c>
      <c r="N1955" s="1">
        <f t="shared" si="4418"/>
        <v>-0.62604810885794948</v>
      </c>
      <c r="O1955" s="1">
        <f t="shared" si="4034"/>
        <v>-0.62604810885794948</v>
      </c>
      <c r="P1955" s="1">
        <f t="shared" si="4340"/>
        <v>0.48818257097992673</v>
      </c>
      <c r="Q1955" s="1">
        <f t="shared" si="4341"/>
        <v>0</v>
      </c>
      <c r="R1955" s="1">
        <f t="shared" si="4342"/>
        <v>0.60806376539538509</v>
      </c>
      <c r="S1955" s="1">
        <f t="shared" si="4343"/>
        <v>0.61799572119447732</v>
      </c>
      <c r="T1955" s="1">
        <f t="shared" ref="T1955:V1955" si="4419">$S1955*P1955</f>
        <v>0.30169474002731395</v>
      </c>
      <c r="U1955" s="1">
        <f t="shared" si="4419"/>
        <v>0</v>
      </c>
      <c r="V1955" s="1">
        <f t="shared" si="4419"/>
        <v>0.37578080522775048</v>
      </c>
      <c r="W1955" s="1">
        <f t="shared" si="4345"/>
        <v>-5.6586899671944719</v>
      </c>
      <c r="X1955" s="1">
        <f t="shared" si="4346"/>
        <v>0</v>
      </c>
      <c r="Y1955" s="1">
        <f t="shared" si="4347"/>
        <v>-4.6455882818256597</v>
      </c>
    </row>
    <row r="1956" spans="1:25">
      <c r="A1956" s="1">
        <v>1.95399999999998</v>
      </c>
      <c r="B1956" s="1">
        <f t="shared" si="4348"/>
        <v>51.367435190539183</v>
      </c>
      <c r="C1956" s="1">
        <f t="shared" si="4349"/>
        <v>0</v>
      </c>
      <c r="D1956" s="1">
        <f t="shared" si="4350"/>
        <v>-6.7483541381831609</v>
      </c>
      <c r="E1956" s="1">
        <f t="shared" si="4351"/>
        <v>10.680983246460093</v>
      </c>
      <c r="F1956" s="1">
        <f t="shared" si="4352"/>
        <v>0</v>
      </c>
      <c r="G1956" s="1">
        <f t="shared" si="4353"/>
        <v>-8.584391056710901</v>
      </c>
      <c r="H1956" s="1">
        <f t="shared" si="4032"/>
        <v>13.703108148361791</v>
      </c>
      <c r="I1956" s="1">
        <f t="shared" si="4336"/>
        <v>-5.9565755786623598</v>
      </c>
      <c r="J1956" s="1">
        <f t="shared" si="4337"/>
        <v>0</v>
      </c>
      <c r="K1956" s="1">
        <f t="shared" si="4338"/>
        <v>4.7873470958807554</v>
      </c>
      <c r="L1956" s="1">
        <f t="shared" ref="L1956:N1956" si="4420">E1956/$H1956</f>
        <v>0.77945697653542978</v>
      </c>
      <c r="M1956" s="1">
        <f t="shared" si="4420"/>
        <v>0</v>
      </c>
      <c r="N1956" s="1">
        <f t="shared" si="4420"/>
        <v>-0.62645576198982034</v>
      </c>
      <c r="O1956" s="1">
        <f t="shared" si="4034"/>
        <v>-0.62645576198982034</v>
      </c>
      <c r="P1956" s="1">
        <f t="shared" si="4340"/>
        <v>0.48829531417378419</v>
      </c>
      <c r="Q1956" s="1">
        <f t="shared" si="4341"/>
        <v>0</v>
      </c>
      <c r="R1956" s="1">
        <f t="shared" si="4342"/>
        <v>0.60755317826975364</v>
      </c>
      <c r="S1956" s="1">
        <f t="shared" si="4343"/>
        <v>0.6178602370819779</v>
      </c>
      <c r="T1956" s="1">
        <f t="shared" ref="T1956:V1956" si="4421">$S1956*P1956</f>
        <v>0.30169825858143318</v>
      </c>
      <c r="U1956" s="1">
        <f t="shared" si="4421"/>
        <v>0</v>
      </c>
      <c r="V1956" s="1">
        <f t="shared" si="4421"/>
        <v>0.37538295076565914</v>
      </c>
      <c r="W1956" s="1">
        <f t="shared" si="4345"/>
        <v>-5.6548773200809261</v>
      </c>
      <c r="X1956" s="1">
        <f t="shared" si="4346"/>
        <v>0</v>
      </c>
      <c r="Y1956" s="1">
        <f t="shared" si="4347"/>
        <v>-4.6439199533535849</v>
      </c>
    </row>
    <row r="1957" spans="1:25">
      <c r="A1957" s="1">
        <v>1.9549999999999801</v>
      </c>
      <c r="B1957" s="1">
        <f t="shared" si="4348"/>
        <v>51.378110518908322</v>
      </c>
      <c r="C1957" s="1">
        <f t="shared" si="4349"/>
        <v>0</v>
      </c>
      <c r="D1957" s="1">
        <f t="shared" si="4350"/>
        <v>-6.7569431731598248</v>
      </c>
      <c r="E1957" s="1">
        <f t="shared" si="4351"/>
        <v>10.675328369140011</v>
      </c>
      <c r="F1957" s="1">
        <f t="shared" si="4352"/>
        <v>0</v>
      </c>
      <c r="G1957" s="1">
        <f t="shared" si="4353"/>
        <v>-8.5890349766642551</v>
      </c>
      <c r="H1957" s="1">
        <f t="shared" si="4032"/>
        <v>13.701611497168042</v>
      </c>
      <c r="I1957" s="1">
        <f t="shared" si="4336"/>
        <v>-5.952771732357963</v>
      </c>
      <c r="J1957" s="1">
        <f t="shared" si="4337"/>
        <v>0</v>
      </c>
      <c r="K1957" s="1">
        <f t="shared" si="4338"/>
        <v>4.789413763151499</v>
      </c>
      <c r="L1957" s="1">
        <f t="shared" ref="L1957:N1957" si="4422">E1957/$H1957</f>
        <v>0.77912940177485501</v>
      </c>
      <c r="M1957" s="1">
        <f t="shared" si="4422"/>
        <v>0</v>
      </c>
      <c r="N1957" s="1">
        <f t="shared" si="4422"/>
        <v>-0.62686312324937143</v>
      </c>
      <c r="O1957" s="1">
        <f t="shared" si="4034"/>
        <v>-0.62686312324937143</v>
      </c>
      <c r="P1957" s="1">
        <f t="shared" si="4340"/>
        <v>0.48840749021199997</v>
      </c>
      <c r="Q1957" s="1">
        <f t="shared" si="4341"/>
        <v>0</v>
      </c>
      <c r="R1957" s="1">
        <f t="shared" si="4342"/>
        <v>0.60704262471004333</v>
      </c>
      <c r="S1957" s="1">
        <f t="shared" si="4343"/>
        <v>0.6177252792676724</v>
      </c>
      <c r="T1957" s="1">
        <f t="shared" ref="T1957:V1957" si="4423">$S1957*P1957</f>
        <v>0.30170165328763066</v>
      </c>
      <c r="U1957" s="1">
        <f t="shared" si="4423"/>
        <v>0</v>
      </c>
      <c r="V1957" s="1">
        <f t="shared" si="4423"/>
        <v>0.37498557487639239</v>
      </c>
      <c r="W1957" s="1">
        <f t="shared" si="4345"/>
        <v>-5.6510700790703323</v>
      </c>
      <c r="X1957" s="1">
        <f t="shared" si="4346"/>
        <v>0</v>
      </c>
      <c r="Y1957" s="1">
        <f t="shared" si="4347"/>
        <v>-4.642250661972108</v>
      </c>
    </row>
    <row r="1958" spans="1:25">
      <c r="A1958" s="1">
        <v>1.95599999999998</v>
      </c>
      <c r="B1958" s="1">
        <f t="shared" si="4348"/>
        <v>51.388780196207385</v>
      </c>
      <c r="C1958" s="1">
        <f t="shared" si="4349"/>
        <v>0</v>
      </c>
      <c r="D1958" s="1">
        <f t="shared" si="4350"/>
        <v>-6.7655368503871509</v>
      </c>
      <c r="E1958" s="1">
        <f t="shared" si="4351"/>
        <v>10.669677299060941</v>
      </c>
      <c r="F1958" s="1">
        <f t="shared" si="4352"/>
        <v>0</v>
      </c>
      <c r="G1958" s="1">
        <f t="shared" si="4353"/>
        <v>-8.5936772273262267</v>
      </c>
      <c r="H1958" s="1">
        <f t="shared" si="4032"/>
        <v>13.700120508724067</v>
      </c>
      <c r="I1958" s="1">
        <f t="shared" si="4336"/>
        <v>-5.9489731566115394</v>
      </c>
      <c r="J1958" s="1">
        <f t="shared" si="4337"/>
        <v>0</v>
      </c>
      <c r="K1958" s="1">
        <f t="shared" si="4338"/>
        <v>4.7914809144646844</v>
      </c>
      <c r="L1958" s="1">
        <f t="shared" ref="L1958:N1958" si="4424">E1958/$H1958</f>
        <v>0.77880171143506527</v>
      </c>
      <c r="M1958" s="1">
        <f t="shared" si="4424"/>
        <v>0</v>
      </c>
      <c r="N1958" s="1">
        <f t="shared" si="4424"/>
        <v>-0.6272701923938464</v>
      </c>
      <c r="O1958" s="1">
        <f t="shared" si="4034"/>
        <v>-0.6272701923938464</v>
      </c>
      <c r="P1958" s="1">
        <f t="shared" si="4340"/>
        <v>0.48851909936853022</v>
      </c>
      <c r="Q1958" s="1">
        <f t="shared" si="4341"/>
        <v>0</v>
      </c>
      <c r="R1958" s="1">
        <f t="shared" si="4342"/>
        <v>0.60653210573418692</v>
      </c>
      <c r="S1958" s="1">
        <f t="shared" si="4343"/>
        <v>0.61759084673890496</v>
      </c>
      <c r="T1958" s="1">
        <f t="shared" ref="T1958:V1958" si="4425">$S1958*P1958</f>
        <v>0.30170492422713785</v>
      </c>
      <c r="U1958" s="1">
        <f t="shared" si="4425"/>
        <v>0</v>
      </c>
      <c r="V1958" s="1">
        <f t="shared" si="4425"/>
        <v>0.37458867675470753</v>
      </c>
      <c r="W1958" s="1">
        <f t="shared" si="4345"/>
        <v>-5.6472682323844019</v>
      </c>
      <c r="X1958" s="1">
        <f t="shared" si="4346"/>
        <v>0</v>
      </c>
      <c r="Y1958" s="1">
        <f t="shared" si="4347"/>
        <v>-4.6405804087806075</v>
      </c>
    </row>
    <row r="1959" spans="1:25">
      <c r="A1959" s="1">
        <v>1.9569999999999801</v>
      </c>
      <c r="B1959" s="1">
        <f t="shared" si="4348"/>
        <v>51.399444226238217</v>
      </c>
      <c r="C1959" s="1">
        <f t="shared" si="4349"/>
        <v>0</v>
      </c>
      <c r="D1959" s="1">
        <f t="shared" si="4350"/>
        <v>-6.7741351681948858</v>
      </c>
      <c r="E1959" s="1">
        <f t="shared" si="4351"/>
        <v>10.664030030828558</v>
      </c>
      <c r="F1959" s="1">
        <f t="shared" si="4352"/>
        <v>0</v>
      </c>
      <c r="G1959" s="1">
        <f t="shared" si="4353"/>
        <v>-8.5983178077350075</v>
      </c>
      <c r="H1959" s="1">
        <f t="shared" si="4032"/>
        <v>13.698635173666982</v>
      </c>
      <c r="I1959" s="1">
        <f t="shared" si="4336"/>
        <v>-5.9451798397522051</v>
      </c>
      <c r="J1959" s="1">
        <f t="shared" si="4337"/>
        <v>0</v>
      </c>
      <c r="K1959" s="1">
        <f t="shared" si="4338"/>
        <v>4.7935485495211809</v>
      </c>
      <c r="L1959" s="1">
        <f t="shared" ref="L1959:N1959" si="4426">E1959/$H1959</f>
        <v>0.77847390602299749</v>
      </c>
      <c r="M1959" s="1">
        <f t="shared" si="4426"/>
        <v>0</v>
      </c>
      <c r="N1959" s="1">
        <f t="shared" si="4426"/>
        <v>-0.62767696918183769</v>
      </c>
      <c r="O1959" s="1">
        <f t="shared" si="4034"/>
        <v>-0.62767696918183769</v>
      </c>
      <c r="P1959" s="1">
        <f t="shared" si="4340"/>
        <v>0.48863014191966181</v>
      </c>
      <c r="Q1959" s="1">
        <f t="shared" si="4341"/>
        <v>0</v>
      </c>
      <c r="R1959" s="1">
        <f t="shared" si="4342"/>
        <v>0.60602162235870238</v>
      </c>
      <c r="S1959" s="1">
        <f t="shared" si="4343"/>
        <v>0.61745693848493599</v>
      </c>
      <c r="T1959" s="1">
        <f t="shared" ref="T1959:V1959" si="4427">$S1959*P1959</f>
        <v>0.30170807148117418</v>
      </c>
      <c r="U1959" s="1">
        <f t="shared" si="4427"/>
        <v>0</v>
      </c>
      <c r="V1959" s="1">
        <f t="shared" si="4427"/>
        <v>0.37419225559727842</v>
      </c>
      <c r="W1959" s="1">
        <f t="shared" si="4345"/>
        <v>-5.6434717682710307</v>
      </c>
      <c r="X1959" s="1">
        <f t="shared" si="4346"/>
        <v>0</v>
      </c>
      <c r="Y1959" s="1">
        <f t="shared" si="4347"/>
        <v>-4.6389091948815402</v>
      </c>
    </row>
    <row r="1960" spans="1:25">
      <c r="A1960" s="1">
        <v>1.95799999999998</v>
      </c>
      <c r="B1960" s="1">
        <f t="shared" si="4348"/>
        <v>51.410102612797274</v>
      </c>
      <c r="C1960" s="1">
        <f t="shared" si="4349"/>
        <v>0</v>
      </c>
      <c r="D1960" s="1">
        <f t="shared" si="4350"/>
        <v>-6.7827381249118153</v>
      </c>
      <c r="E1960" s="1">
        <f t="shared" si="4351"/>
        <v>10.658386559060286</v>
      </c>
      <c r="F1960" s="1">
        <f t="shared" si="4352"/>
        <v>0</v>
      </c>
      <c r="G1960" s="1">
        <f t="shared" si="4353"/>
        <v>-8.6029567169298886</v>
      </c>
      <c r="H1960" s="1">
        <f t="shared" si="4032"/>
        <v>13.697155482644053</v>
      </c>
      <c r="I1960" s="1">
        <f t="shared" si="4336"/>
        <v>-5.9413917701351977</v>
      </c>
      <c r="J1960" s="1">
        <f t="shared" si="4337"/>
        <v>0</v>
      </c>
      <c r="K1960" s="1">
        <f t="shared" si="4338"/>
        <v>4.7956166680168772</v>
      </c>
      <c r="L1960" s="1">
        <f t="shared" ref="L1960:N1960" si="4428">E1960/$H1960</f>
        <v>0.77814598604547836</v>
      </c>
      <c r="M1960" s="1">
        <f t="shared" si="4428"/>
        <v>0</v>
      </c>
      <c r="N1960" s="1">
        <f t="shared" si="4428"/>
        <v>-0.62808345337328408</v>
      </c>
      <c r="O1960" s="1">
        <f t="shared" si="4034"/>
        <v>-0.62808345337328408</v>
      </c>
      <c r="P1960" s="1">
        <f t="shared" si="4340"/>
        <v>0.48874061814400338</v>
      </c>
      <c r="Q1960" s="1">
        <f t="shared" si="4341"/>
        <v>0</v>
      </c>
      <c r="R1960" s="1">
        <f t="shared" si="4342"/>
        <v>0.60551117559868972</v>
      </c>
      <c r="S1960" s="1">
        <f t="shared" si="4343"/>
        <v>0.61732355349693802</v>
      </c>
      <c r="T1960" s="1">
        <f t="shared" ref="T1960:V1960" si="4429">$S1960*P1960</f>
        <v>0.30171109513094624</v>
      </c>
      <c r="U1960" s="1">
        <f t="shared" si="4429"/>
        <v>0</v>
      </c>
      <c r="V1960" s="1">
        <f t="shared" si="4429"/>
        <v>0.37379631060269158</v>
      </c>
      <c r="W1960" s="1">
        <f t="shared" si="4345"/>
        <v>-5.6396806750042519</v>
      </c>
      <c r="X1960" s="1">
        <f t="shared" si="4346"/>
        <v>0</v>
      </c>
      <c r="Y1960" s="1">
        <f t="shared" si="4347"/>
        <v>-4.6372370213804306</v>
      </c>
    </row>
    <row r="1961" spans="1:25">
      <c r="A1961" s="1">
        <v>1.9589999999999801</v>
      </c>
      <c r="B1961" s="1">
        <f t="shared" si="4348"/>
        <v>51.42075535967566</v>
      </c>
      <c r="C1961" s="1">
        <f t="shared" si="4349"/>
        <v>0</v>
      </c>
      <c r="D1961" s="1">
        <f t="shared" si="4350"/>
        <v>-6.7913457188657667</v>
      </c>
      <c r="E1961" s="1">
        <f t="shared" si="4351"/>
        <v>10.652746878385281</v>
      </c>
      <c r="F1961" s="1">
        <f t="shared" si="4352"/>
        <v>0</v>
      </c>
      <c r="G1961" s="1">
        <f t="shared" si="4353"/>
        <v>-8.6075939539512696</v>
      </c>
      <c r="H1961" s="1">
        <f t="shared" si="4032"/>
        <v>13.695681426312669</v>
      </c>
      <c r="I1961" s="1">
        <f t="shared" si="4336"/>
        <v>-5.9376089361418041</v>
      </c>
      <c r="J1961" s="1">
        <f t="shared" si="4337"/>
        <v>0</v>
      </c>
      <c r="K1961" s="1">
        <f t="shared" si="4338"/>
        <v>4.7976852696426908</v>
      </c>
      <c r="L1961" s="1">
        <f t="shared" ref="L1961:N1961" si="4430">E1961/$H1961</f>
        <v>0.77781795200922355</v>
      </c>
      <c r="M1961" s="1">
        <f t="shared" si="4430"/>
        <v>0</v>
      </c>
      <c r="N1961" s="1">
        <f t="shared" si="4430"/>
        <v>-0.62848964472947144</v>
      </c>
      <c r="O1961" s="1">
        <f t="shared" si="4034"/>
        <v>-0.62848964472947144</v>
      </c>
      <c r="P1961" s="1">
        <f t="shared" si="4340"/>
        <v>0.48885052832248199</v>
      </c>
      <c r="Q1961" s="1">
        <f t="shared" si="4341"/>
        <v>0</v>
      </c>
      <c r="R1961" s="1">
        <f t="shared" si="4342"/>
        <v>0.60500076646782275</v>
      </c>
      <c r="S1961" s="1">
        <f t="shared" si="4343"/>
        <v>0.61719069076799027</v>
      </c>
      <c r="T1961" s="1">
        <f t="shared" ref="T1961:V1961" si="4431">$S1961*P1961</f>
        <v>0.30171399525764964</v>
      </c>
      <c r="U1961" s="1">
        <f t="shared" si="4431"/>
        <v>0</v>
      </c>
      <c r="V1961" s="1">
        <f t="shared" si="4431"/>
        <v>0.37340084097143911</v>
      </c>
      <c r="W1961" s="1">
        <f t="shared" si="4345"/>
        <v>-5.6358949408841541</v>
      </c>
      <c r="X1961" s="1">
        <f t="shared" si="4346"/>
        <v>0</v>
      </c>
      <c r="Y1961" s="1">
        <f t="shared" si="4347"/>
        <v>-4.6355638893858693</v>
      </c>
    </row>
    <row r="1962" spans="1:25">
      <c r="A1962" s="1">
        <v>1.95999999999998</v>
      </c>
      <c r="B1962" s="1">
        <f t="shared" si="4348"/>
        <v>51.431402470659101</v>
      </c>
      <c r="C1962" s="1">
        <f t="shared" si="4349"/>
        <v>0</v>
      </c>
      <c r="D1962" s="1">
        <f t="shared" si="4350"/>
        <v>-6.7999579483836072</v>
      </c>
      <c r="E1962" s="1">
        <f t="shared" si="4351"/>
        <v>10.647110983444398</v>
      </c>
      <c r="F1962" s="1">
        <f t="shared" si="4352"/>
        <v>0</v>
      </c>
      <c r="G1962" s="1">
        <f t="shared" si="4353"/>
        <v>-8.6122295178406549</v>
      </c>
      <c r="H1962" s="1">
        <f t="shared" si="4032"/>
        <v>13.694212995340338</v>
      </c>
      <c r="I1962" s="1">
        <f t="shared" si="4336"/>
        <v>-5.9338313261793081</v>
      </c>
      <c r="J1962" s="1">
        <f t="shared" si="4337"/>
        <v>0</v>
      </c>
      <c r="K1962" s="1">
        <f t="shared" si="4338"/>
        <v>4.7997543540845795</v>
      </c>
      <c r="L1962" s="1">
        <f t="shared" ref="L1962:N1962" si="4432">E1962/$H1962</f>
        <v>0.7774898044208336</v>
      </c>
      <c r="M1962" s="1">
        <f t="shared" si="4432"/>
        <v>0</v>
      </c>
      <c r="N1962" s="1">
        <f t="shared" si="4432"/>
        <v>-0.62889554301303008</v>
      </c>
      <c r="O1962" s="1">
        <f t="shared" si="4034"/>
        <v>-0.62889554301303008</v>
      </c>
      <c r="P1962" s="1">
        <f t="shared" si="4340"/>
        <v>0.48895987273833469</v>
      </c>
      <c r="Q1962" s="1">
        <f t="shared" si="4341"/>
        <v>0</v>
      </c>
      <c r="R1962" s="1">
        <f t="shared" si="4342"/>
        <v>0.60449039597834608</v>
      </c>
      <c r="S1962" s="1">
        <f t="shared" si="4343"/>
        <v>0.61705834929307357</v>
      </c>
      <c r="T1962" s="1">
        <f t="shared" ref="T1962:V1962" si="4433">$S1962*P1962</f>
        <v>0.30171677194246815</v>
      </c>
      <c r="U1962" s="1">
        <f t="shared" si="4433"/>
        <v>0</v>
      </c>
      <c r="V1962" s="1">
        <f t="shared" si="4433"/>
        <v>0.37300584590591462</v>
      </c>
      <c r="W1962" s="1">
        <f t="shared" si="4345"/>
        <v>-5.63211455423684</v>
      </c>
      <c r="X1962" s="1">
        <f t="shared" si="4346"/>
        <v>0</v>
      </c>
      <c r="Y1962" s="1">
        <f t="shared" si="4347"/>
        <v>-4.6338898000095057</v>
      </c>
    </row>
    <row r="1963" spans="1:25">
      <c r="A1963" s="1">
        <v>1.9609999999999801</v>
      </c>
      <c r="B1963" s="1">
        <f t="shared" si="4348"/>
        <v>51.442043949527992</v>
      </c>
      <c r="C1963" s="1">
        <f t="shared" si="4349"/>
        <v>0</v>
      </c>
      <c r="D1963" s="1">
        <f t="shared" si="4350"/>
        <v>-6.8085748117912477</v>
      </c>
      <c r="E1963" s="1">
        <f t="shared" si="4351"/>
        <v>10.641478868890161</v>
      </c>
      <c r="F1963" s="1">
        <f t="shared" si="4352"/>
        <v>0</v>
      </c>
      <c r="G1963" s="1">
        <f t="shared" si="4353"/>
        <v>-8.6168634076406647</v>
      </c>
      <c r="H1963" s="1">
        <f t="shared" si="4032"/>
        <v>13.692750180404683</v>
      </c>
      <c r="I1963" s="1">
        <f t="shared" si="4336"/>
        <v>-5.9300589286809213</v>
      </c>
      <c r="J1963" s="1">
        <f t="shared" si="4337"/>
        <v>0</v>
      </c>
      <c r="K1963" s="1">
        <f t="shared" si="4338"/>
        <v>4.8018239210235532</v>
      </c>
      <c r="L1963" s="1">
        <f t="shared" ref="L1963:N1963" si="4434">E1963/$H1963</f>
        <v>0.7771615437867907</v>
      </c>
      <c r="M1963" s="1">
        <f t="shared" si="4434"/>
        <v>0</v>
      </c>
      <c r="N1963" s="1">
        <f t="shared" si="4434"/>
        <v>-0.62930114798793446</v>
      </c>
      <c r="O1963" s="1">
        <f t="shared" si="4034"/>
        <v>-0.62930114798793446</v>
      </c>
      <c r="P1963" s="1">
        <f t="shared" si="4340"/>
        <v>0.48906865167710278</v>
      </c>
      <c r="Q1963" s="1">
        <f t="shared" si="4341"/>
        <v>0</v>
      </c>
      <c r="R1963" s="1">
        <f t="shared" si="4342"/>
        <v>0.60398006514106783</v>
      </c>
      <c r="S1963" s="1">
        <f t="shared" si="4343"/>
        <v>0.61692652806906678</v>
      </c>
      <c r="T1963" s="1">
        <f t="shared" ref="T1963:V1963" si="4435">$S1963*P1963</f>
        <v>0.3017194252665748</v>
      </c>
      <c r="U1963" s="1">
        <f t="shared" si="4435"/>
        <v>0</v>
      </c>
      <c r="V1963" s="1">
        <f t="shared" si="4435"/>
        <v>0.37261132461040775</v>
      </c>
      <c r="W1963" s="1">
        <f t="shared" si="4345"/>
        <v>-5.6283395034143462</v>
      </c>
      <c r="X1963" s="1">
        <f t="shared" si="4346"/>
        <v>0</v>
      </c>
      <c r="Y1963" s="1">
        <f t="shared" si="4347"/>
        <v>-4.6322147543660384</v>
      </c>
    </row>
    <row r="1964" spans="1:25">
      <c r="A1964" s="1">
        <v>1.96199999999998</v>
      </c>
      <c r="B1964" s="1">
        <f t="shared" si="4348"/>
        <v>51.452679800057382</v>
      </c>
      <c r="C1964" s="1">
        <f t="shared" si="4349"/>
        <v>0</v>
      </c>
      <c r="D1964" s="1">
        <f t="shared" si="4350"/>
        <v>-6.817196307413643</v>
      </c>
      <c r="E1964" s="1">
        <f t="shared" si="4351"/>
        <v>10.635850529386747</v>
      </c>
      <c r="F1964" s="1">
        <f t="shared" si="4352"/>
        <v>0</v>
      </c>
      <c r="G1964" s="1">
        <f t="shared" si="4353"/>
        <v>-8.621495622395031</v>
      </c>
      <c r="H1964" s="1">
        <f t="shared" si="4032"/>
        <v>13.691292972193423</v>
      </c>
      <c r="I1964" s="1">
        <f t="shared" si="4336"/>
        <v>-5.9262917321057316</v>
      </c>
      <c r="J1964" s="1">
        <f t="shared" si="4337"/>
        <v>0</v>
      </c>
      <c r="K1964" s="1">
        <f t="shared" si="4338"/>
        <v>4.8038939701356851</v>
      </c>
      <c r="L1964" s="1">
        <f t="shared" ref="L1964:N1964" si="4436">E1964/$H1964</f>
        <v>0.77683317061345614</v>
      </c>
      <c r="M1964" s="1">
        <f t="shared" si="4436"/>
        <v>0</v>
      </c>
      <c r="N1964" s="1">
        <f t="shared" si="4436"/>
        <v>-0.62970645941950198</v>
      </c>
      <c r="O1964" s="1">
        <f t="shared" si="4034"/>
        <v>-0.62970645941950198</v>
      </c>
      <c r="P1964" s="1">
        <f t="shared" si="4340"/>
        <v>0.48917686542662536</v>
      </c>
      <c r="Q1964" s="1">
        <f t="shared" si="4341"/>
        <v>0</v>
      </c>
      <c r="R1964" s="1">
        <f t="shared" si="4342"/>
        <v>0.60346977496535503</v>
      </c>
      <c r="S1964" s="1">
        <f t="shared" si="4343"/>
        <v>0.61679522609474047</v>
      </c>
      <c r="T1964" s="1">
        <f t="shared" ref="T1964:V1964" si="4437">$S1964*P1964</f>
        <v>0.30172195531113183</v>
      </c>
      <c r="U1964" s="1">
        <f t="shared" si="4437"/>
        <v>0</v>
      </c>
      <c r="V1964" s="1">
        <f t="shared" si="4437"/>
        <v>0.3722172762910983</v>
      </c>
      <c r="W1964" s="1">
        <f t="shared" si="4345"/>
        <v>-5.6245697767945995</v>
      </c>
      <c r="X1964" s="1">
        <f t="shared" si="4346"/>
        <v>0</v>
      </c>
      <c r="Y1964" s="1">
        <f t="shared" si="4347"/>
        <v>-4.6305387535732159</v>
      </c>
    </row>
    <row r="1965" spans="1:25">
      <c r="A1965" s="1">
        <v>1.9629999999999801</v>
      </c>
      <c r="B1965" s="1">
        <f t="shared" si="4348"/>
        <v>51.463310026016991</v>
      </c>
      <c r="C1965" s="1">
        <f t="shared" si="4349"/>
        <v>0</v>
      </c>
      <c r="D1965" s="1">
        <f t="shared" si="4350"/>
        <v>-6.8258224335747917</v>
      </c>
      <c r="E1965" s="1">
        <f t="shared" si="4351"/>
        <v>10.630225959609954</v>
      </c>
      <c r="F1965" s="1">
        <f t="shared" si="4352"/>
        <v>0</v>
      </c>
      <c r="G1965" s="1">
        <f t="shared" si="4353"/>
        <v>-8.6261261611486049</v>
      </c>
      <c r="H1965" s="1">
        <f t="shared" si="4032"/>
        <v>13.689841361404365</v>
      </c>
      <c r="I1965" s="1">
        <f t="shared" si="4336"/>
        <v>-5.9225297249386353</v>
      </c>
      <c r="J1965" s="1">
        <f t="shared" si="4337"/>
        <v>0</v>
      </c>
      <c r="K1965" s="1">
        <f t="shared" si="4338"/>
        <v>4.8059645010921255</v>
      </c>
      <c r="L1965" s="1">
        <f t="shared" ref="L1965:N1965" si="4438">E1965/$H1965</f>
        <v>0.77650468540706719</v>
      </c>
      <c r="M1965" s="1">
        <f t="shared" si="4438"/>
        <v>0</v>
      </c>
      <c r="N1965" s="1">
        <f t="shared" si="4438"/>
        <v>-0.63011147707439163</v>
      </c>
      <c r="O1965" s="1">
        <f t="shared" si="4034"/>
        <v>-0.63011147707439163</v>
      </c>
      <c r="P1965" s="1">
        <f t="shared" si="4340"/>
        <v>0.4892845142770329</v>
      </c>
      <c r="Q1965" s="1">
        <f t="shared" si="4341"/>
        <v>0</v>
      </c>
      <c r="R1965" s="1">
        <f t="shared" si="4342"/>
        <v>0.60295952645912843</v>
      </c>
      <c r="S1965" s="1">
        <f t="shared" si="4343"/>
        <v>0.61666444237075269</v>
      </c>
      <c r="T1965" s="1">
        <f t="shared" ref="T1965:V1965" si="4439">$S1965*P1965</f>
        <v>0.30172436215729109</v>
      </c>
      <c r="U1965" s="1">
        <f t="shared" si="4439"/>
        <v>0</v>
      </c>
      <c r="V1965" s="1">
        <f t="shared" si="4439"/>
        <v>0.37182370015605154</v>
      </c>
      <c r="W1965" s="1">
        <f t="shared" si="4345"/>
        <v>-5.6208053627813443</v>
      </c>
      <c r="X1965" s="1">
        <f t="shared" si="4346"/>
        <v>0</v>
      </c>
      <c r="Y1965" s="1">
        <f t="shared" si="4347"/>
        <v>-4.6288617987518226</v>
      </c>
    </row>
    <row r="1966" spans="1:25">
      <c r="A1966" s="1">
        <v>1.96399999999998</v>
      </c>
      <c r="B1966" s="1">
        <f t="shared" si="4348"/>
        <v>51.47393463117124</v>
      </c>
      <c r="C1966" s="1">
        <f t="shared" si="4349"/>
        <v>0</v>
      </c>
      <c r="D1966" s="1">
        <f t="shared" si="4350"/>
        <v>-6.8344531885977391</v>
      </c>
      <c r="E1966" s="1">
        <f t="shared" si="4351"/>
        <v>10.624605154247172</v>
      </c>
      <c r="F1966" s="1">
        <f t="shared" si="4352"/>
        <v>0</v>
      </c>
      <c r="G1966" s="1">
        <f t="shared" si="4353"/>
        <v>-8.6307550229473566</v>
      </c>
      <c r="H1966" s="1">
        <f t="shared" si="4032"/>
        <v>13.688395338745394</v>
      </c>
      <c r="I1966" s="1">
        <f t="shared" si="4336"/>
        <v>-5.918772895690279</v>
      </c>
      <c r="J1966" s="1">
        <f t="shared" si="4337"/>
        <v>0</v>
      </c>
      <c r="K1966" s="1">
        <f t="shared" si="4338"/>
        <v>4.8080355135591075</v>
      </c>
      <c r="L1966" s="1">
        <f t="shared" ref="L1966:N1966" si="4440">E1966/$H1966</f>
        <v>0.776176088673734</v>
      </c>
      <c r="M1966" s="1">
        <f t="shared" si="4440"/>
        <v>0</v>
      </c>
      <c r="N1966" s="1">
        <f t="shared" si="4440"/>
        <v>-0.63051620072060288</v>
      </c>
      <c r="O1966" s="1">
        <f t="shared" si="4034"/>
        <v>-0.63051620072060288</v>
      </c>
      <c r="P1966" s="1">
        <f t="shared" si="4340"/>
        <v>0.48939159852074055</v>
      </c>
      <c r="Q1966" s="1">
        <f t="shared" si="4341"/>
        <v>0</v>
      </c>
      <c r="R1966" s="1">
        <f t="shared" si="4342"/>
        <v>0.60244932062885637</v>
      </c>
      <c r="S1966" s="1">
        <f t="shared" si="4343"/>
        <v>0.61653417589964377</v>
      </c>
      <c r="T1966" s="1">
        <f t="shared" ref="T1966:V1966" si="4441">$S1966*P1966</f>
        <v>0.30172664588619408</v>
      </c>
      <c r="U1966" s="1">
        <f t="shared" si="4441"/>
        <v>0</v>
      </c>
      <c r="V1966" s="1">
        <f t="shared" si="4441"/>
        <v>0.37143059541521223</v>
      </c>
      <c r="W1966" s="1">
        <f t="shared" si="4345"/>
        <v>-5.6170462498040852</v>
      </c>
      <c r="X1966" s="1">
        <f t="shared" si="4346"/>
        <v>0</v>
      </c>
      <c r="Y1966" s="1">
        <f t="shared" si="4347"/>
        <v>-4.6271838910256795</v>
      </c>
    </row>
    <row r="1967" spans="1:25">
      <c r="A1967" s="1">
        <v>1.9649999999999801</v>
      </c>
      <c r="B1967" s="1">
        <f t="shared" si="4348"/>
        <v>51.484553619279239</v>
      </c>
      <c r="C1967" s="1">
        <f t="shared" si="4349"/>
        <v>0</v>
      </c>
      <c r="D1967" s="1">
        <f t="shared" si="4350"/>
        <v>-6.8430885708045777</v>
      </c>
      <c r="E1967" s="1">
        <f t="shared" si="4351"/>
        <v>10.618988107997367</v>
      </c>
      <c r="F1967" s="1">
        <f t="shared" si="4352"/>
        <v>0</v>
      </c>
      <c r="G1967" s="1">
        <f t="shared" si="4353"/>
        <v>-8.6353822068383828</v>
      </c>
      <c r="H1967" s="1">
        <f t="shared" si="4032"/>
        <v>13.686954894934463</v>
      </c>
      <c r="I1967" s="1">
        <f t="shared" si="4336"/>
        <v>-5.9150212328970033</v>
      </c>
      <c r="J1967" s="1">
        <f t="shared" si="4337"/>
        <v>0</v>
      </c>
      <c r="K1967" s="1">
        <f t="shared" si="4338"/>
        <v>4.8101070071979661</v>
      </c>
      <c r="L1967" s="1">
        <f t="shared" ref="L1967:N1967" si="4442">E1967/$H1967</f>
        <v>0.77584738091943672</v>
      </c>
      <c r="M1967" s="1">
        <f t="shared" si="4442"/>
        <v>0</v>
      </c>
      <c r="N1967" s="1">
        <f t="shared" si="4442"/>
        <v>-0.63092063012747523</v>
      </c>
      <c r="O1967" s="1">
        <f t="shared" si="4034"/>
        <v>-0.63092063012747523</v>
      </c>
      <c r="P1967" s="1">
        <f t="shared" si="4340"/>
        <v>0.48949811845244234</v>
      </c>
      <c r="Q1967" s="1">
        <f t="shared" si="4341"/>
        <v>0</v>
      </c>
      <c r="R1967" s="1">
        <f t="shared" si="4342"/>
        <v>0.6019391584795496</v>
      </c>
      <c r="S1967" s="1">
        <f t="shared" si="4343"/>
        <v>0.61640442568583198</v>
      </c>
      <c r="T1967" s="1">
        <f t="shared" ref="T1967:V1967" si="4443">$S1967*P1967</f>
        <v>0.30172880657897305</v>
      </c>
      <c r="U1967" s="1">
        <f t="shared" si="4443"/>
        <v>0</v>
      </c>
      <c r="V1967" s="1">
        <f t="shared" si="4443"/>
        <v>0.37103796128039979</v>
      </c>
      <c r="W1967" s="1">
        <f t="shared" si="4345"/>
        <v>-5.6132924263180302</v>
      </c>
      <c r="X1967" s="1">
        <f t="shared" si="4346"/>
        <v>0</v>
      </c>
      <c r="Y1967" s="1">
        <f t="shared" si="4347"/>
        <v>-4.6255050315216337</v>
      </c>
    </row>
    <row r="1968" spans="1:25">
      <c r="A1968" s="1">
        <v>1.96599999999998</v>
      </c>
      <c r="B1968" s="1">
        <f t="shared" si="4348"/>
        <v>51.495166994094809</v>
      </c>
      <c r="C1968" s="1">
        <f t="shared" si="4349"/>
        <v>0</v>
      </c>
      <c r="D1968" s="1">
        <f t="shared" si="4350"/>
        <v>-6.8517285785164477</v>
      </c>
      <c r="E1968" s="1">
        <f t="shared" si="4351"/>
        <v>10.613374815571049</v>
      </c>
      <c r="F1968" s="1">
        <f t="shared" si="4352"/>
        <v>0</v>
      </c>
      <c r="G1968" s="1">
        <f t="shared" si="4353"/>
        <v>-8.6400077118699041</v>
      </c>
      <c r="H1968" s="1">
        <f t="shared" si="4032"/>
        <v>13.685520020699586</v>
      </c>
      <c r="I1968" s="1">
        <f t="shared" si="4336"/>
        <v>-5.9112747251207782</v>
      </c>
      <c r="J1968" s="1">
        <f t="shared" si="4337"/>
        <v>0</v>
      </c>
      <c r="K1968" s="1">
        <f t="shared" si="4338"/>
        <v>4.8121789816651432</v>
      </c>
      <c r="L1968" s="1">
        <f t="shared" ref="L1968:N1968" si="4444">E1968/$H1968</f>
        <v>0.7755185626500225</v>
      </c>
      <c r="M1968" s="1">
        <f t="shared" si="4444"/>
        <v>0</v>
      </c>
      <c r="N1968" s="1">
        <f t="shared" si="4444"/>
        <v>-0.63132476506568569</v>
      </c>
      <c r="O1968" s="1">
        <f t="shared" si="4034"/>
        <v>-0.63132476506568569</v>
      </c>
      <c r="P1968" s="1">
        <f t="shared" si="4340"/>
        <v>0.48960407436910369</v>
      </c>
      <c r="Q1968" s="1">
        <f t="shared" si="4341"/>
        <v>0</v>
      </c>
      <c r="R1968" s="1">
        <f t="shared" si="4342"/>
        <v>0.60142904101475669</v>
      </c>
      <c r="S1968" s="1">
        <f t="shared" si="4343"/>
        <v>0.6162751907356091</v>
      </c>
      <c r="T1968" s="1">
        <f t="shared" ref="T1968:V1968" si="4445">$S1968*P1968</f>
        <v>0.30173084431675073</v>
      </c>
      <c r="U1968" s="1">
        <f t="shared" si="4445"/>
        <v>0</v>
      </c>
      <c r="V1968" s="1">
        <f t="shared" si="4445"/>
        <v>0.37064579696530364</v>
      </c>
      <c r="W1968" s="1">
        <f t="shared" si="4345"/>
        <v>-5.6095438808040274</v>
      </c>
      <c r="X1968" s="1">
        <f t="shared" si="4346"/>
        <v>0</v>
      </c>
      <c r="Y1968" s="1">
        <f t="shared" si="4347"/>
        <v>-4.6238252213695521</v>
      </c>
    </row>
    <row r="1969" spans="1:25">
      <c r="A1969" s="1">
        <v>1.9669999999999801</v>
      </c>
      <c r="B1969" s="1">
        <f t="shared" si="4348"/>
        <v>51.505774759366503</v>
      </c>
      <c r="C1969" s="1">
        <f t="shared" si="4349"/>
        <v>0</v>
      </c>
      <c r="D1969" s="1">
        <f t="shared" si="4350"/>
        <v>-6.8603732100535391</v>
      </c>
      <c r="E1969" s="1">
        <f t="shared" si="4351"/>
        <v>10.607765271690246</v>
      </c>
      <c r="F1969" s="1">
        <f t="shared" si="4352"/>
        <v>0</v>
      </c>
      <c r="G1969" s="1">
        <f t="shared" si="4353"/>
        <v>-8.6446315370912732</v>
      </c>
      <c r="H1969" s="1">
        <f t="shared" si="4032"/>
        <v>13.684090706778827</v>
      </c>
      <c r="I1969" s="1">
        <f t="shared" si="4336"/>
        <v>-5.9075333609491478</v>
      </c>
      <c r="J1969" s="1">
        <f t="shared" si="4337"/>
        <v>0</v>
      </c>
      <c r="K1969" s="1">
        <f t="shared" si="4338"/>
        <v>4.8142514366122029</v>
      </c>
      <c r="L1969" s="1">
        <f t="shared" ref="L1969:N1969" si="4446">E1969/$H1969</f>
        <v>0.77518963437120225</v>
      </c>
      <c r="M1969" s="1">
        <f t="shared" si="4446"/>
        <v>0</v>
      </c>
      <c r="N1969" s="1">
        <f t="shared" si="4446"/>
        <v>-0.63172860530724884</v>
      </c>
      <c r="O1969" s="1">
        <f t="shared" si="4034"/>
        <v>-0.63172860530724884</v>
      </c>
      <c r="P1969" s="1">
        <f t="shared" si="4340"/>
        <v>0.48970946656995579</v>
      </c>
      <c r="Q1969" s="1">
        <f t="shared" si="4341"/>
        <v>0</v>
      </c>
      <c r="R1969" s="1">
        <f t="shared" si="4342"/>
        <v>0.60091896923655819</v>
      </c>
      <c r="S1969" s="1">
        <f t="shared" si="4343"/>
        <v>0.61614647005713452</v>
      </c>
      <c r="T1969" s="1">
        <f t="shared" ref="T1969:V1969" si="4447">$S1969*P1969</f>
        <v>0.30173275918064058</v>
      </c>
      <c r="U1969" s="1">
        <f t="shared" si="4447"/>
        <v>0</v>
      </c>
      <c r="V1969" s="1">
        <f t="shared" si="4447"/>
        <v>0.37025410168547712</v>
      </c>
      <c r="W1969" s="1">
        <f t="shared" si="4345"/>
        <v>-5.6058006017685074</v>
      </c>
      <c r="X1969" s="1">
        <f t="shared" si="4346"/>
        <v>0</v>
      </c>
      <c r="Y1969" s="1">
        <f t="shared" si="4347"/>
        <v>-4.6221444617023195</v>
      </c>
    </row>
    <row r="1970" spans="1:25">
      <c r="A1970" s="1">
        <v>1.96799999999998</v>
      </c>
      <c r="B1970" s="1">
        <f t="shared" si="4348"/>
        <v>51.516376918837594</v>
      </c>
      <c r="C1970" s="1">
        <f t="shared" si="4349"/>
        <v>0</v>
      </c>
      <c r="D1970" s="1">
        <f t="shared" si="4350"/>
        <v>-6.8690224637350923</v>
      </c>
      <c r="E1970" s="1">
        <f t="shared" si="4351"/>
        <v>10.602159471088477</v>
      </c>
      <c r="F1970" s="1">
        <f t="shared" si="4352"/>
        <v>0</v>
      </c>
      <c r="G1970" s="1">
        <f t="shared" si="4353"/>
        <v>-8.6492536815529757</v>
      </c>
      <c r="H1970" s="1">
        <f t="shared" si="4032"/>
        <v>13.682666943920283</v>
      </c>
      <c r="I1970" s="1">
        <f t="shared" si="4336"/>
        <v>-5.9037971289951647</v>
      </c>
      <c r="J1970" s="1">
        <f t="shared" si="4337"/>
        <v>0</v>
      </c>
      <c r="K1970" s="1">
        <f t="shared" si="4338"/>
        <v>4.8163243716858428</v>
      </c>
      <c r="L1970" s="1">
        <f t="shared" ref="L1970:N1970" si="4448">E1970/$H1970</f>
        <v>0.77486059658854811</v>
      </c>
      <c r="M1970" s="1">
        <f t="shared" si="4448"/>
        <v>0</v>
      </c>
      <c r="N1970" s="1">
        <f t="shared" si="4448"/>
        <v>-0.63213215062551531</v>
      </c>
      <c r="O1970" s="1">
        <f t="shared" si="4034"/>
        <v>-0.63213215062551531</v>
      </c>
      <c r="P1970" s="1">
        <f t="shared" si="4340"/>
        <v>0.48981429535648874</v>
      </c>
      <c r="Q1970" s="1">
        <f t="shared" si="4341"/>
        <v>0</v>
      </c>
      <c r="R1970" s="1">
        <f t="shared" si="4342"/>
        <v>0.6004089441455609</v>
      </c>
      <c r="S1970" s="1">
        <f t="shared" si="4343"/>
        <v>0.61601826266043136</v>
      </c>
      <c r="T1970" s="1">
        <f t="shared" ref="T1970:V1970" si="4449">$S1970*P1970</f>
        <v>0.30173455125174758</v>
      </c>
      <c r="U1970" s="1">
        <f t="shared" si="4449"/>
        <v>0</v>
      </c>
      <c r="V1970" s="1">
        <f t="shared" si="4449"/>
        <v>0.3698628746583324</v>
      </c>
      <c r="W1970" s="1">
        <f t="shared" si="4345"/>
        <v>-5.6020625777434168</v>
      </c>
      <c r="X1970" s="1">
        <f t="shared" si="4346"/>
        <v>0</v>
      </c>
      <c r="Y1970" s="1">
        <f t="shared" si="4347"/>
        <v>-4.6204627536558238</v>
      </c>
    </row>
    <row r="1971" spans="1:25">
      <c r="A1971" s="1">
        <v>1.9689999999999801</v>
      </c>
      <c r="B1971" s="1">
        <f t="shared" si="4348"/>
        <v>51.526973476246106</v>
      </c>
      <c r="C1971" s="1">
        <f t="shared" si="4349"/>
        <v>0</v>
      </c>
      <c r="D1971" s="1">
        <f t="shared" si="4350"/>
        <v>-6.8776763378793992</v>
      </c>
      <c r="E1971" s="1">
        <f t="shared" si="4351"/>
        <v>10.596557408510733</v>
      </c>
      <c r="F1971" s="1">
        <f t="shared" si="4352"/>
        <v>0</v>
      </c>
      <c r="G1971" s="1">
        <f t="shared" si="4353"/>
        <v>-8.6538741443066307</v>
      </c>
      <c r="H1971" s="1">
        <f t="shared" si="4032"/>
        <v>13.68124872288208</v>
      </c>
      <c r="I1971" s="1">
        <f t="shared" si="4336"/>
        <v>-5.9000660178973368</v>
      </c>
      <c r="J1971" s="1">
        <f t="shared" si="4337"/>
        <v>0</v>
      </c>
      <c r="K1971" s="1">
        <f t="shared" si="4338"/>
        <v>4.8183977865279006</v>
      </c>
      <c r="L1971" s="1">
        <f t="shared" ref="L1971:N1971" si="4450">E1971/$H1971</f>
        <v>0.77453144980749045</v>
      </c>
      <c r="M1971" s="1">
        <f t="shared" si="4450"/>
        <v>0</v>
      </c>
      <c r="N1971" s="1">
        <f t="shared" si="4450"/>
        <v>-0.63253540079517045</v>
      </c>
      <c r="O1971" s="1">
        <f t="shared" si="4034"/>
        <v>-0.63253540079517045</v>
      </c>
      <c r="P1971" s="1">
        <f t="shared" si="4340"/>
        <v>0.48991856103244541</v>
      </c>
      <c r="Q1971" s="1">
        <f t="shared" si="4341"/>
        <v>0</v>
      </c>
      <c r="R1971" s="1">
        <f t="shared" si="4342"/>
        <v>0.59989896674089316</v>
      </c>
      <c r="S1971" s="1">
        <f t="shared" si="4343"/>
        <v>0.6158905675573807</v>
      </c>
      <c r="T1971" s="1">
        <f t="shared" ref="T1971:V1971" si="4451">$S1971*P1971</f>
        <v>0.30173622061116806</v>
      </c>
      <c r="U1971" s="1">
        <f t="shared" si="4451"/>
        <v>0</v>
      </c>
      <c r="V1971" s="1">
        <f t="shared" si="4451"/>
        <v>0.36947211510313493</v>
      </c>
      <c r="W1971" s="1">
        <f t="shared" si="4345"/>
        <v>-5.5983297972861683</v>
      </c>
      <c r="X1971" s="1">
        <f t="shared" si="4346"/>
        <v>0</v>
      </c>
      <c r="Y1971" s="1">
        <f t="shared" si="4347"/>
        <v>-4.6187800983689637</v>
      </c>
    </row>
    <row r="1972" spans="1:25">
      <c r="A1972" s="1">
        <v>1.96999999999998</v>
      </c>
      <c r="B1972" s="1">
        <f t="shared" si="4348"/>
        <v>51.537564435324818</v>
      </c>
      <c r="C1972" s="1">
        <f t="shared" si="4349"/>
        <v>0</v>
      </c>
      <c r="D1972" s="1">
        <f t="shared" si="4350"/>
        <v>-6.8863348308038042</v>
      </c>
      <c r="E1972" s="1">
        <f t="shared" si="4351"/>
        <v>10.590959078713448</v>
      </c>
      <c r="F1972" s="1">
        <f t="shared" si="4352"/>
        <v>0</v>
      </c>
      <c r="G1972" s="1">
        <f t="shared" si="4353"/>
        <v>-8.6584929244049995</v>
      </c>
      <c r="H1972" s="1">
        <f t="shared" si="4032"/>
        <v>13.679836034432366</v>
      </c>
      <c r="I1972" s="1">
        <f t="shared" si="4336"/>
        <v>-5.8963400163195638</v>
      </c>
      <c r="J1972" s="1">
        <f t="shared" si="4337"/>
        <v>0</v>
      </c>
      <c r="K1972" s="1">
        <f t="shared" si="4338"/>
        <v>4.8204716807753725</v>
      </c>
      <c r="L1972" s="1">
        <f t="shared" ref="L1972:N1972" si="4452">E1972/$H1972</f>
        <v>0.77420219453331418</v>
      </c>
      <c r="M1972" s="1">
        <f t="shared" si="4452"/>
        <v>0</v>
      </c>
      <c r="N1972" s="1">
        <f t="shared" si="4452"/>
        <v>-0.63293835559223333</v>
      </c>
      <c r="O1972" s="1">
        <f t="shared" si="4034"/>
        <v>-0.63293835559223333</v>
      </c>
      <c r="P1972" s="1">
        <f t="shared" si="4340"/>
        <v>0.4900222639038142</v>
      </c>
      <c r="Q1972" s="1">
        <f t="shared" si="4341"/>
        <v>0</v>
      </c>
      <c r="R1972" s="1">
        <f t="shared" si="4342"/>
        <v>0.5993890380201996</v>
      </c>
      <c r="S1972" s="1">
        <f t="shared" si="4343"/>
        <v>0.61576338376171857</v>
      </c>
      <c r="T1972" s="1">
        <f t="shared" ref="T1972:V1972" si="4453">$S1972*P1972</f>
        <v>0.30173776733999047</v>
      </c>
      <c r="U1972" s="1">
        <f t="shared" si="4453"/>
        <v>0</v>
      </c>
      <c r="V1972" s="1">
        <f t="shared" si="4453"/>
        <v>0.3690818222409995</v>
      </c>
      <c r="W1972" s="1">
        <f t="shared" si="4345"/>
        <v>-5.594602248979573</v>
      </c>
      <c r="X1972" s="1">
        <f t="shared" si="4346"/>
        <v>0</v>
      </c>
      <c r="Y1972" s="1">
        <f t="shared" si="4347"/>
        <v>-4.6170964969836277</v>
      </c>
    </row>
    <row r="1973" spans="1:25">
      <c r="A1973" s="1">
        <v>1.9709999999999801</v>
      </c>
      <c r="B1973" s="1">
        <f t="shared" si="4348"/>
        <v>51.54814979980128</v>
      </c>
      <c r="C1973" s="1">
        <f t="shared" si="4349"/>
        <v>0</v>
      </c>
      <c r="D1973" s="1">
        <f t="shared" si="4350"/>
        <v>-6.8949979408247062</v>
      </c>
      <c r="E1973" s="1">
        <f t="shared" si="4351"/>
        <v>10.585364476464468</v>
      </c>
      <c r="F1973" s="1">
        <f t="shared" si="4352"/>
        <v>0</v>
      </c>
      <c r="G1973" s="1">
        <f t="shared" si="4353"/>
        <v>-8.6631100209019838</v>
      </c>
      <c r="H1973" s="1">
        <f t="shared" si="4032"/>
        <v>13.678428869349295</v>
      </c>
      <c r="I1973" s="1">
        <f t="shared" si="4336"/>
        <v>-5.8926191129510821</v>
      </c>
      <c r="J1973" s="1">
        <f t="shared" si="4337"/>
        <v>0</v>
      </c>
      <c r="K1973" s="1">
        <f t="shared" si="4338"/>
        <v>4.8225460540604219</v>
      </c>
      <c r="L1973" s="1">
        <f t="shared" ref="L1973:N1973" si="4454">E1973/$H1973</f>
        <v>0.77387283127115691</v>
      </c>
      <c r="M1973" s="1">
        <f t="shared" si="4454"/>
        <v>0</v>
      </c>
      <c r="N1973" s="1">
        <f t="shared" si="4454"/>
        <v>-0.63334101479405525</v>
      </c>
      <c r="O1973" s="1">
        <f t="shared" si="4034"/>
        <v>-0.63334101479405525</v>
      </c>
      <c r="P1973" s="1">
        <f t="shared" si="4340"/>
        <v>0.49012540427882323</v>
      </c>
      <c r="Q1973" s="1">
        <f t="shared" si="4341"/>
        <v>0</v>
      </c>
      <c r="R1973" s="1">
        <f t="shared" si="4342"/>
        <v>0.59887915897963628</v>
      </c>
      <c r="S1973" s="1">
        <f t="shared" si="4343"/>
        <v>0.61563671028902944</v>
      </c>
      <c r="T1973" s="1">
        <f t="shared" ref="T1973:V1973" si="4455">$S1973*P1973</f>
        <v>0.30173919151929535</v>
      </c>
      <c r="U1973" s="1">
        <f t="shared" si="4455"/>
        <v>0</v>
      </c>
      <c r="V1973" s="1">
        <f t="shared" si="4455"/>
        <v>0.36869199529488395</v>
      </c>
      <c r="W1973" s="1">
        <f t="shared" si="4345"/>
        <v>-5.590879921431787</v>
      </c>
      <c r="X1973" s="1">
        <f t="shared" si="4346"/>
        <v>0</v>
      </c>
      <c r="Y1973" s="1">
        <f t="shared" si="4347"/>
        <v>-4.6154119506446936</v>
      </c>
    </row>
    <row r="1974" spans="1:25">
      <c r="A1974" s="1">
        <v>1.97199999999998</v>
      </c>
      <c r="B1974" s="1">
        <f t="shared" si="4348"/>
        <v>51.558729573397819</v>
      </c>
      <c r="C1974" s="1">
        <f t="shared" si="4349"/>
        <v>0</v>
      </c>
      <c r="D1974" s="1">
        <f t="shared" si="4350"/>
        <v>-6.9036656662575586</v>
      </c>
      <c r="E1974" s="1">
        <f t="shared" si="4351"/>
        <v>10.579773596543037</v>
      </c>
      <c r="F1974" s="1">
        <f t="shared" si="4352"/>
        <v>0</v>
      </c>
      <c r="G1974" s="1">
        <f t="shared" si="4353"/>
        <v>-8.6677254328526292</v>
      </c>
      <c r="H1974" s="1">
        <f t="shared" si="4032"/>
        <v>13.677027218421021</v>
      </c>
      <c r="I1974" s="1">
        <f t="shared" si="4336"/>
        <v>-5.8889032965064034</v>
      </c>
      <c r="J1974" s="1">
        <f t="shared" si="4337"/>
        <v>0</v>
      </c>
      <c r="K1974" s="1">
        <f t="shared" si="4338"/>
        <v>4.8246209060103871</v>
      </c>
      <c r="L1974" s="1">
        <f t="shared" ref="L1974:N1974" si="4456">E1974/$H1974</f>
        <v>0.77354336052600514</v>
      </c>
      <c r="M1974" s="1">
        <f t="shared" si="4456"/>
        <v>0</v>
      </c>
      <c r="N1974" s="1">
        <f t="shared" si="4456"/>
        <v>-0.63374337817931881</v>
      </c>
      <c r="O1974" s="1">
        <f t="shared" si="4034"/>
        <v>-0.63374337817931881</v>
      </c>
      <c r="P1974" s="1">
        <f t="shared" si="4340"/>
        <v>0.49022798246793325</v>
      </c>
      <c r="Q1974" s="1">
        <f t="shared" si="4341"/>
        <v>0</v>
      </c>
      <c r="R1974" s="1">
        <f t="shared" si="4342"/>
        <v>0.59836933061386488</v>
      </c>
      <c r="S1974" s="1">
        <f t="shared" si="4343"/>
        <v>0.61551054615674283</v>
      </c>
      <c r="T1974" s="1">
        <f t="shared" ref="T1974:V1974" si="4457">$S1974*P1974</f>
        <v>0.30174049323015573</v>
      </c>
      <c r="U1974" s="1">
        <f t="shared" si="4457"/>
        <v>0</v>
      </c>
      <c r="V1974" s="1">
        <f t="shared" si="4457"/>
        <v>0.36830263348958459</v>
      </c>
      <c r="W1974" s="1">
        <f t="shared" si="4345"/>
        <v>-5.5871628032762475</v>
      </c>
      <c r="X1974" s="1">
        <f t="shared" si="4346"/>
        <v>0</v>
      </c>
      <c r="Y1974" s="1">
        <f t="shared" si="4347"/>
        <v>-4.6137264605000281</v>
      </c>
    </row>
    <row r="1975" spans="1:25">
      <c r="A1975" s="1">
        <v>1.9729999999999801</v>
      </c>
      <c r="B1975" s="1">
        <f t="shared" si="4348"/>
        <v>51.569303759831563</v>
      </c>
      <c r="C1975" s="1">
        <f t="shared" si="4349"/>
        <v>0</v>
      </c>
      <c r="D1975" s="1">
        <f t="shared" si="4350"/>
        <v>-6.9123380054168715</v>
      </c>
      <c r="E1975" s="1">
        <f t="shared" si="4351"/>
        <v>10.57418643373976</v>
      </c>
      <c r="F1975" s="1">
        <f t="shared" si="4352"/>
        <v>0</v>
      </c>
      <c r="G1975" s="1">
        <f t="shared" si="4353"/>
        <v>-8.6723391593131289</v>
      </c>
      <c r="H1975" s="1">
        <f t="shared" si="4032"/>
        <v>13.675631072445686</v>
      </c>
      <c r="I1975" s="1">
        <f t="shared" si="4336"/>
        <v>-5.8851925557252542</v>
      </c>
      <c r="J1975" s="1">
        <f t="shared" si="4337"/>
        <v>0</v>
      </c>
      <c r="K1975" s="1">
        <f t="shared" si="4338"/>
        <v>4.8266962362477992</v>
      </c>
      <c r="L1975" s="1">
        <f t="shared" ref="L1975:N1975" si="4458">E1975/$H1975</f>
        <v>0.77321378280269171</v>
      </c>
      <c r="M1975" s="1">
        <f t="shared" si="4458"/>
        <v>0</v>
      </c>
      <c r="N1975" s="1">
        <f t="shared" si="4458"/>
        <v>-0.63414544552803653</v>
      </c>
      <c r="O1975" s="1">
        <f t="shared" si="4034"/>
        <v>-0.63414544552803653</v>
      </c>
      <c r="P1975" s="1">
        <f t="shared" si="4340"/>
        <v>0.49032999878383138</v>
      </c>
      <c r="Q1975" s="1">
        <f t="shared" si="4341"/>
        <v>0</v>
      </c>
      <c r="R1975" s="1">
        <f t="shared" si="4342"/>
        <v>0.59785955391604806</v>
      </c>
      <c r="S1975" s="1">
        <f t="shared" si="4343"/>
        <v>0.6153848903841278</v>
      </c>
      <c r="T1975" s="1">
        <f t="shared" ref="T1975:V1975" si="4459">$S1975*P1975</f>
        <v>0.3017416725536376</v>
      </c>
      <c r="U1975" s="1">
        <f t="shared" si="4459"/>
        <v>0</v>
      </c>
      <c r="V1975" s="1">
        <f t="shared" si="4459"/>
        <v>0.36791373605173078</v>
      </c>
      <c r="W1975" s="1">
        <f t="shared" si="4345"/>
        <v>-5.5834508831716168</v>
      </c>
      <c r="X1975" s="1">
        <f t="shared" si="4346"/>
        <v>0</v>
      </c>
      <c r="Y1975" s="1">
        <f t="shared" si="4347"/>
        <v>-4.6120400277004698</v>
      </c>
    </row>
    <row r="1976" spans="1:25">
      <c r="A1976" s="1">
        <v>1.97399999999998</v>
      </c>
      <c r="B1976" s="1">
        <f t="shared" si="4348"/>
        <v>51.57987236281442</v>
      </c>
      <c r="C1976" s="1">
        <f t="shared" si="4349"/>
        <v>0</v>
      </c>
      <c r="D1976" s="1">
        <f t="shared" si="4350"/>
        <v>-6.9210149566162125</v>
      </c>
      <c r="E1976" s="1">
        <f t="shared" si="4351"/>
        <v>10.568602982856588</v>
      </c>
      <c r="F1976" s="1">
        <f t="shared" si="4352"/>
        <v>0</v>
      </c>
      <c r="G1976" s="1">
        <f t="shared" si="4353"/>
        <v>-8.676951199340829</v>
      </c>
      <c r="H1976" s="1">
        <f t="shared" si="4032"/>
        <v>13.674240422231408</v>
      </c>
      <c r="I1976" s="1">
        <f t="shared" si="4336"/>
        <v>-5.8814868793725221</v>
      </c>
      <c r="J1976" s="1">
        <f t="shared" si="4337"/>
        <v>0</v>
      </c>
      <c r="K1976" s="1">
        <f t="shared" si="4338"/>
        <v>4.8287720443903881</v>
      </c>
      <c r="L1976" s="1">
        <f t="shared" ref="L1976:N1976" si="4460">E1976/$H1976</f>
        <v>0.77288409860589302</v>
      </c>
      <c r="M1976" s="1">
        <f t="shared" si="4460"/>
        <v>0</v>
      </c>
      <c r="N1976" s="1">
        <f t="shared" si="4460"/>
        <v>-0.63454721662155</v>
      </c>
      <c r="O1976" s="1">
        <f t="shared" si="4034"/>
        <v>-0.63454721662155</v>
      </c>
      <c r="P1976" s="1">
        <f t="shared" si="4340"/>
        <v>0.49043145354142503</v>
      </c>
      <c r="Q1976" s="1">
        <f t="shared" si="4341"/>
        <v>0</v>
      </c>
      <c r="R1976" s="1">
        <f t="shared" si="4342"/>
        <v>0.59734982987784369</v>
      </c>
      <c r="S1976" s="1">
        <f t="shared" si="4343"/>
        <v>0.61525974199228828</v>
      </c>
      <c r="T1976" s="1">
        <f t="shared" ref="T1976:V1976" si="4461">$S1976*P1976</f>
        <v>0.30174272957080006</v>
      </c>
      <c r="U1976" s="1">
        <f t="shared" si="4461"/>
        <v>0</v>
      </c>
      <c r="V1976" s="1">
        <f t="shared" si="4461"/>
        <v>0.36752530220977941</v>
      </c>
      <c r="W1976" s="1">
        <f t="shared" si="4345"/>
        <v>-5.579744149801722</v>
      </c>
      <c r="X1976" s="1">
        <f t="shared" si="4346"/>
        <v>0</v>
      </c>
      <c r="Y1976" s="1">
        <f t="shared" si="4347"/>
        <v>-4.6103526533998318</v>
      </c>
    </row>
    <row r="1977" spans="1:25">
      <c r="A1977" s="1">
        <v>1.9749999999999801</v>
      </c>
      <c r="B1977" s="1">
        <f t="shared" si="4348"/>
        <v>51.59043538605313</v>
      </c>
      <c r="C1977" s="1">
        <f t="shared" si="4349"/>
        <v>0</v>
      </c>
      <c r="D1977" s="1">
        <f t="shared" si="4350"/>
        <v>-6.9296965181682069</v>
      </c>
      <c r="E1977" s="1">
        <f t="shared" si="4351"/>
        <v>10.563023238706785</v>
      </c>
      <c r="F1977" s="1">
        <f t="shared" si="4352"/>
        <v>0</v>
      </c>
      <c r="G1977" s="1">
        <f t="shared" si="4353"/>
        <v>-8.6815615519942284</v>
      </c>
      <c r="H1977" s="1">
        <f t="shared" si="4032"/>
        <v>13.672855258596282</v>
      </c>
      <c r="I1977" s="1">
        <f t="shared" si="4336"/>
        <v>-5.8777862562381973</v>
      </c>
      <c r="J1977" s="1">
        <f t="shared" si="4337"/>
        <v>0</v>
      </c>
      <c r="K1977" s="1">
        <f t="shared" si="4338"/>
        <v>4.8308483300510998</v>
      </c>
      <c r="L1977" s="1">
        <f t="shared" ref="L1977:N1977" si="4462">E1977/$H1977</f>
        <v>0.77255430844012563</v>
      </c>
      <c r="M1977" s="1">
        <f t="shared" si="4462"/>
        <v>0</v>
      </c>
      <c r="N1977" s="1">
        <f t="shared" si="4462"/>
        <v>-0.63494869124252817</v>
      </c>
      <c r="O1977" s="1">
        <f t="shared" si="4034"/>
        <v>-0.63494869124252817</v>
      </c>
      <c r="P1977" s="1">
        <f t="shared" si="4340"/>
        <v>0.49053234705783422</v>
      </c>
      <c r="Q1977" s="1">
        <f t="shared" si="4341"/>
        <v>0</v>
      </c>
      <c r="R1977" s="1">
        <f t="shared" si="4342"/>
        <v>0.59684015948940061</v>
      </c>
      <c r="S1977" s="1">
        <f t="shared" si="4343"/>
        <v>0.61513510000415905</v>
      </c>
      <c r="T1977" s="1">
        <f t="shared" ref="T1977:V1977" si="4463">$S1977*P1977</f>
        <v>0.30174366436269573</v>
      </c>
      <c r="U1977" s="1">
        <f t="shared" si="4463"/>
        <v>0</v>
      </c>
      <c r="V1977" s="1">
        <f t="shared" si="4463"/>
        <v>0.36713733119401071</v>
      </c>
      <c r="W1977" s="1">
        <f t="shared" si="4345"/>
        <v>-5.5760425918755017</v>
      </c>
      <c r="X1977" s="1">
        <f t="shared" si="4346"/>
        <v>0</v>
      </c>
      <c r="Y1977" s="1">
        <f t="shared" si="4347"/>
        <v>-4.6086643387548891</v>
      </c>
    </row>
    <row r="1978" spans="1:25">
      <c r="A1978" s="1">
        <v>1.97599999999998</v>
      </c>
      <c r="B1978" s="1">
        <f t="shared" si="4348"/>
        <v>51.600992833249244</v>
      </c>
      <c r="C1978" s="1">
        <f t="shared" si="4349"/>
        <v>0</v>
      </c>
      <c r="D1978" s="1">
        <f t="shared" si="4350"/>
        <v>-6.9383826883845394</v>
      </c>
      <c r="E1978" s="1">
        <f t="shared" si="4351"/>
        <v>10.557447196114909</v>
      </c>
      <c r="F1978" s="1">
        <f t="shared" si="4352"/>
        <v>0</v>
      </c>
      <c r="G1978" s="1">
        <f t="shared" si="4353"/>
        <v>-8.6861702163329841</v>
      </c>
      <c r="H1978" s="1">
        <f t="shared" si="4032"/>
        <v>13.671475572368358</v>
      </c>
      <c r="I1978" s="1">
        <f t="shared" si="4336"/>
        <v>-5.8740906751373076</v>
      </c>
      <c r="J1978" s="1">
        <f t="shared" si="4337"/>
        <v>0</v>
      </c>
      <c r="K1978" s="1">
        <f t="shared" si="4338"/>
        <v>4.8329250928381011</v>
      </c>
      <c r="L1978" s="1">
        <f t="shared" ref="L1978:N1978" si="4464">E1978/$H1978</f>
        <v>0.77222441280974363</v>
      </c>
      <c r="M1978" s="1">
        <f t="shared" si="4464"/>
        <v>0</v>
      </c>
      <c r="N1978" s="1">
        <f t="shared" si="4464"/>
        <v>-0.63534986917496628</v>
      </c>
      <c r="O1978" s="1">
        <f t="shared" si="4034"/>
        <v>-0.63534986917496628</v>
      </c>
      <c r="P1978" s="1">
        <f t="shared" si="4340"/>
        <v>0.49063267965238577</v>
      </c>
      <c r="Q1978" s="1">
        <f t="shared" si="4341"/>
        <v>0</v>
      </c>
      <c r="R1978" s="1">
        <f t="shared" si="4342"/>
        <v>0.59633054373935324</v>
      </c>
      <c r="S1978" s="1">
        <f t="shared" si="4343"/>
        <v>0.61501096344450101</v>
      </c>
      <c r="T1978" s="1">
        <f t="shared" ref="T1978:V1978" si="4465">$S1978*P1978</f>
        <v>0.30174447701037099</v>
      </c>
      <c r="U1978" s="1">
        <f t="shared" si="4465"/>
        <v>0</v>
      </c>
      <c r="V1978" s="1">
        <f t="shared" si="4465"/>
        <v>0.3667498222365228</v>
      </c>
      <c r="W1978" s="1">
        <f t="shared" si="4345"/>
        <v>-5.5723461981269367</v>
      </c>
      <c r="X1978" s="1">
        <f t="shared" si="4346"/>
        <v>0</v>
      </c>
      <c r="Y1978" s="1">
        <f t="shared" si="4347"/>
        <v>-4.6069750849253754</v>
      </c>
    </row>
    <row r="1979" spans="1:25">
      <c r="A1979" s="1">
        <v>1.9769999999999801</v>
      </c>
      <c r="B1979" s="1">
        <f t="shared" si="4348"/>
        <v>51.61154470809916</v>
      </c>
      <c r="C1979" s="1">
        <f t="shared" si="4349"/>
        <v>0</v>
      </c>
      <c r="D1979" s="1">
        <f t="shared" si="4350"/>
        <v>-6.947073465575957</v>
      </c>
      <c r="E1979" s="1">
        <f t="shared" si="4351"/>
        <v>10.551874849916782</v>
      </c>
      <c r="F1979" s="1">
        <f t="shared" si="4352"/>
        <v>0</v>
      </c>
      <c r="G1979" s="1">
        <f t="shared" si="4353"/>
        <v>-8.6907771914179097</v>
      </c>
      <c r="H1979" s="1">
        <f t="shared" si="4032"/>
        <v>13.670101354385638</v>
      </c>
      <c r="I1979" s="1">
        <f t="shared" si="4336"/>
        <v>-5.870400124909871</v>
      </c>
      <c r="J1979" s="1">
        <f t="shared" si="4337"/>
        <v>0</v>
      </c>
      <c r="K1979" s="1">
        <f t="shared" si="4338"/>
        <v>4.8350023323547964</v>
      </c>
      <c r="L1979" s="1">
        <f t="shared" ref="L1979:N1979" si="4466">E1979/$H1979</f>
        <v>0.77189441221893595</v>
      </c>
      <c r="M1979" s="1">
        <f t="shared" si="4466"/>
        <v>0</v>
      </c>
      <c r="N1979" s="1">
        <f t="shared" si="4466"/>
        <v>-0.63575075020418459</v>
      </c>
      <c r="O1979" s="1">
        <f t="shared" si="4034"/>
        <v>-0.63575075020418459</v>
      </c>
      <c r="P1979" s="1">
        <f t="shared" si="4340"/>
        <v>0.49073245164660662</v>
      </c>
      <c r="Q1979" s="1">
        <f t="shared" si="4341"/>
        <v>0</v>
      </c>
      <c r="R1979" s="1">
        <f t="shared" si="4342"/>
        <v>0.5958209836148165</v>
      </c>
      <c r="S1979" s="1">
        <f t="shared" si="4343"/>
        <v>0.6148873313398957</v>
      </c>
      <c r="T1979" s="1">
        <f t="shared" ref="T1979:V1979" si="4467">$S1979*P1979</f>
        <v>0.30174516759486636</v>
      </c>
      <c r="U1979" s="1">
        <f t="shared" si="4467"/>
        <v>0</v>
      </c>
      <c r="V1979" s="1">
        <f t="shared" si="4467"/>
        <v>0.36636277457122624</v>
      </c>
      <c r="W1979" s="1">
        <f t="shared" si="4345"/>
        <v>-5.5686549573150046</v>
      </c>
      <c r="X1979" s="1">
        <f t="shared" si="4346"/>
        <v>0</v>
      </c>
      <c r="Y1979" s="1">
        <f t="shared" si="4347"/>
        <v>-4.6052848930739767</v>
      </c>
    </row>
    <row r="1980" spans="1:25">
      <c r="A1980" s="1">
        <v>1.97799999999998</v>
      </c>
      <c r="B1980" s="1">
        <f t="shared" si="4348"/>
        <v>51.622091014294121</v>
      </c>
      <c r="C1980" s="1">
        <f t="shared" si="4349"/>
        <v>0</v>
      </c>
      <c r="D1980" s="1">
        <f t="shared" si="4350"/>
        <v>-6.9557688480522684</v>
      </c>
      <c r="E1980" s="1">
        <f t="shared" si="4351"/>
        <v>10.546306194959467</v>
      </c>
      <c r="F1980" s="1">
        <f t="shared" si="4352"/>
        <v>0</v>
      </c>
      <c r="G1980" s="1">
        <f t="shared" si="4353"/>
        <v>-8.6953824763109839</v>
      </c>
      <c r="H1980" s="1">
        <f t="shared" si="4032"/>
        <v>13.668732595496063</v>
      </c>
      <c r="I1980" s="1">
        <f t="shared" si="4336"/>
        <v>-5.8667145944208281</v>
      </c>
      <c r="J1980" s="1">
        <f t="shared" si="4337"/>
        <v>0</v>
      </c>
      <c r="K1980" s="1">
        <f t="shared" si="4338"/>
        <v>4.8370800481998364</v>
      </c>
      <c r="L1980" s="1">
        <f t="shared" ref="L1980:N1980" si="4468">E1980/$H1980</f>
        <v>0.77156430717172297</v>
      </c>
      <c r="M1980" s="1">
        <f t="shared" si="4468"/>
        <v>0</v>
      </c>
      <c r="N1980" s="1">
        <f t="shared" si="4468"/>
        <v>-0.63615133411682723</v>
      </c>
      <c r="O1980" s="1">
        <f t="shared" si="4034"/>
        <v>-0.63615133411682723</v>
      </c>
      <c r="P1980" s="1">
        <f t="shared" si="4340"/>
        <v>0.49083166336421707</v>
      </c>
      <c r="Q1980" s="1">
        <f t="shared" si="4341"/>
        <v>0</v>
      </c>
      <c r="R1980" s="1">
        <f t="shared" si="4342"/>
        <v>0.5953114801013808</v>
      </c>
      <c r="S1980" s="1">
        <f t="shared" si="4343"/>
        <v>0.61476420271874177</v>
      </c>
      <c r="T1980" s="1">
        <f t="shared" ref="T1980:V1980" si="4469">$S1980*P1980</f>
        <v>0.30174573619721679</v>
      </c>
      <c r="U1980" s="1">
        <f t="shared" si="4469"/>
        <v>0</v>
      </c>
      <c r="V1980" s="1">
        <f t="shared" si="4469"/>
        <v>0.36597618743383947</v>
      </c>
      <c r="W1980" s="1">
        <f t="shared" si="4345"/>
        <v>-5.5649688582236116</v>
      </c>
      <c r="X1980" s="1">
        <f t="shared" si="4346"/>
        <v>0</v>
      </c>
      <c r="Y1980" s="1">
        <f t="shared" si="4347"/>
        <v>-4.6035937643663232</v>
      </c>
    </row>
    <row r="1981" spans="1:25">
      <c r="A1981" s="1">
        <v>1.9789999999999801</v>
      </c>
      <c r="B1981" s="1">
        <f t="shared" si="4348"/>
        <v>51.632631755520222</v>
      </c>
      <c r="C1981" s="1">
        <f t="shared" si="4349"/>
        <v>0</v>
      </c>
      <c r="D1981" s="1">
        <f t="shared" si="4350"/>
        <v>-6.9644688341223437</v>
      </c>
      <c r="E1981" s="1">
        <f t="shared" si="4351"/>
        <v>10.540741226101243</v>
      </c>
      <c r="F1981" s="1">
        <f t="shared" si="4352"/>
        <v>0</v>
      </c>
      <c r="G1981" s="1">
        <f t="shared" si="4353"/>
        <v>-8.6999860700753509</v>
      </c>
      <c r="H1981" s="1">
        <f t="shared" si="4032"/>
        <v>13.667369286557507</v>
      </c>
      <c r="I1981" s="1">
        <f t="shared" si="4336"/>
        <v>-5.8630340725599899</v>
      </c>
      <c r="J1981" s="1">
        <f t="shared" si="4337"/>
        <v>0</v>
      </c>
      <c r="K1981" s="1">
        <f t="shared" si="4338"/>
        <v>4.8391582399671309</v>
      </c>
      <c r="L1981" s="1">
        <f t="shared" ref="L1981:N1981" si="4470">E1981/$H1981</f>
        <v>0.7712340981719541</v>
      </c>
      <c r="M1981" s="1">
        <f t="shared" si="4470"/>
        <v>0</v>
      </c>
      <c r="N1981" s="1">
        <f t="shared" si="4470"/>
        <v>-0.63655162070086091</v>
      </c>
      <c r="O1981" s="1">
        <f t="shared" si="4034"/>
        <v>-0.63655162070086091</v>
      </c>
      <c r="P1981" s="1">
        <f t="shared" si="4340"/>
        <v>0.49093031513112423</v>
      </c>
      <c r="Q1981" s="1">
        <f t="shared" si="4341"/>
        <v>0</v>
      </c>
      <c r="R1981" s="1">
        <f t="shared" si="4342"/>
        <v>0.59480203418310729</v>
      </c>
      <c r="S1981" s="1">
        <f t="shared" si="4343"/>
        <v>0.61464157661124952</v>
      </c>
      <c r="T1981" s="1">
        <f t="shared" ref="T1981:V1981" si="4471">$S1981*P1981</f>
        <v>0.30174618289845179</v>
      </c>
      <c r="U1981" s="1">
        <f t="shared" si="4471"/>
        <v>0</v>
      </c>
      <c r="V1981" s="1">
        <f t="shared" si="4471"/>
        <v>0.36559006006188338</v>
      </c>
      <c r="W1981" s="1">
        <f t="shared" si="4345"/>
        <v>-5.5612878896615383</v>
      </c>
      <c r="X1981" s="1">
        <f t="shared" si="4346"/>
        <v>0</v>
      </c>
      <c r="Y1981" s="1">
        <f t="shared" si="4347"/>
        <v>-4.601901699970985</v>
      </c>
    </row>
    <row r="1982" spans="1:25">
      <c r="A1982" s="1">
        <v>1.97999999999998</v>
      </c>
      <c r="B1982" s="1">
        <f t="shared" si="4348"/>
        <v>51.643166935458432</v>
      </c>
      <c r="C1982" s="1">
        <f t="shared" si="4349"/>
        <v>0</v>
      </c>
      <c r="D1982" s="1">
        <f t="shared" si="4350"/>
        <v>-6.9731734220941188</v>
      </c>
      <c r="E1982" s="1">
        <f t="shared" si="4351"/>
        <v>10.535179938211582</v>
      </c>
      <c r="F1982" s="1">
        <f t="shared" si="4352"/>
        <v>0</v>
      </c>
      <c r="G1982" s="1">
        <f t="shared" si="4353"/>
        <v>-8.7045879717753216</v>
      </c>
      <c r="H1982" s="1">
        <f t="shared" si="4032"/>
        <v>13.666011418437767</v>
      </c>
      <c r="I1982" s="1">
        <f t="shared" si="4336"/>
        <v>-5.8593585482419792</v>
      </c>
      <c r="J1982" s="1">
        <f t="shared" si="4337"/>
        <v>0</v>
      </c>
      <c r="K1982" s="1">
        <f t="shared" si="4338"/>
        <v>4.8412369072458574</v>
      </c>
      <c r="L1982" s="1">
        <f t="shared" ref="L1982:N1982" si="4472">E1982/$H1982</f>
        <v>0.77090378572330465</v>
      </c>
      <c r="M1982" s="1">
        <f t="shared" si="4472"/>
        <v>0</v>
      </c>
      <c r="N1982" s="1">
        <f t="shared" si="4472"/>
        <v>-0.6369516097455733</v>
      </c>
      <c r="O1982" s="1">
        <f t="shared" si="4034"/>
        <v>-0.6369516097455733</v>
      </c>
      <c r="P1982" s="1">
        <f t="shared" si="4340"/>
        <v>0.49102840727541541</v>
      </c>
      <c r="Q1982" s="1">
        <f t="shared" si="4341"/>
        <v>0</v>
      </c>
      <c r="R1982" s="1">
        <f t="shared" si="4342"/>
        <v>0.59429264684252292</v>
      </c>
      <c r="S1982" s="1">
        <f t="shared" si="4343"/>
        <v>0.61451945204943703</v>
      </c>
      <c r="T1982" s="1">
        <f t="shared" ref="T1982:V1982" si="4473">$S1982*P1982</f>
        <v>0.30174650777959611</v>
      </c>
      <c r="U1982" s="1">
        <f t="shared" si="4473"/>
        <v>0</v>
      </c>
      <c r="V1982" s="1">
        <f t="shared" si="4473"/>
        <v>0.36520439169467678</v>
      </c>
      <c r="W1982" s="1">
        <f t="shared" si="4345"/>
        <v>-5.5576120404623834</v>
      </c>
      <c r="X1982" s="1">
        <f t="shared" si="4346"/>
        <v>0</v>
      </c>
      <c r="Y1982" s="1">
        <f t="shared" si="4347"/>
        <v>-4.600208701059465</v>
      </c>
    </row>
    <row r="1983" spans="1:25">
      <c r="A1983" s="1">
        <v>1.9809999999999801</v>
      </c>
      <c r="B1983" s="1">
        <f t="shared" si="4348"/>
        <v>51.653696557784606</v>
      </c>
      <c r="C1983" s="1">
        <f t="shared" si="4349"/>
        <v>0</v>
      </c>
      <c r="D1983" s="1">
        <f t="shared" si="4350"/>
        <v>-6.981882610274595</v>
      </c>
      <c r="E1983" s="1">
        <f t="shared" si="4351"/>
        <v>10.52962232617112</v>
      </c>
      <c r="F1983" s="1">
        <f t="shared" si="4352"/>
        <v>0</v>
      </c>
      <c r="G1983" s="1">
        <f t="shared" si="4353"/>
        <v>-8.7091881804763815</v>
      </c>
      <c r="H1983" s="1">
        <f t="shared" si="4032"/>
        <v>13.664658982014547</v>
      </c>
      <c r="I1983" s="1">
        <f t="shared" si="4336"/>
        <v>-5.8556880104061744</v>
      </c>
      <c r="J1983" s="1">
        <f t="shared" si="4337"/>
        <v>0</v>
      </c>
      <c r="K1983" s="1">
        <f t="shared" si="4338"/>
        <v>4.843316049620479</v>
      </c>
      <c r="L1983" s="1">
        <f t="shared" ref="L1983:N1983" si="4474">E1983/$H1983</f>
        <v>0.77057337032927287</v>
      </c>
      <c r="M1983" s="1">
        <f t="shared" si="4474"/>
        <v>0</v>
      </c>
      <c r="N1983" s="1">
        <f t="shared" si="4474"/>
        <v>-0.63735130104157256</v>
      </c>
      <c r="O1983" s="1">
        <f t="shared" si="4034"/>
        <v>-0.63735130104157256</v>
      </c>
      <c r="P1983" s="1">
        <f t="shared" si="4340"/>
        <v>0.49112594012735156</v>
      </c>
      <c r="Q1983" s="1">
        <f t="shared" si="4341"/>
        <v>0</v>
      </c>
      <c r="R1983" s="1">
        <f t="shared" si="4342"/>
        <v>0.59378331906061477</v>
      </c>
      <c r="S1983" s="1">
        <f t="shared" si="4343"/>
        <v>0.61439782806712473</v>
      </c>
      <c r="T1983" s="1">
        <f t="shared" ref="T1983:V1983" si="4475">$S1983*P1983</f>
        <v>0.30174671092166955</v>
      </c>
      <c r="U1983" s="1">
        <f t="shared" si="4475"/>
        <v>0</v>
      </c>
      <c r="V1983" s="1">
        <f t="shared" si="4475"/>
        <v>0.36481918157333026</v>
      </c>
      <c r="W1983" s="1">
        <f t="shared" si="4345"/>
        <v>-5.5539412994845048</v>
      </c>
      <c r="X1983" s="1">
        <f t="shared" si="4346"/>
        <v>0</v>
      </c>
      <c r="Y1983" s="1">
        <f t="shared" si="4347"/>
        <v>-4.59851476880619</v>
      </c>
    </row>
    <row r="1984" spans="1:25">
      <c r="A1984" s="1">
        <v>1.98199999999998</v>
      </c>
      <c r="B1984" s="1">
        <f t="shared" si="4348"/>
        <v>51.664220626169481</v>
      </c>
      <c r="C1984" s="1">
        <f t="shared" si="4349"/>
        <v>0</v>
      </c>
      <c r="D1984" s="1">
        <f t="shared" si="4350"/>
        <v>-6.9905963969698401</v>
      </c>
      <c r="E1984" s="1">
        <f t="shared" si="4351"/>
        <v>10.524068384871635</v>
      </c>
      <c r="F1984" s="1">
        <f t="shared" si="4352"/>
        <v>0</v>
      </c>
      <c r="G1984" s="1">
        <f t="shared" si="4353"/>
        <v>-8.7137866952451883</v>
      </c>
      <c r="H1984" s="1">
        <f t="shared" si="4032"/>
        <v>13.663311968175458</v>
      </c>
      <c r="I1984" s="1">
        <f t="shared" si="4336"/>
        <v>-5.8520224480166476</v>
      </c>
      <c r="J1984" s="1">
        <f t="shared" si="4337"/>
        <v>0</v>
      </c>
      <c r="K1984" s="1">
        <f t="shared" si="4338"/>
        <v>4.8453956666707478</v>
      </c>
      <c r="L1984" s="1">
        <f t="shared" ref="L1984:N1984" si="4476">E1984/$H1984</f>
        <v>0.77024285249317737</v>
      </c>
      <c r="M1984" s="1">
        <f t="shared" si="4476"/>
        <v>0</v>
      </c>
      <c r="N1984" s="1">
        <f t="shared" si="4476"/>
        <v>-0.63775069438078502</v>
      </c>
      <c r="O1984" s="1">
        <f t="shared" si="4034"/>
        <v>-0.63775069438078502</v>
      </c>
      <c r="P1984" s="1">
        <f t="shared" si="4340"/>
        <v>0.49122291401936041</v>
      </c>
      <c r="Q1984" s="1">
        <f t="shared" si="4341"/>
        <v>0</v>
      </c>
      <c r="R1984" s="1">
        <f t="shared" si="4342"/>
        <v>0.59327405181682646</v>
      </c>
      <c r="S1984" s="1">
        <f t="shared" si="4343"/>
        <v>0.6142767036999317</v>
      </c>
      <c r="T1984" s="1">
        <f t="shared" ref="T1984:V1984" si="4477">$S1984*P1984</f>
        <v>0.30174679240568769</v>
      </c>
      <c r="U1984" s="1">
        <f t="shared" si="4477"/>
        <v>0</v>
      </c>
      <c r="V1984" s="1">
        <f t="shared" si="4477"/>
        <v>0.36443442894074263</v>
      </c>
      <c r="W1984" s="1">
        <f t="shared" si="4345"/>
        <v>-5.5502756556109603</v>
      </c>
      <c r="X1984" s="1">
        <f t="shared" si="4346"/>
        <v>0</v>
      </c>
      <c r="Y1984" s="1">
        <f t="shared" si="4347"/>
        <v>-4.596819904388509</v>
      </c>
    </row>
    <row r="1985" spans="1:25">
      <c r="A1985" s="1">
        <v>1.9829999999999799</v>
      </c>
      <c r="B1985" s="1">
        <f t="shared" si="4348"/>
        <v>51.674739144278696</v>
      </c>
      <c r="C1985" s="1">
        <f t="shared" si="4349"/>
        <v>0</v>
      </c>
      <c r="D1985" s="1">
        <f t="shared" si="4350"/>
        <v>-6.9993147804849896</v>
      </c>
      <c r="E1985" s="1">
        <f t="shared" si="4351"/>
        <v>10.518518109216023</v>
      </c>
      <c r="F1985" s="1">
        <f t="shared" si="4352"/>
        <v>0</v>
      </c>
      <c r="G1985" s="1">
        <f t="shared" si="4353"/>
        <v>-8.7183835151495774</v>
      </c>
      <c r="H1985" s="1">
        <f t="shared" si="4032"/>
        <v>13.661970367818009</v>
      </c>
      <c r="I1985" s="1">
        <f t="shared" si="4336"/>
        <v>-5.8483618500621191</v>
      </c>
      <c r="J1985" s="1">
        <f t="shared" si="4337"/>
        <v>0</v>
      </c>
      <c r="K1985" s="1">
        <f t="shared" si="4338"/>
        <v>4.8474757579717256</v>
      </c>
      <c r="L1985" s="1">
        <f t="shared" ref="L1985:N1985" si="4478">E1985/$H1985</f>
        <v>0.76991223271815401</v>
      </c>
      <c r="M1985" s="1">
        <f t="shared" si="4478"/>
        <v>0</v>
      </c>
      <c r="N1985" s="1">
        <f t="shared" si="4478"/>
        <v>-0.63814978955645429</v>
      </c>
      <c r="O1985" s="1">
        <f t="shared" si="4034"/>
        <v>-0.63814978955645429</v>
      </c>
      <c r="P1985" s="1">
        <f t="shared" si="4340"/>
        <v>0.49131932928602984</v>
      </c>
      <c r="Q1985" s="1">
        <f t="shared" si="4341"/>
        <v>0</v>
      </c>
      <c r="R1985" s="1">
        <f t="shared" si="4342"/>
        <v>0.59276484608905311</v>
      </c>
      <c r="S1985" s="1">
        <f t="shared" si="4343"/>
        <v>0.61415607798527128</v>
      </c>
      <c r="T1985" s="1">
        <f t="shared" ref="T1985:V1985" si="4479">$S1985*P1985</f>
        <v>0.30174675231266213</v>
      </c>
      <c r="U1985" s="1">
        <f t="shared" si="4479"/>
        <v>0</v>
      </c>
      <c r="V1985" s="1">
        <f t="shared" si="4479"/>
        <v>0.36405013304159584</v>
      </c>
      <c r="W1985" s="1">
        <f t="shared" si="4345"/>
        <v>-5.5466150977494566</v>
      </c>
      <c r="X1985" s="1">
        <f t="shared" si="4346"/>
        <v>0</v>
      </c>
      <c r="Y1985" s="1">
        <f t="shared" si="4347"/>
        <v>-4.5951241089866777</v>
      </c>
    </row>
    <row r="1986" spans="1:25">
      <c r="A1986" s="1">
        <v>1.98399999999998</v>
      </c>
      <c r="B1986" s="1">
        <f t="shared" si="4348"/>
        <v>51.685252115772812</v>
      </c>
      <c r="C1986" s="1">
        <f t="shared" si="4349"/>
        <v>0</v>
      </c>
      <c r="D1986" s="1">
        <f t="shared" si="4350"/>
        <v>-7.0080377591242478</v>
      </c>
      <c r="E1986" s="1">
        <f t="shared" si="4351"/>
        <v>10.512971494118274</v>
      </c>
      <c r="F1986" s="1">
        <f t="shared" si="4352"/>
        <v>0</v>
      </c>
      <c r="G1986" s="1">
        <f t="shared" si="4353"/>
        <v>-8.7229786392585638</v>
      </c>
      <c r="H1986" s="1">
        <f t="shared" si="4032"/>
        <v>13.660634171849583</v>
      </c>
      <c r="I1986" s="1">
        <f t="shared" ref="I1986:I2000" si="4480">-K_drag*$H1986*E1986</f>
        <v>-5.8447062055558856</v>
      </c>
      <c r="J1986" s="1">
        <f t="shared" ref="J1986:J2000" si="4481">-K_drag*$H1986*F1986</f>
        <v>0</v>
      </c>
      <c r="K1986" s="1">
        <f t="shared" ref="K1986:K2000" si="4482">-K_drag*$H1986*G1986</f>
        <v>4.8495563230937817</v>
      </c>
      <c r="L1986" s="1">
        <f t="shared" ref="L1986:N1986" si="4483">E1986/$H1986</f>
        <v>0.76958151150715348</v>
      </c>
      <c r="M1986" s="1">
        <f t="shared" si="4483"/>
        <v>0</v>
      </c>
      <c r="N1986" s="1">
        <f t="shared" si="4483"/>
        <v>-0.6385485863631406</v>
      </c>
      <c r="O1986" s="1">
        <f t="shared" si="4034"/>
        <v>-0.6385485863631406</v>
      </c>
      <c r="P1986" s="1">
        <f t="shared" ref="P1986:P2000" si="4484">u_axis_f-$O1986*L1986</f>
        <v>0.49141518626410186</v>
      </c>
      <c r="Q1986" s="1">
        <f t="shared" ref="Q1986:Q2000" si="4485">u_axis_r-$O1986*M1986</f>
        <v>0</v>
      </c>
      <c r="R1986" s="1">
        <f t="shared" ref="R1986:R2000" si="4486">u_axis_u-$O1986*N1986</f>
        <v>0.59225570285363482</v>
      </c>
      <c r="S1986" s="1">
        <f t="shared" ref="S1986:S2000" si="4487">K_lift*H1986^2</f>
        <v>0.61403594996234523</v>
      </c>
      <c r="T1986" s="1">
        <f t="shared" ref="T1986:V1986" si="4488">$S1986*P1986</f>
        <v>0.30174659072360061</v>
      </c>
      <c r="U1986" s="1">
        <f t="shared" si="4488"/>
        <v>0</v>
      </c>
      <c r="V1986" s="1">
        <f t="shared" si="4488"/>
        <v>0.36366629312234811</v>
      </c>
      <c r="W1986" s="1">
        <f t="shared" ref="W1986:W2000" si="4489">I1986+T1986+g_f</f>
        <v>-5.5429596148322853</v>
      </c>
      <c r="X1986" s="1">
        <f t="shared" ref="X1986:X2000" si="4490">J1986+U1986+g_r</f>
        <v>0</v>
      </c>
      <c r="Y1986" s="1">
        <f t="shared" ref="Y1986:Y2000" si="4491">K1986+V1986+g_u</f>
        <v>-4.5934273837838697</v>
      </c>
    </row>
    <row r="1987" spans="1:25">
      <c r="A1987" s="1">
        <v>1.9849999999999799</v>
      </c>
      <c r="B1987" s="1">
        <f t="shared" ref="B1987:B2000" si="4492">B1986+E1987*dt</f>
        <v>51.695759544307315</v>
      </c>
      <c r="C1987" s="1">
        <f t="shared" ref="C1987:C2000" si="4493">C1986+F1987*dt</f>
        <v>0</v>
      </c>
      <c r="D1987" s="1">
        <f t="shared" ref="D1987:D2000" si="4494">D1986+G1987*dt</f>
        <v>-7.0167653311908902</v>
      </c>
      <c r="E1987" s="1">
        <f t="shared" ref="E1987:E2000" si="4495">E1986+W1986*dt</f>
        <v>10.507428534503441</v>
      </c>
      <c r="F1987" s="1">
        <f t="shared" ref="F1987:F2000" si="4496">F1986+X1986*dt</f>
        <v>0</v>
      </c>
      <c r="G1987" s="1">
        <f t="shared" ref="G1987:G2000" si="4497">G1986+Y1986*dt</f>
        <v>-8.7275720666423471</v>
      </c>
      <c r="H1987" s="1">
        <f t="shared" si="4032"/>
        <v>13.659303371187452</v>
      </c>
      <c r="I1987" s="1">
        <f t="shared" si="4480"/>
        <v>-5.8410555035357765</v>
      </c>
      <c r="J1987" s="1">
        <f t="shared" si="4481"/>
        <v>0</v>
      </c>
      <c r="K1987" s="1">
        <f t="shared" si="4482"/>
        <v>4.8516373616026227</v>
      </c>
      <c r="L1987" s="1">
        <f t="shared" ref="L1987:N1987" si="4498">E1987/$H1987</f>
        <v>0.76925068936293739</v>
      </c>
      <c r="M1987" s="1">
        <f t="shared" si="4498"/>
        <v>0</v>
      </c>
      <c r="N1987" s="1">
        <f t="shared" si="4498"/>
        <v>-0.63894708459671823</v>
      </c>
      <c r="O1987" s="1">
        <f t="shared" si="4034"/>
        <v>-0.63894708459671823</v>
      </c>
      <c r="P1987" s="1">
        <f t="shared" si="4484"/>
        <v>0.49151048529246455</v>
      </c>
      <c r="Q1987" s="1">
        <f t="shared" si="4485"/>
        <v>0</v>
      </c>
      <c r="R1987" s="1">
        <f t="shared" si="4486"/>
        <v>0.5917466230853542</v>
      </c>
      <c r="S1987" s="1">
        <f t="shared" si="4487"/>
        <v>0.6139163186721408</v>
      </c>
      <c r="T1987" s="1">
        <f t="shared" ref="T1987:V1987" si="4499">$S1987*P1987</f>
        <v>0.30174630771950722</v>
      </c>
      <c r="U1987" s="1">
        <f t="shared" si="4499"/>
        <v>0</v>
      </c>
      <c r="V1987" s="1">
        <f t="shared" si="4499"/>
        <v>0.36328290843123151</v>
      </c>
      <c r="W1987" s="1">
        <f t="shared" si="4489"/>
        <v>-5.5393091958162692</v>
      </c>
      <c r="X1987" s="1">
        <f t="shared" si="4490"/>
        <v>0</v>
      </c>
      <c r="Y1987" s="1">
        <f t="shared" si="4491"/>
        <v>-4.5917297299661453</v>
      </c>
    </row>
    <row r="1988" spans="1:25">
      <c r="A1988" s="1">
        <v>1.98599999999998</v>
      </c>
      <c r="B1988" s="1">
        <f t="shared" si="4492"/>
        <v>51.706261433532624</v>
      </c>
      <c r="C1988" s="1">
        <f t="shared" si="4493"/>
        <v>0</v>
      </c>
      <c r="D1988" s="1">
        <f t="shared" si="4494"/>
        <v>-7.0254974949872624</v>
      </c>
      <c r="E1988" s="1">
        <f t="shared" si="4495"/>
        <v>10.501889225307625</v>
      </c>
      <c r="F1988" s="1">
        <f t="shared" si="4496"/>
        <v>0</v>
      </c>
      <c r="G1988" s="1">
        <f t="shared" si="4497"/>
        <v>-8.7321637963723138</v>
      </c>
      <c r="H1988" s="1">
        <f t="shared" si="4032"/>
        <v>13.657977956758744</v>
      </c>
      <c r="I1988" s="1">
        <f t="shared" si="4480"/>
        <v>-5.8374097330640904</v>
      </c>
      <c r="J1988" s="1">
        <f t="shared" si="4481"/>
        <v>0</v>
      </c>
      <c r="K1988" s="1">
        <f t="shared" si="4482"/>
        <v>4.8537188730592895</v>
      </c>
      <c r="L1988" s="1">
        <f t="shared" ref="L1988:N1988" si="4500">E1988/$H1988</f>
        <v>0.76891976678807661</v>
      </c>
      <c r="M1988" s="1">
        <f t="shared" si="4500"/>
        <v>0</v>
      </c>
      <c r="N1988" s="1">
        <f t="shared" si="4500"/>
        <v>-0.63934528405437518</v>
      </c>
      <c r="O1988" s="1">
        <f t="shared" si="4034"/>
        <v>-0.63934528405437518</v>
      </c>
      <c r="P1988" s="1">
        <f t="shared" si="4484"/>
        <v>0.49160522671214674</v>
      </c>
      <c r="Q1988" s="1">
        <f t="shared" si="4485"/>
        <v>0</v>
      </c>
      <c r="R1988" s="1">
        <f t="shared" si="4486"/>
        <v>0.59123760775743028</v>
      </c>
      <c r="S1988" s="1">
        <f t="shared" si="4487"/>
        <v>0.6137971831574256</v>
      </c>
      <c r="T1988" s="1">
        <f t="shared" ref="T1988:V1988" si="4501">$S1988*P1988</f>
        <v>0.30174590338138324</v>
      </c>
      <c r="U1988" s="1">
        <f t="shared" si="4501"/>
        <v>0</v>
      </c>
      <c r="V1988" s="1">
        <f t="shared" si="4501"/>
        <v>0.3628999782182456</v>
      </c>
      <c r="W1988" s="1">
        <f t="shared" si="4489"/>
        <v>-5.535663829682707</v>
      </c>
      <c r="X1988" s="1">
        <f t="shared" si="4490"/>
        <v>0</v>
      </c>
      <c r="Y1988" s="1">
        <f t="shared" si="4491"/>
        <v>-4.5900311487224643</v>
      </c>
    </row>
    <row r="1989" spans="1:25">
      <c r="A1989" s="1">
        <v>1.9869999999999799</v>
      </c>
      <c r="B1989" s="1">
        <f t="shared" si="4492"/>
        <v>51.716757787094103</v>
      </c>
      <c r="C1989" s="1">
        <f t="shared" si="4493"/>
        <v>0</v>
      </c>
      <c r="D1989" s="1">
        <f t="shared" si="4494"/>
        <v>-7.0342342488147835</v>
      </c>
      <c r="E1989" s="1">
        <f t="shared" si="4495"/>
        <v>10.496353561477942</v>
      </c>
      <c r="F1989" s="1">
        <f t="shared" si="4496"/>
        <v>0</v>
      </c>
      <c r="G1989" s="1">
        <f t="shared" si="4497"/>
        <v>-8.7367538275210368</v>
      </c>
      <c r="H1989" s="1">
        <f t="shared" si="4032"/>
        <v>13.656657919500443</v>
      </c>
      <c r="I1989" s="1">
        <f t="shared" si="4480"/>
        <v>-5.8337688832275383</v>
      </c>
      <c r="J1989" s="1">
        <f t="shared" si="4481"/>
        <v>0</v>
      </c>
      <c r="K1989" s="1">
        <f t="shared" si="4482"/>
        <v>4.8558008570201716</v>
      </c>
      <c r="L1989" s="1">
        <f t="shared" ref="L1989:N1989" si="4502">E1989/$H1989</f>
        <v>0.7685887442849485</v>
      </c>
      <c r="M1989" s="1">
        <f t="shared" si="4502"/>
        <v>0</v>
      </c>
      <c r="N1989" s="1">
        <f t="shared" si="4502"/>
        <v>-0.63974318453461165</v>
      </c>
      <c r="O1989" s="1">
        <f t="shared" si="4034"/>
        <v>-0.63974318453461165</v>
      </c>
      <c r="P1989" s="1">
        <f t="shared" si="4484"/>
        <v>0.49169941086631125</v>
      </c>
      <c r="Q1989" s="1">
        <f t="shared" si="4485"/>
        <v>0</v>
      </c>
      <c r="R1989" s="1">
        <f t="shared" si="4486"/>
        <v>0.59072865784151385</v>
      </c>
      <c r="S1989" s="1">
        <f t="shared" si="4487"/>
        <v>0.61367854246274189</v>
      </c>
      <c r="T1989" s="1">
        <f t="shared" ref="T1989:V1989" si="4503">$S1989*P1989</f>
        <v>0.30174537779022675</v>
      </c>
      <c r="U1989" s="1">
        <f t="shared" si="4503"/>
        <v>0</v>
      </c>
      <c r="V1989" s="1">
        <f t="shared" si="4503"/>
        <v>0.36251750173515196</v>
      </c>
      <c r="W1989" s="1">
        <f t="shared" si="4489"/>
        <v>-5.5320235054373113</v>
      </c>
      <c r="X1989" s="1">
        <f t="shared" si="4490"/>
        <v>0</v>
      </c>
      <c r="Y1989" s="1">
        <f t="shared" si="4491"/>
        <v>-4.5883316412446762</v>
      </c>
    </row>
    <row r="1990" spans="1:25">
      <c r="A1990" s="1">
        <v>1.98799999999998</v>
      </c>
      <c r="B1990" s="1">
        <f t="shared" si="4492"/>
        <v>51.727248608632074</v>
      </c>
      <c r="C1990" s="1">
        <f t="shared" si="4493"/>
        <v>0</v>
      </c>
      <c r="D1990" s="1">
        <f t="shared" si="4494"/>
        <v>-7.0429755909739455</v>
      </c>
      <c r="E1990" s="1">
        <f t="shared" si="4495"/>
        <v>10.490821537972504</v>
      </c>
      <c r="F1990" s="1">
        <f t="shared" si="4496"/>
        <v>0</v>
      </c>
      <c r="G1990" s="1">
        <f t="shared" si="4497"/>
        <v>-8.7413421591622811</v>
      </c>
      <c r="H1990" s="1">
        <f t="shared" si="4032"/>
        <v>13.655343250359387</v>
      </c>
      <c r="I1990" s="1">
        <f t="shared" si="4480"/>
        <v>-5.8301329431371922</v>
      </c>
      <c r="J1990" s="1">
        <f t="shared" si="4481"/>
        <v>0</v>
      </c>
      <c r="K1990" s="1">
        <f t="shared" si="4482"/>
        <v>4.8578833130370214</v>
      </c>
      <c r="L1990" s="1">
        <f t="shared" ref="L1990:N1990" si="4504">E1990/$H1990</f>
        <v>0.76825762235573258</v>
      </c>
      <c r="M1990" s="1">
        <f t="shared" si="4504"/>
        <v>0</v>
      </c>
      <c r="N1990" s="1">
        <f t="shared" si="4504"/>
        <v>-0.64014078583723799</v>
      </c>
      <c r="O1990" s="1">
        <f t="shared" si="4034"/>
        <v>-0.64014078583723799</v>
      </c>
      <c r="P1990" s="1">
        <f t="shared" si="4484"/>
        <v>0.49179303810024666</v>
      </c>
      <c r="Q1990" s="1">
        <f t="shared" si="4485"/>
        <v>0</v>
      </c>
      <c r="R1990" s="1">
        <f t="shared" si="4486"/>
        <v>0.59021977430768335</v>
      </c>
      <c r="S1990" s="1">
        <f t="shared" si="4487"/>
        <v>0.61356039563440479</v>
      </c>
      <c r="T1990" s="1">
        <f t="shared" ref="T1990:V1990" si="4505">$S1990*P1990</f>
        <v>0.30174473102703325</v>
      </c>
      <c r="U1990" s="1">
        <f t="shared" si="4505"/>
        <v>0</v>
      </c>
      <c r="V1990" s="1">
        <f t="shared" si="4505"/>
        <v>0.36213547823547132</v>
      </c>
      <c r="W1990" s="1">
        <f t="shared" si="4489"/>
        <v>-5.5283882121101593</v>
      </c>
      <c r="X1990" s="1">
        <f t="shared" si="4490"/>
        <v>0</v>
      </c>
      <c r="Y1990" s="1">
        <f t="shared" si="4491"/>
        <v>-4.586631208727507</v>
      </c>
    </row>
    <row r="1991" spans="1:25">
      <c r="A1991" s="1">
        <v>1.9889999999999799</v>
      </c>
      <c r="B1991" s="1">
        <f t="shared" si="4492"/>
        <v>51.737733901781837</v>
      </c>
      <c r="C1991" s="1">
        <f t="shared" si="4493"/>
        <v>0</v>
      </c>
      <c r="D1991" s="1">
        <f t="shared" si="4494"/>
        <v>-7.0517215197643166</v>
      </c>
      <c r="E1991" s="1">
        <f t="shared" si="4495"/>
        <v>10.485293149760395</v>
      </c>
      <c r="F1991" s="1">
        <f t="shared" si="4496"/>
        <v>0</v>
      </c>
      <c r="G1991" s="1">
        <f t="shared" si="4497"/>
        <v>-8.7459287903710088</v>
      </c>
      <c r="H1991" s="1">
        <f t="shared" si="4032"/>
        <v>13.654033940292253</v>
      </c>
      <c r="I1991" s="1">
        <f t="shared" si="4480"/>
        <v>-5.8265019019284292</v>
      </c>
      <c r="J1991" s="1">
        <f t="shared" si="4481"/>
        <v>0</v>
      </c>
      <c r="K1991" s="1">
        <f t="shared" si="4482"/>
        <v>4.859966240656969</v>
      </c>
      <c r="L1991" s="1">
        <f t="shared" ref="L1991:N1991" si="4506">E1991/$H1991</f>
        <v>0.76792640150240943</v>
      </c>
      <c r="M1991" s="1">
        <f t="shared" si="4506"/>
        <v>0</v>
      </c>
      <c r="N1991" s="1">
        <f t="shared" si="4506"/>
        <v>-0.64053808776337418</v>
      </c>
      <c r="O1991" s="1">
        <f t="shared" si="4034"/>
        <v>-0.64053808776337418</v>
      </c>
      <c r="P1991" s="1">
        <f t="shared" si="4484"/>
        <v>0.49188610876136246</v>
      </c>
      <c r="Q1991" s="1">
        <f t="shared" si="4485"/>
        <v>0</v>
      </c>
      <c r="R1991" s="1">
        <f t="shared" si="4486"/>
        <v>0.58971095812443997</v>
      </c>
      <c r="S1991" s="1">
        <f t="shared" si="4487"/>
        <v>0.61344274172049562</v>
      </c>
      <c r="T1991" s="1">
        <f t="shared" ref="T1991:V1991" si="4507">$S1991*P1991</f>
        <v>0.30174396317279611</v>
      </c>
      <c r="U1991" s="1">
        <f t="shared" si="4507"/>
        <v>0</v>
      </c>
      <c r="V1991" s="1">
        <f t="shared" si="4507"/>
        <v>0.36175390697447685</v>
      </c>
      <c r="W1991" s="1">
        <f t="shared" si="4489"/>
        <v>-5.5247579387556334</v>
      </c>
      <c r="X1991" s="1">
        <f t="shared" si="4490"/>
        <v>0</v>
      </c>
      <c r="Y1991" s="1">
        <f t="shared" si="4491"/>
        <v>-4.5849298523685533</v>
      </c>
    </row>
    <row r="1992" spans="1:25">
      <c r="A1992" s="1">
        <v>1.98999999999998</v>
      </c>
      <c r="B1992" s="1">
        <f t="shared" si="4492"/>
        <v>51.748213670173662</v>
      </c>
      <c r="C1992" s="1">
        <f t="shared" si="4493"/>
        <v>0</v>
      </c>
      <c r="D1992" s="1">
        <f t="shared" si="4494"/>
        <v>-7.0604720334845403</v>
      </c>
      <c r="E1992" s="1">
        <f t="shared" si="4495"/>
        <v>10.479768391821638</v>
      </c>
      <c r="F1992" s="1">
        <f t="shared" si="4496"/>
        <v>0</v>
      </c>
      <c r="G1992" s="1">
        <f t="shared" si="4497"/>
        <v>-8.7505137202233776</v>
      </c>
      <c r="H1992" s="1">
        <f t="shared" si="4032"/>
        <v>13.652729980265539</v>
      </c>
      <c r="I1992" s="1">
        <f t="shared" si="4480"/>
        <v>-5.8228757487608682</v>
      </c>
      <c r="J1992" s="1">
        <f t="shared" si="4481"/>
        <v>0</v>
      </c>
      <c r="K1992" s="1">
        <f t="shared" si="4482"/>
        <v>4.8620496394225228</v>
      </c>
      <c r="L1992" s="1">
        <f t="shared" ref="L1992:N1992" si="4508">E1992/$H1992</f>
        <v>0.7675950822267571</v>
      </c>
      <c r="M1992" s="1">
        <f t="shared" si="4508"/>
        <v>0</v>
      </c>
      <c r="N1992" s="1">
        <f t="shared" si="4508"/>
        <v>-0.64093509011544847</v>
      </c>
      <c r="O1992" s="1">
        <f t="shared" si="4034"/>
        <v>-0.64093509011544847</v>
      </c>
      <c r="P1992" s="1">
        <f t="shared" si="4484"/>
        <v>0.49197862319918162</v>
      </c>
      <c r="Q1992" s="1">
        <f t="shared" si="4485"/>
        <v>0</v>
      </c>
      <c r="R1992" s="1">
        <f t="shared" si="4486"/>
        <v>0.58920221025870201</v>
      </c>
      <c r="S1992" s="1">
        <f t="shared" si="4487"/>
        <v>0.61332557977085778</v>
      </c>
      <c r="T1992" s="1">
        <f t="shared" ref="T1992:V1992" si="4509">$S1992*P1992</f>
        <v>0.30174307430850644</v>
      </c>
      <c r="U1992" s="1">
        <f t="shared" si="4509"/>
        <v>0</v>
      </c>
      <c r="V1992" s="1">
        <f t="shared" si="4509"/>
        <v>0.36137278720918925</v>
      </c>
      <c r="W1992" s="1">
        <f t="shared" si="4489"/>
        <v>-5.5211326744523621</v>
      </c>
      <c r="X1992" s="1">
        <f t="shared" si="4490"/>
        <v>0</v>
      </c>
      <c r="Y1992" s="1">
        <f t="shared" si="4491"/>
        <v>-4.583227573368287</v>
      </c>
    </row>
    <row r="1993" spans="1:25">
      <c r="A1993" s="1">
        <v>1.9909999999999799</v>
      </c>
      <c r="B1993" s="1">
        <f t="shared" si="4492"/>
        <v>51.758687917432809</v>
      </c>
      <c r="C1993" s="1">
        <f t="shared" si="4493"/>
        <v>0</v>
      </c>
      <c r="D1993" s="1">
        <f t="shared" si="4494"/>
        <v>-7.0692271304323366</v>
      </c>
      <c r="E1993" s="1">
        <f t="shared" si="4495"/>
        <v>10.474247259147186</v>
      </c>
      <c r="F1993" s="1">
        <f t="shared" si="4496"/>
        <v>0</v>
      </c>
      <c r="G1993" s="1">
        <f t="shared" si="4497"/>
        <v>-8.755096947796746</v>
      </c>
      <c r="H1993" s="1">
        <f t="shared" si="4032"/>
        <v>13.651431361255575</v>
      </c>
      <c r="I1993" s="1">
        <f t="shared" si="4480"/>
        <v>-5.819254472818324</v>
      </c>
      <c r="J1993" s="1">
        <f t="shared" si="4481"/>
        <v>0</v>
      </c>
      <c r="K1993" s="1">
        <f t="shared" si="4482"/>
        <v>4.8641335088715936</v>
      </c>
      <c r="L1993" s="1">
        <f t="shared" ref="L1993:N1993" si="4510">E1993/$H1993</f>
        <v>0.76726366503034804</v>
      </c>
      <c r="M1993" s="1">
        <f t="shared" si="4510"/>
        <v>0</v>
      </c>
      <c r="N1993" s="1">
        <f t="shared" si="4510"/>
        <v>-0.64133179269719487</v>
      </c>
      <c r="O1993" s="1">
        <f t="shared" si="4034"/>
        <v>-0.64133179269719487</v>
      </c>
      <c r="P1993" s="1">
        <f t="shared" si="4484"/>
        <v>0.49207058176533314</v>
      </c>
      <c r="Q1993" s="1">
        <f t="shared" si="4485"/>
        <v>0</v>
      </c>
      <c r="R1993" s="1">
        <f t="shared" si="4486"/>
        <v>0.58869353167580218</v>
      </c>
      <c r="S1993" s="1">
        <f t="shared" si="4487"/>
        <v>0.61320890883709378</v>
      </c>
      <c r="T1993" s="1">
        <f t="shared" ref="T1993:V1993" si="4511">$S1993*P1993</f>
        <v>0.3017420645151539</v>
      </c>
      <c r="U1993" s="1">
        <f t="shared" si="4511"/>
        <v>0</v>
      </c>
      <c r="V1993" s="1">
        <f t="shared" si="4511"/>
        <v>0.36099211819837373</v>
      </c>
      <c r="W1993" s="1">
        <f t="shared" si="4489"/>
        <v>-5.5175124083031699</v>
      </c>
      <c r="X1993" s="1">
        <f t="shared" si="4490"/>
        <v>0</v>
      </c>
      <c r="Y1993" s="1">
        <f t="shared" si="4491"/>
        <v>-4.5815243729300317</v>
      </c>
    </row>
    <row r="1994" spans="1:25">
      <c r="A1994" s="1">
        <v>1.99199999999998</v>
      </c>
      <c r="B1994" s="1">
        <f t="shared" si="4492"/>
        <v>51.76915664717955</v>
      </c>
      <c r="C1994" s="1">
        <f t="shared" si="4493"/>
        <v>0</v>
      </c>
      <c r="D1994" s="1">
        <f t="shared" si="4494"/>
        <v>-7.0779868089045062</v>
      </c>
      <c r="E1994" s="1">
        <f t="shared" si="4495"/>
        <v>10.468729746738882</v>
      </c>
      <c r="F1994" s="1">
        <f t="shared" si="4496"/>
        <v>0</v>
      </c>
      <c r="G1994" s="1">
        <f t="shared" si="4497"/>
        <v>-8.7596784721696768</v>
      </c>
      <c r="H1994" s="1">
        <f t="shared" si="4032"/>
        <v>13.650138074248495</v>
      </c>
      <c r="I1994" s="1">
        <f t="shared" si="4480"/>
        <v>-5.8156380633087448</v>
      </c>
      <c r="J1994" s="1">
        <f t="shared" si="4481"/>
        <v>0</v>
      </c>
      <c r="K1994" s="1">
        <f t="shared" si="4482"/>
        <v>4.8662178485374952</v>
      </c>
      <c r="L1994" s="1">
        <f t="shared" ref="L1994:N1994" si="4512">E1994/$H1994</f>
        <v>0.76693215041454699</v>
      </c>
      <c r="M1994" s="1">
        <f t="shared" si="4512"/>
        <v>0</v>
      </c>
      <c r="N1994" s="1">
        <f t="shared" si="4512"/>
        <v>-0.64172819531365355</v>
      </c>
      <c r="O1994" s="1">
        <f t="shared" si="4034"/>
        <v>-0.64172819531365355</v>
      </c>
      <c r="P1994" s="1">
        <f t="shared" si="4484"/>
        <v>0.49216198481354673</v>
      </c>
      <c r="Q1994" s="1">
        <f t="shared" si="4485"/>
        <v>0</v>
      </c>
      <c r="R1994" s="1">
        <f t="shared" si="4486"/>
        <v>0.58818492333948136</v>
      </c>
      <c r="S1994" s="1">
        <f t="shared" si="4487"/>
        <v>0.61309272797255887</v>
      </c>
      <c r="T1994" s="1">
        <f t="shared" ref="T1994:V1994" si="4513">$S1994*P1994</f>
        <v>0.30174093387372647</v>
      </c>
      <c r="U1994" s="1">
        <f t="shared" si="4513"/>
        <v>0</v>
      </c>
      <c r="V1994" s="1">
        <f t="shared" si="4513"/>
        <v>0.36061189920253306</v>
      </c>
      <c r="W1994" s="1">
        <f t="shared" si="4489"/>
        <v>-5.5138971294350183</v>
      </c>
      <c r="X1994" s="1">
        <f t="shared" si="4490"/>
        <v>0</v>
      </c>
      <c r="Y1994" s="1">
        <f t="shared" si="4491"/>
        <v>-4.5798202522599709</v>
      </c>
    </row>
    <row r="1995" spans="1:25">
      <c r="A1995" s="1">
        <v>1.9929999999999799</v>
      </c>
      <c r="B1995" s="1">
        <f t="shared" si="4492"/>
        <v>51.779619863029161</v>
      </c>
      <c r="C1995" s="1">
        <f t="shared" si="4493"/>
        <v>0</v>
      </c>
      <c r="D1995" s="1">
        <f t="shared" si="4494"/>
        <v>-7.0867510671969285</v>
      </c>
      <c r="E1995" s="1">
        <f t="shared" si="4495"/>
        <v>10.463215849609448</v>
      </c>
      <c r="F1995" s="1">
        <f t="shared" si="4496"/>
        <v>0</v>
      </c>
      <c r="G1995" s="1">
        <f t="shared" si="4497"/>
        <v>-8.7642582924219372</v>
      </c>
      <c r="H1995" s="1">
        <f t="shared" si="4032"/>
        <v>13.648850110240241</v>
      </c>
      <c r="I1995" s="1">
        <f t="shared" si="4480"/>
        <v>-5.812026509464161</v>
      </c>
      <c r="J1995" s="1">
        <f t="shared" si="4481"/>
        <v>0</v>
      </c>
      <c r="K1995" s="1">
        <f t="shared" si="4482"/>
        <v>4.8683026579489637</v>
      </c>
      <c r="L1995" s="1">
        <f t="shared" ref="L1995:N1995" si="4514">E1995/$H1995</f>
        <v>0.76660053888050783</v>
      </c>
      <c r="M1995" s="1">
        <f t="shared" si="4514"/>
        <v>0</v>
      </c>
      <c r="N1995" s="1">
        <f t="shared" si="4514"/>
        <v>-0.64212429777116753</v>
      </c>
      <c r="O1995" s="1">
        <f t="shared" si="4034"/>
        <v>-0.64212429777116753</v>
      </c>
      <c r="P1995" s="1">
        <f t="shared" si="4484"/>
        <v>0.4922528326996447</v>
      </c>
      <c r="Q1995" s="1">
        <f t="shared" si="4485"/>
        <v>0</v>
      </c>
      <c r="R1995" s="1">
        <f t="shared" si="4486"/>
        <v>0.587676386211885</v>
      </c>
      <c r="S1995" s="1">
        <f t="shared" si="4487"/>
        <v>0.61297703623235833</v>
      </c>
      <c r="T1995" s="1">
        <f t="shared" ref="T1995:V1995" si="4515">$S1995*P1995</f>
        <v>0.30173968246521116</v>
      </c>
      <c r="U1995" s="1">
        <f t="shared" si="4515"/>
        <v>0</v>
      </c>
      <c r="V1995" s="1">
        <f t="shared" si="4515"/>
        <v>0.36023212948390404</v>
      </c>
      <c r="W1995" s="1">
        <f t="shared" si="4489"/>
        <v>-5.51028682699895</v>
      </c>
      <c r="X1995" s="1">
        <f t="shared" si="4490"/>
        <v>0</v>
      </c>
      <c r="Y1995" s="1">
        <f t="shared" si="4491"/>
        <v>-4.5781152125671314</v>
      </c>
    </row>
    <row r="1996" spans="1:25">
      <c r="A1996" s="1">
        <v>1.99399999999998</v>
      </c>
      <c r="B1996" s="1">
        <f t="shared" si="4492"/>
        <v>51.790077568591947</v>
      </c>
      <c r="C1996" s="1">
        <f t="shared" si="4493"/>
        <v>0</v>
      </c>
      <c r="D1996" s="1">
        <f t="shared" si="4494"/>
        <v>-7.0955199036045631</v>
      </c>
      <c r="E1996" s="1">
        <f t="shared" si="4495"/>
        <v>10.457705562782449</v>
      </c>
      <c r="F1996" s="1">
        <f t="shared" si="4496"/>
        <v>0</v>
      </c>
      <c r="G1996" s="1">
        <f t="shared" si="4497"/>
        <v>-8.7688364076345042</v>
      </c>
      <c r="H1996" s="1">
        <f t="shared" si="4032"/>
        <v>13.647567460236544</v>
      </c>
      <c r="I1996" s="1">
        <f t="shared" si="4480"/>
        <v>-5.80841980054063</v>
      </c>
      <c r="J1996" s="1">
        <f t="shared" si="4481"/>
        <v>0</v>
      </c>
      <c r="K1996" s="1">
        <f t="shared" si="4482"/>
        <v>4.8703879366301663</v>
      </c>
      <c r="L1996" s="1">
        <f t="shared" ref="L1996:N1996" si="4516">E1996/$H1996</f>
        <v>0.76626883092917075</v>
      </c>
      <c r="M1996" s="1">
        <f t="shared" si="4516"/>
        <v>0</v>
      </c>
      <c r="N1996" s="1">
        <f t="shared" si="4516"/>
        <v>-0.64252009987738279</v>
      </c>
      <c r="O1996" s="1">
        <f t="shared" si="4034"/>
        <v>-0.64252009987738279</v>
      </c>
      <c r="P1996" s="1">
        <f t="shared" si="4484"/>
        <v>0.49234312578153616</v>
      </c>
      <c r="Q1996" s="1">
        <f t="shared" si="4485"/>
        <v>0</v>
      </c>
      <c r="R1996" s="1">
        <f t="shared" si="4486"/>
        <v>0.5871679212535581</v>
      </c>
      <c r="S1996" s="1">
        <f t="shared" si="4487"/>
        <v>0.6128618326733416</v>
      </c>
      <c r="T1996" s="1">
        <f t="shared" ref="T1996:V1996" si="4517">$S1996*P1996</f>
        <v>0.30173831037059379</v>
      </c>
      <c r="U1996" s="1">
        <f t="shared" si="4517"/>
        <v>0</v>
      </c>
      <c r="V1996" s="1">
        <f t="shared" si="4517"/>
        <v>0.35985280830645194</v>
      </c>
      <c r="W1996" s="1">
        <f t="shared" si="4489"/>
        <v>-5.5066814901700365</v>
      </c>
      <c r="X1996" s="1">
        <f t="shared" si="4490"/>
        <v>0</v>
      </c>
      <c r="Y1996" s="1">
        <f t="shared" si="4491"/>
        <v>-4.576409255063381</v>
      </c>
    </row>
    <row r="1997" spans="1:25">
      <c r="A1997" s="1">
        <v>1.9949999999999799</v>
      </c>
      <c r="B1997" s="1">
        <f t="shared" si="4492"/>
        <v>51.800529767473236</v>
      </c>
      <c r="C1997" s="1">
        <f t="shared" si="4493"/>
        <v>0</v>
      </c>
      <c r="D1997" s="1">
        <f t="shared" si="4494"/>
        <v>-7.1042933164214528</v>
      </c>
      <c r="E1997" s="1">
        <f t="shared" si="4495"/>
        <v>10.452198881292279</v>
      </c>
      <c r="F1997" s="1">
        <f t="shared" si="4496"/>
        <v>0</v>
      </c>
      <c r="G1997" s="1">
        <f t="shared" si="4497"/>
        <v>-8.773412816889568</v>
      </c>
      <c r="H1997" s="1">
        <f t="shared" si="4032"/>
        <v>13.646290115252926</v>
      </c>
      <c r="I1997" s="1">
        <f t="shared" si="4480"/>
        <v>-5.8048179258181793</v>
      </c>
      <c r="J1997" s="1">
        <f t="shared" si="4481"/>
        <v>0</v>
      </c>
      <c r="K1997" s="1">
        <f t="shared" si="4482"/>
        <v>4.8724736841007115</v>
      </c>
      <c r="L1997" s="1">
        <f t="shared" ref="L1997:N1997" si="4518">E1997/$H1997</f>
        <v>0.76593702706125955</v>
      </c>
      <c r="M1997" s="1">
        <f t="shared" si="4518"/>
        <v>0</v>
      </c>
      <c r="N1997" s="1">
        <f t="shared" si="4518"/>
        <v>-0.64291560144124626</v>
      </c>
      <c r="O1997" s="1">
        <f t="shared" si="4034"/>
        <v>-0.64291560144124626</v>
      </c>
      <c r="P1997" s="1">
        <f t="shared" si="4484"/>
        <v>0.4924328644192098</v>
      </c>
      <c r="Q1997" s="1">
        <f t="shared" si="4485"/>
        <v>0</v>
      </c>
      <c r="R1997" s="1">
        <f t="shared" si="4486"/>
        <v>0.58665952942344057</v>
      </c>
      <c r="S1997" s="1">
        <f t="shared" si="4487"/>
        <v>0.61274711635409951</v>
      </c>
      <c r="T1997" s="1">
        <f t="shared" ref="T1997:V1997" si="4519">$S1997*P1997</f>
        <v>0.30173681767086008</v>
      </c>
      <c r="U1997" s="1">
        <f t="shared" si="4519"/>
        <v>0</v>
      </c>
      <c r="V1997" s="1">
        <f t="shared" si="4519"/>
        <v>0.35947393493586621</v>
      </c>
      <c r="W1997" s="1">
        <f t="shared" si="4489"/>
        <v>-5.5030811081473194</v>
      </c>
      <c r="X1997" s="1">
        <f t="shared" si="4490"/>
        <v>0</v>
      </c>
      <c r="Y1997" s="1">
        <f t="shared" si="4491"/>
        <v>-4.574702380963422</v>
      </c>
    </row>
    <row r="1998" spans="1:25">
      <c r="A1998" s="1">
        <v>1.99599999999998</v>
      </c>
      <c r="B1998" s="1">
        <f t="shared" si="4492"/>
        <v>51.81097646327342</v>
      </c>
      <c r="C1998" s="1">
        <f t="shared" si="4493"/>
        <v>0</v>
      </c>
      <c r="D1998" s="1">
        <f t="shared" si="4494"/>
        <v>-7.113071303940723</v>
      </c>
      <c r="E1998" s="1">
        <f t="shared" si="4495"/>
        <v>10.446695800184132</v>
      </c>
      <c r="F1998" s="1">
        <f t="shared" si="4496"/>
        <v>0</v>
      </c>
      <c r="G1998" s="1">
        <f t="shared" si="4497"/>
        <v>-8.7779875192705319</v>
      </c>
      <c r="H1998" s="1">
        <f t="shared" si="4032"/>
        <v>13.64501806631468</v>
      </c>
      <c r="I1998" s="1">
        <f t="shared" si="4480"/>
        <v>-5.8012208746007481</v>
      </c>
      <c r="J1998" s="1">
        <f t="shared" si="4481"/>
        <v>0</v>
      </c>
      <c r="K1998" s="1">
        <f t="shared" si="4482"/>
        <v>4.8745598998756607</v>
      </c>
      <c r="L1998" s="1">
        <f t="shared" ref="L1998:N1998" si="4520">E1998/$H1998</f>
        <v>0.76560512777727907</v>
      </c>
      <c r="M1998" s="1">
        <f t="shared" si="4520"/>
        <v>0</v>
      </c>
      <c r="N1998" s="1">
        <f t="shared" si="4520"/>
        <v>-0.64331080227300408</v>
      </c>
      <c r="O1998" s="1">
        <f t="shared" si="4034"/>
        <v>-0.64331080227300408</v>
      </c>
      <c r="P1998" s="1">
        <f t="shared" si="4484"/>
        <v>0.49252204897472718</v>
      </c>
      <c r="Q1998" s="1">
        <f t="shared" si="4485"/>
        <v>0</v>
      </c>
      <c r="R1998" s="1">
        <f t="shared" si="4486"/>
        <v>0.58615121167886386</v>
      </c>
      <c r="S1998" s="1">
        <f t="shared" si="4487"/>
        <v>0.61263288633495849</v>
      </c>
      <c r="T1998" s="1">
        <f t="shared" ref="T1998:V1998" si="4521">$S1998*P1998</f>
        <v>0.30173520444699492</v>
      </c>
      <c r="U1998" s="1">
        <f t="shared" si="4521"/>
        <v>0</v>
      </c>
      <c r="V1998" s="1">
        <f t="shared" si="4521"/>
        <v>0.35909550863955558</v>
      </c>
      <c r="W1998" s="1">
        <f t="shared" si="4489"/>
        <v>-5.4994856701537529</v>
      </c>
      <c r="X1998" s="1">
        <f t="shared" si="4490"/>
        <v>0</v>
      </c>
      <c r="Y1998" s="1">
        <f t="shared" si="4491"/>
        <v>-4.5729945914847834</v>
      </c>
    </row>
    <row r="1999" spans="1:25">
      <c r="A1999" s="1">
        <v>1.9969999999999799</v>
      </c>
      <c r="B1999" s="1">
        <f t="shared" si="4492"/>
        <v>51.821417659587937</v>
      </c>
      <c r="C1999" s="1">
        <f t="shared" si="4493"/>
        <v>0</v>
      </c>
      <c r="D1999" s="1">
        <f t="shared" si="4494"/>
        <v>-7.121853864454585</v>
      </c>
      <c r="E1999" s="1">
        <f t="shared" si="4495"/>
        <v>10.441196314513979</v>
      </c>
      <c r="F1999" s="1">
        <f t="shared" si="4496"/>
        <v>0</v>
      </c>
      <c r="G1999" s="1">
        <f t="shared" si="4497"/>
        <v>-8.7825605138620162</v>
      </c>
      <c r="H1999" s="1">
        <f t="shared" si="4032"/>
        <v>13.64375130445687</v>
      </c>
      <c r="I1999" s="1">
        <f t="shared" si="4480"/>
        <v>-5.7976286362161442</v>
      </c>
      <c r="J1999" s="1">
        <f t="shared" si="4481"/>
        <v>0</v>
      </c>
      <c r="K1999" s="1">
        <f t="shared" si="4482"/>
        <v>4.8766465834655417</v>
      </c>
      <c r="L1999" s="1">
        <f t="shared" ref="L1999:N1999" si="4522">E1999/$H1999</f>
        <v>0.76527313357751225</v>
      </c>
      <c r="M1999" s="1">
        <f t="shared" si="4522"/>
        <v>0</v>
      </c>
      <c r="N1999" s="1">
        <f t="shared" si="4522"/>
        <v>-0.64370570218420087</v>
      </c>
      <c r="O1999" s="1">
        <f t="shared" si="4034"/>
        <v>-0.64370570218420087</v>
      </c>
      <c r="P1999" s="1">
        <f t="shared" si="4484"/>
        <v>0.49261067981221629</v>
      </c>
      <c r="Q1999" s="1">
        <f t="shared" si="4485"/>
        <v>0</v>
      </c>
      <c r="R1999" s="1">
        <f t="shared" si="4486"/>
        <v>0.58564296897554491</v>
      </c>
      <c r="S1999" s="1">
        <f t="shared" si="4487"/>
        <v>0.61251914167797716</v>
      </c>
      <c r="T1999" s="1">
        <f t="shared" ref="T1999:V1999" si="4523">$S1999*P1999</f>
        <v>0.30173347077998358</v>
      </c>
      <c r="U1999" s="1">
        <f t="shared" si="4523"/>
        <v>0</v>
      </c>
      <c r="V1999" s="1">
        <f t="shared" si="4523"/>
        <v>0.35871752868664297</v>
      </c>
      <c r="W1999" s="1">
        <f t="shared" si="4489"/>
        <v>-5.4958951654361607</v>
      </c>
      <c r="X1999" s="1">
        <f t="shared" si="4490"/>
        <v>0</v>
      </c>
      <c r="Y1999" s="1">
        <f t="shared" si="4491"/>
        <v>-4.5712858878478144</v>
      </c>
    </row>
    <row r="2000" spans="1:25">
      <c r="A2000" s="1">
        <v>1.99799999999998</v>
      </c>
      <c r="B2000" s="1">
        <f t="shared" si="4492"/>
        <v>51.831853360007287</v>
      </c>
      <c r="C2000" s="1">
        <f t="shared" si="4493"/>
        <v>0</v>
      </c>
      <c r="D2000" s="1">
        <f t="shared" si="4494"/>
        <v>-7.1306409962543347</v>
      </c>
      <c r="E2000" s="1">
        <f t="shared" si="4495"/>
        <v>10.435700419348542</v>
      </c>
      <c r="F2000" s="1">
        <f t="shared" si="4496"/>
        <v>0</v>
      </c>
      <c r="G2000" s="1">
        <f t="shared" si="4497"/>
        <v>-8.7871317997498632</v>
      </c>
      <c r="H2000" s="1">
        <f t="shared" si="4032"/>
        <v>13.642489820724318</v>
      </c>
      <c r="I2000" s="1">
        <f t="shared" si="4480"/>
        <v>-5.7940412000159762</v>
      </c>
      <c r="J2000" s="1">
        <f t="shared" si="4481"/>
        <v>0</v>
      </c>
      <c r="K2000" s="1">
        <f t="shared" si="4482"/>
        <v>4.8787337343763584</v>
      </c>
      <c r="L2000" s="1">
        <f t="shared" ref="L2000:N2000" si="4524">E2000/$H2000</f>
        <v>0.7649410449620172</v>
      </c>
      <c r="M2000" s="1">
        <f t="shared" si="4524"/>
        <v>0</v>
      </c>
      <c r="N2000" s="1">
        <f t="shared" si="4524"/>
        <v>-0.64410030098767779</v>
      </c>
      <c r="O2000" s="1">
        <f t="shared" si="4034"/>
        <v>-0.64410030098767779</v>
      </c>
      <c r="P2000" s="1">
        <f t="shared" si="4484"/>
        <v>0.49269875729786405</v>
      </c>
      <c r="Q2000" s="1">
        <f t="shared" si="4485"/>
        <v>0</v>
      </c>
      <c r="R2000" s="1">
        <f t="shared" si="4486"/>
        <v>0.58513480226758285</v>
      </c>
      <c r="S2000" s="1">
        <f t="shared" si="4487"/>
        <v>0.61240588144694152</v>
      </c>
      <c r="T2000" s="1">
        <f t="shared" ref="T2000:V2000" si="4525">$S2000*P2000</f>
        <v>0.30173161675081117</v>
      </c>
      <c r="U2000" s="1">
        <f t="shared" si="4525"/>
        <v>0</v>
      </c>
      <c r="V2000" s="1">
        <f t="shared" si="4525"/>
        <v>0.35833999434796093</v>
      </c>
      <c r="W2000" s="1">
        <f t="shared" si="4489"/>
        <v>-5.4923095832651647</v>
      </c>
      <c r="X2000" s="1">
        <f t="shared" si="4490"/>
        <v>0</v>
      </c>
      <c r="Y2000" s="1">
        <f t="shared" si="4491"/>
        <v>-4.5695762712756798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52"/>
  <sheetViews>
    <sheetView workbookViewId="0">
      <selection activeCell="H3" sqref="H3"/>
    </sheetView>
  </sheetViews>
  <sheetFormatPr defaultColWidth="12.5703125" defaultRowHeight="15.75" customHeight="1"/>
  <sheetData>
    <row r="1" spans="1:8">
      <c r="A1" s="1" t="s">
        <v>58</v>
      </c>
      <c r="B1" s="1" t="s">
        <v>34</v>
      </c>
      <c r="C1" s="1" t="s">
        <v>35</v>
      </c>
      <c r="D1" s="1" t="s">
        <v>36</v>
      </c>
      <c r="E1" s="1" t="s">
        <v>59</v>
      </c>
      <c r="F1" s="1" t="s">
        <v>60</v>
      </c>
      <c r="G1" s="1" t="s">
        <v>61</v>
      </c>
      <c r="H1" s="6" t="s">
        <v>62</v>
      </c>
    </row>
    <row r="2" spans="1:8">
      <c r="A2" s="1">
        <v>0</v>
      </c>
      <c r="B2" s="1">
        <f>VLOOKUP($A2,計算!$B:$D,1,1)</f>
        <v>0</v>
      </c>
      <c r="C2" s="1">
        <f>VLOOKUP($A2,計算!$B:$D,2,1)</f>
        <v>0</v>
      </c>
      <c r="D2" s="1">
        <f>VLOOKUP($A2,計算!$B:$D,3,1)</f>
        <v>0</v>
      </c>
      <c r="E2" s="1" t="e">
        <f t="shared" ref="E2:E33" si="0">IF(AND(MOD(A2,$H$2)=0,crop_f_min&lt;=$A2,$A2&lt;target),$D2,NA())</f>
        <v>#N/A</v>
      </c>
      <c r="F2" s="1" t="e">
        <f t="shared" ref="F2:F52" si="1">IF($A2=target,$D2,NA())</f>
        <v>#N/A</v>
      </c>
      <c r="G2" s="1" t="e">
        <f t="shared" ref="G2:G33" si="2">IF(AND(MOD(A2,$H$2)=0,target&lt;$A2,$A2&lt;=crop_f_max),$D2,NA())</f>
        <v>#N/A</v>
      </c>
      <c r="H2">
        <v>3</v>
      </c>
    </row>
    <row r="3" spans="1:8">
      <c r="A3" s="1">
        <v>1</v>
      </c>
      <c r="B3" s="1">
        <f>VLOOKUP(A3,計算!B:D,1,1)</f>
        <v>0.96875969358701686</v>
      </c>
      <c r="C3" s="1">
        <f>VLOOKUP($A3,計算!$B:$D,2,1)</f>
        <v>0</v>
      </c>
      <c r="D3" s="1">
        <f>VLOOKUP($A3,計算!$B:$D,3,1)</f>
        <v>1.057115175636524E-3</v>
      </c>
      <c r="E3" s="1" t="e">
        <f t="shared" si="0"/>
        <v>#N/A</v>
      </c>
      <c r="F3" s="1" t="e">
        <f t="shared" si="1"/>
        <v>#N/A</v>
      </c>
      <c r="G3" s="1" t="e">
        <f t="shared" si="2"/>
        <v>#N/A</v>
      </c>
    </row>
    <row r="4" spans="1:8">
      <c r="A4" s="1">
        <v>2</v>
      </c>
      <c r="B4" s="1">
        <f>VLOOKUP(A4,計算!B:D,1,1)</f>
        <v>1.9836221002380694</v>
      </c>
      <c r="C4" s="1">
        <f>VLOOKUP($A4,計算!$B:$D,2,1)</f>
        <v>0</v>
      </c>
      <c r="D4" s="1">
        <f>VLOOKUP($A4,計算!$B:$D,3,1)</f>
        <v>4.1655178347002669E-3</v>
      </c>
      <c r="E4" s="1" t="e">
        <f t="shared" si="0"/>
        <v>#N/A</v>
      </c>
      <c r="F4" s="1" t="e">
        <f t="shared" si="1"/>
        <v>#N/A</v>
      </c>
      <c r="G4" s="1" t="e">
        <f t="shared" si="2"/>
        <v>#N/A</v>
      </c>
    </row>
    <row r="5" spans="1:8">
      <c r="A5" s="1">
        <v>3</v>
      </c>
      <c r="B5" s="1">
        <f>VLOOKUP(A5,計算!B:D,1,1)</f>
        <v>2.9580819719762816</v>
      </c>
      <c r="C5" s="1">
        <f>VLOOKUP($A5,計算!$B:$D,2,1)</f>
        <v>0</v>
      </c>
      <c r="D5" s="1">
        <f>VLOOKUP($A5,計算!$B:$D,3,1)</f>
        <v>8.9691500279575169E-3</v>
      </c>
      <c r="E5" s="1" t="e">
        <f t="shared" si="0"/>
        <v>#N/A</v>
      </c>
      <c r="F5" s="1" t="e">
        <f t="shared" si="1"/>
        <v>#N/A</v>
      </c>
      <c r="G5" s="1" t="e">
        <f t="shared" si="2"/>
        <v>#N/A</v>
      </c>
    </row>
    <row r="6" spans="1:8">
      <c r="A6" s="1">
        <v>4</v>
      </c>
      <c r="B6" s="1">
        <f>VLOOKUP(A6,計算!B:D,1,1)</f>
        <v>3.9717329844722431</v>
      </c>
      <c r="C6" s="1">
        <f>VLOOKUP($A6,計算!$B:$D,2,1)</f>
        <v>0</v>
      </c>
      <c r="D6" s="1">
        <f>VLOOKUP($A6,計算!$B:$D,3,1)</f>
        <v>1.5733609296754891E-2</v>
      </c>
      <c r="E6" s="1" t="e">
        <f t="shared" si="0"/>
        <v>#N/A</v>
      </c>
      <c r="F6" s="1" t="e">
        <f t="shared" si="1"/>
        <v>#N/A</v>
      </c>
      <c r="G6" s="1" t="e">
        <f t="shared" si="2"/>
        <v>#N/A</v>
      </c>
    </row>
    <row r="7" spans="1:8">
      <c r="A7" s="1">
        <v>5</v>
      </c>
      <c r="B7" s="1">
        <f>VLOOKUP(A7,計算!B:D,1,1)</f>
        <v>4.9450744496800976</v>
      </c>
      <c r="C7" s="1">
        <f>VLOOKUP($A7,計算!$B:$D,2,1)</f>
        <v>0</v>
      </c>
      <c r="D7" s="1">
        <f>VLOOKUP($A7,計算!$B:$D,3,1)</f>
        <v>2.3798930338741434E-2</v>
      </c>
      <c r="E7" s="1" t="e">
        <f t="shared" si="0"/>
        <v>#N/A</v>
      </c>
      <c r="F7" s="1" t="e">
        <f t="shared" si="1"/>
        <v>#N/A</v>
      </c>
      <c r="G7" s="1" t="e">
        <f t="shared" si="2"/>
        <v>#N/A</v>
      </c>
    </row>
    <row r="8" spans="1:8">
      <c r="A8" s="1">
        <v>6</v>
      </c>
      <c r="B8" s="1">
        <f>VLOOKUP(A8,計算!B:D,1,1)</f>
        <v>5.9517372245365294</v>
      </c>
      <c r="C8" s="1">
        <f>VLOOKUP($A8,計算!$B:$D,2,1)</f>
        <v>0</v>
      </c>
      <c r="D8" s="1">
        <f>VLOOKUP($A8,計算!$B:$D,3,1)</f>
        <v>3.3615397689681525E-2</v>
      </c>
      <c r="E8" s="1" t="e">
        <f t="shared" si="0"/>
        <v>#N/A</v>
      </c>
      <c r="F8" s="1" t="e">
        <f t="shared" si="1"/>
        <v>#N/A</v>
      </c>
      <c r="G8" s="1" t="e">
        <f t="shared" si="2"/>
        <v>#N/A</v>
      </c>
    </row>
    <row r="9" spans="1:8">
      <c r="A9" s="1">
        <v>7</v>
      </c>
      <c r="B9" s="1">
        <f>VLOOKUP(A9,計算!B:D,1,1)</f>
        <v>6.9862569592506629</v>
      </c>
      <c r="C9" s="1">
        <f>VLOOKUP($A9,計算!$B:$D,2,1)</f>
        <v>0</v>
      </c>
      <c r="D9" s="1">
        <f>VLOOKUP($A9,計算!$B:$D,3,1)</f>
        <v>4.5100818328618994E-2</v>
      </c>
      <c r="E9" s="1" t="e">
        <f t="shared" si="0"/>
        <v>#N/A</v>
      </c>
      <c r="F9" s="1" t="e">
        <f t="shared" si="1"/>
        <v>#N/A</v>
      </c>
      <c r="G9" s="1" t="e">
        <f t="shared" si="2"/>
        <v>#N/A</v>
      </c>
    </row>
    <row r="10" spans="1:8">
      <c r="A10" s="1">
        <v>8</v>
      </c>
      <c r="B10" s="1">
        <f>VLOOKUP(A10,計算!B:D,1,1)</f>
        <v>7.9788235838537691</v>
      </c>
      <c r="C10" s="1">
        <f>VLOOKUP($A10,計算!$B:$D,2,1)</f>
        <v>0</v>
      </c>
      <c r="D10" s="1">
        <f>VLOOKUP($A10,計算!$B:$D,3,1)</f>
        <v>5.7279805639395352E-2</v>
      </c>
      <c r="E10" s="1" t="e">
        <f t="shared" si="0"/>
        <v>#N/A</v>
      </c>
      <c r="F10" s="1" t="e">
        <f t="shared" si="1"/>
        <v>#N/A</v>
      </c>
      <c r="G10" s="1" t="e">
        <f t="shared" si="2"/>
        <v>#N/A</v>
      </c>
    </row>
    <row r="11" spans="1:8">
      <c r="A11" s="1">
        <v>9</v>
      </c>
      <c r="B11" s="1">
        <f>VLOOKUP(A11,計算!B:D,1,1)</f>
        <v>8.9949979119425212</v>
      </c>
      <c r="C11" s="1">
        <f>VLOOKUP($A11,計算!$B:$D,2,1)</f>
        <v>0</v>
      </c>
      <c r="D11" s="1">
        <f>VLOOKUP($A11,計算!$B:$D,3,1)</f>
        <v>7.0734512894002996E-2</v>
      </c>
      <c r="E11" s="1" t="e">
        <f t="shared" si="0"/>
        <v>#N/A</v>
      </c>
      <c r="F11" s="1" t="e">
        <f t="shared" si="1"/>
        <v>#N/A</v>
      </c>
      <c r="G11" s="1" t="e">
        <f t="shared" si="2"/>
        <v>#N/A</v>
      </c>
    </row>
    <row r="12" spans="1:8">
      <c r="A12" s="1">
        <v>10</v>
      </c>
      <c r="B12" s="1">
        <f>VLOOKUP(A12,計算!B:D,1,1)</f>
        <v>9.970666294174503</v>
      </c>
      <c r="C12" s="1">
        <f>VLOOKUP($A12,計算!$B:$D,2,1)</f>
        <v>0</v>
      </c>
      <c r="D12" s="1">
        <f>VLOOKUP($A12,計算!$B:$D,3,1)</f>
        <v>8.4399049196865833E-2</v>
      </c>
      <c r="E12" s="1" t="e">
        <f t="shared" si="0"/>
        <v>#N/A</v>
      </c>
      <c r="F12" s="1" t="e">
        <f t="shared" si="1"/>
        <v>#N/A</v>
      </c>
      <c r="G12" s="1" t="e">
        <f t="shared" si="2"/>
        <v>#N/A</v>
      </c>
    </row>
    <row r="13" spans="1:8">
      <c r="A13" s="1">
        <v>11</v>
      </c>
      <c r="B13" s="1">
        <f>VLOOKUP(A13,計算!B:D,1,1)</f>
        <v>10.966400743653443</v>
      </c>
      <c r="C13" s="1">
        <f>VLOOKUP($A13,計算!$B:$D,2,1)</f>
        <v>0</v>
      </c>
      <c r="D13" s="1">
        <f>VLOOKUP($A13,計算!$B:$D,3,1)</f>
        <v>9.8887078920346788E-2</v>
      </c>
      <c r="E13" s="1" t="e">
        <f t="shared" si="0"/>
        <v>#N/A</v>
      </c>
      <c r="F13" s="1" t="e">
        <f t="shared" si="1"/>
        <v>#N/A</v>
      </c>
      <c r="G13" s="1" t="e">
        <f t="shared" si="2"/>
        <v>#N/A</v>
      </c>
    </row>
    <row r="14" spans="1:8">
      <c r="A14" s="1">
        <v>12</v>
      </c>
      <c r="B14" s="1">
        <f>VLOOKUP(A14,計算!B:D,1,1)</f>
        <v>11.978350287787</v>
      </c>
      <c r="C14" s="1">
        <f>VLOOKUP($A14,計算!$B:$D,2,1)</f>
        <v>0</v>
      </c>
      <c r="D14" s="1">
        <f>VLOOKUP($A14,計算!$B:$D,3,1)</f>
        <v>0.11393565610026714</v>
      </c>
      <c r="E14" s="1">
        <f t="shared" si="0"/>
        <v>0.11393565610026714</v>
      </c>
      <c r="F14" s="1" t="e">
        <f t="shared" si="1"/>
        <v>#N/A</v>
      </c>
      <c r="G14" s="1" t="e">
        <f t="shared" si="2"/>
        <v>#N/A</v>
      </c>
    </row>
    <row r="15" spans="1:8">
      <c r="A15" s="1">
        <v>13</v>
      </c>
      <c r="B15" s="1">
        <f>VLOOKUP(A15,計算!B:D,1,1)</f>
        <v>12.950129855780679</v>
      </c>
      <c r="C15" s="1">
        <f>VLOOKUP($A15,計算!$B:$D,2,1)</f>
        <v>0</v>
      </c>
      <c r="D15" s="1">
        <f>VLOOKUP($A15,計算!$B:$D,3,1)</f>
        <v>0.12845163752315356</v>
      </c>
      <c r="E15" s="1" t="e">
        <f t="shared" si="0"/>
        <v>#N/A</v>
      </c>
      <c r="F15" s="1" t="e">
        <f t="shared" si="1"/>
        <v>#N/A</v>
      </c>
      <c r="G15" s="1" t="e">
        <f t="shared" si="2"/>
        <v>#N/A</v>
      </c>
    </row>
    <row r="16" spans="1:8">
      <c r="A16" s="1">
        <v>14</v>
      </c>
      <c r="B16" s="1">
        <f>VLOOKUP(A16,計算!B:D,1,1)</f>
        <v>13.986495534216983</v>
      </c>
      <c r="C16" s="1">
        <f>VLOOKUP($A16,計算!$B:$D,2,1)</f>
        <v>0</v>
      </c>
      <c r="D16" s="1">
        <f>VLOOKUP($A16,計算!$B:$D,3,1)</f>
        <v>0.14371342307759227</v>
      </c>
      <c r="E16" s="1" t="e">
        <f t="shared" si="0"/>
        <v>#N/A</v>
      </c>
      <c r="F16" s="1" t="e">
        <f t="shared" si="1"/>
        <v>#N/A</v>
      </c>
      <c r="G16" s="1" t="e">
        <f t="shared" si="2"/>
        <v>#N/A</v>
      </c>
    </row>
    <row r="17" spans="1:7">
      <c r="A17" s="1">
        <v>15</v>
      </c>
      <c r="B17" s="1">
        <f>VLOOKUP(A17,計算!B:D,1,1)</f>
        <v>14.98077825056864</v>
      </c>
      <c r="C17" s="1">
        <f>VLOOKUP($A17,計算!$B:$D,2,1)</f>
        <v>0</v>
      </c>
      <c r="D17" s="1">
        <f>VLOOKUP($A17,計算!$B:$D,3,1)</f>
        <v>0.15784072631185886</v>
      </c>
      <c r="E17" s="1">
        <f t="shared" si="0"/>
        <v>0.15784072631185886</v>
      </c>
      <c r="F17" s="1" t="e">
        <f t="shared" si="1"/>
        <v>#N/A</v>
      </c>
      <c r="G17" s="1" t="e">
        <f t="shared" si="2"/>
        <v>#N/A</v>
      </c>
    </row>
    <row r="18" spans="1:7">
      <c r="A18" s="1">
        <v>16</v>
      </c>
      <c r="B18" s="1">
        <f>VLOOKUP(A18,計算!B:D,1,1)</f>
        <v>15.983078119585688</v>
      </c>
      <c r="C18" s="1">
        <f>VLOOKUP($A18,計算!$B:$D,2,1)</f>
        <v>0</v>
      </c>
      <c r="D18" s="1">
        <f>VLOOKUP($A18,計算!$B:$D,3,1)</f>
        <v>0.17124331095236342</v>
      </c>
      <c r="E18" s="1" t="e">
        <f t="shared" si="0"/>
        <v>#N/A</v>
      </c>
      <c r="F18" s="1" t="e">
        <f t="shared" si="1"/>
        <v>#N/A</v>
      </c>
      <c r="G18" s="1" t="e">
        <f t="shared" si="2"/>
        <v>#N/A</v>
      </c>
    </row>
    <row r="19" spans="1:7">
      <c r="A19" s="1">
        <v>17</v>
      </c>
      <c r="B19" s="1">
        <f>VLOOKUP(A19,計算!B:D,1,1)</f>
        <v>16.990897702314037</v>
      </c>
      <c r="C19" s="1">
        <f>VLOOKUP($A19,計算!$B:$D,2,1)</f>
        <v>0</v>
      </c>
      <c r="D19" s="1">
        <f>VLOOKUP($A19,計算!$B:$D,3,1)</f>
        <v>0.18351317498441713</v>
      </c>
      <c r="E19" s="1" t="e">
        <f t="shared" si="0"/>
        <v>#N/A</v>
      </c>
      <c r="F19" s="1" t="e">
        <f t="shared" si="1"/>
        <v>#N/A</v>
      </c>
      <c r="G19" s="1" t="e">
        <f t="shared" si="2"/>
        <v>#N/A</v>
      </c>
    </row>
    <row r="20" spans="1:7">
      <c r="A20" s="1">
        <v>18</v>
      </c>
      <c r="B20" s="1">
        <f>VLOOKUP(A20,計算!B:D,1,1)</f>
        <v>17.958896518698843</v>
      </c>
      <c r="C20" s="1">
        <f>VLOOKUP($A20,計算!$B:$D,2,1)</f>
        <v>0</v>
      </c>
      <c r="D20" s="1">
        <f>VLOOKUP($A20,計算!$B:$D,3,1)</f>
        <v>0.1937963836866419</v>
      </c>
      <c r="E20" s="1">
        <f t="shared" si="0"/>
        <v>0.1937963836866419</v>
      </c>
      <c r="F20" s="1" t="e">
        <f t="shared" si="1"/>
        <v>#N/A</v>
      </c>
      <c r="G20" s="1" t="e">
        <f t="shared" si="2"/>
        <v>#N/A</v>
      </c>
    </row>
    <row r="21" spans="1:7">
      <c r="A21" s="1">
        <v>19</v>
      </c>
      <c r="B21" s="1">
        <f>VLOOKUP(A21,計算!B:D,1,1)</f>
        <v>18.973037624295138</v>
      </c>
      <c r="C21" s="1">
        <f>VLOOKUP($A21,計算!$B:$D,2,1)</f>
        <v>0</v>
      </c>
      <c r="D21" s="1">
        <f>VLOOKUP($A21,計算!$B:$D,3,1)</f>
        <v>0.20257615368989473</v>
      </c>
      <c r="E21" s="1" t="e">
        <f t="shared" si="0"/>
        <v>#N/A</v>
      </c>
      <c r="F21" s="1" t="e">
        <f t="shared" si="1"/>
        <v>#N/A</v>
      </c>
      <c r="G21" s="1" t="e">
        <f t="shared" si="2"/>
        <v>#N/A</v>
      </c>
    </row>
    <row r="22" spans="1:7">
      <c r="A22" s="1">
        <v>20</v>
      </c>
      <c r="B22" s="1">
        <f>VLOOKUP(A22,計算!B:D,1,1)</f>
        <v>19.986635557563709</v>
      </c>
      <c r="C22" s="1">
        <f>VLOOKUP($A22,計算!$B:$D,2,1)</f>
        <v>0</v>
      </c>
      <c r="D22" s="1">
        <f>VLOOKUP($A22,計算!$B:$D,3,1)</f>
        <v>0.20885153243180862</v>
      </c>
      <c r="E22" s="1" t="e">
        <f t="shared" si="0"/>
        <v>#N/A</v>
      </c>
      <c r="F22" s="1" t="e">
        <f t="shared" si="1"/>
        <v>#N/A</v>
      </c>
      <c r="G22" s="1" t="e">
        <f t="shared" si="2"/>
        <v>#N/A</v>
      </c>
    </row>
    <row r="23" spans="1:7">
      <c r="A23" s="1">
        <v>21</v>
      </c>
      <c r="B23" s="1">
        <f>VLOOKUP(A23,計算!B:D,1,1)</f>
        <v>20.998137086408487</v>
      </c>
      <c r="C23" s="1">
        <f>VLOOKUP($A23,計算!$B:$D,2,1)</f>
        <v>0</v>
      </c>
      <c r="D23" s="1">
        <f>VLOOKUP($A23,計算!$B:$D,3,1)</f>
        <v>0.21211672840320181</v>
      </c>
      <c r="E23" s="1">
        <f t="shared" si="0"/>
        <v>0.21211672840320181</v>
      </c>
      <c r="F23" s="1" t="e">
        <f t="shared" si="1"/>
        <v>#N/A</v>
      </c>
      <c r="G23" s="1" t="e">
        <f t="shared" si="2"/>
        <v>#N/A</v>
      </c>
    </row>
    <row r="24" spans="1:7">
      <c r="A24" s="1">
        <v>22</v>
      </c>
      <c r="B24" s="1">
        <f>VLOOKUP(A24,計算!B:D,1,1)</f>
        <v>21.969575882413817</v>
      </c>
      <c r="C24" s="1">
        <f>VLOOKUP($A24,計算!$B:$D,2,1)</f>
        <v>0</v>
      </c>
      <c r="D24" s="1">
        <f>VLOOKUP($A24,計算!$B:$D,3,1)</f>
        <v>0.21192523543222544</v>
      </c>
      <c r="E24" s="1" t="e">
        <f t="shared" si="0"/>
        <v>#N/A</v>
      </c>
      <c r="F24" s="1" t="e">
        <f t="shared" si="1"/>
        <v>#N/A</v>
      </c>
      <c r="G24" s="1" t="e">
        <f t="shared" si="2"/>
        <v>#N/A</v>
      </c>
    </row>
    <row r="25" spans="1:7">
      <c r="A25" s="1">
        <v>23</v>
      </c>
      <c r="B25" s="1">
        <f>VLOOKUP(A25,計算!B:D,1,1)</f>
        <v>22.974445428508496</v>
      </c>
      <c r="C25" s="1">
        <f>VLOOKUP($A25,計算!$B:$D,2,1)</f>
        <v>0</v>
      </c>
      <c r="D25" s="1">
        <f>VLOOKUP($A25,計算!$B:$D,3,1)</f>
        <v>0.20772966134353457</v>
      </c>
      <c r="E25" s="1" t="e">
        <f t="shared" si="0"/>
        <v>#N/A</v>
      </c>
      <c r="F25" s="1" t="e">
        <f t="shared" si="1"/>
        <v>#N/A</v>
      </c>
      <c r="G25" s="1" t="e">
        <f t="shared" si="2"/>
        <v>#N/A</v>
      </c>
    </row>
    <row r="26" spans="1:7">
      <c r="A26" s="1">
        <v>24</v>
      </c>
      <c r="B26" s="1">
        <f>VLOOKUP(A26,計算!B:D,1,1)</f>
        <v>23.973578535273155</v>
      </c>
      <c r="C26" s="1">
        <f>VLOOKUP($A26,計算!$B:$D,2,1)</f>
        <v>0</v>
      </c>
      <c r="D26" s="1">
        <f>VLOOKUP($A26,計算!$B:$D,3,1)</f>
        <v>0.19891044608725833</v>
      </c>
      <c r="E26" s="1">
        <f t="shared" si="0"/>
        <v>0.19891044608725833</v>
      </c>
      <c r="F26" s="1" t="e">
        <f t="shared" si="1"/>
        <v>#N/A</v>
      </c>
      <c r="G26" s="1" t="e">
        <f t="shared" si="2"/>
        <v>#N/A</v>
      </c>
    </row>
    <row r="27" spans="1:7">
      <c r="A27" s="1">
        <v>25</v>
      </c>
      <c r="B27" s="1">
        <f>VLOOKUP(A27,計算!B:D,1,1)</f>
        <v>24.998496250447594</v>
      </c>
      <c r="C27" s="1">
        <f>VLOOKUP($A27,計算!$B:$D,2,1)</f>
        <v>0</v>
      </c>
      <c r="D27" s="1">
        <f>VLOOKUP($A27,計算!$B:$D,3,1)</f>
        <v>0.18434265051408505</v>
      </c>
      <c r="E27" s="1" t="e">
        <f t="shared" si="0"/>
        <v>#N/A</v>
      </c>
      <c r="F27" s="1" t="e">
        <f t="shared" si="1"/>
        <v>#N/A</v>
      </c>
      <c r="G27" s="1" t="e">
        <f t="shared" si="2"/>
        <v>#N/A</v>
      </c>
    </row>
    <row r="28" spans="1:7">
      <c r="A28" s="1">
        <v>26</v>
      </c>
      <c r="B28" s="1">
        <f>VLOOKUP(A28,計算!B:D,1,1)</f>
        <v>25.98236612103916</v>
      </c>
      <c r="C28" s="1">
        <f>VLOOKUP($A28,計算!$B:$D,2,1)</f>
        <v>0</v>
      </c>
      <c r="D28" s="1">
        <f>VLOOKUP($A28,計算!$B:$D,3,1)</f>
        <v>0.16437440476608914</v>
      </c>
      <c r="E28" s="1" t="e">
        <f t="shared" si="0"/>
        <v>#N/A</v>
      </c>
      <c r="F28" s="1" t="e">
        <f t="shared" si="1"/>
        <v>#N/A</v>
      </c>
      <c r="G28" s="1" t="e">
        <f t="shared" si="2"/>
        <v>#N/A</v>
      </c>
    </row>
    <row r="29" spans="1:7">
      <c r="A29" s="1">
        <v>27</v>
      </c>
      <c r="B29" s="1">
        <f>VLOOKUP(A29,計算!B:D,1,1)</f>
        <v>26.988165994309789</v>
      </c>
      <c r="C29" s="1">
        <f>VLOOKUP($A29,計算!$B:$D,2,1)</f>
        <v>0</v>
      </c>
      <c r="D29" s="1">
        <f>VLOOKUP($A29,計算!$B:$D,3,1)</f>
        <v>0.13710547895288364</v>
      </c>
      <c r="E29" s="1">
        <f t="shared" si="0"/>
        <v>0.13710547895288364</v>
      </c>
      <c r="F29" s="1" t="e">
        <f t="shared" si="1"/>
        <v>#N/A</v>
      </c>
      <c r="G29" s="1" t="e">
        <f t="shared" si="2"/>
        <v>#N/A</v>
      </c>
    </row>
    <row r="30" spans="1:7">
      <c r="A30" s="1">
        <v>28</v>
      </c>
      <c r="B30" s="1">
        <f>VLOOKUP(A30,計算!B:D,1,1)</f>
        <v>27.983135726587236</v>
      </c>
      <c r="C30" s="1">
        <f>VLOOKUP($A30,計算!$B:$D,2,1)</f>
        <v>0</v>
      </c>
      <c r="D30" s="1">
        <f>VLOOKUP($A30,計算!$B:$D,3,1)</f>
        <v>0.10246019804353655</v>
      </c>
      <c r="E30" s="1" t="e">
        <f t="shared" si="0"/>
        <v>#N/A</v>
      </c>
      <c r="F30" s="1" t="e">
        <f t="shared" si="1"/>
        <v>#N/A</v>
      </c>
      <c r="G30" s="1" t="e">
        <f t="shared" si="2"/>
        <v>#N/A</v>
      </c>
    </row>
    <row r="31" spans="1:7">
      <c r="A31" s="1">
        <v>29</v>
      </c>
      <c r="B31" s="1">
        <f>VLOOKUP(A31,計算!B:D,1,1)</f>
        <v>28.994536341984301</v>
      </c>
      <c r="C31" s="1">
        <f>VLOOKUP($A31,計算!$B:$D,2,1)</f>
        <v>0</v>
      </c>
      <c r="D31" s="1">
        <f>VLOOKUP($A31,計算!$B:$D,3,1)</f>
        <v>5.8476368755754314E-2</v>
      </c>
      <c r="E31" s="1" t="e">
        <f t="shared" si="0"/>
        <v>#N/A</v>
      </c>
      <c r="F31" s="1" t="e">
        <f t="shared" si="1"/>
        <v>#N/A</v>
      </c>
      <c r="G31" s="1" t="e">
        <f t="shared" si="2"/>
        <v>#N/A</v>
      </c>
    </row>
    <row r="32" spans="1:7">
      <c r="A32" s="1">
        <v>30</v>
      </c>
      <c r="B32" s="1">
        <f>VLOOKUP(A32,計算!B:D,1,1)</f>
        <v>29.99245431184271</v>
      </c>
      <c r="C32" s="1">
        <f>VLOOKUP($A32,計算!$B:$D,2,1)</f>
        <v>0</v>
      </c>
      <c r="D32" s="1">
        <f>VLOOKUP($A32,計算!$B:$D,3,1)</f>
        <v>5.4040854187877322E-3</v>
      </c>
      <c r="E32" s="1" t="e">
        <f t="shared" si="0"/>
        <v>#N/A</v>
      </c>
      <c r="F32" s="1">
        <f t="shared" si="1"/>
        <v>5.4040854187877322E-3</v>
      </c>
      <c r="G32" s="1" t="e">
        <f t="shared" si="2"/>
        <v>#N/A</v>
      </c>
    </row>
    <row r="33" spans="1:7">
      <c r="A33" s="1">
        <v>31</v>
      </c>
      <c r="B33" s="1">
        <f>VLOOKUP(A33,計算!B:D,1,1)</f>
        <v>30.976901926108464</v>
      </c>
      <c r="C33" s="1">
        <f>VLOOKUP($A33,計算!$B:$D,2,1)</f>
        <v>0</v>
      </c>
      <c r="D33" s="1">
        <f>VLOOKUP($A33,計算!$B:$D,3,1)</f>
        <v>-5.7431729995389959E-2</v>
      </c>
      <c r="E33" s="1" t="e">
        <f t="shared" si="0"/>
        <v>#N/A</v>
      </c>
      <c r="F33" s="1" t="e">
        <f t="shared" si="1"/>
        <v>#N/A</v>
      </c>
      <c r="G33" s="1" t="e">
        <f t="shared" si="2"/>
        <v>#N/A</v>
      </c>
    </row>
    <row r="34" spans="1:7">
      <c r="A34" s="1">
        <v>32</v>
      </c>
      <c r="B34" s="1">
        <f>VLOOKUP(A34,計算!B:D,1,1)</f>
        <v>31.996706479049486</v>
      </c>
      <c r="C34" s="1">
        <f>VLOOKUP($A34,計算!$B:$D,2,1)</f>
        <v>0</v>
      </c>
      <c r="D34" s="1">
        <f>VLOOKUP($A34,計算!$B:$D,3,1)</f>
        <v>-0.13471134348118255</v>
      </c>
      <c r="E34" s="1" t="e">
        <f t="shared" ref="E34:E52" si="3">IF(AND(MOD(A34,$H$2)=0,crop_f_min&lt;=$A34,$A34&lt;target),$D34,NA())</f>
        <v>#N/A</v>
      </c>
      <c r="F34" s="1" t="e">
        <f t="shared" si="1"/>
        <v>#N/A</v>
      </c>
      <c r="G34" s="1" t="e">
        <f t="shared" ref="G34:G52" si="4">IF(AND(MOD(A34,$H$2)=0,target&lt;$A34,$A34&lt;=crop_f_max),$D34,NA())</f>
        <v>#N/A</v>
      </c>
    </row>
    <row r="35" spans="1:7">
      <c r="A35" s="1">
        <v>33</v>
      </c>
      <c r="B35" s="1">
        <f>VLOOKUP(A35,計算!B:D,1,1)</f>
        <v>32.999360052044501</v>
      </c>
      <c r="C35" s="1">
        <f>VLOOKUP($A35,計算!$B:$D,2,1)</f>
        <v>0</v>
      </c>
      <c r="D35" s="1">
        <f>VLOOKUP($A35,計算!$B:$D,3,1)</f>
        <v>-0.22408590881073204</v>
      </c>
      <c r="E35" s="1" t="e">
        <f t="shared" si="3"/>
        <v>#N/A</v>
      </c>
      <c r="F35" s="1" t="e">
        <f t="shared" si="1"/>
        <v>#N/A</v>
      </c>
      <c r="G35" s="1">
        <f t="shared" si="4"/>
        <v>-0.22408590881073204</v>
      </c>
    </row>
    <row r="36" spans="1:7">
      <c r="A36" s="1">
        <v>34</v>
      </c>
      <c r="B36" s="1">
        <f>VLOOKUP(A36,計算!B:D,1,1)</f>
        <v>33.985267455743518</v>
      </c>
      <c r="C36" s="1">
        <f>VLOOKUP($A36,計算!$B:$D,2,1)</f>
        <v>0</v>
      </c>
      <c r="D36" s="1">
        <f>VLOOKUP($A36,計算!$B:$D,3,1)</f>
        <v>-0.3262841109329539</v>
      </c>
      <c r="E36" s="1" t="e">
        <f t="shared" si="3"/>
        <v>#N/A</v>
      </c>
      <c r="F36" s="1" t="e">
        <f t="shared" si="1"/>
        <v>#N/A</v>
      </c>
      <c r="G36" s="1" t="e">
        <f t="shared" si="4"/>
        <v>#N/A</v>
      </c>
    </row>
    <row r="37" spans="1:7">
      <c r="A37" s="1">
        <v>35</v>
      </c>
      <c r="B37" s="1">
        <f>VLOOKUP(A37,計算!B:D,1,1)</f>
        <v>34.997999628786751</v>
      </c>
      <c r="C37" s="1">
        <f>VLOOKUP($A37,計算!$B:$D,2,1)</f>
        <v>0</v>
      </c>
      <c r="D37" s="1">
        <f>VLOOKUP($A37,計算!$B:$D,3,1)</f>
        <v>-0.44756880241767782</v>
      </c>
      <c r="E37" s="1" t="e">
        <f t="shared" si="3"/>
        <v>#N/A</v>
      </c>
      <c r="F37" s="1" t="e">
        <f t="shared" si="1"/>
        <v>#N/A</v>
      </c>
      <c r="G37" s="1" t="e">
        <f t="shared" si="4"/>
        <v>#N/A</v>
      </c>
    </row>
    <row r="38" spans="1:7">
      <c r="A38" s="1">
        <v>36</v>
      </c>
      <c r="B38" s="1">
        <f>VLOOKUP(A38,計算!B:D,1,1)</f>
        <v>35.991411658279446</v>
      </c>
      <c r="C38" s="1">
        <f>VLOOKUP($A38,計算!$B:$D,2,1)</f>
        <v>0</v>
      </c>
      <c r="D38" s="1">
        <f>VLOOKUP($A38,計算!$B:$D,3,1)</f>
        <v>-0.58421720610949068</v>
      </c>
      <c r="E38" s="1" t="e">
        <f t="shared" si="3"/>
        <v>#N/A</v>
      </c>
      <c r="F38" s="1" t="e">
        <f t="shared" si="1"/>
        <v>#N/A</v>
      </c>
      <c r="G38" s="1">
        <f t="shared" si="4"/>
        <v>-0.58421720610949068</v>
      </c>
    </row>
    <row r="39" spans="1:7">
      <c r="A39" s="1">
        <v>37</v>
      </c>
      <c r="B39" s="1">
        <f>VLOOKUP(A39,計算!B:D,1,1)</f>
        <v>36.986045595482942</v>
      </c>
      <c r="C39" s="1">
        <f>VLOOKUP($A39,計算!$B:$D,2,1)</f>
        <v>0</v>
      </c>
      <c r="D39" s="1">
        <f>VLOOKUP($A39,計算!$B:$D,3,1)</f>
        <v>-0.74032323991947224</v>
      </c>
      <c r="E39" s="1" t="e">
        <f t="shared" si="3"/>
        <v>#N/A</v>
      </c>
      <c r="F39" s="1" t="e">
        <f t="shared" si="1"/>
        <v>#N/A</v>
      </c>
      <c r="G39" s="1" t="e">
        <f t="shared" si="4"/>
        <v>#N/A</v>
      </c>
    </row>
    <row r="40" spans="1:7">
      <c r="A40" s="1">
        <v>38</v>
      </c>
      <c r="B40" s="1">
        <f>VLOOKUP(A40,計算!B:D,1,1)</f>
        <v>37.999265077964431</v>
      </c>
      <c r="C40" s="1">
        <f>VLOOKUP($A40,計算!$B:$D,2,1)</f>
        <v>0</v>
      </c>
      <c r="D40" s="1">
        <f>VLOOKUP($A40,計算!$B:$D,3,1)</f>
        <v>-0.9211454880183354</v>
      </c>
      <c r="E40" s="1" t="e">
        <f t="shared" si="3"/>
        <v>#N/A</v>
      </c>
      <c r="F40" s="1" t="e">
        <f t="shared" si="1"/>
        <v>#N/A</v>
      </c>
      <c r="G40" s="1" t="e">
        <f t="shared" si="4"/>
        <v>#N/A</v>
      </c>
    </row>
    <row r="41" spans="1:7">
      <c r="A41" s="1">
        <v>39</v>
      </c>
      <c r="B41" s="1">
        <f>VLOOKUP(A41,計算!B:D,1,1)</f>
        <v>38.990561744268206</v>
      </c>
      <c r="C41" s="1">
        <f>VLOOKUP($A41,計算!$B:$D,2,1)</f>
        <v>0</v>
      </c>
      <c r="D41" s="1">
        <f>VLOOKUP($A41,計算!$B:$D,3,1)</f>
        <v>-1.1214160518853276</v>
      </c>
      <c r="E41" s="1" t="e">
        <f t="shared" si="3"/>
        <v>#N/A</v>
      </c>
      <c r="F41" s="1" t="e">
        <f t="shared" si="1"/>
        <v>#N/A</v>
      </c>
      <c r="G41" s="1">
        <f t="shared" si="4"/>
        <v>-1.1214160518853276</v>
      </c>
    </row>
    <row r="42" spans="1:7">
      <c r="A42" s="1">
        <v>40</v>
      </c>
      <c r="B42" s="1">
        <f>VLOOKUP(A42,計算!B:D,1,1)</f>
        <v>39.996009015009143</v>
      </c>
      <c r="C42" s="1">
        <f>VLOOKUP($A42,計算!$B:$D,2,1)</f>
        <v>0</v>
      </c>
      <c r="D42" s="1">
        <f>VLOOKUP($A42,計算!$B:$D,3,1)</f>
        <v>-1.350425569132679</v>
      </c>
      <c r="E42" s="1" t="e">
        <f t="shared" si="3"/>
        <v>#N/A</v>
      </c>
      <c r="F42" s="1" t="e">
        <f t="shared" si="1"/>
        <v>#N/A</v>
      </c>
      <c r="G42" s="1" t="e">
        <f t="shared" si="4"/>
        <v>#N/A</v>
      </c>
    </row>
    <row r="43" spans="1:7">
      <c r="A43" s="1">
        <v>41</v>
      </c>
      <c r="B43" s="1">
        <f>VLOOKUP(A43,計算!B:D,1,1)</f>
        <v>40.99533074951767</v>
      </c>
      <c r="C43" s="1">
        <f>VLOOKUP($A43,計算!$B:$D,2,1)</f>
        <v>0</v>
      </c>
      <c r="D43" s="1">
        <f>VLOOKUP($A43,計算!$B:$D,3,1)</f>
        <v>-1.6063251372185356</v>
      </c>
      <c r="E43" s="1" t="e">
        <f t="shared" si="3"/>
        <v>#N/A</v>
      </c>
      <c r="F43" s="1" t="e">
        <f t="shared" si="1"/>
        <v>#N/A</v>
      </c>
      <c r="G43" s="1" t="e">
        <f t="shared" si="4"/>
        <v>#N/A</v>
      </c>
    </row>
    <row r="44" spans="1:7">
      <c r="A44" s="1">
        <v>42</v>
      </c>
      <c r="B44" s="1">
        <f>VLOOKUP(A44,計算!B:D,1,1)</f>
        <v>41.987456900587247</v>
      </c>
      <c r="C44" s="1">
        <f>VLOOKUP($A44,計算!$B:$D,2,1)</f>
        <v>0</v>
      </c>
      <c r="D44" s="1">
        <f>VLOOKUP($A44,計算!$B:$D,3,1)</f>
        <v>-1.8909162988561357</v>
      </c>
      <c r="E44" s="1" t="e">
        <f t="shared" si="3"/>
        <v>#N/A</v>
      </c>
      <c r="F44" s="1" t="e">
        <f t="shared" si="1"/>
        <v>#N/A</v>
      </c>
      <c r="G44" s="1" t="e">
        <f t="shared" si="4"/>
        <v>#N/A</v>
      </c>
    </row>
    <row r="45" spans="1:7">
      <c r="A45" s="1">
        <v>43</v>
      </c>
      <c r="B45" s="1">
        <f>VLOOKUP(A45,計算!B:D,1,1)</f>
        <v>42.986953788173281</v>
      </c>
      <c r="C45" s="1">
        <f>VLOOKUP($A45,計算!$B:$D,2,1)</f>
        <v>0</v>
      </c>
      <c r="D45" s="1">
        <f>VLOOKUP($A45,計算!$B:$D,3,1)</f>
        <v>-2.2112769174947382</v>
      </c>
      <c r="E45" s="1" t="e">
        <f t="shared" si="3"/>
        <v>#N/A</v>
      </c>
      <c r="F45" s="1" t="e">
        <f t="shared" si="1"/>
        <v>#N/A</v>
      </c>
      <c r="G45" s="1" t="e">
        <f t="shared" si="4"/>
        <v>#N/A</v>
      </c>
    </row>
    <row r="46" spans="1:7">
      <c r="A46" s="1">
        <v>44</v>
      </c>
      <c r="B46" s="1">
        <f>VLOOKUP(A46,計算!B:D,1,1)</f>
        <v>43.991019146205986</v>
      </c>
      <c r="C46" s="1">
        <f>VLOOKUP($A46,計算!$B:$D,2,1)</f>
        <v>0</v>
      </c>
      <c r="D46" s="1">
        <f>VLOOKUP($A46,計算!$B:$D,3,1)</f>
        <v>-2.5703079202222501</v>
      </c>
      <c r="E46" s="1" t="e">
        <f t="shared" si="3"/>
        <v>#N/A</v>
      </c>
      <c r="F46" s="1" t="e">
        <f t="shared" si="1"/>
        <v>#N/A</v>
      </c>
      <c r="G46" s="1" t="e">
        <f t="shared" si="4"/>
        <v>#N/A</v>
      </c>
    </row>
    <row r="47" spans="1:7">
      <c r="A47" s="1">
        <v>45</v>
      </c>
      <c r="B47" s="1">
        <f>VLOOKUP(A47,計算!B:D,1,1)</f>
        <v>44.997043163393791</v>
      </c>
      <c r="C47" s="1">
        <f>VLOOKUP($A47,計算!$B:$D,2,1)</f>
        <v>0</v>
      </c>
      <c r="D47" s="1">
        <f>VLOOKUP($A47,計算!$B:$D,3,1)</f>
        <v>-2.9709687383821648</v>
      </c>
      <c r="E47" s="1" t="e">
        <f t="shared" si="3"/>
        <v>#N/A</v>
      </c>
      <c r="F47" s="1" t="e">
        <f t="shared" si="1"/>
        <v>#N/A</v>
      </c>
      <c r="G47" s="1" t="e">
        <f t="shared" si="4"/>
        <v>#N/A</v>
      </c>
    </row>
    <row r="48" spans="1:7">
      <c r="A48" s="1">
        <v>46</v>
      </c>
      <c r="B48" s="1">
        <f>VLOOKUP(A48,計算!B:D,1,1)</f>
        <v>45.988914310046525</v>
      </c>
      <c r="C48" s="1">
        <f>VLOOKUP($A48,計算!$B:$D,2,1)</f>
        <v>0</v>
      </c>
      <c r="D48" s="1">
        <f>VLOOKUP($A48,計算!$B:$D,3,1)</f>
        <v>-3.409885939451561</v>
      </c>
      <c r="E48" s="1" t="e">
        <f t="shared" si="3"/>
        <v>#N/A</v>
      </c>
      <c r="F48" s="1" t="e">
        <f t="shared" si="1"/>
        <v>#N/A</v>
      </c>
      <c r="G48" s="1" t="e">
        <f t="shared" si="4"/>
        <v>#N/A</v>
      </c>
    </row>
    <row r="49" spans="1:7">
      <c r="A49" s="1">
        <v>47</v>
      </c>
      <c r="B49" s="1">
        <f>VLOOKUP(A49,計算!B:D,1,1)</f>
        <v>46.992267117591723</v>
      </c>
      <c r="C49" s="1">
        <f>VLOOKUP($A49,計算!$B:$D,2,1)</f>
        <v>0</v>
      </c>
      <c r="D49" s="1">
        <f>VLOOKUP($A49,計算!$B:$D,3,1)</f>
        <v>-3.9024314625956507</v>
      </c>
      <c r="E49" s="1" t="e">
        <f t="shared" si="3"/>
        <v>#N/A</v>
      </c>
      <c r="F49" s="1" t="e">
        <f t="shared" si="1"/>
        <v>#N/A</v>
      </c>
      <c r="G49" s="1" t="e">
        <f t="shared" si="4"/>
        <v>#N/A</v>
      </c>
    </row>
    <row r="50" spans="1:7">
      <c r="A50" s="1">
        <v>48</v>
      </c>
      <c r="B50" s="1">
        <f>VLOOKUP(A50,計算!B:D,1,1)</f>
        <v>47.990654477139515</v>
      </c>
      <c r="C50" s="1">
        <f>VLOOKUP($A50,計算!$B:$D,2,1)</f>
        <v>0</v>
      </c>
      <c r="D50" s="1">
        <f>VLOOKUP($A50,計算!$B:$D,3,1)</f>
        <v>-4.4456299484921216</v>
      </c>
      <c r="E50" s="1" t="e">
        <f t="shared" si="3"/>
        <v>#N/A</v>
      </c>
      <c r="F50" s="1" t="e">
        <f t="shared" si="1"/>
        <v>#N/A</v>
      </c>
      <c r="G50" s="1" t="e">
        <f t="shared" si="4"/>
        <v>#N/A</v>
      </c>
    </row>
    <row r="51" spans="1:7">
      <c r="A51" s="1">
        <v>49</v>
      </c>
      <c r="B51" s="1">
        <f>VLOOKUP(A51,計算!B:D,1,1)</f>
        <v>48.99397034991469</v>
      </c>
      <c r="C51" s="1">
        <f>VLOOKUP($A51,計算!$B:$D,2,1)</f>
        <v>0</v>
      </c>
      <c r="D51" s="1">
        <f>VLOOKUP($A51,計算!$B:$D,3,1)</f>
        <v>-5.0500372137229803</v>
      </c>
      <c r="E51" s="1" t="e">
        <f t="shared" si="3"/>
        <v>#N/A</v>
      </c>
      <c r="F51" s="1" t="e">
        <f t="shared" si="1"/>
        <v>#N/A</v>
      </c>
      <c r="G51" s="1" t="e">
        <f t="shared" si="4"/>
        <v>#N/A</v>
      </c>
    </row>
    <row r="52" spans="1:7">
      <c r="A52" s="1">
        <v>50</v>
      </c>
      <c r="B52" s="1">
        <f>VLOOKUP(A52,計算!B:D,1,1)</f>
        <v>49.998602294308796</v>
      </c>
      <c r="C52" s="1">
        <f>VLOOKUP($A52,計算!$B:$D,2,1)</f>
        <v>0</v>
      </c>
      <c r="D52" s="1">
        <f>VLOOKUP($A52,計算!$B:$D,3,1)</f>
        <v>-5.7198247081239817</v>
      </c>
      <c r="E52" s="1" t="e">
        <f t="shared" si="3"/>
        <v>#N/A</v>
      </c>
      <c r="F52" s="1" t="e">
        <f t="shared" si="1"/>
        <v>#N/A</v>
      </c>
      <c r="G52" s="1" t="e">
        <f t="shared" si="4"/>
        <v>#N/A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16</vt:i4>
      </vt:variant>
    </vt:vector>
  </HeadingPairs>
  <TitlesOfParts>
    <vt:vector size="19" baseType="lpstr">
      <vt:lpstr>メイン</vt:lpstr>
      <vt:lpstr>計算</vt:lpstr>
      <vt:lpstr>抽出</vt:lpstr>
      <vt:lpstr>crop_f_max</vt:lpstr>
      <vt:lpstr>crop_f_min</vt:lpstr>
      <vt:lpstr>dt</vt:lpstr>
      <vt:lpstr>g</vt:lpstr>
      <vt:lpstr>g_f</vt:lpstr>
      <vt:lpstr>g_r</vt:lpstr>
      <vt:lpstr>g_u</vt:lpstr>
      <vt:lpstr>K_drag</vt:lpstr>
      <vt:lpstr>K_lift</vt:lpstr>
      <vt:lpstr>phi</vt:lpstr>
      <vt:lpstr>target</vt:lpstr>
      <vt:lpstr>theta</vt:lpstr>
      <vt:lpstr>u_axis_f</vt:lpstr>
      <vt:lpstr>u_axis_r</vt:lpstr>
      <vt:lpstr>u_axis_u</vt:lpstr>
      <vt:lpstr>v_0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satoshi kihara</cp:lastModifiedBy>
  <dcterms:modified xsi:type="dcterms:W3CDTF">2026-05-29T14:10:15Z</dcterms:modified>
</cp:coreProperties>
</file>